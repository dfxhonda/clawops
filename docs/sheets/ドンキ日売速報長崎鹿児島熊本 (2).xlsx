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/>
  <mc:AlternateContent xmlns:mc="http://schemas.openxmlformats.org/markup-compatibility/2006">
    <mc:Choice Requires="x15">
      <x15ac:absPath xmlns:x15ac="http://schemas.microsoft.com/office/spreadsheetml/2010/11/ac" url="https://d.docs.live.net/673D351FD4488BE7/ドキュメント/"/>
    </mc:Choice>
  </mc:AlternateContent>
  <xr:revisionPtr revIDLastSave="11824" documentId="8_{E7293DE3-03F3-CC4D-B60D-41BD85D4BA90}" xr6:coauthVersionLast="47" xr6:coauthVersionMax="47" xr10:uidLastSave="{7938DD6D-1DAC-7B47-8D0A-FCC5ED3C8FB9}"/>
  <bookViews>
    <workbookView xWindow="0" yWindow="760" windowWidth="32960" windowHeight="22460" tabRatio="775" activeTab="4" xr2:uid="{00000000-000D-0000-FFFF-FFFF00000000}"/>
  </bookViews>
  <sheets>
    <sheet name="鹿屋" sheetId="34" r:id="rId1"/>
    <sheet name="都城" sheetId="37" r:id="rId2"/>
    <sheet name="霧島" sheetId="36" r:id="rId3"/>
    <sheet name="宇宿" sheetId="38" r:id="rId4"/>
    <sheet name="川内" sheetId="39" r:id="rId5"/>
    <sheet name="中央" sheetId="40" r:id="rId6"/>
    <sheet name="天文館" sheetId="41" r:id="rId7"/>
    <sheet name="ガチャ" sheetId="35" r:id="rId8"/>
    <sheet name="集金" sheetId="2" r:id="rId9"/>
  </sheets>
  <definedNames>
    <definedName name="_xlnm._FilterDatabase" localSheetId="7" hidden="1">ガチャ!$J$4:$L$67</definedName>
    <definedName name="_xlnm._FilterDatabase" localSheetId="8" hidden="1">集金!$AL$1:$AN$255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9" roundtripDataChecksum="7Oz8aWlf7oOxGoxRGDQsFbL+GqsadgAiuAs6aPfQJPQ="/>
    </ext>
  </extLst>
</workbook>
</file>

<file path=xl/calcChain.xml><?xml version="1.0" encoding="utf-8"?>
<calcChain xmlns="http://schemas.openxmlformats.org/spreadsheetml/2006/main">
  <c r="AJ27" i="2" l="1"/>
  <c r="AJ32" i="2"/>
  <c r="AJ33" i="2"/>
  <c r="AI31" i="2"/>
  <c r="AJ31" i="2"/>
  <c r="AJ29" i="2"/>
  <c r="AJ28" i="2"/>
  <c r="L68" i="41"/>
  <c r="M68" i="41"/>
  <c r="L70" i="41"/>
  <c r="M70" i="41"/>
  <c r="N70" i="41"/>
  <c r="U15" i="38"/>
  <c r="U20" i="38"/>
  <c r="U27" i="38"/>
  <c r="U32" i="38"/>
  <c r="U39" i="38"/>
  <c r="U44" i="38"/>
  <c r="U51" i="38"/>
  <c r="U56" i="38"/>
  <c r="U63" i="38"/>
  <c r="U68" i="38"/>
  <c r="U75" i="38"/>
  <c r="U80" i="38"/>
  <c r="U87" i="38"/>
  <c r="U92" i="38"/>
  <c r="U99" i="38"/>
  <c r="U104" i="38"/>
  <c r="U111" i="38"/>
  <c r="U116" i="38"/>
  <c r="U123" i="38"/>
  <c r="U128" i="38"/>
  <c r="U135" i="38"/>
  <c r="U140" i="38"/>
  <c r="U147" i="38"/>
  <c r="U152" i="38"/>
  <c r="U159" i="38"/>
  <c r="U164" i="38"/>
  <c r="U171" i="38"/>
  <c r="U176" i="38"/>
  <c r="U183" i="38"/>
  <c r="U188" i="38"/>
  <c r="U195" i="38"/>
  <c r="U200" i="38"/>
  <c r="U207" i="38"/>
  <c r="U212" i="38"/>
  <c r="U219" i="38"/>
  <c r="U224" i="38"/>
  <c r="U231" i="38"/>
  <c r="U236" i="38"/>
  <c r="U238" i="38"/>
  <c r="U245" i="38"/>
  <c r="U2" i="38"/>
  <c r="M156" i="39"/>
  <c r="N156" i="39"/>
  <c r="O156" i="39"/>
  <c r="J44" i="37"/>
  <c r="K44" i="37"/>
  <c r="J46" i="37"/>
  <c r="K46" i="37"/>
  <c r="L53" i="37"/>
  <c r="J48" i="37"/>
  <c r="K48" i="37"/>
  <c r="L48" i="37"/>
  <c r="L54" i="37"/>
  <c r="J44" i="34"/>
  <c r="K44" i="34"/>
  <c r="J48" i="34"/>
  <c r="K48" i="34"/>
  <c r="L48" i="34"/>
  <c r="M82" i="35"/>
  <c r="M83" i="35"/>
  <c r="M10" i="35"/>
  <c r="M11" i="35"/>
  <c r="M12" i="35"/>
  <c r="M13" i="35"/>
  <c r="M20" i="35"/>
  <c r="M21" i="35"/>
  <c r="M22" i="35"/>
  <c r="M23" i="35"/>
  <c r="M42" i="35"/>
  <c r="M43" i="35"/>
  <c r="M50" i="35"/>
  <c r="M51" i="35"/>
  <c r="M52" i="35"/>
  <c r="M53" i="35"/>
  <c r="M60" i="35"/>
  <c r="M61" i="35"/>
  <c r="M62" i="35"/>
  <c r="M63" i="35"/>
  <c r="M70" i="35"/>
  <c r="M71" i="35"/>
  <c r="M72" i="35"/>
  <c r="M73" i="35"/>
  <c r="M80" i="35"/>
  <c r="M81" i="35"/>
  <c r="M90" i="35"/>
  <c r="M91" i="35"/>
  <c r="M92" i="35"/>
  <c r="M93" i="35"/>
  <c r="M100" i="35"/>
  <c r="M101" i="35"/>
  <c r="M102" i="35"/>
  <c r="M103" i="35"/>
  <c r="M110" i="35"/>
  <c r="M111" i="35"/>
  <c r="M112" i="35"/>
  <c r="M113" i="35"/>
  <c r="M120" i="35"/>
  <c r="M121" i="35"/>
  <c r="M122" i="35"/>
  <c r="M123" i="35"/>
  <c r="M130" i="35"/>
  <c r="M131" i="35"/>
  <c r="M132" i="35"/>
  <c r="M133" i="35"/>
  <c r="M140" i="35"/>
  <c r="M141" i="35"/>
  <c r="M142" i="35"/>
  <c r="M143" i="35"/>
  <c r="N10" i="35"/>
  <c r="N11" i="35"/>
  <c r="N12" i="35"/>
  <c r="N13" i="35"/>
  <c r="N20" i="35"/>
  <c r="N21" i="35"/>
  <c r="N22" i="35"/>
  <c r="N23" i="35"/>
  <c r="N42" i="35"/>
  <c r="N43" i="35"/>
  <c r="N50" i="35"/>
  <c r="N51" i="35"/>
  <c r="N52" i="35"/>
  <c r="N53" i="35"/>
  <c r="N60" i="35"/>
  <c r="N61" i="35"/>
  <c r="N62" i="35"/>
  <c r="N63" i="35"/>
  <c r="N70" i="35"/>
  <c r="N71" i="35"/>
  <c r="N72" i="35"/>
  <c r="N73" i="35"/>
  <c r="N80" i="35"/>
  <c r="N81" i="35"/>
  <c r="N82" i="35"/>
  <c r="N83" i="35"/>
  <c r="N90" i="35"/>
  <c r="N91" i="35"/>
  <c r="N92" i="35"/>
  <c r="N93" i="35"/>
  <c r="N100" i="35"/>
  <c r="N101" i="35"/>
  <c r="N102" i="35"/>
  <c r="N103" i="35"/>
  <c r="N110" i="35"/>
  <c r="N111" i="35"/>
  <c r="N112" i="35"/>
  <c r="N113" i="35"/>
  <c r="N120" i="35"/>
  <c r="N121" i="35"/>
  <c r="N122" i="35"/>
  <c r="N123" i="35"/>
  <c r="N130" i="35"/>
  <c r="N131" i="35"/>
  <c r="N132" i="35"/>
  <c r="N133" i="35"/>
  <c r="N140" i="35"/>
  <c r="N141" i="35"/>
  <c r="N142" i="35"/>
  <c r="N143" i="35"/>
  <c r="D4" i="2"/>
  <c r="C4" i="2"/>
  <c r="E4" i="2"/>
  <c r="F4" i="2"/>
  <c r="D5" i="2"/>
  <c r="C5" i="2"/>
  <c r="E5" i="2"/>
  <c r="L20" i="38"/>
  <c r="N20" i="38"/>
  <c r="O20" i="38"/>
  <c r="P20" i="38"/>
  <c r="Q20" i="38"/>
  <c r="R20" i="38"/>
  <c r="S20" i="38"/>
  <c r="T20" i="38"/>
  <c r="V20" i="38"/>
  <c r="W20" i="38"/>
  <c r="X20" i="38"/>
  <c r="Y20" i="38"/>
  <c r="Z20" i="38"/>
  <c r="AA20" i="38"/>
  <c r="AB20" i="38"/>
  <c r="AC20" i="38"/>
  <c r="AD20" i="38"/>
  <c r="AE20" i="38"/>
  <c r="AF20" i="38"/>
  <c r="AG20" i="38"/>
  <c r="AH20" i="38"/>
  <c r="AI20" i="38"/>
  <c r="AJ20" i="38"/>
  <c r="AK20" i="38"/>
  <c r="AL20" i="38"/>
  <c r="AM20" i="38"/>
  <c r="AN20" i="38"/>
  <c r="AO20" i="38"/>
  <c r="AP20" i="38"/>
  <c r="AQ20" i="38"/>
  <c r="AR20" i="38"/>
  <c r="AS20" i="38"/>
  <c r="D6" i="2"/>
  <c r="C6" i="2"/>
  <c r="E6" i="2"/>
  <c r="L32" i="38"/>
  <c r="N32" i="38"/>
  <c r="O32" i="38"/>
  <c r="P32" i="38"/>
  <c r="Q32" i="38"/>
  <c r="R32" i="38"/>
  <c r="S32" i="38"/>
  <c r="T32" i="38"/>
  <c r="V32" i="38"/>
  <c r="W32" i="38"/>
  <c r="X32" i="38"/>
  <c r="Y32" i="38"/>
  <c r="Z32" i="38"/>
  <c r="AA32" i="38"/>
  <c r="AB32" i="38"/>
  <c r="AC32" i="38"/>
  <c r="AD32" i="38"/>
  <c r="AE32" i="38"/>
  <c r="AF32" i="38"/>
  <c r="AG32" i="38"/>
  <c r="AH32" i="38"/>
  <c r="AI32" i="38"/>
  <c r="AJ32" i="38"/>
  <c r="AK32" i="38"/>
  <c r="AL32" i="38"/>
  <c r="AM32" i="38"/>
  <c r="AN32" i="38"/>
  <c r="AO32" i="38"/>
  <c r="AP32" i="38"/>
  <c r="AQ32" i="38"/>
  <c r="AR32" i="38"/>
  <c r="AS32" i="38"/>
  <c r="D7" i="2"/>
  <c r="C7" i="2"/>
  <c r="E7" i="2"/>
  <c r="L44" i="38"/>
  <c r="N44" i="38"/>
  <c r="O44" i="38"/>
  <c r="P44" i="38"/>
  <c r="Q44" i="38"/>
  <c r="R44" i="38"/>
  <c r="S44" i="38"/>
  <c r="T44" i="38"/>
  <c r="V44" i="38"/>
  <c r="W44" i="38"/>
  <c r="X44" i="38"/>
  <c r="Y44" i="38"/>
  <c r="Z44" i="38"/>
  <c r="AA44" i="38"/>
  <c r="AB44" i="38"/>
  <c r="AC44" i="38"/>
  <c r="AD44" i="38"/>
  <c r="AE44" i="38"/>
  <c r="AF44" i="38"/>
  <c r="AG44" i="38"/>
  <c r="AH44" i="38"/>
  <c r="AI44" i="38"/>
  <c r="AJ44" i="38"/>
  <c r="AK44" i="38"/>
  <c r="AL44" i="38"/>
  <c r="AM44" i="38"/>
  <c r="AN44" i="38"/>
  <c r="AO44" i="38"/>
  <c r="AP44" i="38"/>
  <c r="AQ44" i="38"/>
  <c r="AR44" i="38"/>
  <c r="AS44" i="38"/>
  <c r="D8" i="2"/>
  <c r="C8" i="2"/>
  <c r="E8" i="2"/>
  <c r="F5" i="2"/>
  <c r="L56" i="38"/>
  <c r="N56" i="38"/>
  <c r="O56" i="38"/>
  <c r="P56" i="38"/>
  <c r="Q56" i="38"/>
  <c r="R56" i="38"/>
  <c r="S56" i="38"/>
  <c r="T56" i="38"/>
  <c r="V56" i="38"/>
  <c r="W56" i="38"/>
  <c r="X56" i="38"/>
  <c r="Y56" i="38"/>
  <c r="Z56" i="38"/>
  <c r="AA56" i="38"/>
  <c r="AB56" i="38"/>
  <c r="AC56" i="38"/>
  <c r="AD56" i="38"/>
  <c r="AE56" i="38"/>
  <c r="AF56" i="38"/>
  <c r="AG56" i="38"/>
  <c r="AH56" i="38"/>
  <c r="AI56" i="38"/>
  <c r="AJ56" i="38"/>
  <c r="AK56" i="38"/>
  <c r="AL56" i="38"/>
  <c r="AM56" i="38"/>
  <c r="AN56" i="38"/>
  <c r="AO56" i="38"/>
  <c r="AP56" i="38"/>
  <c r="AQ56" i="38"/>
  <c r="AR56" i="38"/>
  <c r="AS56" i="38"/>
  <c r="D9" i="2"/>
  <c r="C9" i="2"/>
  <c r="E9" i="2"/>
  <c r="L68" i="38"/>
  <c r="N68" i="38"/>
  <c r="O68" i="38"/>
  <c r="P68" i="38"/>
  <c r="Q68" i="38"/>
  <c r="R68" i="38"/>
  <c r="S68" i="38"/>
  <c r="T68" i="38"/>
  <c r="V68" i="38"/>
  <c r="W68" i="38"/>
  <c r="X68" i="38"/>
  <c r="Y68" i="38"/>
  <c r="Z68" i="38"/>
  <c r="AA68" i="38"/>
  <c r="AB68" i="38"/>
  <c r="AC68" i="38"/>
  <c r="AD68" i="38"/>
  <c r="AE68" i="38"/>
  <c r="AF68" i="38"/>
  <c r="AG68" i="38"/>
  <c r="AH68" i="38"/>
  <c r="AI68" i="38"/>
  <c r="AJ68" i="38"/>
  <c r="AK68" i="38"/>
  <c r="AL68" i="38"/>
  <c r="AM68" i="38"/>
  <c r="AN68" i="38"/>
  <c r="AO68" i="38"/>
  <c r="AP68" i="38"/>
  <c r="AQ68" i="38"/>
  <c r="AR68" i="38"/>
  <c r="AS68" i="38"/>
  <c r="D10" i="2"/>
  <c r="C10" i="2"/>
  <c r="E10" i="2"/>
  <c r="L80" i="38"/>
  <c r="N80" i="38"/>
  <c r="O80" i="38"/>
  <c r="P80" i="38"/>
  <c r="Q80" i="38"/>
  <c r="R80" i="38"/>
  <c r="S80" i="38"/>
  <c r="T80" i="38"/>
  <c r="V80" i="38"/>
  <c r="W80" i="38"/>
  <c r="X80" i="38"/>
  <c r="Y80" i="38"/>
  <c r="Z80" i="38"/>
  <c r="AA80" i="38"/>
  <c r="AB80" i="38"/>
  <c r="AC80" i="38"/>
  <c r="AD80" i="38"/>
  <c r="AE80" i="38"/>
  <c r="AF80" i="38"/>
  <c r="AG80" i="38"/>
  <c r="AH80" i="38"/>
  <c r="AI80" i="38"/>
  <c r="AJ80" i="38"/>
  <c r="AK80" i="38"/>
  <c r="AL80" i="38"/>
  <c r="AM80" i="38"/>
  <c r="AN80" i="38"/>
  <c r="AO80" i="38"/>
  <c r="AP80" i="38"/>
  <c r="AQ80" i="38"/>
  <c r="AR80" i="38"/>
  <c r="AS80" i="38"/>
  <c r="D11" i="2"/>
  <c r="C11" i="2"/>
  <c r="E11" i="2"/>
  <c r="L92" i="38"/>
  <c r="N92" i="38"/>
  <c r="O92" i="38"/>
  <c r="P92" i="38"/>
  <c r="Q92" i="38"/>
  <c r="R92" i="38"/>
  <c r="S92" i="38"/>
  <c r="T92" i="38"/>
  <c r="V92" i="38"/>
  <c r="W92" i="38"/>
  <c r="X92" i="38"/>
  <c r="Y92" i="38"/>
  <c r="Z92" i="38"/>
  <c r="AA92" i="38"/>
  <c r="AB92" i="38"/>
  <c r="AC92" i="38"/>
  <c r="AD92" i="38"/>
  <c r="AE92" i="38"/>
  <c r="AF92" i="38"/>
  <c r="AG92" i="38"/>
  <c r="AH92" i="38"/>
  <c r="AI92" i="38"/>
  <c r="AJ92" i="38"/>
  <c r="AK92" i="38"/>
  <c r="AL92" i="38"/>
  <c r="AM92" i="38"/>
  <c r="AN92" i="38"/>
  <c r="AO92" i="38"/>
  <c r="AP92" i="38"/>
  <c r="AQ92" i="38"/>
  <c r="AR92" i="38"/>
  <c r="AS92" i="38"/>
  <c r="D12" i="2"/>
  <c r="C12" i="2"/>
  <c r="E12" i="2"/>
  <c r="F9" i="2"/>
  <c r="L152" i="38"/>
  <c r="N152" i="38"/>
  <c r="O152" i="38"/>
  <c r="P152" i="38"/>
  <c r="Q152" i="38"/>
  <c r="R152" i="38"/>
  <c r="S152" i="38"/>
  <c r="T152" i="38"/>
  <c r="V152" i="38"/>
  <c r="W152" i="38"/>
  <c r="X152" i="38"/>
  <c r="Y152" i="38"/>
  <c r="Z152" i="38"/>
  <c r="AA152" i="38"/>
  <c r="AB152" i="38"/>
  <c r="AC152" i="38"/>
  <c r="AD152" i="38"/>
  <c r="AE152" i="38"/>
  <c r="AF152" i="38"/>
  <c r="AG152" i="38"/>
  <c r="AH152" i="38"/>
  <c r="AI152" i="38"/>
  <c r="AJ152" i="38"/>
  <c r="AK152" i="38"/>
  <c r="AL152" i="38"/>
  <c r="AM152" i="38"/>
  <c r="AN152" i="38"/>
  <c r="AO152" i="38"/>
  <c r="AP152" i="38"/>
  <c r="AQ152" i="38"/>
  <c r="AR152" i="38"/>
  <c r="AS152" i="38"/>
  <c r="D13" i="2"/>
  <c r="C13" i="2"/>
  <c r="E13" i="2"/>
  <c r="F13" i="2"/>
  <c r="L104" i="38"/>
  <c r="N104" i="38"/>
  <c r="O104" i="38"/>
  <c r="P104" i="38"/>
  <c r="Q104" i="38"/>
  <c r="R104" i="38"/>
  <c r="S104" i="38"/>
  <c r="T104" i="38"/>
  <c r="V104" i="38"/>
  <c r="W104" i="38"/>
  <c r="X104" i="38"/>
  <c r="Y104" i="38"/>
  <c r="Z104" i="38"/>
  <c r="AA104" i="38"/>
  <c r="AB104" i="38"/>
  <c r="AC104" i="38"/>
  <c r="AD104" i="38"/>
  <c r="AE104" i="38"/>
  <c r="AF104" i="38"/>
  <c r="AG104" i="38"/>
  <c r="AH104" i="38"/>
  <c r="AI104" i="38"/>
  <c r="AJ104" i="38"/>
  <c r="AK104" i="38"/>
  <c r="AL104" i="38"/>
  <c r="AM104" i="38"/>
  <c r="AN104" i="38"/>
  <c r="AO104" i="38"/>
  <c r="AP104" i="38"/>
  <c r="AQ104" i="38"/>
  <c r="AR104" i="38"/>
  <c r="AS104" i="38"/>
  <c r="D14" i="2"/>
  <c r="C14" i="2"/>
  <c r="E14" i="2"/>
  <c r="L116" i="38"/>
  <c r="N116" i="38"/>
  <c r="O116" i="38"/>
  <c r="P116" i="38"/>
  <c r="Q116" i="38"/>
  <c r="R116" i="38"/>
  <c r="S116" i="38"/>
  <c r="T116" i="38"/>
  <c r="V116" i="38"/>
  <c r="W116" i="38"/>
  <c r="X116" i="38"/>
  <c r="Y116" i="38"/>
  <c r="Z116" i="38"/>
  <c r="AA116" i="38"/>
  <c r="AB116" i="38"/>
  <c r="AC116" i="38"/>
  <c r="AD116" i="38"/>
  <c r="AE116" i="38"/>
  <c r="AF116" i="38"/>
  <c r="AG116" i="38"/>
  <c r="AH116" i="38"/>
  <c r="AI116" i="38"/>
  <c r="AJ116" i="38"/>
  <c r="AK116" i="38"/>
  <c r="AL116" i="38"/>
  <c r="AM116" i="38"/>
  <c r="AN116" i="38"/>
  <c r="AO116" i="38"/>
  <c r="AP116" i="38"/>
  <c r="AQ116" i="38"/>
  <c r="AR116" i="38"/>
  <c r="AS116" i="38"/>
  <c r="D15" i="2"/>
  <c r="C15" i="2"/>
  <c r="E15" i="2"/>
  <c r="L128" i="38"/>
  <c r="N128" i="38"/>
  <c r="O128" i="38"/>
  <c r="P128" i="38"/>
  <c r="Q128" i="38"/>
  <c r="R128" i="38"/>
  <c r="S128" i="38"/>
  <c r="T128" i="38"/>
  <c r="V128" i="38"/>
  <c r="W128" i="38"/>
  <c r="X128" i="38"/>
  <c r="Y128" i="38"/>
  <c r="Z128" i="38"/>
  <c r="AA128" i="38"/>
  <c r="AB128" i="38"/>
  <c r="AC128" i="38"/>
  <c r="AD128" i="38"/>
  <c r="AE128" i="38"/>
  <c r="AF128" i="38"/>
  <c r="AG128" i="38"/>
  <c r="AH128" i="38"/>
  <c r="AI128" i="38"/>
  <c r="AJ128" i="38"/>
  <c r="AK128" i="38"/>
  <c r="AL128" i="38"/>
  <c r="AM128" i="38"/>
  <c r="AN128" i="38"/>
  <c r="AO128" i="38"/>
  <c r="AP128" i="38"/>
  <c r="AQ128" i="38"/>
  <c r="AR128" i="38"/>
  <c r="AS128" i="38"/>
  <c r="D16" i="2"/>
  <c r="C16" i="2"/>
  <c r="E16" i="2"/>
  <c r="L140" i="38"/>
  <c r="N140" i="38"/>
  <c r="O140" i="38"/>
  <c r="P140" i="38"/>
  <c r="Q140" i="38"/>
  <c r="R140" i="38"/>
  <c r="S140" i="38"/>
  <c r="T140" i="38"/>
  <c r="V140" i="38"/>
  <c r="W140" i="38"/>
  <c r="X140" i="38"/>
  <c r="Y140" i="38"/>
  <c r="Z140" i="38"/>
  <c r="AA140" i="38"/>
  <c r="AB140" i="38"/>
  <c r="AC140" i="38"/>
  <c r="AD140" i="38"/>
  <c r="AE140" i="38"/>
  <c r="AF140" i="38"/>
  <c r="AG140" i="38"/>
  <c r="AH140" i="38"/>
  <c r="AI140" i="38"/>
  <c r="AJ140" i="38"/>
  <c r="AK140" i="38"/>
  <c r="AL140" i="38"/>
  <c r="AM140" i="38"/>
  <c r="AN140" i="38"/>
  <c r="AO140" i="38"/>
  <c r="AP140" i="38"/>
  <c r="AQ140" i="38"/>
  <c r="AR140" i="38"/>
  <c r="AS140" i="38"/>
  <c r="D17" i="2"/>
  <c r="C17" i="2"/>
  <c r="E17" i="2"/>
  <c r="F14" i="2"/>
  <c r="L164" i="38"/>
  <c r="N164" i="38"/>
  <c r="O164" i="38"/>
  <c r="P164" i="38"/>
  <c r="Q164" i="38"/>
  <c r="R164" i="38"/>
  <c r="S164" i="38"/>
  <c r="T164" i="38"/>
  <c r="V164" i="38"/>
  <c r="W164" i="38"/>
  <c r="X164" i="38"/>
  <c r="Y164" i="38"/>
  <c r="Z164" i="38"/>
  <c r="AA164" i="38"/>
  <c r="AB164" i="38"/>
  <c r="AC164" i="38"/>
  <c r="AD164" i="38"/>
  <c r="AE164" i="38"/>
  <c r="AF164" i="38"/>
  <c r="AG164" i="38"/>
  <c r="AH164" i="38"/>
  <c r="AI164" i="38"/>
  <c r="AJ164" i="38"/>
  <c r="AK164" i="38"/>
  <c r="AL164" i="38"/>
  <c r="AM164" i="38"/>
  <c r="AN164" i="38"/>
  <c r="AO164" i="38"/>
  <c r="AP164" i="38"/>
  <c r="AQ164" i="38"/>
  <c r="AR164" i="38"/>
  <c r="AS164" i="38"/>
  <c r="D18" i="2"/>
  <c r="C18" i="2"/>
  <c r="E18" i="2"/>
  <c r="F18" i="2"/>
  <c r="L176" i="38"/>
  <c r="N176" i="38"/>
  <c r="O176" i="38"/>
  <c r="P176" i="38"/>
  <c r="Q176" i="38"/>
  <c r="R176" i="38"/>
  <c r="S176" i="38"/>
  <c r="T176" i="38"/>
  <c r="V176" i="38"/>
  <c r="W176" i="38"/>
  <c r="X176" i="38"/>
  <c r="Y176" i="38"/>
  <c r="Z176" i="38"/>
  <c r="AA176" i="38"/>
  <c r="AB176" i="38"/>
  <c r="AC176" i="38"/>
  <c r="AD176" i="38"/>
  <c r="AE176" i="38"/>
  <c r="AF176" i="38"/>
  <c r="AG176" i="38"/>
  <c r="AH176" i="38"/>
  <c r="AI176" i="38"/>
  <c r="AJ176" i="38"/>
  <c r="AK176" i="38"/>
  <c r="AL176" i="38"/>
  <c r="AM176" i="38"/>
  <c r="AN176" i="38"/>
  <c r="AO176" i="38"/>
  <c r="AP176" i="38"/>
  <c r="AQ176" i="38"/>
  <c r="AR176" i="38"/>
  <c r="AS176" i="38"/>
  <c r="D19" i="2"/>
  <c r="C19" i="2"/>
  <c r="E19" i="2"/>
  <c r="L188" i="38"/>
  <c r="N188" i="38"/>
  <c r="O188" i="38"/>
  <c r="P188" i="38"/>
  <c r="Q188" i="38"/>
  <c r="R188" i="38"/>
  <c r="S188" i="38"/>
  <c r="T188" i="38"/>
  <c r="V188" i="38"/>
  <c r="W188" i="38"/>
  <c r="X188" i="38"/>
  <c r="Y188" i="38"/>
  <c r="Z188" i="38"/>
  <c r="AA188" i="38"/>
  <c r="AB188" i="38"/>
  <c r="AC188" i="38"/>
  <c r="AD188" i="38"/>
  <c r="AE188" i="38"/>
  <c r="AF188" i="38"/>
  <c r="AG188" i="38"/>
  <c r="AH188" i="38"/>
  <c r="AI188" i="38"/>
  <c r="AJ188" i="38"/>
  <c r="AK188" i="38"/>
  <c r="AL188" i="38"/>
  <c r="AM188" i="38"/>
  <c r="AN188" i="38"/>
  <c r="AO188" i="38"/>
  <c r="AP188" i="38"/>
  <c r="AQ188" i="38"/>
  <c r="AR188" i="38"/>
  <c r="AS188" i="38"/>
  <c r="D20" i="2"/>
  <c r="C20" i="2"/>
  <c r="E20" i="2"/>
  <c r="L200" i="38"/>
  <c r="N200" i="38"/>
  <c r="O200" i="38"/>
  <c r="P200" i="38"/>
  <c r="Q200" i="38"/>
  <c r="R200" i="38"/>
  <c r="S200" i="38"/>
  <c r="T200" i="38"/>
  <c r="V200" i="38"/>
  <c r="W200" i="38"/>
  <c r="X200" i="38"/>
  <c r="Y200" i="38"/>
  <c r="Z200" i="38"/>
  <c r="AA200" i="38"/>
  <c r="AB200" i="38"/>
  <c r="AC200" i="38"/>
  <c r="AD200" i="38"/>
  <c r="AE200" i="38"/>
  <c r="AF200" i="38"/>
  <c r="AG200" i="38"/>
  <c r="AH200" i="38"/>
  <c r="AI200" i="38"/>
  <c r="AJ200" i="38"/>
  <c r="AK200" i="38"/>
  <c r="AL200" i="38"/>
  <c r="AM200" i="38"/>
  <c r="AN200" i="38"/>
  <c r="AO200" i="38"/>
  <c r="AP200" i="38"/>
  <c r="AQ200" i="38"/>
  <c r="AR200" i="38"/>
  <c r="AS200" i="38"/>
  <c r="D21" i="2"/>
  <c r="C21" i="2"/>
  <c r="E21" i="2"/>
  <c r="L212" i="38"/>
  <c r="N212" i="38"/>
  <c r="O212" i="38"/>
  <c r="P212" i="38"/>
  <c r="Q212" i="38"/>
  <c r="R212" i="38"/>
  <c r="S212" i="38"/>
  <c r="T212" i="38"/>
  <c r="V212" i="38"/>
  <c r="W212" i="38"/>
  <c r="X212" i="38"/>
  <c r="Y212" i="38"/>
  <c r="Z212" i="38"/>
  <c r="AA212" i="38"/>
  <c r="AB212" i="38"/>
  <c r="AC212" i="38"/>
  <c r="AD212" i="38"/>
  <c r="AE212" i="38"/>
  <c r="AF212" i="38"/>
  <c r="AG212" i="38"/>
  <c r="AH212" i="38"/>
  <c r="AI212" i="38"/>
  <c r="AJ212" i="38"/>
  <c r="AK212" i="38"/>
  <c r="AL212" i="38"/>
  <c r="AM212" i="38"/>
  <c r="AN212" i="38"/>
  <c r="AO212" i="38"/>
  <c r="AP212" i="38"/>
  <c r="AQ212" i="38"/>
  <c r="AR212" i="38"/>
  <c r="AS212" i="38"/>
  <c r="D22" i="2"/>
  <c r="C22" i="2"/>
  <c r="E22" i="2"/>
  <c r="F19" i="2"/>
  <c r="L224" i="38"/>
  <c r="N224" i="38"/>
  <c r="O224" i="38"/>
  <c r="P224" i="38"/>
  <c r="Q224" i="38"/>
  <c r="R224" i="38"/>
  <c r="S224" i="38"/>
  <c r="T224" i="38"/>
  <c r="V224" i="38"/>
  <c r="W224" i="38"/>
  <c r="X224" i="38"/>
  <c r="Y224" i="38"/>
  <c r="Z224" i="38"/>
  <c r="AA224" i="38"/>
  <c r="AB224" i="38"/>
  <c r="AC224" i="38"/>
  <c r="AD224" i="38"/>
  <c r="AE224" i="38"/>
  <c r="AF224" i="38"/>
  <c r="AG224" i="38"/>
  <c r="AH224" i="38"/>
  <c r="AI224" i="38"/>
  <c r="AJ224" i="38"/>
  <c r="AK224" i="38"/>
  <c r="AL224" i="38"/>
  <c r="AM224" i="38"/>
  <c r="AN224" i="38"/>
  <c r="AO224" i="38"/>
  <c r="AP224" i="38"/>
  <c r="AQ224" i="38"/>
  <c r="AR224" i="38"/>
  <c r="AS224" i="38"/>
  <c r="D23" i="2"/>
  <c r="C23" i="2"/>
  <c r="E23" i="2"/>
  <c r="L236" i="38"/>
  <c r="N236" i="38"/>
  <c r="O236" i="38"/>
  <c r="P236" i="38"/>
  <c r="Q236" i="38"/>
  <c r="R236" i="38"/>
  <c r="S236" i="38"/>
  <c r="T236" i="38"/>
  <c r="V236" i="38"/>
  <c r="W236" i="38"/>
  <c r="X236" i="38"/>
  <c r="Y236" i="38"/>
  <c r="Z236" i="38"/>
  <c r="AA236" i="38"/>
  <c r="AB236" i="38"/>
  <c r="AC236" i="38"/>
  <c r="AD236" i="38"/>
  <c r="AE236" i="38"/>
  <c r="AF236" i="38"/>
  <c r="AG236" i="38"/>
  <c r="AH236" i="38"/>
  <c r="AI236" i="38"/>
  <c r="AJ236" i="38"/>
  <c r="AK236" i="38"/>
  <c r="AL236" i="38"/>
  <c r="AM236" i="38"/>
  <c r="AN236" i="38"/>
  <c r="AO236" i="38"/>
  <c r="AP236" i="38"/>
  <c r="AQ236" i="38"/>
  <c r="AR236" i="38"/>
  <c r="AS236" i="38"/>
  <c r="D24" i="2"/>
  <c r="C24" i="2"/>
  <c r="E24" i="2"/>
  <c r="L248" i="38"/>
  <c r="N248" i="38"/>
  <c r="O248" i="38"/>
  <c r="P248" i="38"/>
  <c r="Q248" i="38"/>
  <c r="R248" i="38"/>
  <c r="S248" i="38"/>
  <c r="T248" i="38"/>
  <c r="U248" i="38"/>
  <c r="V248" i="38"/>
  <c r="W248" i="38"/>
  <c r="X248" i="38"/>
  <c r="Y248" i="38"/>
  <c r="Z248" i="38"/>
  <c r="AA248" i="38"/>
  <c r="AB248" i="38"/>
  <c r="AC248" i="38"/>
  <c r="AD248" i="38"/>
  <c r="AE248" i="38"/>
  <c r="AF248" i="38"/>
  <c r="AG248" i="38"/>
  <c r="AH248" i="38"/>
  <c r="AI248" i="38"/>
  <c r="AJ248" i="38"/>
  <c r="AK248" i="38"/>
  <c r="AL248" i="38"/>
  <c r="AM248" i="38"/>
  <c r="AN248" i="38"/>
  <c r="AO248" i="38"/>
  <c r="AP248" i="38"/>
  <c r="AQ248" i="38"/>
  <c r="AR248" i="38"/>
  <c r="AS248" i="38"/>
  <c r="D25" i="2"/>
  <c r="C25" i="2"/>
  <c r="E25" i="2"/>
  <c r="L260" i="38"/>
  <c r="N260" i="38"/>
  <c r="O260" i="38"/>
  <c r="P260" i="38"/>
  <c r="Q260" i="38"/>
  <c r="R260" i="38"/>
  <c r="S260" i="38"/>
  <c r="T260" i="38"/>
  <c r="U260" i="38"/>
  <c r="V260" i="38"/>
  <c r="W260" i="38"/>
  <c r="X260" i="38"/>
  <c r="Y260" i="38"/>
  <c r="Z260" i="38"/>
  <c r="AA260" i="38"/>
  <c r="AB260" i="38"/>
  <c r="AC260" i="38"/>
  <c r="AD260" i="38"/>
  <c r="AE260" i="38"/>
  <c r="AF260" i="38"/>
  <c r="AG260" i="38"/>
  <c r="AH260" i="38"/>
  <c r="AI260" i="38"/>
  <c r="AJ260" i="38"/>
  <c r="AK260" i="38"/>
  <c r="AL260" i="38"/>
  <c r="AM260" i="38"/>
  <c r="AN260" i="38"/>
  <c r="AO260" i="38"/>
  <c r="AP260" i="38"/>
  <c r="AQ260" i="38"/>
  <c r="AR260" i="38"/>
  <c r="AS260" i="38"/>
  <c r="D26" i="2"/>
  <c r="C26" i="2"/>
  <c r="E26" i="2"/>
  <c r="F23" i="2"/>
  <c r="F3" i="2"/>
  <c r="D29" i="2"/>
  <c r="C29" i="2"/>
  <c r="E29" i="2"/>
  <c r="L20" i="41"/>
  <c r="M20" i="41"/>
  <c r="O20" i="41"/>
  <c r="P20" i="41"/>
  <c r="Q20" i="41"/>
  <c r="R20" i="41"/>
  <c r="S20" i="41"/>
  <c r="T20" i="41"/>
  <c r="U20" i="41"/>
  <c r="V20" i="41"/>
  <c r="W20" i="41"/>
  <c r="X20" i="41"/>
  <c r="Y20" i="41"/>
  <c r="Z20" i="41"/>
  <c r="AA20" i="41"/>
  <c r="AB20" i="41"/>
  <c r="AC20" i="41"/>
  <c r="AD20" i="41"/>
  <c r="AE20" i="41"/>
  <c r="AF20" i="41"/>
  <c r="AG20" i="41"/>
  <c r="AH20" i="41"/>
  <c r="AI20" i="41"/>
  <c r="AJ20" i="41"/>
  <c r="AK20" i="41"/>
  <c r="AL20" i="41"/>
  <c r="AM20" i="41"/>
  <c r="AN20" i="41"/>
  <c r="AO20" i="41"/>
  <c r="AP20" i="41"/>
  <c r="AQ20" i="41"/>
  <c r="AR20" i="41"/>
  <c r="AS20" i="41"/>
  <c r="D30" i="2"/>
  <c r="C30" i="2"/>
  <c r="E30" i="2"/>
  <c r="L32" i="41"/>
  <c r="M32" i="41"/>
  <c r="O32" i="41"/>
  <c r="P32" i="41"/>
  <c r="Q32" i="41"/>
  <c r="R32" i="41"/>
  <c r="S32" i="41"/>
  <c r="T32" i="41"/>
  <c r="U32" i="41"/>
  <c r="V32" i="41"/>
  <c r="W32" i="41"/>
  <c r="X32" i="41"/>
  <c r="Y32" i="41"/>
  <c r="Z32" i="41"/>
  <c r="AA32" i="41"/>
  <c r="AB32" i="41"/>
  <c r="AC32" i="41"/>
  <c r="AD32" i="41"/>
  <c r="AE32" i="41"/>
  <c r="AF32" i="41"/>
  <c r="AG32" i="41"/>
  <c r="AH32" i="41"/>
  <c r="AI32" i="41"/>
  <c r="AJ32" i="41"/>
  <c r="AK32" i="41"/>
  <c r="AL32" i="41"/>
  <c r="AM32" i="41"/>
  <c r="AN32" i="41"/>
  <c r="AO32" i="41"/>
  <c r="AP32" i="41"/>
  <c r="AQ32" i="41"/>
  <c r="AR32" i="41"/>
  <c r="AS32" i="41"/>
  <c r="D31" i="2"/>
  <c r="C31" i="2"/>
  <c r="E31" i="2"/>
  <c r="L44" i="41"/>
  <c r="M44" i="41"/>
  <c r="O44" i="41"/>
  <c r="P44" i="41"/>
  <c r="Q44" i="41"/>
  <c r="R44" i="41"/>
  <c r="S44" i="41"/>
  <c r="T44" i="41"/>
  <c r="U44" i="41"/>
  <c r="V44" i="41"/>
  <c r="W44" i="41"/>
  <c r="X44" i="41"/>
  <c r="Y44" i="41"/>
  <c r="Z44" i="41"/>
  <c r="AA44" i="41"/>
  <c r="AB44" i="41"/>
  <c r="AC44" i="41"/>
  <c r="AD44" i="41"/>
  <c r="AE44" i="41"/>
  <c r="AF44" i="41"/>
  <c r="AG44" i="41"/>
  <c r="AH44" i="41"/>
  <c r="AI44" i="41"/>
  <c r="AJ44" i="41"/>
  <c r="AK44" i="41"/>
  <c r="AL44" i="41"/>
  <c r="AM44" i="41"/>
  <c r="AN44" i="41"/>
  <c r="AO44" i="41"/>
  <c r="AP44" i="41"/>
  <c r="AQ44" i="41"/>
  <c r="AR44" i="41"/>
  <c r="AS44" i="41"/>
  <c r="D32" i="2"/>
  <c r="C32" i="2"/>
  <c r="E32" i="2"/>
  <c r="F29" i="2"/>
  <c r="L56" i="41"/>
  <c r="M56" i="41"/>
  <c r="O56" i="41"/>
  <c r="P56" i="41"/>
  <c r="Q56" i="41"/>
  <c r="R56" i="41"/>
  <c r="S56" i="41"/>
  <c r="T56" i="41"/>
  <c r="U56" i="41"/>
  <c r="V56" i="41"/>
  <c r="W56" i="41"/>
  <c r="X56" i="41"/>
  <c r="Y56" i="41"/>
  <c r="Z56" i="41"/>
  <c r="AA56" i="41"/>
  <c r="AB56" i="41"/>
  <c r="AC56" i="41"/>
  <c r="AD56" i="41"/>
  <c r="AE56" i="41"/>
  <c r="AF56" i="41"/>
  <c r="AG56" i="41"/>
  <c r="AH56" i="41"/>
  <c r="AI56" i="41"/>
  <c r="AJ56" i="41"/>
  <c r="AK56" i="41"/>
  <c r="AL56" i="41"/>
  <c r="AM56" i="41"/>
  <c r="AN56" i="41"/>
  <c r="AO56" i="41"/>
  <c r="AP56" i="41"/>
  <c r="AQ56" i="41"/>
  <c r="AR56" i="41"/>
  <c r="AS56" i="41"/>
  <c r="D33" i="2"/>
  <c r="C33" i="2"/>
  <c r="E33" i="2"/>
  <c r="O68" i="41"/>
  <c r="P68" i="41"/>
  <c r="Q68" i="41"/>
  <c r="R68" i="41"/>
  <c r="S68" i="41"/>
  <c r="T68" i="41"/>
  <c r="U68" i="41"/>
  <c r="V68" i="41"/>
  <c r="W68" i="41"/>
  <c r="X68" i="41"/>
  <c r="Y68" i="41"/>
  <c r="Z68" i="41"/>
  <c r="AA68" i="41"/>
  <c r="AB68" i="41"/>
  <c r="AC68" i="41"/>
  <c r="AD68" i="41"/>
  <c r="AE68" i="41"/>
  <c r="AF68" i="41"/>
  <c r="AG68" i="41"/>
  <c r="AH68" i="41"/>
  <c r="AI68" i="41"/>
  <c r="AJ68" i="41"/>
  <c r="AK68" i="41"/>
  <c r="AL68" i="41"/>
  <c r="AM68" i="41"/>
  <c r="AN68" i="41"/>
  <c r="AO68" i="41"/>
  <c r="AP68" i="41"/>
  <c r="AQ68" i="41"/>
  <c r="AR68" i="41"/>
  <c r="AS68" i="41"/>
  <c r="D34" i="2"/>
  <c r="C34" i="2"/>
  <c r="E34" i="2"/>
  <c r="L80" i="41"/>
  <c r="M80" i="41"/>
  <c r="O80" i="41"/>
  <c r="P80" i="41"/>
  <c r="Q80" i="41"/>
  <c r="R80" i="41"/>
  <c r="S80" i="41"/>
  <c r="T80" i="41"/>
  <c r="U80" i="41"/>
  <c r="V80" i="41"/>
  <c r="W80" i="41"/>
  <c r="X80" i="41"/>
  <c r="Y80" i="41"/>
  <c r="Z80" i="41"/>
  <c r="AA80" i="41"/>
  <c r="AB80" i="41"/>
  <c r="AC80" i="41"/>
  <c r="AD80" i="41"/>
  <c r="AE80" i="41"/>
  <c r="AF80" i="41"/>
  <c r="AG80" i="41"/>
  <c r="AH80" i="41"/>
  <c r="AI80" i="41"/>
  <c r="AJ80" i="41"/>
  <c r="AK80" i="41"/>
  <c r="AL80" i="41"/>
  <c r="AM80" i="41"/>
  <c r="AN80" i="41"/>
  <c r="AO80" i="41"/>
  <c r="AP80" i="41"/>
  <c r="AQ80" i="41"/>
  <c r="AR80" i="41"/>
  <c r="AS80" i="41"/>
  <c r="D35" i="2"/>
  <c r="C35" i="2"/>
  <c r="E35" i="2"/>
  <c r="L92" i="41"/>
  <c r="M92" i="41"/>
  <c r="O92" i="41"/>
  <c r="P92" i="41"/>
  <c r="Q92" i="41"/>
  <c r="R92" i="41"/>
  <c r="S92" i="41"/>
  <c r="T92" i="41"/>
  <c r="U92" i="41"/>
  <c r="V92" i="41"/>
  <c r="W92" i="41"/>
  <c r="X92" i="41"/>
  <c r="Y92" i="41"/>
  <c r="Z92" i="41"/>
  <c r="AA92" i="41"/>
  <c r="AB92" i="41"/>
  <c r="AC92" i="41"/>
  <c r="AD92" i="41"/>
  <c r="AE92" i="41"/>
  <c r="AF92" i="41"/>
  <c r="AG92" i="41"/>
  <c r="AH92" i="41"/>
  <c r="AI92" i="41"/>
  <c r="AJ92" i="41"/>
  <c r="AK92" i="41"/>
  <c r="AL92" i="41"/>
  <c r="AM92" i="41"/>
  <c r="AN92" i="41"/>
  <c r="AO92" i="41"/>
  <c r="AP92" i="41"/>
  <c r="AQ92" i="41"/>
  <c r="AR92" i="41"/>
  <c r="AS92" i="41"/>
  <c r="D36" i="2"/>
  <c r="C36" i="2"/>
  <c r="E36" i="2"/>
  <c r="F33" i="2"/>
  <c r="F28" i="2"/>
  <c r="D39" i="2"/>
  <c r="C39" i="2"/>
  <c r="E39" i="2"/>
  <c r="L20" i="40"/>
  <c r="M20" i="40"/>
  <c r="O20" i="40"/>
  <c r="P20" i="40"/>
  <c r="Q20" i="40"/>
  <c r="R20" i="40"/>
  <c r="S20" i="40"/>
  <c r="T20" i="40"/>
  <c r="U20" i="40"/>
  <c r="V20" i="40"/>
  <c r="W20" i="40"/>
  <c r="X20" i="40"/>
  <c r="Y20" i="40"/>
  <c r="Z20" i="40"/>
  <c r="AA20" i="40"/>
  <c r="AB20" i="40"/>
  <c r="AC20" i="40"/>
  <c r="AD20" i="40"/>
  <c r="AE20" i="40"/>
  <c r="AF20" i="40"/>
  <c r="AG20" i="40"/>
  <c r="AH20" i="40"/>
  <c r="AI20" i="40"/>
  <c r="AJ20" i="40"/>
  <c r="AK20" i="40"/>
  <c r="AL20" i="40"/>
  <c r="AM20" i="40"/>
  <c r="AN20" i="40"/>
  <c r="AO20" i="40"/>
  <c r="AP20" i="40"/>
  <c r="AQ20" i="40"/>
  <c r="AR20" i="40"/>
  <c r="AS20" i="40"/>
  <c r="D40" i="2"/>
  <c r="C40" i="2"/>
  <c r="E40" i="2"/>
  <c r="L32" i="40"/>
  <c r="M32" i="40"/>
  <c r="O32" i="40"/>
  <c r="P32" i="40"/>
  <c r="Q32" i="40"/>
  <c r="R32" i="40"/>
  <c r="S32" i="40"/>
  <c r="T32" i="40"/>
  <c r="U32" i="40"/>
  <c r="V32" i="40"/>
  <c r="W32" i="40"/>
  <c r="X32" i="40"/>
  <c r="Y32" i="40"/>
  <c r="Z32" i="40"/>
  <c r="AA32" i="40"/>
  <c r="AB32" i="40"/>
  <c r="AC32" i="40"/>
  <c r="AD32" i="40"/>
  <c r="AE32" i="40"/>
  <c r="AF32" i="40"/>
  <c r="AG32" i="40"/>
  <c r="AH32" i="40"/>
  <c r="AI32" i="40"/>
  <c r="AJ32" i="40"/>
  <c r="AK32" i="40"/>
  <c r="AL32" i="40"/>
  <c r="AM32" i="40"/>
  <c r="AN32" i="40"/>
  <c r="AO32" i="40"/>
  <c r="AP32" i="40"/>
  <c r="AQ32" i="40"/>
  <c r="AR32" i="40"/>
  <c r="AS32" i="40"/>
  <c r="D41" i="2"/>
  <c r="C41" i="2"/>
  <c r="E41" i="2"/>
  <c r="L44" i="40"/>
  <c r="M44" i="40"/>
  <c r="O44" i="40"/>
  <c r="P44" i="40"/>
  <c r="Q44" i="40"/>
  <c r="R44" i="40"/>
  <c r="S44" i="40"/>
  <c r="T44" i="40"/>
  <c r="U44" i="40"/>
  <c r="V44" i="40"/>
  <c r="W44" i="40"/>
  <c r="X44" i="40"/>
  <c r="Y44" i="40"/>
  <c r="Z44" i="40"/>
  <c r="AA44" i="40"/>
  <c r="AB44" i="40"/>
  <c r="AC44" i="40"/>
  <c r="AD44" i="40"/>
  <c r="AE44" i="40"/>
  <c r="AF44" i="40"/>
  <c r="AG44" i="40"/>
  <c r="AH44" i="40"/>
  <c r="AI44" i="40"/>
  <c r="AJ44" i="40"/>
  <c r="AK44" i="40"/>
  <c r="AL44" i="40"/>
  <c r="AM44" i="40"/>
  <c r="AN44" i="40"/>
  <c r="AO44" i="40"/>
  <c r="AP44" i="40"/>
  <c r="AQ44" i="40"/>
  <c r="AR44" i="40"/>
  <c r="AS44" i="40"/>
  <c r="D42" i="2"/>
  <c r="C42" i="2"/>
  <c r="E42" i="2"/>
  <c r="F39" i="2"/>
  <c r="L56" i="40"/>
  <c r="M56" i="40"/>
  <c r="O56" i="40"/>
  <c r="P56" i="40"/>
  <c r="Q56" i="40"/>
  <c r="R56" i="40"/>
  <c r="S56" i="40"/>
  <c r="T56" i="40"/>
  <c r="U56" i="40"/>
  <c r="V56" i="40"/>
  <c r="W56" i="40"/>
  <c r="X56" i="40"/>
  <c r="Y56" i="40"/>
  <c r="Z56" i="40"/>
  <c r="AA56" i="40"/>
  <c r="AB56" i="40"/>
  <c r="AC56" i="40"/>
  <c r="AD56" i="40"/>
  <c r="AE56" i="40"/>
  <c r="AF56" i="40"/>
  <c r="AG56" i="40"/>
  <c r="AH56" i="40"/>
  <c r="AI56" i="40"/>
  <c r="AJ56" i="40"/>
  <c r="AK56" i="40"/>
  <c r="AL56" i="40"/>
  <c r="AM56" i="40"/>
  <c r="AN56" i="40"/>
  <c r="AO56" i="40"/>
  <c r="AP56" i="40"/>
  <c r="AQ56" i="40"/>
  <c r="AR56" i="40"/>
  <c r="AS56" i="40"/>
  <c r="D43" i="2"/>
  <c r="C43" i="2"/>
  <c r="E43" i="2"/>
  <c r="L68" i="40"/>
  <c r="M68" i="40"/>
  <c r="O68" i="40"/>
  <c r="P68" i="40"/>
  <c r="Q68" i="40"/>
  <c r="R68" i="40"/>
  <c r="S68" i="40"/>
  <c r="T68" i="40"/>
  <c r="U68" i="40"/>
  <c r="V68" i="40"/>
  <c r="W68" i="40"/>
  <c r="X68" i="40"/>
  <c r="Y68" i="40"/>
  <c r="Z68" i="40"/>
  <c r="AA68" i="40"/>
  <c r="AB68" i="40"/>
  <c r="AC68" i="40"/>
  <c r="AD68" i="40"/>
  <c r="AE68" i="40"/>
  <c r="AF68" i="40"/>
  <c r="AG68" i="40"/>
  <c r="AH68" i="40"/>
  <c r="AI68" i="40"/>
  <c r="AJ68" i="40"/>
  <c r="AK68" i="40"/>
  <c r="AL68" i="40"/>
  <c r="AM68" i="40"/>
  <c r="AN68" i="40"/>
  <c r="AO68" i="40"/>
  <c r="AP68" i="40"/>
  <c r="AQ68" i="40"/>
  <c r="AR68" i="40"/>
  <c r="AS68" i="40"/>
  <c r="D44" i="2"/>
  <c r="C44" i="2"/>
  <c r="E44" i="2"/>
  <c r="L80" i="40"/>
  <c r="M80" i="40"/>
  <c r="O80" i="40"/>
  <c r="P80" i="40"/>
  <c r="Q80" i="40"/>
  <c r="R80" i="40"/>
  <c r="S80" i="40"/>
  <c r="T80" i="40"/>
  <c r="U80" i="40"/>
  <c r="V80" i="40"/>
  <c r="W80" i="40"/>
  <c r="X80" i="40"/>
  <c r="Y80" i="40"/>
  <c r="Z80" i="40"/>
  <c r="AA80" i="40"/>
  <c r="AB80" i="40"/>
  <c r="AC80" i="40"/>
  <c r="AD80" i="40"/>
  <c r="AE80" i="40"/>
  <c r="AF80" i="40"/>
  <c r="AG80" i="40"/>
  <c r="AH80" i="40"/>
  <c r="AI80" i="40"/>
  <c r="AJ80" i="40"/>
  <c r="AK80" i="40"/>
  <c r="AL80" i="40"/>
  <c r="AM80" i="40"/>
  <c r="AN80" i="40"/>
  <c r="AO80" i="40"/>
  <c r="AP80" i="40"/>
  <c r="AQ80" i="40"/>
  <c r="AR80" i="40"/>
  <c r="AS80" i="40"/>
  <c r="D45" i="2"/>
  <c r="C45" i="2"/>
  <c r="E45" i="2"/>
  <c r="L92" i="40"/>
  <c r="M92" i="40"/>
  <c r="O92" i="40"/>
  <c r="P92" i="40"/>
  <c r="Q92" i="40"/>
  <c r="R92" i="40"/>
  <c r="S92" i="40"/>
  <c r="T92" i="40"/>
  <c r="U92" i="40"/>
  <c r="V92" i="40"/>
  <c r="W92" i="40"/>
  <c r="X92" i="40"/>
  <c r="Y92" i="40"/>
  <c r="Z92" i="40"/>
  <c r="AA92" i="40"/>
  <c r="AB92" i="40"/>
  <c r="AC92" i="40"/>
  <c r="AD92" i="40"/>
  <c r="AE92" i="40"/>
  <c r="AF92" i="40"/>
  <c r="AG92" i="40"/>
  <c r="AH92" i="40"/>
  <c r="AI92" i="40"/>
  <c r="AJ92" i="40"/>
  <c r="AK92" i="40"/>
  <c r="AL92" i="40"/>
  <c r="AM92" i="40"/>
  <c r="AN92" i="40"/>
  <c r="AO92" i="40"/>
  <c r="AP92" i="40"/>
  <c r="AQ92" i="40"/>
  <c r="AR92" i="40"/>
  <c r="AS92" i="40"/>
  <c r="D46" i="2"/>
  <c r="C46" i="2"/>
  <c r="E46" i="2"/>
  <c r="F43" i="2"/>
  <c r="L104" i="40"/>
  <c r="M104" i="40"/>
  <c r="O104" i="40"/>
  <c r="P104" i="40"/>
  <c r="Q104" i="40"/>
  <c r="R104" i="40"/>
  <c r="S104" i="40"/>
  <c r="T104" i="40"/>
  <c r="U104" i="40"/>
  <c r="V104" i="40"/>
  <c r="W104" i="40"/>
  <c r="X104" i="40"/>
  <c r="Y104" i="40"/>
  <c r="Z104" i="40"/>
  <c r="AA104" i="40"/>
  <c r="AB104" i="40"/>
  <c r="AC104" i="40"/>
  <c r="AD104" i="40"/>
  <c r="AE104" i="40"/>
  <c r="AF104" i="40"/>
  <c r="AG104" i="40"/>
  <c r="AH104" i="40"/>
  <c r="AI104" i="40"/>
  <c r="AJ104" i="40"/>
  <c r="AK104" i="40"/>
  <c r="AL104" i="40"/>
  <c r="AM104" i="40"/>
  <c r="AN104" i="40"/>
  <c r="AO104" i="40"/>
  <c r="AP104" i="40"/>
  <c r="AQ104" i="40"/>
  <c r="AR104" i="40"/>
  <c r="AS104" i="40"/>
  <c r="D47" i="2"/>
  <c r="C47" i="2"/>
  <c r="E47" i="2"/>
  <c r="F47" i="2"/>
  <c r="F38" i="2"/>
  <c r="D50" i="2"/>
  <c r="C50" i="2"/>
  <c r="E50" i="2"/>
  <c r="F50" i="2"/>
  <c r="D51" i="2"/>
  <c r="C51" i="2"/>
  <c r="E51" i="2"/>
  <c r="F51" i="2"/>
  <c r="D52" i="2"/>
  <c r="C52" i="2"/>
  <c r="E52" i="2"/>
  <c r="M20" i="39"/>
  <c r="N20" i="39"/>
  <c r="P20" i="39"/>
  <c r="Q20" i="39"/>
  <c r="R20" i="39"/>
  <c r="S20" i="39"/>
  <c r="T20" i="39"/>
  <c r="U20" i="39"/>
  <c r="V20" i="39"/>
  <c r="W20" i="39"/>
  <c r="X20" i="39"/>
  <c r="Y20" i="39"/>
  <c r="Z20" i="39"/>
  <c r="AA20" i="39"/>
  <c r="AB20" i="39"/>
  <c r="AC20" i="39"/>
  <c r="AD20" i="39"/>
  <c r="AE20" i="39"/>
  <c r="AF20" i="39"/>
  <c r="AG20" i="39"/>
  <c r="AH20" i="39"/>
  <c r="AI20" i="39"/>
  <c r="AJ20" i="39"/>
  <c r="AK20" i="39"/>
  <c r="AL20" i="39"/>
  <c r="AM20" i="39"/>
  <c r="AN20" i="39"/>
  <c r="AO20" i="39"/>
  <c r="AP20" i="39"/>
  <c r="AQ20" i="39"/>
  <c r="AR20" i="39"/>
  <c r="AS20" i="39"/>
  <c r="D53" i="2"/>
  <c r="C53" i="2"/>
  <c r="E53" i="2"/>
  <c r="M32" i="39"/>
  <c r="N32" i="39"/>
  <c r="P32" i="39"/>
  <c r="Q32" i="39"/>
  <c r="R32" i="39"/>
  <c r="S32" i="39"/>
  <c r="T32" i="39"/>
  <c r="U32" i="39"/>
  <c r="V32" i="39"/>
  <c r="W32" i="39"/>
  <c r="X32" i="39"/>
  <c r="Y32" i="39"/>
  <c r="Z32" i="39"/>
  <c r="AA32" i="39"/>
  <c r="AB32" i="39"/>
  <c r="AC32" i="39"/>
  <c r="AD32" i="39"/>
  <c r="AE32" i="39"/>
  <c r="AF32" i="39"/>
  <c r="AG32" i="39"/>
  <c r="AH32" i="39"/>
  <c r="AI32" i="39"/>
  <c r="AJ32" i="39"/>
  <c r="AK32" i="39"/>
  <c r="AL32" i="39"/>
  <c r="AM32" i="39"/>
  <c r="AN32" i="39"/>
  <c r="AO32" i="39"/>
  <c r="AP32" i="39"/>
  <c r="AQ32" i="39"/>
  <c r="AR32" i="39"/>
  <c r="AS32" i="39"/>
  <c r="D54" i="2"/>
  <c r="C54" i="2"/>
  <c r="E54" i="2"/>
  <c r="M44" i="39"/>
  <c r="N44" i="39"/>
  <c r="P44" i="39"/>
  <c r="Q44" i="39"/>
  <c r="R44" i="39"/>
  <c r="S44" i="39"/>
  <c r="T44" i="39"/>
  <c r="U44" i="39"/>
  <c r="V44" i="39"/>
  <c r="W44" i="39"/>
  <c r="X44" i="39"/>
  <c r="Y44" i="39"/>
  <c r="Z44" i="39"/>
  <c r="AA44" i="39"/>
  <c r="AB44" i="39"/>
  <c r="AC44" i="39"/>
  <c r="AD44" i="39"/>
  <c r="AE44" i="39"/>
  <c r="AF44" i="39"/>
  <c r="AG44" i="39"/>
  <c r="AH44" i="39"/>
  <c r="AI44" i="39"/>
  <c r="AJ44" i="39"/>
  <c r="AK44" i="39"/>
  <c r="AL44" i="39"/>
  <c r="AM44" i="39"/>
  <c r="AN44" i="39"/>
  <c r="AO44" i="39"/>
  <c r="AP44" i="39"/>
  <c r="AQ44" i="39"/>
  <c r="AR44" i="39"/>
  <c r="AS44" i="39"/>
  <c r="D55" i="2"/>
  <c r="C55" i="2"/>
  <c r="E55" i="2"/>
  <c r="F52" i="2"/>
  <c r="M56" i="39"/>
  <c r="N56" i="39"/>
  <c r="P56" i="39"/>
  <c r="Q56" i="39"/>
  <c r="R56" i="39"/>
  <c r="S56" i="39"/>
  <c r="T56" i="39"/>
  <c r="U56" i="39"/>
  <c r="V56" i="39"/>
  <c r="W56" i="39"/>
  <c r="X56" i="39"/>
  <c r="Y56" i="39"/>
  <c r="Z56" i="39"/>
  <c r="AA56" i="39"/>
  <c r="AB56" i="39"/>
  <c r="AC56" i="39"/>
  <c r="AD56" i="39"/>
  <c r="AE56" i="39"/>
  <c r="AF56" i="39"/>
  <c r="AG56" i="39"/>
  <c r="AH56" i="39"/>
  <c r="AI56" i="39"/>
  <c r="AJ56" i="39"/>
  <c r="AK56" i="39"/>
  <c r="AL56" i="39"/>
  <c r="AM56" i="39"/>
  <c r="AN56" i="39"/>
  <c r="AO56" i="39"/>
  <c r="AP56" i="39"/>
  <c r="AQ56" i="39"/>
  <c r="AR56" i="39"/>
  <c r="AS56" i="39"/>
  <c r="D56" i="2"/>
  <c r="C56" i="2"/>
  <c r="E56" i="2"/>
  <c r="M68" i="39"/>
  <c r="N68" i="39"/>
  <c r="P68" i="39"/>
  <c r="Q68" i="39"/>
  <c r="R68" i="39"/>
  <c r="S68" i="39"/>
  <c r="T68" i="39"/>
  <c r="U68" i="39"/>
  <c r="V68" i="39"/>
  <c r="W68" i="39"/>
  <c r="X68" i="39"/>
  <c r="Y68" i="39"/>
  <c r="Z68" i="39"/>
  <c r="AA68" i="39"/>
  <c r="AB68" i="39"/>
  <c r="AC68" i="39"/>
  <c r="AD68" i="39"/>
  <c r="AE68" i="39"/>
  <c r="AF68" i="39"/>
  <c r="AG68" i="39"/>
  <c r="AH68" i="39"/>
  <c r="AI68" i="39"/>
  <c r="AJ68" i="39"/>
  <c r="AK68" i="39"/>
  <c r="AL68" i="39"/>
  <c r="AM68" i="39"/>
  <c r="AN68" i="39"/>
  <c r="AO68" i="39"/>
  <c r="AP68" i="39"/>
  <c r="AQ68" i="39"/>
  <c r="AR68" i="39"/>
  <c r="AS68" i="39"/>
  <c r="D57" i="2"/>
  <c r="C57" i="2"/>
  <c r="E57" i="2"/>
  <c r="M80" i="39"/>
  <c r="N80" i="39"/>
  <c r="P80" i="39"/>
  <c r="Q80" i="39"/>
  <c r="R80" i="39"/>
  <c r="S80" i="39"/>
  <c r="T80" i="39"/>
  <c r="U80" i="39"/>
  <c r="V80" i="39"/>
  <c r="W80" i="39"/>
  <c r="X80" i="39"/>
  <c r="Y80" i="39"/>
  <c r="Z80" i="39"/>
  <c r="AA80" i="39"/>
  <c r="AB80" i="39"/>
  <c r="AC80" i="39"/>
  <c r="AD80" i="39"/>
  <c r="AE80" i="39"/>
  <c r="AF80" i="39"/>
  <c r="AG80" i="39"/>
  <c r="AH80" i="39"/>
  <c r="AI80" i="39"/>
  <c r="AJ80" i="39"/>
  <c r="AK80" i="39"/>
  <c r="AL80" i="39"/>
  <c r="AM80" i="39"/>
  <c r="AN80" i="39"/>
  <c r="AO80" i="39"/>
  <c r="AP80" i="39"/>
  <c r="AQ80" i="39"/>
  <c r="AR80" i="39"/>
  <c r="AS80" i="39"/>
  <c r="D58" i="2"/>
  <c r="C58" i="2"/>
  <c r="E58" i="2"/>
  <c r="M92" i="39"/>
  <c r="N92" i="39"/>
  <c r="P92" i="39"/>
  <c r="Q92" i="39"/>
  <c r="R92" i="39"/>
  <c r="S92" i="39"/>
  <c r="T92" i="39"/>
  <c r="U92" i="39"/>
  <c r="V92" i="39"/>
  <c r="W92" i="39"/>
  <c r="X92" i="39"/>
  <c r="Y92" i="39"/>
  <c r="Z92" i="39"/>
  <c r="AA92" i="39"/>
  <c r="AB92" i="39"/>
  <c r="AC92" i="39"/>
  <c r="AD92" i="39"/>
  <c r="AE92" i="39"/>
  <c r="AF92" i="39"/>
  <c r="AG92" i="39"/>
  <c r="AH92" i="39"/>
  <c r="AI92" i="39"/>
  <c r="AJ92" i="39"/>
  <c r="AK92" i="39"/>
  <c r="AL92" i="39"/>
  <c r="AM92" i="39"/>
  <c r="AN92" i="39"/>
  <c r="AO92" i="39"/>
  <c r="AP92" i="39"/>
  <c r="AQ92" i="39"/>
  <c r="AR92" i="39"/>
  <c r="AS92" i="39"/>
  <c r="D59" i="2"/>
  <c r="C59" i="2"/>
  <c r="E59" i="2"/>
  <c r="F56" i="2"/>
  <c r="D60" i="2"/>
  <c r="C60" i="2"/>
  <c r="E60" i="2"/>
  <c r="D61" i="2"/>
  <c r="C61" i="2"/>
  <c r="E61" i="2"/>
  <c r="F60" i="2"/>
  <c r="M104" i="39"/>
  <c r="N104" i="39"/>
  <c r="P104" i="39"/>
  <c r="Q104" i="39"/>
  <c r="R104" i="39"/>
  <c r="S104" i="39"/>
  <c r="T104" i="39"/>
  <c r="U104" i="39"/>
  <c r="V104" i="39"/>
  <c r="W104" i="39"/>
  <c r="X104" i="39"/>
  <c r="Y104" i="39"/>
  <c r="Z104" i="39"/>
  <c r="AA104" i="39"/>
  <c r="AB104" i="39"/>
  <c r="AC104" i="39"/>
  <c r="AD104" i="39"/>
  <c r="AE104" i="39"/>
  <c r="AF104" i="39"/>
  <c r="AG104" i="39"/>
  <c r="AH104" i="39"/>
  <c r="AI104" i="39"/>
  <c r="AJ104" i="39"/>
  <c r="AK104" i="39"/>
  <c r="AL104" i="39"/>
  <c r="AM104" i="39"/>
  <c r="AN104" i="39"/>
  <c r="AO104" i="39"/>
  <c r="AP104" i="39"/>
  <c r="AQ104" i="39"/>
  <c r="AR104" i="39"/>
  <c r="AS104" i="39"/>
  <c r="D62" i="2"/>
  <c r="C62" i="2"/>
  <c r="E62" i="2"/>
  <c r="F62" i="2"/>
  <c r="M116" i="39"/>
  <c r="N116" i="39"/>
  <c r="P116" i="39"/>
  <c r="Q116" i="39"/>
  <c r="R116" i="39"/>
  <c r="S116" i="39"/>
  <c r="T116" i="39"/>
  <c r="U116" i="39"/>
  <c r="V116" i="39"/>
  <c r="W116" i="39"/>
  <c r="X116" i="39"/>
  <c r="Y116" i="39"/>
  <c r="Z116" i="39"/>
  <c r="AA116" i="39"/>
  <c r="AB116" i="39"/>
  <c r="AC116" i="39"/>
  <c r="AD116" i="39"/>
  <c r="AE116" i="39"/>
  <c r="AF116" i="39"/>
  <c r="AG116" i="39"/>
  <c r="AH116" i="39"/>
  <c r="AI116" i="39"/>
  <c r="AJ116" i="39"/>
  <c r="AK116" i="39"/>
  <c r="AL116" i="39"/>
  <c r="AM116" i="39"/>
  <c r="AN116" i="39"/>
  <c r="AO116" i="39"/>
  <c r="AP116" i="39"/>
  <c r="AQ116" i="39"/>
  <c r="AR116" i="39"/>
  <c r="AS116" i="39"/>
  <c r="D63" i="2"/>
  <c r="C63" i="2"/>
  <c r="E63" i="2"/>
  <c r="F63" i="2"/>
  <c r="M128" i="39"/>
  <c r="N128" i="39"/>
  <c r="P128" i="39"/>
  <c r="Q128" i="39"/>
  <c r="R128" i="39"/>
  <c r="S128" i="39"/>
  <c r="T128" i="39"/>
  <c r="U128" i="39"/>
  <c r="V128" i="39"/>
  <c r="W128" i="39"/>
  <c r="X128" i="39"/>
  <c r="Y128" i="39"/>
  <c r="Z128" i="39"/>
  <c r="AA128" i="39"/>
  <c r="AB128" i="39"/>
  <c r="AC128" i="39"/>
  <c r="AD128" i="39"/>
  <c r="AE128" i="39"/>
  <c r="AF128" i="39"/>
  <c r="AG128" i="39"/>
  <c r="AH128" i="39"/>
  <c r="AI128" i="39"/>
  <c r="AJ128" i="39"/>
  <c r="AK128" i="39"/>
  <c r="AL128" i="39"/>
  <c r="AM128" i="39"/>
  <c r="AN128" i="39"/>
  <c r="AO128" i="39"/>
  <c r="AP128" i="39"/>
  <c r="AQ128" i="39"/>
  <c r="AR128" i="39"/>
  <c r="AS128" i="39"/>
  <c r="D64" i="2"/>
  <c r="C64" i="2"/>
  <c r="E64" i="2"/>
  <c r="F64" i="2"/>
  <c r="M140" i="39"/>
  <c r="N140" i="39"/>
  <c r="P140" i="39"/>
  <c r="Q140" i="39"/>
  <c r="R140" i="39"/>
  <c r="S140" i="39"/>
  <c r="T140" i="39"/>
  <c r="U140" i="39"/>
  <c r="V140" i="39"/>
  <c r="W140" i="39"/>
  <c r="X140" i="39"/>
  <c r="Y140" i="39"/>
  <c r="Z140" i="39"/>
  <c r="AA140" i="39"/>
  <c r="AB140" i="39"/>
  <c r="AC140" i="39"/>
  <c r="AD140" i="39"/>
  <c r="AE140" i="39"/>
  <c r="AF140" i="39"/>
  <c r="AG140" i="39"/>
  <c r="AH140" i="39"/>
  <c r="AI140" i="39"/>
  <c r="AJ140" i="39"/>
  <c r="AK140" i="39"/>
  <c r="AL140" i="39"/>
  <c r="AM140" i="39"/>
  <c r="AN140" i="39"/>
  <c r="AO140" i="39"/>
  <c r="AP140" i="39"/>
  <c r="AQ140" i="39"/>
  <c r="AR140" i="39"/>
  <c r="AS140" i="39"/>
  <c r="D65" i="2"/>
  <c r="C65" i="2"/>
  <c r="E65" i="2"/>
  <c r="M152" i="39"/>
  <c r="N152" i="39"/>
  <c r="P152" i="39"/>
  <c r="Q152" i="39"/>
  <c r="R152" i="39"/>
  <c r="S152" i="39"/>
  <c r="T152" i="39"/>
  <c r="U152" i="39"/>
  <c r="V152" i="39"/>
  <c r="W152" i="39"/>
  <c r="X152" i="39"/>
  <c r="Y152" i="39"/>
  <c r="Z152" i="39"/>
  <c r="AA152" i="39"/>
  <c r="AB152" i="39"/>
  <c r="AC152" i="39"/>
  <c r="AD152" i="39"/>
  <c r="AE152" i="39"/>
  <c r="AF152" i="39"/>
  <c r="AG152" i="39"/>
  <c r="AH152" i="39"/>
  <c r="AI152" i="39"/>
  <c r="AJ152" i="39"/>
  <c r="AK152" i="39"/>
  <c r="AL152" i="39"/>
  <c r="AM152" i="39"/>
  <c r="AN152" i="39"/>
  <c r="AO152" i="39"/>
  <c r="AP152" i="39"/>
  <c r="AQ152" i="39"/>
  <c r="AR152" i="39"/>
  <c r="AS152" i="39"/>
  <c r="D66" i="2"/>
  <c r="C66" i="2"/>
  <c r="E66" i="2"/>
  <c r="M164" i="39"/>
  <c r="N164" i="39"/>
  <c r="P164" i="39"/>
  <c r="Q164" i="39"/>
  <c r="R164" i="39"/>
  <c r="S164" i="39"/>
  <c r="T164" i="39"/>
  <c r="U164" i="39"/>
  <c r="V164" i="39"/>
  <c r="W164" i="39"/>
  <c r="X164" i="39"/>
  <c r="Y164" i="39"/>
  <c r="Z164" i="39"/>
  <c r="AA164" i="39"/>
  <c r="AB164" i="39"/>
  <c r="AC164" i="39"/>
  <c r="AD164" i="39"/>
  <c r="AE164" i="39"/>
  <c r="AF164" i="39"/>
  <c r="AG164" i="39"/>
  <c r="AH164" i="39"/>
  <c r="AI164" i="39"/>
  <c r="AJ164" i="39"/>
  <c r="AK164" i="39"/>
  <c r="AL164" i="39"/>
  <c r="AM164" i="39"/>
  <c r="AN164" i="39"/>
  <c r="AO164" i="39"/>
  <c r="AP164" i="39"/>
  <c r="AQ164" i="39"/>
  <c r="AR164" i="39"/>
  <c r="AS164" i="39"/>
  <c r="D67" i="2"/>
  <c r="C67" i="2"/>
  <c r="E67" i="2"/>
  <c r="M176" i="39"/>
  <c r="N176" i="39"/>
  <c r="P176" i="39"/>
  <c r="Q176" i="39"/>
  <c r="R176" i="39"/>
  <c r="S176" i="39"/>
  <c r="T176" i="39"/>
  <c r="U176" i="39"/>
  <c r="V176" i="39"/>
  <c r="W176" i="39"/>
  <c r="X176" i="39"/>
  <c r="Y176" i="39"/>
  <c r="Z176" i="39"/>
  <c r="AA176" i="39"/>
  <c r="AB176" i="39"/>
  <c r="AC176" i="39"/>
  <c r="AD176" i="39"/>
  <c r="AE176" i="39"/>
  <c r="AF176" i="39"/>
  <c r="AG176" i="39"/>
  <c r="AH176" i="39"/>
  <c r="AI176" i="39"/>
  <c r="AJ176" i="39"/>
  <c r="AK176" i="39"/>
  <c r="AL176" i="39"/>
  <c r="AM176" i="39"/>
  <c r="AN176" i="39"/>
  <c r="AO176" i="39"/>
  <c r="AP176" i="39"/>
  <c r="AQ176" i="39"/>
  <c r="AR176" i="39"/>
  <c r="AS176" i="39"/>
  <c r="D68" i="2"/>
  <c r="C68" i="2"/>
  <c r="E68" i="2"/>
  <c r="F65" i="2"/>
  <c r="M188" i="39"/>
  <c r="N188" i="39"/>
  <c r="P188" i="39"/>
  <c r="Q188" i="39"/>
  <c r="R188" i="39"/>
  <c r="S188" i="39"/>
  <c r="T188" i="39"/>
  <c r="U188" i="39"/>
  <c r="V188" i="39"/>
  <c r="W188" i="39"/>
  <c r="X188" i="39"/>
  <c r="Y188" i="39"/>
  <c r="Z188" i="39"/>
  <c r="AA188" i="39"/>
  <c r="AB188" i="39"/>
  <c r="AC188" i="39"/>
  <c r="AD188" i="39"/>
  <c r="AE188" i="39"/>
  <c r="AF188" i="39"/>
  <c r="AG188" i="39"/>
  <c r="AH188" i="39"/>
  <c r="AI188" i="39"/>
  <c r="AJ188" i="39"/>
  <c r="AK188" i="39"/>
  <c r="AL188" i="39"/>
  <c r="AM188" i="39"/>
  <c r="AN188" i="39"/>
  <c r="AO188" i="39"/>
  <c r="AP188" i="39"/>
  <c r="AQ188" i="39"/>
  <c r="AR188" i="39"/>
  <c r="AS188" i="39"/>
  <c r="D69" i="2"/>
  <c r="C69" i="2"/>
  <c r="E69" i="2"/>
  <c r="M200" i="39"/>
  <c r="N200" i="39"/>
  <c r="P200" i="39"/>
  <c r="Q200" i="39"/>
  <c r="R200" i="39"/>
  <c r="S200" i="39"/>
  <c r="T200" i="39"/>
  <c r="U200" i="39"/>
  <c r="V200" i="39"/>
  <c r="W200" i="39"/>
  <c r="X200" i="39"/>
  <c r="Y200" i="39"/>
  <c r="Z200" i="39"/>
  <c r="AA200" i="39"/>
  <c r="AB200" i="39"/>
  <c r="AC200" i="39"/>
  <c r="AD200" i="39"/>
  <c r="AE200" i="39"/>
  <c r="AF200" i="39"/>
  <c r="AG200" i="39"/>
  <c r="AH200" i="39"/>
  <c r="AI200" i="39"/>
  <c r="AJ200" i="39"/>
  <c r="AK200" i="39"/>
  <c r="AL200" i="39"/>
  <c r="AM200" i="39"/>
  <c r="AN200" i="39"/>
  <c r="AO200" i="39"/>
  <c r="AP200" i="39"/>
  <c r="AQ200" i="39"/>
  <c r="AR200" i="39"/>
  <c r="AS200" i="39"/>
  <c r="D70" i="2"/>
  <c r="C70" i="2"/>
  <c r="E70" i="2"/>
  <c r="M212" i="39"/>
  <c r="N212" i="39"/>
  <c r="P212" i="39"/>
  <c r="Q212" i="39"/>
  <c r="R212" i="39"/>
  <c r="S212" i="39"/>
  <c r="T212" i="39"/>
  <c r="U212" i="39"/>
  <c r="V212" i="39"/>
  <c r="W212" i="39"/>
  <c r="X212" i="39"/>
  <c r="Y212" i="39"/>
  <c r="Z212" i="39"/>
  <c r="AA212" i="39"/>
  <c r="AB212" i="39"/>
  <c r="AC212" i="39"/>
  <c r="AD212" i="39"/>
  <c r="AE212" i="39"/>
  <c r="AF212" i="39"/>
  <c r="AG212" i="39"/>
  <c r="AH212" i="39"/>
  <c r="AI212" i="39"/>
  <c r="AJ212" i="39"/>
  <c r="AK212" i="39"/>
  <c r="AL212" i="39"/>
  <c r="AM212" i="39"/>
  <c r="AN212" i="39"/>
  <c r="AO212" i="39"/>
  <c r="AP212" i="39"/>
  <c r="AQ212" i="39"/>
  <c r="AR212" i="39"/>
  <c r="AS212" i="39"/>
  <c r="D71" i="2"/>
  <c r="C71" i="2"/>
  <c r="E71" i="2"/>
  <c r="M224" i="39"/>
  <c r="N224" i="39"/>
  <c r="P224" i="39"/>
  <c r="Q224" i="39"/>
  <c r="R224" i="39"/>
  <c r="S224" i="39"/>
  <c r="T224" i="39"/>
  <c r="U224" i="39"/>
  <c r="V224" i="39"/>
  <c r="W224" i="39"/>
  <c r="X224" i="39"/>
  <c r="Y224" i="39"/>
  <c r="Z224" i="39"/>
  <c r="AA224" i="39"/>
  <c r="AB224" i="39"/>
  <c r="AC224" i="39"/>
  <c r="AD224" i="39"/>
  <c r="AE224" i="39"/>
  <c r="AF224" i="39"/>
  <c r="AG224" i="39"/>
  <c r="AH224" i="39"/>
  <c r="AI224" i="39"/>
  <c r="AJ224" i="39"/>
  <c r="AK224" i="39"/>
  <c r="AL224" i="39"/>
  <c r="AM224" i="39"/>
  <c r="AN224" i="39"/>
  <c r="AO224" i="39"/>
  <c r="AP224" i="39"/>
  <c r="AQ224" i="39"/>
  <c r="AR224" i="39"/>
  <c r="AS224" i="39"/>
  <c r="D72" i="2"/>
  <c r="C72" i="2"/>
  <c r="E72" i="2"/>
  <c r="F69" i="2"/>
  <c r="M236" i="39"/>
  <c r="N236" i="39"/>
  <c r="P236" i="39"/>
  <c r="Q236" i="39"/>
  <c r="R236" i="39"/>
  <c r="S236" i="39"/>
  <c r="T236" i="39"/>
  <c r="U236" i="39"/>
  <c r="V236" i="39"/>
  <c r="W236" i="39"/>
  <c r="X236" i="39"/>
  <c r="Y236" i="39"/>
  <c r="Z236" i="39"/>
  <c r="AA236" i="39"/>
  <c r="AB236" i="39"/>
  <c r="AC236" i="39"/>
  <c r="AD236" i="39"/>
  <c r="AE236" i="39"/>
  <c r="AF236" i="39"/>
  <c r="AG236" i="39"/>
  <c r="AH236" i="39"/>
  <c r="AI236" i="39"/>
  <c r="AJ236" i="39"/>
  <c r="AK236" i="39"/>
  <c r="AL236" i="39"/>
  <c r="AM236" i="39"/>
  <c r="AN236" i="39"/>
  <c r="AO236" i="39"/>
  <c r="AP236" i="39"/>
  <c r="AQ236" i="39"/>
  <c r="AR236" i="39"/>
  <c r="AS236" i="39"/>
  <c r="D73" i="2"/>
  <c r="C73" i="2"/>
  <c r="E73" i="2"/>
  <c r="M237" i="39"/>
  <c r="N237" i="39"/>
  <c r="P237" i="39"/>
  <c r="Q237" i="39"/>
  <c r="R237" i="39"/>
  <c r="S237" i="39"/>
  <c r="T237" i="39"/>
  <c r="U237" i="39"/>
  <c r="V237" i="39"/>
  <c r="W237" i="39"/>
  <c r="X237" i="39"/>
  <c r="Y237" i="39"/>
  <c r="Z237" i="39"/>
  <c r="AA237" i="39"/>
  <c r="AB237" i="39"/>
  <c r="AC237" i="39"/>
  <c r="AD237" i="39"/>
  <c r="AE237" i="39"/>
  <c r="AF237" i="39"/>
  <c r="AG237" i="39"/>
  <c r="AH237" i="39"/>
  <c r="AI237" i="39"/>
  <c r="AJ237" i="39"/>
  <c r="AK237" i="39"/>
  <c r="AL237" i="39"/>
  <c r="AM237" i="39"/>
  <c r="AN237" i="39"/>
  <c r="AO237" i="39"/>
  <c r="AP237" i="39"/>
  <c r="AQ237" i="39"/>
  <c r="AR237" i="39"/>
  <c r="AS237" i="39"/>
  <c r="D74" i="2"/>
  <c r="C74" i="2"/>
  <c r="E74" i="2"/>
  <c r="F73" i="2"/>
  <c r="F49" i="2"/>
  <c r="D77" i="2"/>
  <c r="C77" i="2"/>
  <c r="E77" i="2"/>
  <c r="F77" i="2"/>
  <c r="D78" i="2"/>
  <c r="C78" i="2"/>
  <c r="E78" i="2"/>
  <c r="F78" i="2"/>
  <c r="D79" i="2"/>
  <c r="C79" i="2"/>
  <c r="E79" i="2"/>
  <c r="D80" i="2"/>
  <c r="C80" i="2"/>
  <c r="E80" i="2"/>
  <c r="F79" i="2"/>
  <c r="D81" i="2"/>
  <c r="C81" i="2"/>
  <c r="E81" i="2"/>
  <c r="F81" i="2"/>
  <c r="K32" i="36"/>
  <c r="L32" i="36"/>
  <c r="N32" i="36"/>
  <c r="O32" i="36"/>
  <c r="P32" i="36"/>
  <c r="Q32" i="36"/>
  <c r="R32" i="36"/>
  <c r="S32" i="36"/>
  <c r="T32" i="36"/>
  <c r="U32" i="36"/>
  <c r="V32" i="36"/>
  <c r="W32" i="36"/>
  <c r="X32" i="36"/>
  <c r="Y32" i="36"/>
  <c r="Z32" i="36"/>
  <c r="AA32" i="36"/>
  <c r="AB32" i="36"/>
  <c r="AC32" i="36"/>
  <c r="AD32" i="36"/>
  <c r="AE32" i="36"/>
  <c r="AF32" i="36"/>
  <c r="AG32" i="36"/>
  <c r="AH32" i="36"/>
  <c r="AI32" i="36"/>
  <c r="AJ32" i="36"/>
  <c r="AK32" i="36"/>
  <c r="AL32" i="36"/>
  <c r="AM32" i="36"/>
  <c r="AN32" i="36"/>
  <c r="AO32" i="36"/>
  <c r="AP32" i="36"/>
  <c r="AQ32" i="36"/>
  <c r="AR32" i="36"/>
  <c r="AS32" i="36"/>
  <c r="D82" i="2"/>
  <c r="C82" i="2"/>
  <c r="E82" i="2"/>
  <c r="F82" i="2"/>
  <c r="K44" i="36"/>
  <c r="L44" i="36"/>
  <c r="N44" i="36"/>
  <c r="O44" i="36"/>
  <c r="P44" i="36"/>
  <c r="Q44" i="36"/>
  <c r="R44" i="36"/>
  <c r="S44" i="36"/>
  <c r="T44" i="36"/>
  <c r="U44" i="36"/>
  <c r="V44" i="36"/>
  <c r="W44" i="36"/>
  <c r="X44" i="36"/>
  <c r="Y44" i="36"/>
  <c r="Z44" i="36"/>
  <c r="AA44" i="36"/>
  <c r="AB44" i="36"/>
  <c r="AC44" i="36"/>
  <c r="AD44" i="36"/>
  <c r="AE44" i="36"/>
  <c r="AF44" i="36"/>
  <c r="AG44" i="36"/>
  <c r="AH44" i="36"/>
  <c r="AI44" i="36"/>
  <c r="AJ44" i="36"/>
  <c r="AK44" i="36"/>
  <c r="AL44" i="36"/>
  <c r="AM44" i="36"/>
  <c r="AN44" i="36"/>
  <c r="AO44" i="36"/>
  <c r="AP44" i="36"/>
  <c r="AQ44" i="36"/>
  <c r="AR44" i="36"/>
  <c r="AS44" i="36"/>
  <c r="D83" i="2"/>
  <c r="C83" i="2"/>
  <c r="E83" i="2"/>
  <c r="K56" i="36"/>
  <c r="L56" i="36"/>
  <c r="N56" i="36"/>
  <c r="O56" i="36"/>
  <c r="P56" i="36"/>
  <c r="Q56" i="36"/>
  <c r="R56" i="36"/>
  <c r="S56" i="36"/>
  <c r="T56" i="36"/>
  <c r="U56" i="36"/>
  <c r="V56" i="36"/>
  <c r="W56" i="36"/>
  <c r="X56" i="36"/>
  <c r="Y56" i="36"/>
  <c r="Z56" i="36"/>
  <c r="AA56" i="36"/>
  <c r="AB56" i="36"/>
  <c r="AC56" i="36"/>
  <c r="AD56" i="36"/>
  <c r="AE56" i="36"/>
  <c r="AF56" i="36"/>
  <c r="AG56" i="36"/>
  <c r="AH56" i="36"/>
  <c r="AI56" i="36"/>
  <c r="AJ56" i="36"/>
  <c r="AK56" i="36"/>
  <c r="AL56" i="36"/>
  <c r="AM56" i="36"/>
  <c r="AN56" i="36"/>
  <c r="AO56" i="36"/>
  <c r="AP56" i="36"/>
  <c r="AQ56" i="36"/>
  <c r="AR56" i="36"/>
  <c r="AS56" i="36"/>
  <c r="D84" i="2"/>
  <c r="C84" i="2"/>
  <c r="E84" i="2"/>
  <c r="K68" i="36"/>
  <c r="L68" i="36"/>
  <c r="N68" i="36"/>
  <c r="O68" i="36"/>
  <c r="P68" i="36"/>
  <c r="Q68" i="36"/>
  <c r="R68" i="36"/>
  <c r="S68" i="36"/>
  <c r="T68" i="36"/>
  <c r="U68" i="36"/>
  <c r="V68" i="36"/>
  <c r="W68" i="36"/>
  <c r="X68" i="36"/>
  <c r="Y68" i="36"/>
  <c r="Z68" i="36"/>
  <c r="AA68" i="36"/>
  <c r="AB68" i="36"/>
  <c r="AC68" i="36"/>
  <c r="AD68" i="36"/>
  <c r="AE68" i="36"/>
  <c r="AF68" i="36"/>
  <c r="AG68" i="36"/>
  <c r="AH68" i="36"/>
  <c r="AI68" i="36"/>
  <c r="AJ68" i="36"/>
  <c r="AK68" i="36"/>
  <c r="AL68" i="36"/>
  <c r="AM68" i="36"/>
  <c r="AN68" i="36"/>
  <c r="AO68" i="36"/>
  <c r="AP68" i="36"/>
  <c r="AQ68" i="36"/>
  <c r="AR68" i="36"/>
  <c r="AS68" i="36"/>
  <c r="D85" i="2"/>
  <c r="C85" i="2"/>
  <c r="E85" i="2"/>
  <c r="K80" i="36"/>
  <c r="L80" i="36"/>
  <c r="N80" i="36"/>
  <c r="O80" i="36"/>
  <c r="P80" i="36"/>
  <c r="Q80" i="36"/>
  <c r="R80" i="36"/>
  <c r="S80" i="36"/>
  <c r="T80" i="36"/>
  <c r="U80" i="36"/>
  <c r="V80" i="36"/>
  <c r="W80" i="36"/>
  <c r="X80" i="36"/>
  <c r="Y80" i="36"/>
  <c r="Z80" i="36"/>
  <c r="AA80" i="36"/>
  <c r="AB80" i="36"/>
  <c r="AC80" i="36"/>
  <c r="AD80" i="36"/>
  <c r="AE80" i="36"/>
  <c r="AF80" i="36"/>
  <c r="AG80" i="36"/>
  <c r="AH80" i="36"/>
  <c r="AI80" i="36"/>
  <c r="AJ80" i="36"/>
  <c r="AK80" i="36"/>
  <c r="AL80" i="36"/>
  <c r="AM80" i="36"/>
  <c r="AN80" i="36"/>
  <c r="AO80" i="36"/>
  <c r="AP80" i="36"/>
  <c r="AQ80" i="36"/>
  <c r="AR80" i="36"/>
  <c r="AS80" i="36"/>
  <c r="D86" i="2"/>
  <c r="C86" i="2"/>
  <c r="E86" i="2"/>
  <c r="F83" i="2"/>
  <c r="K92" i="36"/>
  <c r="L92" i="36"/>
  <c r="N92" i="36"/>
  <c r="O92" i="36"/>
  <c r="P92" i="36"/>
  <c r="Q92" i="36"/>
  <c r="R92" i="36"/>
  <c r="S92" i="36"/>
  <c r="T92" i="36"/>
  <c r="U92" i="36"/>
  <c r="V92" i="36"/>
  <c r="W92" i="36"/>
  <c r="X92" i="36"/>
  <c r="Y92" i="36"/>
  <c r="Z92" i="36"/>
  <c r="AA92" i="36"/>
  <c r="AB92" i="36"/>
  <c r="AC92" i="36"/>
  <c r="AD92" i="36"/>
  <c r="AE92" i="36"/>
  <c r="AF92" i="36"/>
  <c r="AG92" i="36"/>
  <c r="AH92" i="36"/>
  <c r="AI92" i="36"/>
  <c r="AJ92" i="36"/>
  <c r="AK92" i="36"/>
  <c r="AL92" i="36"/>
  <c r="AM92" i="36"/>
  <c r="AN92" i="36"/>
  <c r="AO92" i="36"/>
  <c r="AP92" i="36"/>
  <c r="AQ92" i="36"/>
  <c r="AR92" i="36"/>
  <c r="AS92" i="36"/>
  <c r="D87" i="2"/>
  <c r="C87" i="2"/>
  <c r="E87" i="2"/>
  <c r="K104" i="36"/>
  <c r="L104" i="36"/>
  <c r="N104" i="36"/>
  <c r="O104" i="36"/>
  <c r="P104" i="36"/>
  <c r="Q104" i="36"/>
  <c r="R104" i="36"/>
  <c r="S104" i="36"/>
  <c r="T104" i="36"/>
  <c r="U104" i="36"/>
  <c r="V104" i="36"/>
  <c r="W104" i="36"/>
  <c r="X104" i="36"/>
  <c r="Y104" i="36"/>
  <c r="Z104" i="36"/>
  <c r="AA104" i="36"/>
  <c r="AB104" i="36"/>
  <c r="AC104" i="36"/>
  <c r="AD104" i="36"/>
  <c r="AE104" i="36"/>
  <c r="AF104" i="36"/>
  <c r="AG104" i="36"/>
  <c r="AH104" i="36"/>
  <c r="AI104" i="36"/>
  <c r="AJ104" i="36"/>
  <c r="AK104" i="36"/>
  <c r="AL104" i="36"/>
  <c r="AM104" i="36"/>
  <c r="AN104" i="36"/>
  <c r="AO104" i="36"/>
  <c r="AP104" i="36"/>
  <c r="AQ104" i="36"/>
  <c r="AR104" i="36"/>
  <c r="AS104" i="36"/>
  <c r="D88" i="2"/>
  <c r="C88" i="2"/>
  <c r="E88" i="2"/>
  <c r="K116" i="36"/>
  <c r="L116" i="36"/>
  <c r="N116" i="36"/>
  <c r="O116" i="36"/>
  <c r="P116" i="36"/>
  <c r="Q116" i="36"/>
  <c r="R116" i="36"/>
  <c r="S116" i="36"/>
  <c r="T116" i="36"/>
  <c r="U116" i="36"/>
  <c r="V116" i="36"/>
  <c r="W116" i="36"/>
  <c r="X116" i="36"/>
  <c r="Y116" i="36"/>
  <c r="Z116" i="36"/>
  <c r="AA116" i="36"/>
  <c r="AB116" i="36"/>
  <c r="AC116" i="36"/>
  <c r="AD116" i="36"/>
  <c r="AE116" i="36"/>
  <c r="AF116" i="36"/>
  <c r="AG116" i="36"/>
  <c r="AH116" i="36"/>
  <c r="AI116" i="36"/>
  <c r="AJ116" i="36"/>
  <c r="AK116" i="36"/>
  <c r="AL116" i="36"/>
  <c r="AM116" i="36"/>
  <c r="AN116" i="36"/>
  <c r="AO116" i="36"/>
  <c r="AP116" i="36"/>
  <c r="AQ116" i="36"/>
  <c r="AR116" i="36"/>
  <c r="AS116" i="36"/>
  <c r="D89" i="2"/>
  <c r="C89" i="2"/>
  <c r="E89" i="2"/>
  <c r="K128" i="36"/>
  <c r="L128" i="36"/>
  <c r="N128" i="36"/>
  <c r="O128" i="36"/>
  <c r="P128" i="36"/>
  <c r="Q128" i="36"/>
  <c r="R128" i="36"/>
  <c r="S128" i="36"/>
  <c r="T128" i="36"/>
  <c r="U128" i="36"/>
  <c r="V128" i="36"/>
  <c r="W128" i="36"/>
  <c r="X128" i="36"/>
  <c r="Y128" i="36"/>
  <c r="Z128" i="36"/>
  <c r="AA128" i="36"/>
  <c r="AB128" i="36"/>
  <c r="AC128" i="36"/>
  <c r="AD128" i="36"/>
  <c r="AE128" i="36"/>
  <c r="AF128" i="36"/>
  <c r="AG128" i="36"/>
  <c r="AH128" i="36"/>
  <c r="AI128" i="36"/>
  <c r="AJ128" i="36"/>
  <c r="AK128" i="36"/>
  <c r="AL128" i="36"/>
  <c r="AM128" i="36"/>
  <c r="AN128" i="36"/>
  <c r="AO128" i="36"/>
  <c r="AP128" i="36"/>
  <c r="AQ128" i="36"/>
  <c r="AR128" i="36"/>
  <c r="AS128" i="36"/>
  <c r="D90" i="2"/>
  <c r="C90" i="2"/>
  <c r="E90" i="2"/>
  <c r="F87" i="2"/>
  <c r="K140" i="36"/>
  <c r="L140" i="36"/>
  <c r="N140" i="36"/>
  <c r="O140" i="36"/>
  <c r="P140" i="36"/>
  <c r="Q140" i="36"/>
  <c r="R140" i="36"/>
  <c r="S140" i="36"/>
  <c r="T140" i="36"/>
  <c r="U140" i="36"/>
  <c r="V140" i="36"/>
  <c r="W140" i="36"/>
  <c r="X140" i="36"/>
  <c r="Y140" i="36"/>
  <c r="Z140" i="36"/>
  <c r="AA140" i="36"/>
  <c r="AB140" i="36"/>
  <c r="AC140" i="36"/>
  <c r="AD140" i="36"/>
  <c r="AE140" i="36"/>
  <c r="AF140" i="36"/>
  <c r="AG140" i="36"/>
  <c r="AH140" i="36"/>
  <c r="AI140" i="36"/>
  <c r="AJ140" i="36"/>
  <c r="AK140" i="36"/>
  <c r="AL140" i="36"/>
  <c r="AM140" i="36"/>
  <c r="AN140" i="36"/>
  <c r="AO140" i="36"/>
  <c r="AP140" i="36"/>
  <c r="AQ140" i="36"/>
  <c r="AR140" i="36"/>
  <c r="AS140" i="36"/>
  <c r="D91" i="2"/>
  <c r="C91" i="2"/>
  <c r="E91" i="2"/>
  <c r="K152" i="36"/>
  <c r="L152" i="36"/>
  <c r="N152" i="36"/>
  <c r="O152" i="36"/>
  <c r="P152" i="36"/>
  <c r="Q152" i="36"/>
  <c r="R152" i="36"/>
  <c r="S152" i="36"/>
  <c r="T152" i="36"/>
  <c r="U152" i="36"/>
  <c r="V152" i="36"/>
  <c r="W152" i="36"/>
  <c r="X152" i="36"/>
  <c r="Y152" i="36"/>
  <c r="Z152" i="36"/>
  <c r="AA152" i="36"/>
  <c r="AB152" i="36"/>
  <c r="AC152" i="36"/>
  <c r="AD152" i="36"/>
  <c r="AE152" i="36"/>
  <c r="AF152" i="36"/>
  <c r="AG152" i="36"/>
  <c r="AH152" i="36"/>
  <c r="AI152" i="36"/>
  <c r="AJ152" i="36"/>
  <c r="AK152" i="36"/>
  <c r="AL152" i="36"/>
  <c r="AM152" i="36"/>
  <c r="AN152" i="36"/>
  <c r="AO152" i="36"/>
  <c r="AP152" i="36"/>
  <c r="AQ152" i="36"/>
  <c r="AR152" i="36"/>
  <c r="AS152" i="36"/>
  <c r="D92" i="2"/>
  <c r="C92" i="2"/>
  <c r="E92" i="2"/>
  <c r="K164" i="36"/>
  <c r="L164" i="36"/>
  <c r="N164" i="36"/>
  <c r="O164" i="36"/>
  <c r="P164" i="36"/>
  <c r="Q164" i="36"/>
  <c r="R164" i="36"/>
  <c r="S164" i="36"/>
  <c r="T164" i="36"/>
  <c r="U164" i="36"/>
  <c r="V164" i="36"/>
  <c r="W164" i="36"/>
  <c r="X164" i="36"/>
  <c r="Y164" i="36"/>
  <c r="Z164" i="36"/>
  <c r="AA164" i="36"/>
  <c r="AB164" i="36"/>
  <c r="AC164" i="36"/>
  <c r="AD164" i="36"/>
  <c r="AE164" i="36"/>
  <c r="AF164" i="36"/>
  <c r="AG164" i="36"/>
  <c r="AH164" i="36"/>
  <c r="AI164" i="36"/>
  <c r="AJ164" i="36"/>
  <c r="AK164" i="36"/>
  <c r="AL164" i="36"/>
  <c r="AM164" i="36"/>
  <c r="AN164" i="36"/>
  <c r="AO164" i="36"/>
  <c r="AP164" i="36"/>
  <c r="AQ164" i="36"/>
  <c r="AR164" i="36"/>
  <c r="AS164" i="36"/>
  <c r="D93" i="2"/>
  <c r="C93" i="2"/>
  <c r="E93" i="2"/>
  <c r="K176" i="36"/>
  <c r="L176" i="36"/>
  <c r="N176" i="36"/>
  <c r="O176" i="36"/>
  <c r="P176" i="36"/>
  <c r="Q176" i="36"/>
  <c r="R176" i="36"/>
  <c r="S176" i="36"/>
  <c r="T176" i="36"/>
  <c r="U176" i="36"/>
  <c r="V176" i="36"/>
  <c r="W176" i="36"/>
  <c r="X176" i="36"/>
  <c r="Y176" i="36"/>
  <c r="Z176" i="36"/>
  <c r="AA176" i="36"/>
  <c r="AB176" i="36"/>
  <c r="AC176" i="36"/>
  <c r="AD176" i="36"/>
  <c r="AE176" i="36"/>
  <c r="AF176" i="36"/>
  <c r="AG176" i="36"/>
  <c r="AH176" i="36"/>
  <c r="AI176" i="36"/>
  <c r="AJ176" i="36"/>
  <c r="AK176" i="36"/>
  <c r="AL176" i="36"/>
  <c r="AM176" i="36"/>
  <c r="AN176" i="36"/>
  <c r="AO176" i="36"/>
  <c r="AP176" i="36"/>
  <c r="AQ176" i="36"/>
  <c r="AR176" i="36"/>
  <c r="AS176" i="36"/>
  <c r="D94" i="2"/>
  <c r="C94" i="2"/>
  <c r="E94" i="2"/>
  <c r="F91" i="2"/>
  <c r="K188" i="36"/>
  <c r="L188" i="36"/>
  <c r="N188" i="36"/>
  <c r="O188" i="36"/>
  <c r="P188" i="36"/>
  <c r="Q188" i="36"/>
  <c r="R188" i="36"/>
  <c r="S188" i="36"/>
  <c r="T188" i="36"/>
  <c r="U188" i="36"/>
  <c r="V188" i="36"/>
  <c r="W188" i="36"/>
  <c r="X188" i="36"/>
  <c r="Y188" i="36"/>
  <c r="Z188" i="36"/>
  <c r="AA188" i="36"/>
  <c r="AB188" i="36"/>
  <c r="AC188" i="36"/>
  <c r="AD188" i="36"/>
  <c r="AE188" i="36"/>
  <c r="AF188" i="36"/>
  <c r="AG188" i="36"/>
  <c r="AH188" i="36"/>
  <c r="AI188" i="36"/>
  <c r="AJ188" i="36"/>
  <c r="AK188" i="36"/>
  <c r="AL188" i="36"/>
  <c r="AM188" i="36"/>
  <c r="AN188" i="36"/>
  <c r="AO188" i="36"/>
  <c r="AP188" i="36"/>
  <c r="AQ188" i="36"/>
  <c r="AR188" i="36"/>
  <c r="AS188" i="36"/>
  <c r="D95" i="2"/>
  <c r="C95" i="2"/>
  <c r="E95" i="2"/>
  <c r="K200" i="36"/>
  <c r="L200" i="36"/>
  <c r="N200" i="36"/>
  <c r="O200" i="36"/>
  <c r="P200" i="36"/>
  <c r="Q200" i="36"/>
  <c r="R200" i="36"/>
  <c r="S200" i="36"/>
  <c r="T200" i="36"/>
  <c r="U200" i="36"/>
  <c r="V200" i="36"/>
  <c r="W200" i="36"/>
  <c r="X200" i="36"/>
  <c r="Y200" i="36"/>
  <c r="Z200" i="36"/>
  <c r="AA200" i="36"/>
  <c r="AB200" i="36"/>
  <c r="AC200" i="36"/>
  <c r="AD200" i="36"/>
  <c r="AE200" i="36"/>
  <c r="AF200" i="36"/>
  <c r="AG200" i="36"/>
  <c r="AH200" i="36"/>
  <c r="AI200" i="36"/>
  <c r="AJ200" i="36"/>
  <c r="AK200" i="36"/>
  <c r="AL200" i="36"/>
  <c r="AM200" i="36"/>
  <c r="AN200" i="36"/>
  <c r="AO200" i="36"/>
  <c r="AP200" i="36"/>
  <c r="AQ200" i="36"/>
  <c r="AR200" i="36"/>
  <c r="AS200" i="36"/>
  <c r="D96" i="2"/>
  <c r="C96" i="2"/>
  <c r="E96" i="2"/>
  <c r="K212" i="36"/>
  <c r="L212" i="36"/>
  <c r="N212" i="36"/>
  <c r="O212" i="36"/>
  <c r="P212" i="36"/>
  <c r="Q212" i="36"/>
  <c r="R212" i="36"/>
  <c r="S212" i="36"/>
  <c r="T212" i="36"/>
  <c r="U212" i="36"/>
  <c r="V212" i="36"/>
  <c r="W212" i="36"/>
  <c r="X212" i="36"/>
  <c r="Y212" i="36"/>
  <c r="Z212" i="36"/>
  <c r="AA212" i="36"/>
  <c r="AB212" i="36"/>
  <c r="AC212" i="36"/>
  <c r="AD212" i="36"/>
  <c r="AE212" i="36"/>
  <c r="AF212" i="36"/>
  <c r="AG212" i="36"/>
  <c r="AH212" i="36"/>
  <c r="AI212" i="36"/>
  <c r="AJ212" i="36"/>
  <c r="AK212" i="36"/>
  <c r="AL212" i="36"/>
  <c r="AM212" i="36"/>
  <c r="AN212" i="36"/>
  <c r="AO212" i="36"/>
  <c r="AP212" i="36"/>
  <c r="AQ212" i="36"/>
  <c r="AR212" i="36"/>
  <c r="AS212" i="36"/>
  <c r="D97" i="2"/>
  <c r="C97" i="2"/>
  <c r="E97" i="2"/>
  <c r="K224" i="36"/>
  <c r="L224" i="36"/>
  <c r="N224" i="36"/>
  <c r="O224" i="36"/>
  <c r="P224" i="36"/>
  <c r="Q224" i="36"/>
  <c r="R224" i="36"/>
  <c r="S224" i="36"/>
  <c r="T224" i="36"/>
  <c r="U224" i="36"/>
  <c r="V224" i="36"/>
  <c r="W224" i="36"/>
  <c r="X224" i="36"/>
  <c r="Y224" i="36"/>
  <c r="Z224" i="36"/>
  <c r="AA224" i="36"/>
  <c r="AB224" i="36"/>
  <c r="AC224" i="36"/>
  <c r="AD224" i="36"/>
  <c r="AE224" i="36"/>
  <c r="AF224" i="36"/>
  <c r="AG224" i="36"/>
  <c r="AH224" i="36"/>
  <c r="AI224" i="36"/>
  <c r="AJ224" i="36"/>
  <c r="AK224" i="36"/>
  <c r="AL224" i="36"/>
  <c r="AM224" i="36"/>
  <c r="AN224" i="36"/>
  <c r="AO224" i="36"/>
  <c r="AP224" i="36"/>
  <c r="AQ224" i="36"/>
  <c r="AR224" i="36"/>
  <c r="AS224" i="36"/>
  <c r="D98" i="2"/>
  <c r="C98" i="2"/>
  <c r="E98" i="2"/>
  <c r="F95" i="2"/>
  <c r="K236" i="36"/>
  <c r="L236" i="36"/>
  <c r="N236" i="36"/>
  <c r="O236" i="36"/>
  <c r="P236" i="36"/>
  <c r="Q236" i="36"/>
  <c r="R236" i="36"/>
  <c r="S236" i="36"/>
  <c r="T236" i="36"/>
  <c r="U236" i="36"/>
  <c r="V236" i="36"/>
  <c r="W236" i="36"/>
  <c r="X236" i="36"/>
  <c r="Y236" i="36"/>
  <c r="Z236" i="36"/>
  <c r="AA236" i="36"/>
  <c r="AB236" i="36"/>
  <c r="AC236" i="36"/>
  <c r="AD236" i="36"/>
  <c r="AE236" i="36"/>
  <c r="AF236" i="36"/>
  <c r="AG236" i="36"/>
  <c r="AH236" i="36"/>
  <c r="AI236" i="36"/>
  <c r="AJ236" i="36"/>
  <c r="AK236" i="36"/>
  <c r="AL236" i="36"/>
  <c r="AM236" i="36"/>
  <c r="AN236" i="36"/>
  <c r="AO236" i="36"/>
  <c r="AP236" i="36"/>
  <c r="AQ236" i="36"/>
  <c r="AR236" i="36"/>
  <c r="AS236" i="36"/>
  <c r="D99" i="2"/>
  <c r="C99" i="2"/>
  <c r="E99" i="2"/>
  <c r="K248" i="36"/>
  <c r="L248" i="36"/>
  <c r="N248" i="36"/>
  <c r="O248" i="36"/>
  <c r="P248" i="36"/>
  <c r="Q248" i="36"/>
  <c r="R248" i="36"/>
  <c r="S248" i="36"/>
  <c r="T248" i="36"/>
  <c r="U248" i="36"/>
  <c r="V248" i="36"/>
  <c r="W248" i="36"/>
  <c r="X248" i="36"/>
  <c r="Y248" i="36"/>
  <c r="Z248" i="36"/>
  <c r="AA248" i="36"/>
  <c r="AB248" i="36"/>
  <c r="AC248" i="36"/>
  <c r="AD248" i="36"/>
  <c r="AE248" i="36"/>
  <c r="AF248" i="36"/>
  <c r="AG248" i="36"/>
  <c r="AH248" i="36"/>
  <c r="AI248" i="36"/>
  <c r="AJ248" i="36"/>
  <c r="AK248" i="36"/>
  <c r="AL248" i="36"/>
  <c r="AM248" i="36"/>
  <c r="AN248" i="36"/>
  <c r="AO248" i="36"/>
  <c r="AP248" i="36"/>
  <c r="AQ248" i="36"/>
  <c r="AR248" i="36"/>
  <c r="AS248" i="36"/>
  <c r="D100" i="2"/>
  <c r="C100" i="2"/>
  <c r="E100" i="2"/>
  <c r="F99" i="2"/>
  <c r="K20" i="36"/>
  <c r="L20" i="36"/>
  <c r="N20" i="36"/>
  <c r="O20" i="36"/>
  <c r="P20" i="36"/>
  <c r="Q20" i="36"/>
  <c r="R20" i="36"/>
  <c r="S20" i="36"/>
  <c r="T20" i="36"/>
  <c r="U20" i="36"/>
  <c r="V20" i="36"/>
  <c r="W20" i="36"/>
  <c r="X20" i="36"/>
  <c r="Y20" i="36"/>
  <c r="Z20" i="36"/>
  <c r="AA20" i="36"/>
  <c r="AB20" i="36"/>
  <c r="AC20" i="36"/>
  <c r="AD20" i="36"/>
  <c r="AE20" i="36"/>
  <c r="AF20" i="36"/>
  <c r="AG20" i="36"/>
  <c r="AH20" i="36"/>
  <c r="AI20" i="36"/>
  <c r="AJ20" i="36"/>
  <c r="AK20" i="36"/>
  <c r="AL20" i="36"/>
  <c r="AM20" i="36"/>
  <c r="AN20" i="36"/>
  <c r="AO20" i="36"/>
  <c r="AP20" i="36"/>
  <c r="AQ20" i="36"/>
  <c r="AR20" i="36"/>
  <c r="AS20" i="36"/>
  <c r="D101" i="2"/>
  <c r="C101" i="2"/>
  <c r="E101" i="2"/>
  <c r="F101" i="2"/>
  <c r="E102" i="2"/>
  <c r="F102" i="2"/>
  <c r="E103" i="2"/>
  <c r="F103" i="2"/>
  <c r="F76" i="2"/>
  <c r="D107" i="2"/>
  <c r="C107" i="2"/>
  <c r="E107" i="2"/>
  <c r="J20" i="34"/>
  <c r="K20" i="34"/>
  <c r="M20" i="34"/>
  <c r="N20" i="34"/>
  <c r="O20" i="34"/>
  <c r="P20" i="34"/>
  <c r="Q20" i="34"/>
  <c r="R20" i="34"/>
  <c r="S20" i="34"/>
  <c r="T20" i="34"/>
  <c r="U20" i="34"/>
  <c r="V20" i="34"/>
  <c r="W20" i="34"/>
  <c r="X20" i="34"/>
  <c r="Y20" i="34"/>
  <c r="Z20" i="34"/>
  <c r="AA20" i="34"/>
  <c r="AB20" i="34"/>
  <c r="AC20" i="34"/>
  <c r="AD20" i="34"/>
  <c r="AE20" i="34"/>
  <c r="AF20" i="34"/>
  <c r="AG20" i="34"/>
  <c r="AH20" i="34"/>
  <c r="AI20" i="34"/>
  <c r="AJ20" i="34"/>
  <c r="AK20" i="34"/>
  <c r="AL20" i="34"/>
  <c r="AM20" i="34"/>
  <c r="AN20" i="34"/>
  <c r="AO20" i="34"/>
  <c r="AP20" i="34"/>
  <c r="AQ20" i="34"/>
  <c r="AR20" i="34"/>
  <c r="AS20" i="34"/>
  <c r="D108" i="2"/>
  <c r="C108" i="2"/>
  <c r="E108" i="2"/>
  <c r="J32" i="34"/>
  <c r="K32" i="34"/>
  <c r="M32" i="34"/>
  <c r="N32" i="34"/>
  <c r="O32" i="34"/>
  <c r="P32" i="34"/>
  <c r="Q32" i="34"/>
  <c r="R32" i="34"/>
  <c r="S32" i="34"/>
  <c r="T32" i="34"/>
  <c r="U32" i="34"/>
  <c r="V32" i="34"/>
  <c r="W32" i="34"/>
  <c r="X32" i="34"/>
  <c r="Y32" i="34"/>
  <c r="Z32" i="34"/>
  <c r="AA32" i="34"/>
  <c r="AB32" i="34"/>
  <c r="AC32" i="34"/>
  <c r="AD32" i="34"/>
  <c r="AE32" i="34"/>
  <c r="AF32" i="34"/>
  <c r="AG32" i="34"/>
  <c r="AH32" i="34"/>
  <c r="AI32" i="34"/>
  <c r="AJ32" i="34"/>
  <c r="AK32" i="34"/>
  <c r="AL32" i="34"/>
  <c r="AM32" i="34"/>
  <c r="AN32" i="34"/>
  <c r="AO32" i="34"/>
  <c r="AP32" i="34"/>
  <c r="AQ32" i="34"/>
  <c r="AR32" i="34"/>
  <c r="AS32" i="34"/>
  <c r="D109" i="2"/>
  <c r="C109" i="2"/>
  <c r="E109" i="2"/>
  <c r="M44" i="34"/>
  <c r="N44" i="34"/>
  <c r="O44" i="34"/>
  <c r="P44" i="34"/>
  <c r="Q44" i="34"/>
  <c r="R44" i="34"/>
  <c r="S44" i="34"/>
  <c r="T44" i="34"/>
  <c r="U44" i="34"/>
  <c r="V44" i="34"/>
  <c r="W44" i="34"/>
  <c r="X44" i="34"/>
  <c r="Y44" i="34"/>
  <c r="Z44" i="34"/>
  <c r="AA44" i="34"/>
  <c r="AB44" i="34"/>
  <c r="AC44" i="34"/>
  <c r="AD44" i="34"/>
  <c r="AE44" i="34"/>
  <c r="AF44" i="34"/>
  <c r="AG44" i="34"/>
  <c r="AH44" i="34"/>
  <c r="AI44" i="34"/>
  <c r="AJ44" i="34"/>
  <c r="AK44" i="34"/>
  <c r="AL44" i="34"/>
  <c r="AM44" i="34"/>
  <c r="AN44" i="34"/>
  <c r="AO44" i="34"/>
  <c r="AP44" i="34"/>
  <c r="AQ44" i="34"/>
  <c r="AR44" i="34"/>
  <c r="AS44" i="34"/>
  <c r="D110" i="2"/>
  <c r="C110" i="2"/>
  <c r="E110" i="2"/>
  <c r="F107" i="2"/>
  <c r="J56" i="34"/>
  <c r="K56" i="34"/>
  <c r="M56" i="34"/>
  <c r="N56" i="34"/>
  <c r="O56" i="34"/>
  <c r="P56" i="34"/>
  <c r="Q56" i="34"/>
  <c r="R56" i="34"/>
  <c r="S56" i="34"/>
  <c r="T56" i="34"/>
  <c r="U56" i="34"/>
  <c r="V56" i="34"/>
  <c r="W56" i="34"/>
  <c r="X56" i="34"/>
  <c r="Y56" i="34"/>
  <c r="Z56" i="34"/>
  <c r="AA56" i="34"/>
  <c r="AB56" i="34"/>
  <c r="AC56" i="34"/>
  <c r="AD56" i="34"/>
  <c r="AE56" i="34"/>
  <c r="AF56" i="34"/>
  <c r="AG56" i="34"/>
  <c r="AH56" i="34"/>
  <c r="AI56" i="34"/>
  <c r="AJ56" i="34"/>
  <c r="AK56" i="34"/>
  <c r="AL56" i="34"/>
  <c r="AM56" i="34"/>
  <c r="AN56" i="34"/>
  <c r="AO56" i="34"/>
  <c r="AP56" i="34"/>
  <c r="AQ56" i="34"/>
  <c r="AR56" i="34"/>
  <c r="AS56" i="34"/>
  <c r="D111" i="2"/>
  <c r="C111" i="2"/>
  <c r="E111" i="2"/>
  <c r="J68" i="34"/>
  <c r="K68" i="34"/>
  <c r="M68" i="34"/>
  <c r="N68" i="34"/>
  <c r="O68" i="34"/>
  <c r="P68" i="34"/>
  <c r="Q68" i="34"/>
  <c r="R68" i="34"/>
  <c r="S68" i="34"/>
  <c r="T68" i="34"/>
  <c r="U68" i="34"/>
  <c r="V68" i="34"/>
  <c r="W68" i="34"/>
  <c r="X68" i="34"/>
  <c r="Y68" i="34"/>
  <c r="Z68" i="34"/>
  <c r="AA68" i="34"/>
  <c r="AB68" i="34"/>
  <c r="AC68" i="34"/>
  <c r="AD68" i="34"/>
  <c r="AE68" i="34"/>
  <c r="AF68" i="34"/>
  <c r="AG68" i="34"/>
  <c r="AH68" i="34"/>
  <c r="AI68" i="34"/>
  <c r="AJ68" i="34"/>
  <c r="AK68" i="34"/>
  <c r="AL68" i="34"/>
  <c r="AM68" i="34"/>
  <c r="AN68" i="34"/>
  <c r="AO68" i="34"/>
  <c r="AP68" i="34"/>
  <c r="AQ68" i="34"/>
  <c r="AR68" i="34"/>
  <c r="AS68" i="34"/>
  <c r="D112" i="2"/>
  <c r="C112" i="2"/>
  <c r="E112" i="2"/>
  <c r="J80" i="34"/>
  <c r="K80" i="34"/>
  <c r="M80" i="34"/>
  <c r="N80" i="34"/>
  <c r="O80" i="34"/>
  <c r="P80" i="34"/>
  <c r="Q80" i="34"/>
  <c r="R80" i="34"/>
  <c r="S80" i="34"/>
  <c r="T80" i="34"/>
  <c r="U80" i="34"/>
  <c r="V80" i="34"/>
  <c r="W80" i="34"/>
  <c r="X80" i="34"/>
  <c r="Y80" i="34"/>
  <c r="Z80" i="34"/>
  <c r="AA80" i="34"/>
  <c r="AB80" i="34"/>
  <c r="AC80" i="34"/>
  <c r="AD80" i="34"/>
  <c r="AE80" i="34"/>
  <c r="AF80" i="34"/>
  <c r="AG80" i="34"/>
  <c r="AH80" i="34"/>
  <c r="AI80" i="34"/>
  <c r="AJ80" i="34"/>
  <c r="AK80" i="34"/>
  <c r="AL80" i="34"/>
  <c r="AM80" i="34"/>
  <c r="AN80" i="34"/>
  <c r="AO80" i="34"/>
  <c r="AP80" i="34"/>
  <c r="AQ80" i="34"/>
  <c r="AR80" i="34"/>
  <c r="AS80" i="34"/>
  <c r="D113" i="2"/>
  <c r="C113" i="2"/>
  <c r="E113" i="2"/>
  <c r="J92" i="34"/>
  <c r="K92" i="34"/>
  <c r="M92" i="34"/>
  <c r="N92" i="34"/>
  <c r="O92" i="34"/>
  <c r="P92" i="34"/>
  <c r="Q92" i="34"/>
  <c r="R92" i="34"/>
  <c r="S92" i="34"/>
  <c r="T92" i="34"/>
  <c r="U92" i="34"/>
  <c r="V92" i="34"/>
  <c r="W92" i="34"/>
  <c r="X92" i="34"/>
  <c r="Y92" i="34"/>
  <c r="Z92" i="34"/>
  <c r="AA92" i="34"/>
  <c r="AB92" i="34"/>
  <c r="AC92" i="34"/>
  <c r="AD92" i="34"/>
  <c r="AE92" i="34"/>
  <c r="AF92" i="34"/>
  <c r="AG92" i="34"/>
  <c r="AH92" i="34"/>
  <c r="AI92" i="34"/>
  <c r="AJ92" i="34"/>
  <c r="AK92" i="34"/>
  <c r="AL92" i="34"/>
  <c r="AM92" i="34"/>
  <c r="AN92" i="34"/>
  <c r="AO92" i="34"/>
  <c r="AP92" i="34"/>
  <c r="AQ92" i="34"/>
  <c r="AR92" i="34"/>
  <c r="AS92" i="34"/>
  <c r="D114" i="2"/>
  <c r="C114" i="2"/>
  <c r="E114" i="2"/>
  <c r="F111" i="2"/>
  <c r="J104" i="34"/>
  <c r="K104" i="34"/>
  <c r="M104" i="34"/>
  <c r="N104" i="34"/>
  <c r="O104" i="34"/>
  <c r="P104" i="34"/>
  <c r="Q104" i="34"/>
  <c r="R104" i="34"/>
  <c r="S104" i="34"/>
  <c r="T104" i="34"/>
  <c r="U104" i="34"/>
  <c r="V104" i="34"/>
  <c r="W104" i="34"/>
  <c r="X104" i="34"/>
  <c r="Y104" i="34"/>
  <c r="Z104" i="34"/>
  <c r="AA104" i="34"/>
  <c r="AB104" i="34"/>
  <c r="AC104" i="34"/>
  <c r="AD104" i="34"/>
  <c r="AE104" i="34"/>
  <c r="AF104" i="34"/>
  <c r="AG104" i="34"/>
  <c r="AH104" i="34"/>
  <c r="AI104" i="34"/>
  <c r="AJ104" i="34"/>
  <c r="AK104" i="34"/>
  <c r="AL104" i="34"/>
  <c r="AM104" i="34"/>
  <c r="AN104" i="34"/>
  <c r="AO104" i="34"/>
  <c r="AP104" i="34"/>
  <c r="AQ104" i="34"/>
  <c r="AR104" i="34"/>
  <c r="AS104" i="34"/>
  <c r="D115" i="2"/>
  <c r="C115" i="2"/>
  <c r="E115" i="2"/>
  <c r="J116" i="34"/>
  <c r="K116" i="34"/>
  <c r="M116" i="34"/>
  <c r="N116" i="34"/>
  <c r="O116" i="34"/>
  <c r="P116" i="34"/>
  <c r="Q116" i="34"/>
  <c r="R116" i="34"/>
  <c r="S116" i="34"/>
  <c r="T116" i="34"/>
  <c r="U116" i="34"/>
  <c r="V116" i="34"/>
  <c r="W116" i="34"/>
  <c r="X116" i="34"/>
  <c r="Y116" i="34"/>
  <c r="Z116" i="34"/>
  <c r="AA116" i="34"/>
  <c r="AB116" i="34"/>
  <c r="AC116" i="34"/>
  <c r="AD116" i="34"/>
  <c r="AE116" i="34"/>
  <c r="AF116" i="34"/>
  <c r="AG116" i="34"/>
  <c r="AH116" i="34"/>
  <c r="AI116" i="34"/>
  <c r="AJ116" i="34"/>
  <c r="AK116" i="34"/>
  <c r="AL116" i="34"/>
  <c r="AM116" i="34"/>
  <c r="AN116" i="34"/>
  <c r="AO116" i="34"/>
  <c r="AP116" i="34"/>
  <c r="AQ116" i="34"/>
  <c r="AR116" i="34"/>
  <c r="AS116" i="34"/>
  <c r="D116" i="2"/>
  <c r="C116" i="2"/>
  <c r="E116" i="2"/>
  <c r="J128" i="34"/>
  <c r="K128" i="34"/>
  <c r="M128" i="34"/>
  <c r="N128" i="34"/>
  <c r="O128" i="34"/>
  <c r="P128" i="34"/>
  <c r="Q128" i="34"/>
  <c r="R128" i="34"/>
  <c r="S128" i="34"/>
  <c r="T128" i="34"/>
  <c r="U128" i="34"/>
  <c r="V128" i="34"/>
  <c r="W128" i="34"/>
  <c r="X128" i="34"/>
  <c r="Y128" i="34"/>
  <c r="Z128" i="34"/>
  <c r="AA128" i="34"/>
  <c r="AB128" i="34"/>
  <c r="AC128" i="34"/>
  <c r="AD128" i="34"/>
  <c r="AE128" i="34"/>
  <c r="AF128" i="34"/>
  <c r="AG128" i="34"/>
  <c r="AH128" i="34"/>
  <c r="AI128" i="34"/>
  <c r="AJ128" i="34"/>
  <c r="AK128" i="34"/>
  <c r="AL128" i="34"/>
  <c r="AM128" i="34"/>
  <c r="AN128" i="34"/>
  <c r="AO128" i="34"/>
  <c r="AP128" i="34"/>
  <c r="AQ128" i="34"/>
  <c r="AR128" i="34"/>
  <c r="AS128" i="34"/>
  <c r="D117" i="2"/>
  <c r="C117" i="2"/>
  <c r="E117" i="2"/>
  <c r="J140" i="34"/>
  <c r="K140" i="34"/>
  <c r="M140" i="34"/>
  <c r="N140" i="34"/>
  <c r="O140" i="34"/>
  <c r="P140" i="34"/>
  <c r="Q140" i="34"/>
  <c r="R140" i="34"/>
  <c r="S140" i="34"/>
  <c r="T140" i="34"/>
  <c r="U140" i="34"/>
  <c r="V140" i="34"/>
  <c r="W140" i="34"/>
  <c r="X140" i="34"/>
  <c r="Y140" i="34"/>
  <c r="Z140" i="34"/>
  <c r="AA140" i="34"/>
  <c r="AB140" i="34"/>
  <c r="AC140" i="34"/>
  <c r="AD140" i="34"/>
  <c r="AE140" i="34"/>
  <c r="AF140" i="34"/>
  <c r="AG140" i="34"/>
  <c r="AH140" i="34"/>
  <c r="AI140" i="34"/>
  <c r="AJ140" i="34"/>
  <c r="AK140" i="34"/>
  <c r="AL140" i="34"/>
  <c r="AM140" i="34"/>
  <c r="AN140" i="34"/>
  <c r="AO140" i="34"/>
  <c r="AP140" i="34"/>
  <c r="AQ140" i="34"/>
  <c r="AR140" i="34"/>
  <c r="AS140" i="34"/>
  <c r="D118" i="2"/>
  <c r="C118" i="2"/>
  <c r="E118" i="2"/>
  <c r="F115" i="2"/>
  <c r="J152" i="34"/>
  <c r="K152" i="34"/>
  <c r="M152" i="34"/>
  <c r="N152" i="34"/>
  <c r="O152" i="34"/>
  <c r="P152" i="34"/>
  <c r="Q152" i="34"/>
  <c r="R152" i="34"/>
  <c r="S152" i="34"/>
  <c r="T152" i="34"/>
  <c r="U152" i="34"/>
  <c r="V152" i="34"/>
  <c r="W152" i="34"/>
  <c r="X152" i="34"/>
  <c r="Y152" i="34"/>
  <c r="Z152" i="34"/>
  <c r="AA152" i="34"/>
  <c r="AB152" i="34"/>
  <c r="AC152" i="34"/>
  <c r="AD152" i="34"/>
  <c r="AE152" i="34"/>
  <c r="AF152" i="34"/>
  <c r="AG152" i="34"/>
  <c r="AH152" i="34"/>
  <c r="AI152" i="34"/>
  <c r="AJ152" i="34"/>
  <c r="AK152" i="34"/>
  <c r="AL152" i="34"/>
  <c r="AM152" i="34"/>
  <c r="AN152" i="34"/>
  <c r="AO152" i="34"/>
  <c r="AP152" i="34"/>
  <c r="AQ152" i="34"/>
  <c r="AR152" i="34"/>
  <c r="AS152" i="34"/>
  <c r="D119" i="2"/>
  <c r="C119" i="2"/>
  <c r="E119" i="2"/>
  <c r="J164" i="34"/>
  <c r="K164" i="34"/>
  <c r="M164" i="34"/>
  <c r="N164" i="34"/>
  <c r="O164" i="34"/>
  <c r="P164" i="34"/>
  <c r="Q164" i="34"/>
  <c r="R164" i="34"/>
  <c r="S164" i="34"/>
  <c r="T164" i="34"/>
  <c r="U164" i="34"/>
  <c r="V164" i="34"/>
  <c r="W164" i="34"/>
  <c r="X164" i="34"/>
  <c r="Y164" i="34"/>
  <c r="Z164" i="34"/>
  <c r="AA164" i="34"/>
  <c r="AB164" i="34"/>
  <c r="AC164" i="34"/>
  <c r="AD164" i="34"/>
  <c r="AE164" i="34"/>
  <c r="AF164" i="34"/>
  <c r="AG164" i="34"/>
  <c r="AH164" i="34"/>
  <c r="AI164" i="34"/>
  <c r="AJ164" i="34"/>
  <c r="AK164" i="34"/>
  <c r="AL164" i="34"/>
  <c r="AM164" i="34"/>
  <c r="AN164" i="34"/>
  <c r="AO164" i="34"/>
  <c r="AP164" i="34"/>
  <c r="AQ164" i="34"/>
  <c r="AR164" i="34"/>
  <c r="AS164" i="34"/>
  <c r="D120" i="2"/>
  <c r="C120" i="2"/>
  <c r="E120" i="2"/>
  <c r="J176" i="34"/>
  <c r="K176" i="34"/>
  <c r="M176" i="34"/>
  <c r="N176" i="34"/>
  <c r="O176" i="34"/>
  <c r="P176" i="34"/>
  <c r="Q176" i="34"/>
  <c r="R176" i="34"/>
  <c r="S176" i="34"/>
  <c r="T176" i="34"/>
  <c r="U176" i="34"/>
  <c r="V176" i="34"/>
  <c r="W176" i="34"/>
  <c r="X176" i="34"/>
  <c r="Y176" i="34"/>
  <c r="Z176" i="34"/>
  <c r="AA176" i="34"/>
  <c r="AB176" i="34"/>
  <c r="AC176" i="34"/>
  <c r="AD176" i="34"/>
  <c r="AE176" i="34"/>
  <c r="AF176" i="34"/>
  <c r="AG176" i="34"/>
  <c r="AH176" i="34"/>
  <c r="AI176" i="34"/>
  <c r="AJ176" i="34"/>
  <c r="AK176" i="34"/>
  <c r="AL176" i="34"/>
  <c r="AM176" i="34"/>
  <c r="AN176" i="34"/>
  <c r="AO176" i="34"/>
  <c r="AP176" i="34"/>
  <c r="AQ176" i="34"/>
  <c r="AR176" i="34"/>
  <c r="AS176" i="34"/>
  <c r="D121" i="2"/>
  <c r="C121" i="2"/>
  <c r="E121" i="2"/>
  <c r="J188" i="34"/>
  <c r="K188" i="34"/>
  <c r="M188" i="34"/>
  <c r="N188" i="34"/>
  <c r="O188" i="34"/>
  <c r="P188" i="34"/>
  <c r="Q188" i="34"/>
  <c r="R188" i="34"/>
  <c r="S188" i="34"/>
  <c r="T188" i="34"/>
  <c r="U188" i="34"/>
  <c r="V188" i="34"/>
  <c r="W188" i="34"/>
  <c r="X188" i="34"/>
  <c r="Y188" i="34"/>
  <c r="Z188" i="34"/>
  <c r="AA188" i="34"/>
  <c r="AB188" i="34"/>
  <c r="AC188" i="34"/>
  <c r="AD188" i="34"/>
  <c r="AE188" i="34"/>
  <c r="AF188" i="34"/>
  <c r="AG188" i="34"/>
  <c r="AH188" i="34"/>
  <c r="AI188" i="34"/>
  <c r="AJ188" i="34"/>
  <c r="AK188" i="34"/>
  <c r="AL188" i="34"/>
  <c r="AM188" i="34"/>
  <c r="AN188" i="34"/>
  <c r="AO188" i="34"/>
  <c r="AP188" i="34"/>
  <c r="AQ188" i="34"/>
  <c r="AR188" i="34"/>
  <c r="AS188" i="34"/>
  <c r="D122" i="2"/>
  <c r="C122" i="2"/>
  <c r="E122" i="2"/>
  <c r="F119" i="2"/>
  <c r="J200" i="34"/>
  <c r="K200" i="34"/>
  <c r="M200" i="34"/>
  <c r="N200" i="34"/>
  <c r="O200" i="34"/>
  <c r="P200" i="34"/>
  <c r="Q200" i="34"/>
  <c r="R200" i="34"/>
  <c r="S200" i="34"/>
  <c r="T200" i="34"/>
  <c r="U200" i="34"/>
  <c r="V200" i="34"/>
  <c r="W200" i="34"/>
  <c r="X200" i="34"/>
  <c r="Y200" i="34"/>
  <c r="Z200" i="34"/>
  <c r="AA200" i="34"/>
  <c r="AB200" i="34"/>
  <c r="AC200" i="34"/>
  <c r="AD200" i="34"/>
  <c r="AE200" i="34"/>
  <c r="AF200" i="34"/>
  <c r="AG200" i="34"/>
  <c r="AH200" i="34"/>
  <c r="AI200" i="34"/>
  <c r="AJ200" i="34"/>
  <c r="AK200" i="34"/>
  <c r="AL200" i="34"/>
  <c r="AM200" i="34"/>
  <c r="AN200" i="34"/>
  <c r="AO200" i="34"/>
  <c r="AP200" i="34"/>
  <c r="AQ200" i="34"/>
  <c r="AR200" i="34"/>
  <c r="AS200" i="34"/>
  <c r="D123" i="2"/>
  <c r="C123" i="2"/>
  <c r="E123" i="2"/>
  <c r="J212" i="34"/>
  <c r="K212" i="34"/>
  <c r="M212" i="34"/>
  <c r="N212" i="34"/>
  <c r="O212" i="34"/>
  <c r="P212" i="34"/>
  <c r="Q212" i="34"/>
  <c r="R212" i="34"/>
  <c r="S212" i="34"/>
  <c r="T212" i="34"/>
  <c r="U212" i="34"/>
  <c r="V212" i="34"/>
  <c r="W212" i="34"/>
  <c r="X212" i="34"/>
  <c r="Y212" i="34"/>
  <c r="Z212" i="34"/>
  <c r="AA212" i="34"/>
  <c r="AB212" i="34"/>
  <c r="AC212" i="34"/>
  <c r="AD212" i="34"/>
  <c r="AE212" i="34"/>
  <c r="AF212" i="34"/>
  <c r="AG212" i="34"/>
  <c r="AH212" i="34"/>
  <c r="AI212" i="34"/>
  <c r="AJ212" i="34"/>
  <c r="AK212" i="34"/>
  <c r="AL212" i="34"/>
  <c r="AM212" i="34"/>
  <c r="AN212" i="34"/>
  <c r="AO212" i="34"/>
  <c r="AP212" i="34"/>
  <c r="AQ212" i="34"/>
  <c r="AR212" i="34"/>
  <c r="AS212" i="34"/>
  <c r="D124" i="2"/>
  <c r="C124" i="2"/>
  <c r="E124" i="2"/>
  <c r="J224" i="34"/>
  <c r="K224" i="34"/>
  <c r="M224" i="34"/>
  <c r="N224" i="34"/>
  <c r="O224" i="34"/>
  <c r="P224" i="34"/>
  <c r="Q224" i="34"/>
  <c r="R224" i="34"/>
  <c r="S224" i="34"/>
  <c r="T224" i="34"/>
  <c r="U224" i="34"/>
  <c r="V224" i="34"/>
  <c r="W224" i="34"/>
  <c r="X224" i="34"/>
  <c r="Y224" i="34"/>
  <c r="Z224" i="34"/>
  <c r="AA224" i="34"/>
  <c r="AB224" i="34"/>
  <c r="AC224" i="34"/>
  <c r="AD224" i="34"/>
  <c r="AE224" i="34"/>
  <c r="AF224" i="34"/>
  <c r="AG224" i="34"/>
  <c r="AH224" i="34"/>
  <c r="AI224" i="34"/>
  <c r="AJ224" i="34"/>
  <c r="AK224" i="34"/>
  <c r="AL224" i="34"/>
  <c r="AM224" i="34"/>
  <c r="AN224" i="34"/>
  <c r="AO224" i="34"/>
  <c r="AP224" i="34"/>
  <c r="AQ224" i="34"/>
  <c r="AR224" i="34"/>
  <c r="AS224" i="34"/>
  <c r="D125" i="2"/>
  <c r="C125" i="2"/>
  <c r="E125" i="2"/>
  <c r="J236" i="34"/>
  <c r="K236" i="34"/>
  <c r="M236" i="34"/>
  <c r="N236" i="34"/>
  <c r="O236" i="34"/>
  <c r="P236" i="34"/>
  <c r="Q236" i="34"/>
  <c r="R236" i="34"/>
  <c r="S236" i="34"/>
  <c r="T236" i="34"/>
  <c r="U236" i="34"/>
  <c r="V236" i="34"/>
  <c r="W236" i="34"/>
  <c r="X236" i="34"/>
  <c r="Y236" i="34"/>
  <c r="Z236" i="34"/>
  <c r="AA236" i="34"/>
  <c r="AB236" i="34"/>
  <c r="AC236" i="34"/>
  <c r="AD236" i="34"/>
  <c r="AE236" i="34"/>
  <c r="AF236" i="34"/>
  <c r="AG236" i="34"/>
  <c r="AH236" i="34"/>
  <c r="AI236" i="34"/>
  <c r="AJ236" i="34"/>
  <c r="AK236" i="34"/>
  <c r="AL236" i="34"/>
  <c r="AM236" i="34"/>
  <c r="AN236" i="34"/>
  <c r="AO236" i="34"/>
  <c r="AP236" i="34"/>
  <c r="AQ236" i="34"/>
  <c r="AR236" i="34"/>
  <c r="AS236" i="34"/>
  <c r="D126" i="2"/>
  <c r="C126" i="2"/>
  <c r="E126" i="2"/>
  <c r="F123" i="2"/>
  <c r="D127" i="2"/>
  <c r="C127" i="2"/>
  <c r="E127" i="2"/>
  <c r="F127" i="2"/>
  <c r="D128" i="2"/>
  <c r="C128" i="2"/>
  <c r="E128" i="2"/>
  <c r="F128" i="2"/>
  <c r="D129" i="2"/>
  <c r="C129" i="2"/>
  <c r="E129" i="2"/>
  <c r="D130" i="2"/>
  <c r="C130" i="2"/>
  <c r="E130" i="2"/>
  <c r="F129" i="2"/>
  <c r="J248" i="34"/>
  <c r="K248" i="34"/>
  <c r="M248" i="34"/>
  <c r="N248" i="34"/>
  <c r="O248" i="34"/>
  <c r="P248" i="34"/>
  <c r="Q248" i="34"/>
  <c r="R248" i="34"/>
  <c r="S248" i="34"/>
  <c r="T248" i="34"/>
  <c r="U248" i="34"/>
  <c r="V248" i="34"/>
  <c r="W248" i="34"/>
  <c r="X248" i="34"/>
  <c r="Y248" i="34"/>
  <c r="Z248" i="34"/>
  <c r="AA248" i="34"/>
  <c r="AB248" i="34"/>
  <c r="AC248" i="34"/>
  <c r="AD248" i="34"/>
  <c r="AE248" i="34"/>
  <c r="AF248" i="34"/>
  <c r="AG248" i="34"/>
  <c r="AH248" i="34"/>
  <c r="AI248" i="34"/>
  <c r="AJ248" i="34"/>
  <c r="AK248" i="34"/>
  <c r="AL248" i="34"/>
  <c r="AM248" i="34"/>
  <c r="AN248" i="34"/>
  <c r="AO248" i="34"/>
  <c r="AP248" i="34"/>
  <c r="AQ248" i="34"/>
  <c r="AR248" i="34"/>
  <c r="AS248" i="34"/>
  <c r="D131" i="2"/>
  <c r="C131" i="2"/>
  <c r="E131" i="2"/>
  <c r="F131" i="2"/>
  <c r="J260" i="34"/>
  <c r="K260" i="34"/>
  <c r="M260" i="34"/>
  <c r="N260" i="34"/>
  <c r="O260" i="34"/>
  <c r="P260" i="34"/>
  <c r="Q260" i="34"/>
  <c r="R260" i="34"/>
  <c r="S260" i="34"/>
  <c r="T260" i="34"/>
  <c r="U260" i="34"/>
  <c r="V260" i="34"/>
  <c r="W260" i="34"/>
  <c r="X260" i="34"/>
  <c r="Y260" i="34"/>
  <c r="Z260" i="34"/>
  <c r="AA260" i="34"/>
  <c r="AB260" i="34"/>
  <c r="AC260" i="34"/>
  <c r="AD260" i="34"/>
  <c r="AE260" i="34"/>
  <c r="AF260" i="34"/>
  <c r="AG260" i="34"/>
  <c r="AH260" i="34"/>
  <c r="AI260" i="34"/>
  <c r="AJ260" i="34"/>
  <c r="AK260" i="34"/>
  <c r="AL260" i="34"/>
  <c r="AM260" i="34"/>
  <c r="AN260" i="34"/>
  <c r="AO260" i="34"/>
  <c r="AP260" i="34"/>
  <c r="AQ260" i="34"/>
  <c r="AR260" i="34"/>
  <c r="AS260" i="34"/>
  <c r="D132" i="2"/>
  <c r="C132" i="2"/>
  <c r="E132" i="2"/>
  <c r="F132" i="2"/>
  <c r="F106" i="2"/>
  <c r="D136" i="2"/>
  <c r="C136" i="2"/>
  <c r="E136" i="2"/>
  <c r="F136" i="2"/>
  <c r="D137" i="2"/>
  <c r="C137" i="2"/>
  <c r="E137" i="2"/>
  <c r="F137" i="2"/>
  <c r="D138" i="2"/>
  <c r="C138" i="2"/>
  <c r="E138" i="2"/>
  <c r="J20" i="37"/>
  <c r="K20" i="37"/>
  <c r="M20" i="37"/>
  <c r="N20" i="37"/>
  <c r="O20" i="37"/>
  <c r="P20" i="37"/>
  <c r="Q20" i="37"/>
  <c r="R20" i="37"/>
  <c r="S20" i="37"/>
  <c r="T20" i="37"/>
  <c r="U20" i="37"/>
  <c r="V20" i="37"/>
  <c r="W20" i="37"/>
  <c r="X20" i="37"/>
  <c r="Y20" i="37"/>
  <c r="Z20" i="37"/>
  <c r="AA20" i="37"/>
  <c r="AB20" i="37"/>
  <c r="AC20" i="37"/>
  <c r="AD20" i="37"/>
  <c r="AE20" i="37"/>
  <c r="AF20" i="37"/>
  <c r="AG20" i="37"/>
  <c r="AH20" i="37"/>
  <c r="AI20" i="37"/>
  <c r="AJ20" i="37"/>
  <c r="AK20" i="37"/>
  <c r="AL20" i="37"/>
  <c r="AM20" i="37"/>
  <c r="AN20" i="37"/>
  <c r="AO20" i="37"/>
  <c r="AP20" i="37"/>
  <c r="AQ20" i="37"/>
  <c r="AR20" i="37"/>
  <c r="AS20" i="37"/>
  <c r="D139" i="2"/>
  <c r="C139" i="2"/>
  <c r="E139" i="2"/>
  <c r="J32" i="37"/>
  <c r="K32" i="37"/>
  <c r="M32" i="37"/>
  <c r="N32" i="37"/>
  <c r="O32" i="37"/>
  <c r="P32" i="37"/>
  <c r="Q32" i="37"/>
  <c r="R32" i="37"/>
  <c r="S32" i="37"/>
  <c r="T32" i="37"/>
  <c r="U32" i="37"/>
  <c r="V32" i="37"/>
  <c r="W32" i="37"/>
  <c r="X32" i="37"/>
  <c r="Y32" i="37"/>
  <c r="Z32" i="37"/>
  <c r="AA32" i="37"/>
  <c r="AB32" i="37"/>
  <c r="AC32" i="37"/>
  <c r="AD32" i="37"/>
  <c r="AE32" i="37"/>
  <c r="AF32" i="37"/>
  <c r="AG32" i="37"/>
  <c r="AH32" i="37"/>
  <c r="AI32" i="37"/>
  <c r="AJ32" i="37"/>
  <c r="AK32" i="37"/>
  <c r="AL32" i="37"/>
  <c r="AM32" i="37"/>
  <c r="AN32" i="37"/>
  <c r="AO32" i="37"/>
  <c r="AP32" i="37"/>
  <c r="AQ32" i="37"/>
  <c r="AR32" i="37"/>
  <c r="AS32" i="37"/>
  <c r="D140" i="2"/>
  <c r="C140" i="2"/>
  <c r="E140" i="2"/>
  <c r="M44" i="37"/>
  <c r="N44" i="37"/>
  <c r="O44" i="37"/>
  <c r="P44" i="37"/>
  <c r="Q44" i="37"/>
  <c r="R44" i="37"/>
  <c r="S44" i="37"/>
  <c r="T44" i="37"/>
  <c r="U44" i="37"/>
  <c r="V44" i="37"/>
  <c r="W44" i="37"/>
  <c r="X44" i="37"/>
  <c r="Y44" i="37"/>
  <c r="Z44" i="37"/>
  <c r="AA44" i="37"/>
  <c r="AB44" i="37"/>
  <c r="AC44" i="37"/>
  <c r="AD44" i="37"/>
  <c r="AE44" i="37"/>
  <c r="AF44" i="37"/>
  <c r="AG44" i="37"/>
  <c r="AH44" i="37"/>
  <c r="AI44" i="37"/>
  <c r="AJ44" i="37"/>
  <c r="AK44" i="37"/>
  <c r="AL44" i="37"/>
  <c r="AM44" i="37"/>
  <c r="AN44" i="37"/>
  <c r="AO44" i="37"/>
  <c r="AP44" i="37"/>
  <c r="AQ44" i="37"/>
  <c r="AR44" i="37"/>
  <c r="AS44" i="37"/>
  <c r="D141" i="2"/>
  <c r="C141" i="2"/>
  <c r="E141" i="2"/>
  <c r="F138" i="2"/>
  <c r="J56" i="37"/>
  <c r="K56" i="37"/>
  <c r="M56" i="37"/>
  <c r="N56" i="37"/>
  <c r="O56" i="37"/>
  <c r="P56" i="37"/>
  <c r="Q56" i="37"/>
  <c r="R56" i="37"/>
  <c r="S56" i="37"/>
  <c r="T56" i="37"/>
  <c r="U56" i="37"/>
  <c r="V56" i="37"/>
  <c r="W56" i="37"/>
  <c r="X56" i="37"/>
  <c r="Y56" i="37"/>
  <c r="Z56" i="37"/>
  <c r="AA56" i="37"/>
  <c r="AB56" i="37"/>
  <c r="AC56" i="37"/>
  <c r="AD56" i="37"/>
  <c r="AE56" i="37"/>
  <c r="AF56" i="37"/>
  <c r="AG56" i="37"/>
  <c r="AH56" i="37"/>
  <c r="AI56" i="37"/>
  <c r="AJ56" i="37"/>
  <c r="AK56" i="37"/>
  <c r="AL56" i="37"/>
  <c r="AM56" i="37"/>
  <c r="AN56" i="37"/>
  <c r="AO56" i="37"/>
  <c r="AP56" i="37"/>
  <c r="AQ56" i="37"/>
  <c r="AR56" i="37"/>
  <c r="AS56" i="37"/>
  <c r="D142" i="2"/>
  <c r="C142" i="2"/>
  <c r="E142" i="2"/>
  <c r="J68" i="37"/>
  <c r="K68" i="37"/>
  <c r="M68" i="37"/>
  <c r="N68" i="37"/>
  <c r="O68" i="37"/>
  <c r="P68" i="37"/>
  <c r="Q68" i="37"/>
  <c r="R68" i="37"/>
  <c r="S68" i="37"/>
  <c r="T68" i="37"/>
  <c r="U68" i="37"/>
  <c r="V68" i="37"/>
  <c r="W68" i="37"/>
  <c r="X68" i="37"/>
  <c r="Y68" i="37"/>
  <c r="Z68" i="37"/>
  <c r="AA68" i="37"/>
  <c r="AB68" i="37"/>
  <c r="AC68" i="37"/>
  <c r="AD68" i="37"/>
  <c r="AE68" i="37"/>
  <c r="AF68" i="37"/>
  <c r="AG68" i="37"/>
  <c r="AH68" i="37"/>
  <c r="AI68" i="37"/>
  <c r="AJ68" i="37"/>
  <c r="AK68" i="37"/>
  <c r="AL68" i="37"/>
  <c r="AM68" i="37"/>
  <c r="AN68" i="37"/>
  <c r="AO68" i="37"/>
  <c r="AP68" i="37"/>
  <c r="AQ68" i="37"/>
  <c r="AR68" i="37"/>
  <c r="AS68" i="37"/>
  <c r="D143" i="2"/>
  <c r="C143" i="2"/>
  <c r="E143" i="2"/>
  <c r="J80" i="37"/>
  <c r="K80" i="37"/>
  <c r="M80" i="37"/>
  <c r="N80" i="37"/>
  <c r="O80" i="37"/>
  <c r="P80" i="37"/>
  <c r="Q80" i="37"/>
  <c r="R80" i="37"/>
  <c r="S80" i="37"/>
  <c r="T80" i="37"/>
  <c r="U80" i="37"/>
  <c r="V80" i="37"/>
  <c r="W80" i="37"/>
  <c r="X80" i="37"/>
  <c r="Y80" i="37"/>
  <c r="Z80" i="37"/>
  <c r="AA80" i="37"/>
  <c r="AB80" i="37"/>
  <c r="AC80" i="37"/>
  <c r="AD80" i="37"/>
  <c r="AE80" i="37"/>
  <c r="AF80" i="37"/>
  <c r="AG80" i="37"/>
  <c r="AH80" i="37"/>
  <c r="AI80" i="37"/>
  <c r="AJ80" i="37"/>
  <c r="AK80" i="37"/>
  <c r="AL80" i="37"/>
  <c r="AM80" i="37"/>
  <c r="AN80" i="37"/>
  <c r="AO80" i="37"/>
  <c r="AP80" i="37"/>
  <c r="AQ80" i="37"/>
  <c r="AR80" i="37"/>
  <c r="AS80" i="37"/>
  <c r="D144" i="2"/>
  <c r="C144" i="2"/>
  <c r="E144" i="2"/>
  <c r="J92" i="37"/>
  <c r="K92" i="37"/>
  <c r="M92" i="37"/>
  <c r="N92" i="37"/>
  <c r="O92" i="37"/>
  <c r="P92" i="37"/>
  <c r="Q92" i="37"/>
  <c r="R92" i="37"/>
  <c r="S92" i="37"/>
  <c r="T92" i="37"/>
  <c r="U92" i="37"/>
  <c r="V92" i="37"/>
  <c r="W92" i="37"/>
  <c r="X92" i="37"/>
  <c r="Y92" i="37"/>
  <c r="Z92" i="37"/>
  <c r="AA92" i="37"/>
  <c r="AB92" i="37"/>
  <c r="AC92" i="37"/>
  <c r="AD92" i="37"/>
  <c r="AE92" i="37"/>
  <c r="AF92" i="37"/>
  <c r="AG92" i="37"/>
  <c r="AH92" i="37"/>
  <c r="AI92" i="37"/>
  <c r="AJ92" i="37"/>
  <c r="AK92" i="37"/>
  <c r="AL92" i="37"/>
  <c r="AM92" i="37"/>
  <c r="AN92" i="37"/>
  <c r="AO92" i="37"/>
  <c r="AP92" i="37"/>
  <c r="AQ92" i="37"/>
  <c r="AR92" i="37"/>
  <c r="AS92" i="37"/>
  <c r="D145" i="2"/>
  <c r="C145" i="2"/>
  <c r="E145" i="2"/>
  <c r="F142" i="2"/>
  <c r="J104" i="37"/>
  <c r="K104" i="37"/>
  <c r="M104" i="37"/>
  <c r="N104" i="37"/>
  <c r="O104" i="37"/>
  <c r="P104" i="37"/>
  <c r="Q104" i="37"/>
  <c r="R104" i="37"/>
  <c r="S104" i="37"/>
  <c r="T104" i="37"/>
  <c r="U104" i="37"/>
  <c r="V104" i="37"/>
  <c r="W104" i="37"/>
  <c r="X104" i="37"/>
  <c r="Y104" i="37"/>
  <c r="Z104" i="37"/>
  <c r="AA104" i="37"/>
  <c r="AB104" i="37"/>
  <c r="AC104" i="37"/>
  <c r="AD104" i="37"/>
  <c r="AE104" i="37"/>
  <c r="AF104" i="37"/>
  <c r="AG104" i="37"/>
  <c r="AH104" i="37"/>
  <c r="AI104" i="37"/>
  <c r="AJ104" i="37"/>
  <c r="AK104" i="37"/>
  <c r="AL104" i="37"/>
  <c r="AM104" i="37"/>
  <c r="AN104" i="37"/>
  <c r="AO104" i="37"/>
  <c r="AP104" i="37"/>
  <c r="AQ104" i="37"/>
  <c r="AR104" i="37"/>
  <c r="AS104" i="37"/>
  <c r="D146" i="2"/>
  <c r="C146" i="2"/>
  <c r="E146" i="2"/>
  <c r="J116" i="37"/>
  <c r="K116" i="37"/>
  <c r="M116" i="37"/>
  <c r="N116" i="37"/>
  <c r="O116" i="37"/>
  <c r="P116" i="37"/>
  <c r="Q116" i="37"/>
  <c r="R116" i="37"/>
  <c r="S116" i="37"/>
  <c r="T116" i="37"/>
  <c r="U116" i="37"/>
  <c r="V116" i="37"/>
  <c r="W116" i="37"/>
  <c r="X116" i="37"/>
  <c r="Y116" i="37"/>
  <c r="Z116" i="37"/>
  <c r="AA116" i="37"/>
  <c r="AB116" i="37"/>
  <c r="AC116" i="37"/>
  <c r="AD116" i="37"/>
  <c r="AE116" i="37"/>
  <c r="AF116" i="37"/>
  <c r="AG116" i="37"/>
  <c r="AH116" i="37"/>
  <c r="AI116" i="37"/>
  <c r="AJ116" i="37"/>
  <c r="AK116" i="37"/>
  <c r="AL116" i="37"/>
  <c r="AM116" i="37"/>
  <c r="AN116" i="37"/>
  <c r="AO116" i="37"/>
  <c r="AP116" i="37"/>
  <c r="AQ116" i="37"/>
  <c r="AR116" i="37"/>
  <c r="AS116" i="37"/>
  <c r="D147" i="2"/>
  <c r="C147" i="2"/>
  <c r="E147" i="2"/>
  <c r="J128" i="37"/>
  <c r="K128" i="37"/>
  <c r="M128" i="37"/>
  <c r="N128" i="37"/>
  <c r="O128" i="37"/>
  <c r="P128" i="37"/>
  <c r="Q128" i="37"/>
  <c r="R128" i="37"/>
  <c r="S128" i="37"/>
  <c r="T128" i="37"/>
  <c r="U128" i="37"/>
  <c r="V128" i="37"/>
  <c r="W128" i="37"/>
  <c r="X128" i="37"/>
  <c r="Y128" i="37"/>
  <c r="Z128" i="37"/>
  <c r="AA128" i="37"/>
  <c r="AB128" i="37"/>
  <c r="AC128" i="37"/>
  <c r="AD128" i="37"/>
  <c r="AE128" i="37"/>
  <c r="AF128" i="37"/>
  <c r="AG128" i="37"/>
  <c r="AH128" i="37"/>
  <c r="AI128" i="37"/>
  <c r="AJ128" i="37"/>
  <c r="AK128" i="37"/>
  <c r="AL128" i="37"/>
  <c r="AM128" i="37"/>
  <c r="AN128" i="37"/>
  <c r="AO128" i="37"/>
  <c r="AP128" i="37"/>
  <c r="AQ128" i="37"/>
  <c r="AR128" i="37"/>
  <c r="AS128" i="37"/>
  <c r="D148" i="2"/>
  <c r="C148" i="2"/>
  <c r="E148" i="2"/>
  <c r="J140" i="37"/>
  <c r="K140" i="37"/>
  <c r="M140" i="37"/>
  <c r="N140" i="37"/>
  <c r="O140" i="37"/>
  <c r="P140" i="37"/>
  <c r="Q140" i="37"/>
  <c r="R140" i="37"/>
  <c r="S140" i="37"/>
  <c r="T140" i="37"/>
  <c r="U140" i="37"/>
  <c r="V140" i="37"/>
  <c r="W140" i="37"/>
  <c r="X140" i="37"/>
  <c r="Y140" i="37"/>
  <c r="Z140" i="37"/>
  <c r="AA140" i="37"/>
  <c r="AB140" i="37"/>
  <c r="AC140" i="37"/>
  <c r="AD140" i="37"/>
  <c r="AE140" i="37"/>
  <c r="AF140" i="37"/>
  <c r="AG140" i="37"/>
  <c r="AH140" i="37"/>
  <c r="AI140" i="37"/>
  <c r="AJ140" i="37"/>
  <c r="AK140" i="37"/>
  <c r="AL140" i="37"/>
  <c r="AM140" i="37"/>
  <c r="AN140" i="37"/>
  <c r="AO140" i="37"/>
  <c r="AP140" i="37"/>
  <c r="AQ140" i="37"/>
  <c r="AR140" i="37"/>
  <c r="AS140" i="37"/>
  <c r="D149" i="2"/>
  <c r="C149" i="2"/>
  <c r="E149" i="2"/>
  <c r="F146" i="2"/>
  <c r="J152" i="37"/>
  <c r="K152" i="37"/>
  <c r="M152" i="37"/>
  <c r="N152" i="37"/>
  <c r="O152" i="37"/>
  <c r="P152" i="37"/>
  <c r="Q152" i="37"/>
  <c r="R152" i="37"/>
  <c r="S152" i="37"/>
  <c r="T152" i="37"/>
  <c r="U152" i="37"/>
  <c r="V152" i="37"/>
  <c r="W152" i="37"/>
  <c r="X152" i="37"/>
  <c r="Y152" i="37"/>
  <c r="Z152" i="37"/>
  <c r="AA152" i="37"/>
  <c r="AB152" i="37"/>
  <c r="AC152" i="37"/>
  <c r="AD152" i="37"/>
  <c r="AE152" i="37"/>
  <c r="AF152" i="37"/>
  <c r="AG152" i="37"/>
  <c r="AH152" i="37"/>
  <c r="AI152" i="37"/>
  <c r="AJ152" i="37"/>
  <c r="AK152" i="37"/>
  <c r="AL152" i="37"/>
  <c r="AM152" i="37"/>
  <c r="AN152" i="37"/>
  <c r="AO152" i="37"/>
  <c r="AP152" i="37"/>
  <c r="AQ152" i="37"/>
  <c r="AR152" i="37"/>
  <c r="AS152" i="37"/>
  <c r="D150" i="2"/>
  <c r="C150" i="2"/>
  <c r="E150" i="2"/>
  <c r="J164" i="37"/>
  <c r="K164" i="37"/>
  <c r="M164" i="37"/>
  <c r="N164" i="37"/>
  <c r="O164" i="37"/>
  <c r="P164" i="37"/>
  <c r="Q164" i="37"/>
  <c r="R164" i="37"/>
  <c r="S164" i="37"/>
  <c r="T164" i="37"/>
  <c r="U164" i="37"/>
  <c r="V164" i="37"/>
  <c r="W164" i="37"/>
  <c r="X164" i="37"/>
  <c r="Y164" i="37"/>
  <c r="Z164" i="37"/>
  <c r="AA164" i="37"/>
  <c r="AB164" i="37"/>
  <c r="AC164" i="37"/>
  <c r="AD164" i="37"/>
  <c r="AE164" i="37"/>
  <c r="AF164" i="37"/>
  <c r="AG164" i="37"/>
  <c r="AH164" i="37"/>
  <c r="AI164" i="37"/>
  <c r="AJ164" i="37"/>
  <c r="AK164" i="37"/>
  <c r="AL164" i="37"/>
  <c r="AM164" i="37"/>
  <c r="AN164" i="37"/>
  <c r="AO164" i="37"/>
  <c r="AP164" i="37"/>
  <c r="AQ164" i="37"/>
  <c r="AR164" i="37"/>
  <c r="AS164" i="37"/>
  <c r="D151" i="2"/>
  <c r="C151" i="2"/>
  <c r="E151" i="2"/>
  <c r="J176" i="37"/>
  <c r="K176" i="37"/>
  <c r="M176" i="37"/>
  <c r="N176" i="37"/>
  <c r="O176" i="37"/>
  <c r="P176" i="37"/>
  <c r="Q176" i="37"/>
  <c r="R176" i="37"/>
  <c r="S176" i="37"/>
  <c r="T176" i="37"/>
  <c r="U176" i="37"/>
  <c r="V176" i="37"/>
  <c r="W176" i="37"/>
  <c r="X176" i="37"/>
  <c r="Y176" i="37"/>
  <c r="Z176" i="37"/>
  <c r="AA176" i="37"/>
  <c r="AB176" i="37"/>
  <c r="AC176" i="37"/>
  <c r="AD176" i="37"/>
  <c r="AE176" i="37"/>
  <c r="AF176" i="37"/>
  <c r="AG176" i="37"/>
  <c r="AH176" i="37"/>
  <c r="AI176" i="37"/>
  <c r="AJ176" i="37"/>
  <c r="AK176" i="37"/>
  <c r="AL176" i="37"/>
  <c r="AM176" i="37"/>
  <c r="AN176" i="37"/>
  <c r="AO176" i="37"/>
  <c r="AP176" i="37"/>
  <c r="AQ176" i="37"/>
  <c r="AR176" i="37"/>
  <c r="AS176" i="37"/>
  <c r="D152" i="2"/>
  <c r="C152" i="2"/>
  <c r="E152" i="2"/>
  <c r="J188" i="37"/>
  <c r="K188" i="37"/>
  <c r="M188" i="37"/>
  <c r="N188" i="37"/>
  <c r="O188" i="37"/>
  <c r="P188" i="37"/>
  <c r="Q188" i="37"/>
  <c r="R188" i="37"/>
  <c r="S188" i="37"/>
  <c r="T188" i="37"/>
  <c r="U188" i="37"/>
  <c r="V188" i="37"/>
  <c r="W188" i="37"/>
  <c r="X188" i="37"/>
  <c r="Y188" i="37"/>
  <c r="Z188" i="37"/>
  <c r="AA188" i="37"/>
  <c r="AB188" i="37"/>
  <c r="AC188" i="37"/>
  <c r="AD188" i="37"/>
  <c r="AE188" i="37"/>
  <c r="AF188" i="37"/>
  <c r="AG188" i="37"/>
  <c r="AH188" i="37"/>
  <c r="AI188" i="37"/>
  <c r="AJ188" i="37"/>
  <c r="AK188" i="37"/>
  <c r="AL188" i="37"/>
  <c r="AM188" i="37"/>
  <c r="AN188" i="37"/>
  <c r="AO188" i="37"/>
  <c r="AP188" i="37"/>
  <c r="AQ188" i="37"/>
  <c r="AR188" i="37"/>
  <c r="AS188" i="37"/>
  <c r="D153" i="2"/>
  <c r="C153" i="2"/>
  <c r="E153" i="2"/>
  <c r="F150" i="2"/>
  <c r="J200" i="37"/>
  <c r="K200" i="37"/>
  <c r="M200" i="37"/>
  <c r="N200" i="37"/>
  <c r="O200" i="37"/>
  <c r="P200" i="37"/>
  <c r="Q200" i="37"/>
  <c r="R200" i="37"/>
  <c r="S200" i="37"/>
  <c r="T200" i="37"/>
  <c r="U200" i="37"/>
  <c r="V200" i="37"/>
  <c r="W200" i="37"/>
  <c r="X200" i="37"/>
  <c r="Y200" i="37"/>
  <c r="Z200" i="37"/>
  <c r="AA200" i="37"/>
  <c r="AB200" i="37"/>
  <c r="AC200" i="37"/>
  <c r="AD200" i="37"/>
  <c r="AE200" i="37"/>
  <c r="AF200" i="37"/>
  <c r="AG200" i="37"/>
  <c r="AH200" i="37"/>
  <c r="AI200" i="37"/>
  <c r="AJ200" i="37"/>
  <c r="AK200" i="37"/>
  <c r="AL200" i="37"/>
  <c r="AM200" i="37"/>
  <c r="AN200" i="37"/>
  <c r="AO200" i="37"/>
  <c r="AP200" i="37"/>
  <c r="AQ200" i="37"/>
  <c r="AR200" i="37"/>
  <c r="AS200" i="37"/>
  <c r="D154" i="2"/>
  <c r="C154" i="2"/>
  <c r="E154" i="2"/>
  <c r="F154" i="2"/>
  <c r="J212" i="37"/>
  <c r="K212" i="37"/>
  <c r="M212" i="37"/>
  <c r="N212" i="37"/>
  <c r="O212" i="37"/>
  <c r="P212" i="37"/>
  <c r="Q212" i="37"/>
  <c r="R212" i="37"/>
  <c r="S212" i="37"/>
  <c r="T212" i="37"/>
  <c r="U212" i="37"/>
  <c r="V212" i="37"/>
  <c r="W212" i="37"/>
  <c r="X212" i="37"/>
  <c r="Y212" i="37"/>
  <c r="Z212" i="37"/>
  <c r="AA212" i="37"/>
  <c r="AB212" i="37"/>
  <c r="AC212" i="37"/>
  <c r="AD212" i="37"/>
  <c r="AE212" i="37"/>
  <c r="AF212" i="37"/>
  <c r="AG212" i="37"/>
  <c r="AH212" i="37"/>
  <c r="AI212" i="37"/>
  <c r="AJ212" i="37"/>
  <c r="AK212" i="37"/>
  <c r="AL212" i="37"/>
  <c r="AM212" i="37"/>
  <c r="AN212" i="37"/>
  <c r="AO212" i="37"/>
  <c r="AP212" i="37"/>
  <c r="AQ212" i="37"/>
  <c r="AR212" i="37"/>
  <c r="AS212" i="37"/>
  <c r="D155" i="2"/>
  <c r="C155" i="2"/>
  <c r="E155" i="2"/>
  <c r="F155" i="2"/>
  <c r="J224" i="37"/>
  <c r="K224" i="37"/>
  <c r="M224" i="37"/>
  <c r="N224" i="37"/>
  <c r="O224" i="37"/>
  <c r="P224" i="37"/>
  <c r="Q224" i="37"/>
  <c r="R224" i="37"/>
  <c r="S224" i="37"/>
  <c r="T224" i="37"/>
  <c r="U224" i="37"/>
  <c r="V224" i="37"/>
  <c r="W224" i="37"/>
  <c r="X224" i="37"/>
  <c r="Y224" i="37"/>
  <c r="Z224" i="37"/>
  <c r="AA224" i="37"/>
  <c r="AB224" i="37"/>
  <c r="AC224" i="37"/>
  <c r="AD224" i="37"/>
  <c r="AE224" i="37"/>
  <c r="AF224" i="37"/>
  <c r="AG224" i="37"/>
  <c r="AH224" i="37"/>
  <c r="AI224" i="37"/>
  <c r="AJ224" i="37"/>
  <c r="AK224" i="37"/>
  <c r="AL224" i="37"/>
  <c r="AM224" i="37"/>
  <c r="AN224" i="37"/>
  <c r="AO224" i="37"/>
  <c r="AP224" i="37"/>
  <c r="AQ224" i="37"/>
  <c r="AR224" i="37"/>
  <c r="AS224" i="37"/>
  <c r="D156" i="2"/>
  <c r="C156" i="2"/>
  <c r="E156" i="2"/>
  <c r="F156" i="2"/>
  <c r="J236" i="37"/>
  <c r="K236" i="37"/>
  <c r="M236" i="37"/>
  <c r="N236" i="37"/>
  <c r="O236" i="37"/>
  <c r="P236" i="37"/>
  <c r="Q236" i="37"/>
  <c r="R236" i="37"/>
  <c r="S236" i="37"/>
  <c r="T236" i="37"/>
  <c r="U236" i="37"/>
  <c r="V236" i="37"/>
  <c r="W236" i="37"/>
  <c r="X236" i="37"/>
  <c r="Y236" i="37"/>
  <c r="Z236" i="37"/>
  <c r="AA236" i="37"/>
  <c r="AB236" i="37"/>
  <c r="AC236" i="37"/>
  <c r="AD236" i="37"/>
  <c r="AE236" i="37"/>
  <c r="AF236" i="37"/>
  <c r="AG236" i="37"/>
  <c r="AH236" i="37"/>
  <c r="AI236" i="37"/>
  <c r="AJ236" i="37"/>
  <c r="AK236" i="37"/>
  <c r="AL236" i="37"/>
  <c r="AM236" i="37"/>
  <c r="AN236" i="37"/>
  <c r="AO236" i="37"/>
  <c r="AP236" i="37"/>
  <c r="AQ236" i="37"/>
  <c r="AR236" i="37"/>
  <c r="AS236" i="37"/>
  <c r="D157" i="2"/>
  <c r="C157" i="2"/>
  <c r="E157" i="2"/>
  <c r="F157" i="2"/>
  <c r="F135" i="2"/>
  <c r="F2" i="2"/>
  <c r="J63" i="34"/>
  <c r="K63" i="34"/>
  <c r="L63" i="34"/>
  <c r="M63" i="34"/>
  <c r="N63" i="34"/>
  <c r="O63" i="34"/>
  <c r="P63" i="34"/>
  <c r="Q63" i="34"/>
  <c r="R63" i="34"/>
  <c r="S63" i="34"/>
  <c r="T63" i="34"/>
  <c r="U63" i="34"/>
  <c r="V63" i="34"/>
  <c r="W63" i="34"/>
  <c r="X63" i="34"/>
  <c r="Y63" i="34"/>
  <c r="Z63" i="34"/>
  <c r="AA63" i="34"/>
  <c r="AB63" i="34"/>
  <c r="AC63" i="34"/>
  <c r="AD63" i="34"/>
  <c r="AE63" i="34"/>
  <c r="AF63" i="34"/>
  <c r="AG63" i="34"/>
  <c r="AH63" i="34"/>
  <c r="AI63" i="34"/>
  <c r="AJ63" i="34"/>
  <c r="AK63" i="34"/>
  <c r="AL63" i="34"/>
  <c r="AM63" i="34"/>
  <c r="AN63" i="34"/>
  <c r="AO63" i="34"/>
  <c r="AP63" i="34"/>
  <c r="AQ63" i="34"/>
  <c r="AR63" i="34"/>
  <c r="AS63" i="34"/>
  <c r="A62" i="34"/>
  <c r="J75" i="34"/>
  <c r="K75" i="34"/>
  <c r="L75" i="34"/>
  <c r="M75" i="34"/>
  <c r="N75" i="34"/>
  <c r="O75" i="34"/>
  <c r="P75" i="34"/>
  <c r="Q75" i="34"/>
  <c r="R75" i="34"/>
  <c r="S75" i="34"/>
  <c r="T75" i="34"/>
  <c r="U75" i="34"/>
  <c r="V75" i="34"/>
  <c r="W75" i="34"/>
  <c r="X75" i="34"/>
  <c r="Y75" i="34"/>
  <c r="Z75" i="34"/>
  <c r="AA75" i="34"/>
  <c r="AB75" i="34"/>
  <c r="AC75" i="34"/>
  <c r="AD75" i="34"/>
  <c r="AE75" i="34"/>
  <c r="AF75" i="34"/>
  <c r="AG75" i="34"/>
  <c r="AH75" i="34"/>
  <c r="AI75" i="34"/>
  <c r="AJ75" i="34"/>
  <c r="AK75" i="34"/>
  <c r="AL75" i="34"/>
  <c r="AM75" i="34"/>
  <c r="AN75" i="34"/>
  <c r="AO75" i="34"/>
  <c r="AP75" i="34"/>
  <c r="AQ75" i="34"/>
  <c r="AR75" i="34"/>
  <c r="AS75" i="34"/>
  <c r="A74" i="34"/>
  <c r="J87" i="34"/>
  <c r="K87" i="34"/>
  <c r="L87" i="34"/>
  <c r="M87" i="34"/>
  <c r="N87" i="34"/>
  <c r="O87" i="34"/>
  <c r="P87" i="34"/>
  <c r="Q87" i="34"/>
  <c r="R87" i="34"/>
  <c r="S87" i="34"/>
  <c r="T87" i="34"/>
  <c r="U87" i="34"/>
  <c r="V87" i="34"/>
  <c r="W87" i="34"/>
  <c r="X87" i="34"/>
  <c r="Y87" i="34"/>
  <c r="Z87" i="34"/>
  <c r="AA87" i="34"/>
  <c r="AB87" i="34"/>
  <c r="AC87" i="34"/>
  <c r="AD87" i="34"/>
  <c r="AE87" i="34"/>
  <c r="AF87" i="34"/>
  <c r="AG87" i="34"/>
  <c r="AH87" i="34"/>
  <c r="AI87" i="34"/>
  <c r="AJ87" i="34"/>
  <c r="AK87" i="34"/>
  <c r="AL87" i="34"/>
  <c r="AM87" i="34"/>
  <c r="AN87" i="34"/>
  <c r="AO87" i="34"/>
  <c r="AP87" i="34"/>
  <c r="AQ87" i="34"/>
  <c r="AR87" i="34"/>
  <c r="AS87" i="34"/>
  <c r="A86" i="34"/>
  <c r="J99" i="34"/>
  <c r="K99" i="34"/>
  <c r="L99" i="34"/>
  <c r="M99" i="34"/>
  <c r="N99" i="34"/>
  <c r="O99" i="34"/>
  <c r="P99" i="34"/>
  <c r="Q99" i="34"/>
  <c r="R99" i="34"/>
  <c r="S99" i="34"/>
  <c r="T99" i="34"/>
  <c r="U99" i="34"/>
  <c r="V99" i="34"/>
  <c r="W99" i="34"/>
  <c r="X99" i="34"/>
  <c r="Y99" i="34"/>
  <c r="Z99" i="34"/>
  <c r="AA99" i="34"/>
  <c r="AB99" i="34"/>
  <c r="AC99" i="34"/>
  <c r="AD99" i="34"/>
  <c r="AE99" i="34"/>
  <c r="AF99" i="34"/>
  <c r="AG99" i="34"/>
  <c r="AH99" i="34"/>
  <c r="AI99" i="34"/>
  <c r="AJ99" i="34"/>
  <c r="AK99" i="34"/>
  <c r="AL99" i="34"/>
  <c r="AM99" i="34"/>
  <c r="AN99" i="34"/>
  <c r="AO99" i="34"/>
  <c r="AP99" i="34"/>
  <c r="AQ99" i="34"/>
  <c r="AR99" i="34"/>
  <c r="AS99" i="34"/>
  <c r="A98" i="34"/>
  <c r="J15" i="34"/>
  <c r="K15" i="34"/>
  <c r="L15" i="34"/>
  <c r="M15" i="34"/>
  <c r="N15" i="34"/>
  <c r="O15" i="34"/>
  <c r="P15" i="34"/>
  <c r="Q15" i="34"/>
  <c r="R15" i="34"/>
  <c r="S15" i="34"/>
  <c r="T15" i="34"/>
  <c r="U15" i="34"/>
  <c r="V15" i="34"/>
  <c r="W15" i="34"/>
  <c r="X15" i="34"/>
  <c r="Y15" i="34"/>
  <c r="Z15" i="34"/>
  <c r="AA15" i="34"/>
  <c r="AB15" i="34"/>
  <c r="AC15" i="34"/>
  <c r="AD15" i="34"/>
  <c r="AE15" i="34"/>
  <c r="AF15" i="34"/>
  <c r="AG15" i="34"/>
  <c r="AH15" i="34"/>
  <c r="AI15" i="34"/>
  <c r="AJ15" i="34"/>
  <c r="AK15" i="34"/>
  <c r="AL15" i="34"/>
  <c r="A14" i="34"/>
  <c r="J27" i="34"/>
  <c r="K27" i="34"/>
  <c r="L27" i="34"/>
  <c r="M27" i="34"/>
  <c r="N27" i="34"/>
  <c r="O27" i="34"/>
  <c r="P27" i="34"/>
  <c r="Q27" i="34"/>
  <c r="R27" i="34"/>
  <c r="S27" i="34"/>
  <c r="T27" i="34"/>
  <c r="U27" i="34"/>
  <c r="V27" i="34"/>
  <c r="W27" i="34"/>
  <c r="X27" i="34"/>
  <c r="Y27" i="34"/>
  <c r="Z27" i="34"/>
  <c r="AA27" i="34"/>
  <c r="AB27" i="34"/>
  <c r="AC27" i="34"/>
  <c r="AD27" i="34"/>
  <c r="AE27" i="34"/>
  <c r="AF27" i="34"/>
  <c r="AG27" i="34"/>
  <c r="AH27" i="34"/>
  <c r="AI27" i="34"/>
  <c r="AJ27" i="34"/>
  <c r="AK27" i="34"/>
  <c r="AL27" i="34"/>
  <c r="AM27" i="34"/>
  <c r="AN27" i="34"/>
  <c r="AO27" i="34"/>
  <c r="AP27" i="34"/>
  <c r="AQ27" i="34"/>
  <c r="AR27" i="34"/>
  <c r="AS27" i="34"/>
  <c r="A26" i="34"/>
  <c r="J39" i="34"/>
  <c r="K39" i="34"/>
  <c r="L39" i="34"/>
  <c r="M39" i="34"/>
  <c r="N39" i="34"/>
  <c r="O39" i="34"/>
  <c r="P39" i="34"/>
  <c r="Q39" i="34"/>
  <c r="R39" i="34"/>
  <c r="S39" i="34"/>
  <c r="T39" i="34"/>
  <c r="U39" i="34"/>
  <c r="V39" i="34"/>
  <c r="W39" i="34"/>
  <c r="X39" i="34"/>
  <c r="Y39" i="34"/>
  <c r="Z39" i="34"/>
  <c r="AA39" i="34"/>
  <c r="AB39" i="34"/>
  <c r="AC39" i="34"/>
  <c r="AD39" i="34"/>
  <c r="AE39" i="34"/>
  <c r="AF39" i="34"/>
  <c r="AG39" i="34"/>
  <c r="AH39" i="34"/>
  <c r="AI39" i="34"/>
  <c r="AJ39" i="34"/>
  <c r="AK39" i="34"/>
  <c r="AL39" i="34"/>
  <c r="AM39" i="34"/>
  <c r="AN39" i="34"/>
  <c r="AO39" i="34"/>
  <c r="AP39" i="34"/>
  <c r="AQ39" i="34"/>
  <c r="AR39" i="34"/>
  <c r="AS39" i="34"/>
  <c r="A38" i="34"/>
  <c r="J51" i="34"/>
  <c r="K51" i="34"/>
  <c r="L51" i="34"/>
  <c r="M51" i="34"/>
  <c r="N51" i="34"/>
  <c r="O51" i="34"/>
  <c r="P51" i="34"/>
  <c r="Q51" i="34"/>
  <c r="R51" i="34"/>
  <c r="S51" i="34"/>
  <c r="T51" i="34"/>
  <c r="U51" i="34"/>
  <c r="V51" i="34"/>
  <c r="W51" i="34"/>
  <c r="X51" i="34"/>
  <c r="Y51" i="34"/>
  <c r="Z51" i="34"/>
  <c r="AA51" i="34"/>
  <c r="AB51" i="34"/>
  <c r="AC51" i="34"/>
  <c r="AD51" i="34"/>
  <c r="AE51" i="34"/>
  <c r="AF51" i="34"/>
  <c r="AG51" i="34"/>
  <c r="AH51" i="34"/>
  <c r="AI51" i="34"/>
  <c r="AJ51" i="34"/>
  <c r="AK51" i="34"/>
  <c r="AL51" i="34"/>
  <c r="AM51" i="34"/>
  <c r="AN51" i="34"/>
  <c r="AO51" i="34"/>
  <c r="AP51" i="34"/>
  <c r="AQ51" i="34"/>
  <c r="AR51" i="34"/>
  <c r="AS51" i="34"/>
  <c r="A50" i="34"/>
  <c r="J207" i="34"/>
  <c r="K207" i="34"/>
  <c r="L207" i="34"/>
  <c r="M207" i="34"/>
  <c r="N207" i="34"/>
  <c r="O207" i="34"/>
  <c r="P207" i="34"/>
  <c r="Q207" i="34"/>
  <c r="R207" i="34"/>
  <c r="S207" i="34"/>
  <c r="T207" i="34"/>
  <c r="U207" i="34"/>
  <c r="V207" i="34"/>
  <c r="W207" i="34"/>
  <c r="X207" i="34"/>
  <c r="Y207" i="34"/>
  <c r="Z207" i="34"/>
  <c r="AA207" i="34"/>
  <c r="AB207" i="34"/>
  <c r="AC207" i="34"/>
  <c r="AD207" i="34"/>
  <c r="AE207" i="34"/>
  <c r="AF207" i="34"/>
  <c r="AG207" i="34"/>
  <c r="AH207" i="34"/>
  <c r="AI207" i="34"/>
  <c r="AJ207" i="34"/>
  <c r="AK207" i="34"/>
  <c r="AL207" i="34"/>
  <c r="AM207" i="34"/>
  <c r="AN207" i="34"/>
  <c r="AO207" i="34"/>
  <c r="AP207" i="34"/>
  <c r="AQ207" i="34"/>
  <c r="AR207" i="34"/>
  <c r="AS207" i="34"/>
  <c r="A206" i="34"/>
  <c r="J219" i="34"/>
  <c r="K219" i="34"/>
  <c r="L219" i="34"/>
  <c r="M219" i="34"/>
  <c r="N219" i="34"/>
  <c r="O219" i="34"/>
  <c r="P219" i="34"/>
  <c r="Q219" i="34"/>
  <c r="R219" i="34"/>
  <c r="S219" i="34"/>
  <c r="T219" i="34"/>
  <c r="U219" i="34"/>
  <c r="V219" i="34"/>
  <c r="W219" i="34"/>
  <c r="X219" i="34"/>
  <c r="Y219" i="34"/>
  <c r="Z219" i="34"/>
  <c r="AA219" i="34"/>
  <c r="AB219" i="34"/>
  <c r="AC219" i="34"/>
  <c r="AD219" i="34"/>
  <c r="AE219" i="34"/>
  <c r="AF219" i="34"/>
  <c r="AG219" i="34"/>
  <c r="AH219" i="34"/>
  <c r="AI219" i="34"/>
  <c r="AJ219" i="34"/>
  <c r="AK219" i="34"/>
  <c r="AL219" i="34"/>
  <c r="AM219" i="34"/>
  <c r="AN219" i="34"/>
  <c r="AO219" i="34"/>
  <c r="AP219" i="34"/>
  <c r="AQ219" i="34"/>
  <c r="AR219" i="34"/>
  <c r="AS219" i="34"/>
  <c r="A218" i="34"/>
  <c r="J231" i="34"/>
  <c r="K231" i="34"/>
  <c r="L231" i="34"/>
  <c r="M231" i="34"/>
  <c r="N231" i="34"/>
  <c r="O231" i="34"/>
  <c r="P231" i="34"/>
  <c r="Q231" i="34"/>
  <c r="R231" i="34"/>
  <c r="S231" i="34"/>
  <c r="T231" i="34"/>
  <c r="U231" i="34"/>
  <c r="V231" i="34"/>
  <c r="W231" i="34"/>
  <c r="X231" i="34"/>
  <c r="Y231" i="34"/>
  <c r="Z231" i="34"/>
  <c r="AA231" i="34"/>
  <c r="AB231" i="34"/>
  <c r="AC231" i="34"/>
  <c r="AD231" i="34"/>
  <c r="AE231" i="34"/>
  <c r="AF231" i="34"/>
  <c r="AG231" i="34"/>
  <c r="AH231" i="34"/>
  <c r="AI231" i="34"/>
  <c r="AJ231" i="34"/>
  <c r="AK231" i="34"/>
  <c r="AL231" i="34"/>
  <c r="AM231" i="34"/>
  <c r="AN231" i="34"/>
  <c r="AO231" i="34"/>
  <c r="AP231" i="34"/>
  <c r="AQ231" i="34"/>
  <c r="AR231" i="34"/>
  <c r="AS231" i="34"/>
  <c r="A230" i="34"/>
  <c r="J243" i="34"/>
  <c r="K243" i="34"/>
  <c r="L243" i="34"/>
  <c r="M243" i="34"/>
  <c r="N243" i="34"/>
  <c r="O243" i="34"/>
  <c r="P243" i="34"/>
  <c r="Q243" i="34"/>
  <c r="R243" i="34"/>
  <c r="S243" i="34"/>
  <c r="T243" i="34"/>
  <c r="U243" i="34"/>
  <c r="V243" i="34"/>
  <c r="W243" i="34"/>
  <c r="X243" i="34"/>
  <c r="Y243" i="34"/>
  <c r="Z243" i="34"/>
  <c r="AA243" i="34"/>
  <c r="AB243" i="34"/>
  <c r="AC243" i="34"/>
  <c r="AD243" i="34"/>
  <c r="AE243" i="34"/>
  <c r="AF243" i="34"/>
  <c r="AG243" i="34"/>
  <c r="AH243" i="34"/>
  <c r="AI243" i="34"/>
  <c r="AJ243" i="34"/>
  <c r="AK243" i="34"/>
  <c r="AL243" i="34"/>
  <c r="AM243" i="34"/>
  <c r="AN243" i="34"/>
  <c r="AO243" i="34"/>
  <c r="AP243" i="34"/>
  <c r="AQ243" i="34"/>
  <c r="AR243" i="34"/>
  <c r="AS243" i="34"/>
  <c r="A242" i="34"/>
  <c r="J111" i="34"/>
  <c r="K111" i="34"/>
  <c r="L111" i="34"/>
  <c r="M111" i="34"/>
  <c r="N111" i="34"/>
  <c r="O111" i="34"/>
  <c r="P111" i="34"/>
  <c r="Q111" i="34"/>
  <c r="R111" i="34"/>
  <c r="S111" i="34"/>
  <c r="T111" i="34"/>
  <c r="U111" i="34"/>
  <c r="V111" i="34"/>
  <c r="W111" i="34"/>
  <c r="X111" i="34"/>
  <c r="Y111" i="34"/>
  <c r="Z111" i="34"/>
  <c r="AA111" i="34"/>
  <c r="AB111" i="34"/>
  <c r="AC111" i="34"/>
  <c r="AD111" i="34"/>
  <c r="AE111" i="34"/>
  <c r="AF111" i="34"/>
  <c r="AG111" i="34"/>
  <c r="AH111" i="34"/>
  <c r="AI111" i="34"/>
  <c r="AJ111" i="34"/>
  <c r="AK111" i="34"/>
  <c r="AL111" i="34"/>
  <c r="AM111" i="34"/>
  <c r="AN111" i="34"/>
  <c r="AO111" i="34"/>
  <c r="AP111" i="34"/>
  <c r="AQ111" i="34"/>
  <c r="AR111" i="34"/>
  <c r="AS111" i="34"/>
  <c r="A110" i="34"/>
  <c r="J123" i="34"/>
  <c r="K123" i="34"/>
  <c r="L123" i="34"/>
  <c r="M123" i="34"/>
  <c r="N123" i="34"/>
  <c r="O123" i="34"/>
  <c r="P123" i="34"/>
  <c r="Q123" i="34"/>
  <c r="R123" i="34"/>
  <c r="S123" i="34"/>
  <c r="T123" i="34"/>
  <c r="U123" i="34"/>
  <c r="V123" i="34"/>
  <c r="W123" i="34"/>
  <c r="X123" i="34"/>
  <c r="Y123" i="34"/>
  <c r="Z123" i="34"/>
  <c r="AA123" i="34"/>
  <c r="AB123" i="34"/>
  <c r="AC123" i="34"/>
  <c r="AD123" i="34"/>
  <c r="AE123" i="34"/>
  <c r="AF123" i="34"/>
  <c r="AG123" i="34"/>
  <c r="AH123" i="34"/>
  <c r="AI123" i="34"/>
  <c r="AJ123" i="34"/>
  <c r="AK123" i="34"/>
  <c r="AL123" i="34"/>
  <c r="AM123" i="34"/>
  <c r="AN123" i="34"/>
  <c r="AO123" i="34"/>
  <c r="AP123" i="34"/>
  <c r="AQ123" i="34"/>
  <c r="AR123" i="34"/>
  <c r="AS123" i="34"/>
  <c r="A122" i="34"/>
  <c r="J135" i="34"/>
  <c r="K135" i="34"/>
  <c r="L135" i="34"/>
  <c r="M135" i="34"/>
  <c r="N135" i="34"/>
  <c r="O135" i="34"/>
  <c r="P135" i="34"/>
  <c r="Q135" i="34"/>
  <c r="R135" i="34"/>
  <c r="S135" i="34"/>
  <c r="T135" i="34"/>
  <c r="U135" i="34"/>
  <c r="V135" i="34"/>
  <c r="W135" i="34"/>
  <c r="X135" i="34"/>
  <c r="Y135" i="34"/>
  <c r="Z135" i="34"/>
  <c r="AA135" i="34"/>
  <c r="AB135" i="34"/>
  <c r="AC135" i="34"/>
  <c r="AD135" i="34"/>
  <c r="AE135" i="34"/>
  <c r="AF135" i="34"/>
  <c r="AG135" i="34"/>
  <c r="AH135" i="34"/>
  <c r="AI135" i="34"/>
  <c r="AJ135" i="34"/>
  <c r="AK135" i="34"/>
  <c r="AL135" i="34"/>
  <c r="AM135" i="34"/>
  <c r="AN135" i="34"/>
  <c r="AO135" i="34"/>
  <c r="AP135" i="34"/>
  <c r="AQ135" i="34"/>
  <c r="AR135" i="34"/>
  <c r="AS135" i="34"/>
  <c r="A134" i="34"/>
  <c r="J147" i="34"/>
  <c r="K147" i="34"/>
  <c r="L147" i="34"/>
  <c r="M147" i="34"/>
  <c r="N147" i="34"/>
  <c r="O147" i="34"/>
  <c r="P147" i="34"/>
  <c r="Q147" i="34"/>
  <c r="R147" i="34"/>
  <c r="S147" i="34"/>
  <c r="T147" i="34"/>
  <c r="U147" i="34"/>
  <c r="V147" i="34"/>
  <c r="W147" i="34"/>
  <c r="X147" i="34"/>
  <c r="Y147" i="34"/>
  <c r="Z147" i="34"/>
  <c r="AA147" i="34"/>
  <c r="AB147" i="34"/>
  <c r="AC147" i="34"/>
  <c r="AD147" i="34"/>
  <c r="AE147" i="34"/>
  <c r="AF147" i="34"/>
  <c r="AG147" i="34"/>
  <c r="AH147" i="34"/>
  <c r="AI147" i="34"/>
  <c r="AJ147" i="34"/>
  <c r="AK147" i="34"/>
  <c r="AL147" i="34"/>
  <c r="AM147" i="34"/>
  <c r="AN147" i="34"/>
  <c r="AO147" i="34"/>
  <c r="AP147" i="34"/>
  <c r="AQ147" i="34"/>
  <c r="AR147" i="34"/>
  <c r="AS147" i="34"/>
  <c r="A146" i="34"/>
  <c r="J159" i="34"/>
  <c r="K159" i="34"/>
  <c r="L159" i="34"/>
  <c r="M159" i="34"/>
  <c r="N159" i="34"/>
  <c r="O159" i="34"/>
  <c r="P159" i="34"/>
  <c r="Q159" i="34"/>
  <c r="R159" i="34"/>
  <c r="S159" i="34"/>
  <c r="T159" i="34"/>
  <c r="U159" i="34"/>
  <c r="V159" i="34"/>
  <c r="W159" i="34"/>
  <c r="X159" i="34"/>
  <c r="Y159" i="34"/>
  <c r="Z159" i="34"/>
  <c r="AA159" i="34"/>
  <c r="AB159" i="34"/>
  <c r="AC159" i="34"/>
  <c r="AD159" i="34"/>
  <c r="AE159" i="34"/>
  <c r="AF159" i="34"/>
  <c r="AG159" i="34"/>
  <c r="AH159" i="34"/>
  <c r="AI159" i="34"/>
  <c r="AJ159" i="34"/>
  <c r="AK159" i="34"/>
  <c r="AL159" i="34"/>
  <c r="AM159" i="34"/>
  <c r="AN159" i="34"/>
  <c r="AO159" i="34"/>
  <c r="AP159" i="34"/>
  <c r="AQ159" i="34"/>
  <c r="AR159" i="34"/>
  <c r="AS159" i="34"/>
  <c r="A158" i="34"/>
  <c r="J171" i="34"/>
  <c r="K171" i="34"/>
  <c r="L171" i="34"/>
  <c r="M171" i="34"/>
  <c r="N171" i="34"/>
  <c r="O171" i="34"/>
  <c r="P171" i="34"/>
  <c r="Q171" i="34"/>
  <c r="R171" i="34"/>
  <c r="S171" i="34"/>
  <c r="T171" i="34"/>
  <c r="U171" i="34"/>
  <c r="V171" i="34"/>
  <c r="W171" i="34"/>
  <c r="X171" i="34"/>
  <c r="Y171" i="34"/>
  <c r="Z171" i="34"/>
  <c r="AA171" i="34"/>
  <c r="AB171" i="34"/>
  <c r="AC171" i="34"/>
  <c r="AD171" i="34"/>
  <c r="AE171" i="34"/>
  <c r="AF171" i="34"/>
  <c r="AG171" i="34"/>
  <c r="AH171" i="34"/>
  <c r="AI171" i="34"/>
  <c r="AJ171" i="34"/>
  <c r="AK171" i="34"/>
  <c r="AL171" i="34"/>
  <c r="AM171" i="34"/>
  <c r="AN171" i="34"/>
  <c r="AO171" i="34"/>
  <c r="AP171" i="34"/>
  <c r="AQ171" i="34"/>
  <c r="AR171" i="34"/>
  <c r="AS171" i="34"/>
  <c r="A170" i="34"/>
  <c r="J183" i="34"/>
  <c r="K183" i="34"/>
  <c r="L183" i="34"/>
  <c r="M183" i="34"/>
  <c r="N183" i="34"/>
  <c r="O183" i="34"/>
  <c r="P183" i="34"/>
  <c r="Q183" i="34"/>
  <c r="R183" i="34"/>
  <c r="S183" i="34"/>
  <c r="T183" i="34"/>
  <c r="U183" i="34"/>
  <c r="V183" i="34"/>
  <c r="W183" i="34"/>
  <c r="X183" i="34"/>
  <c r="Y183" i="34"/>
  <c r="Z183" i="34"/>
  <c r="AA183" i="34"/>
  <c r="AB183" i="34"/>
  <c r="AC183" i="34"/>
  <c r="AD183" i="34"/>
  <c r="AE183" i="34"/>
  <c r="AF183" i="34"/>
  <c r="AG183" i="34"/>
  <c r="AH183" i="34"/>
  <c r="AI183" i="34"/>
  <c r="AJ183" i="34"/>
  <c r="AK183" i="34"/>
  <c r="AL183" i="34"/>
  <c r="AM183" i="34"/>
  <c r="AN183" i="34"/>
  <c r="AO183" i="34"/>
  <c r="AP183" i="34"/>
  <c r="AQ183" i="34"/>
  <c r="AR183" i="34"/>
  <c r="AS183" i="34"/>
  <c r="A182" i="34"/>
  <c r="J195" i="34"/>
  <c r="K195" i="34"/>
  <c r="L195" i="34"/>
  <c r="M195" i="34"/>
  <c r="N195" i="34"/>
  <c r="O195" i="34"/>
  <c r="P195" i="34"/>
  <c r="Q195" i="34"/>
  <c r="R195" i="34"/>
  <c r="S195" i="34"/>
  <c r="T195" i="34"/>
  <c r="U195" i="34"/>
  <c r="V195" i="34"/>
  <c r="W195" i="34"/>
  <c r="X195" i="34"/>
  <c r="Y195" i="34"/>
  <c r="Z195" i="34"/>
  <c r="AA195" i="34"/>
  <c r="AB195" i="34"/>
  <c r="AC195" i="34"/>
  <c r="AD195" i="34"/>
  <c r="AE195" i="34"/>
  <c r="AF195" i="34"/>
  <c r="AG195" i="34"/>
  <c r="AH195" i="34"/>
  <c r="AI195" i="34"/>
  <c r="AJ195" i="34"/>
  <c r="AK195" i="34"/>
  <c r="AL195" i="34"/>
  <c r="AM195" i="34"/>
  <c r="AN195" i="34"/>
  <c r="AO195" i="34"/>
  <c r="AP195" i="34"/>
  <c r="AQ195" i="34"/>
  <c r="AR195" i="34"/>
  <c r="AS195" i="34"/>
  <c r="A194" i="34"/>
  <c r="J255" i="34"/>
  <c r="K255" i="34"/>
  <c r="L255" i="34"/>
  <c r="M255" i="34"/>
  <c r="N255" i="34"/>
  <c r="O255" i="34"/>
  <c r="P255" i="34"/>
  <c r="Q255" i="34"/>
  <c r="R255" i="34"/>
  <c r="S255" i="34"/>
  <c r="T255" i="34"/>
  <c r="U255" i="34"/>
  <c r="V255" i="34"/>
  <c r="W255" i="34"/>
  <c r="X255" i="34"/>
  <c r="Y255" i="34"/>
  <c r="Z255" i="34"/>
  <c r="AA255" i="34"/>
  <c r="AB255" i="34"/>
  <c r="AC255" i="34"/>
  <c r="AD255" i="34"/>
  <c r="AE255" i="34"/>
  <c r="AF255" i="34"/>
  <c r="AG255" i="34"/>
  <c r="AH255" i="34"/>
  <c r="AI255" i="34"/>
  <c r="AJ255" i="34"/>
  <c r="AK255" i="34"/>
  <c r="AL255" i="34"/>
  <c r="AM255" i="34"/>
  <c r="AN255" i="34"/>
  <c r="AO255" i="34"/>
  <c r="AP255" i="34"/>
  <c r="AQ255" i="34"/>
  <c r="AR255" i="34"/>
  <c r="AS255" i="34"/>
  <c r="A254" i="34"/>
  <c r="J267" i="34"/>
  <c r="K267" i="34"/>
  <c r="L267" i="34"/>
  <c r="M267" i="34"/>
  <c r="N267" i="34"/>
  <c r="O267" i="34"/>
  <c r="P267" i="34"/>
  <c r="Q267" i="34"/>
  <c r="R267" i="34"/>
  <c r="S267" i="34"/>
  <c r="T267" i="34"/>
  <c r="U267" i="34"/>
  <c r="V267" i="34"/>
  <c r="W267" i="34"/>
  <c r="X267" i="34"/>
  <c r="Y267" i="34"/>
  <c r="Z267" i="34"/>
  <c r="AA267" i="34"/>
  <c r="AB267" i="34"/>
  <c r="AC267" i="34"/>
  <c r="AD267" i="34"/>
  <c r="AE267" i="34"/>
  <c r="AF267" i="34"/>
  <c r="AG267" i="34"/>
  <c r="AH267" i="34"/>
  <c r="AI267" i="34"/>
  <c r="AJ267" i="34"/>
  <c r="AK267" i="34"/>
  <c r="AL267" i="34"/>
  <c r="AM267" i="34"/>
  <c r="AN267" i="34"/>
  <c r="AO267" i="34"/>
  <c r="AP267" i="34"/>
  <c r="AQ267" i="34"/>
  <c r="AR267" i="34"/>
  <c r="AS267" i="34"/>
  <c r="A266" i="34"/>
  <c r="A1" i="34"/>
  <c r="J63" i="37"/>
  <c r="K63" i="37"/>
  <c r="L63" i="37"/>
  <c r="M63" i="37"/>
  <c r="N63" i="37"/>
  <c r="O63" i="37"/>
  <c r="P63" i="37"/>
  <c r="Q63" i="37"/>
  <c r="R63" i="37"/>
  <c r="S63" i="37"/>
  <c r="T63" i="37"/>
  <c r="U63" i="37"/>
  <c r="V63" i="37"/>
  <c r="W63" i="37"/>
  <c r="X63" i="37"/>
  <c r="Y63" i="37"/>
  <c r="Z63" i="37"/>
  <c r="AA63" i="37"/>
  <c r="AB63" i="37"/>
  <c r="AC63" i="37"/>
  <c r="AD63" i="37"/>
  <c r="AE63" i="37"/>
  <c r="AF63" i="37"/>
  <c r="AG63" i="37"/>
  <c r="AH63" i="37"/>
  <c r="AI63" i="37"/>
  <c r="AJ63" i="37"/>
  <c r="AK63" i="37"/>
  <c r="AL63" i="37"/>
  <c r="AM63" i="37"/>
  <c r="AN63" i="37"/>
  <c r="AO63" i="37"/>
  <c r="AP63" i="37"/>
  <c r="AQ63" i="37"/>
  <c r="AR63" i="37"/>
  <c r="AS63" i="37"/>
  <c r="A62" i="37"/>
  <c r="J75" i="37"/>
  <c r="K75" i="37"/>
  <c r="L75" i="37"/>
  <c r="M75" i="37"/>
  <c r="N75" i="37"/>
  <c r="O75" i="37"/>
  <c r="P75" i="37"/>
  <c r="Q75" i="37"/>
  <c r="R75" i="37"/>
  <c r="S75" i="37"/>
  <c r="T75" i="37"/>
  <c r="U75" i="37"/>
  <c r="V75" i="37"/>
  <c r="W75" i="37"/>
  <c r="X75" i="37"/>
  <c r="Y75" i="37"/>
  <c r="Z75" i="37"/>
  <c r="AA75" i="37"/>
  <c r="AB75" i="37"/>
  <c r="AC75" i="37"/>
  <c r="AD75" i="37"/>
  <c r="AE75" i="37"/>
  <c r="AF75" i="37"/>
  <c r="AG75" i="37"/>
  <c r="AH75" i="37"/>
  <c r="AI75" i="37"/>
  <c r="AJ75" i="37"/>
  <c r="AK75" i="37"/>
  <c r="AL75" i="37"/>
  <c r="AM75" i="37"/>
  <c r="AN75" i="37"/>
  <c r="AO75" i="37"/>
  <c r="AP75" i="37"/>
  <c r="AQ75" i="37"/>
  <c r="AR75" i="37"/>
  <c r="AS75" i="37"/>
  <c r="A74" i="37"/>
  <c r="J87" i="37"/>
  <c r="K87" i="37"/>
  <c r="L87" i="37"/>
  <c r="M87" i="37"/>
  <c r="N87" i="37"/>
  <c r="O87" i="37"/>
  <c r="P87" i="37"/>
  <c r="Q87" i="37"/>
  <c r="R87" i="37"/>
  <c r="S87" i="37"/>
  <c r="T87" i="37"/>
  <c r="U87" i="37"/>
  <c r="V87" i="37"/>
  <c r="W87" i="37"/>
  <c r="X87" i="37"/>
  <c r="Y87" i="37"/>
  <c r="Z87" i="37"/>
  <c r="AA87" i="37"/>
  <c r="AB87" i="37"/>
  <c r="AC87" i="37"/>
  <c r="AD87" i="37"/>
  <c r="AE87" i="37"/>
  <c r="AF87" i="37"/>
  <c r="AG87" i="37"/>
  <c r="AH87" i="37"/>
  <c r="AI87" i="37"/>
  <c r="AJ87" i="37"/>
  <c r="AK87" i="37"/>
  <c r="AL87" i="37"/>
  <c r="AM87" i="37"/>
  <c r="AN87" i="37"/>
  <c r="AO87" i="37"/>
  <c r="AP87" i="37"/>
  <c r="AQ87" i="37"/>
  <c r="AR87" i="37"/>
  <c r="AS87" i="37"/>
  <c r="A86" i="37"/>
  <c r="J99" i="37"/>
  <c r="K99" i="37"/>
  <c r="L99" i="37"/>
  <c r="M99" i="37"/>
  <c r="N99" i="37"/>
  <c r="O99" i="37"/>
  <c r="P99" i="37"/>
  <c r="Q99" i="37"/>
  <c r="R99" i="37"/>
  <c r="S99" i="37"/>
  <c r="T99" i="37"/>
  <c r="U99" i="37"/>
  <c r="V99" i="37"/>
  <c r="W99" i="37"/>
  <c r="X99" i="37"/>
  <c r="Y99" i="37"/>
  <c r="Z99" i="37"/>
  <c r="AA99" i="37"/>
  <c r="AB99" i="37"/>
  <c r="AC99" i="37"/>
  <c r="AD99" i="37"/>
  <c r="AE99" i="37"/>
  <c r="AF99" i="37"/>
  <c r="AG99" i="37"/>
  <c r="AH99" i="37"/>
  <c r="AI99" i="37"/>
  <c r="AJ99" i="37"/>
  <c r="AK99" i="37"/>
  <c r="AL99" i="37"/>
  <c r="AM99" i="37"/>
  <c r="AN99" i="37"/>
  <c r="AO99" i="37"/>
  <c r="AP99" i="37"/>
  <c r="AQ99" i="37"/>
  <c r="AR99" i="37"/>
  <c r="AS99" i="37"/>
  <c r="A98" i="37"/>
  <c r="J15" i="37"/>
  <c r="K15" i="37"/>
  <c r="L15" i="37"/>
  <c r="M15" i="37"/>
  <c r="N15" i="37"/>
  <c r="O15" i="37"/>
  <c r="P15" i="37"/>
  <c r="Q15" i="37"/>
  <c r="R15" i="37"/>
  <c r="S15" i="37"/>
  <c r="T15" i="37"/>
  <c r="U15" i="37"/>
  <c r="V15" i="37"/>
  <c r="W15" i="37"/>
  <c r="X15" i="37"/>
  <c r="Y15" i="37"/>
  <c r="Z15" i="37"/>
  <c r="AA15" i="37"/>
  <c r="AB15" i="37"/>
  <c r="AC15" i="37"/>
  <c r="AD15" i="37"/>
  <c r="AE15" i="37"/>
  <c r="AF15" i="37"/>
  <c r="AG15" i="37"/>
  <c r="AH15" i="37"/>
  <c r="AI15" i="37"/>
  <c r="AJ15" i="37"/>
  <c r="AK15" i="37"/>
  <c r="AL15" i="37"/>
  <c r="A14" i="37"/>
  <c r="J27" i="37"/>
  <c r="K27" i="37"/>
  <c r="L27" i="37"/>
  <c r="M27" i="37"/>
  <c r="N27" i="37"/>
  <c r="O27" i="37"/>
  <c r="P27" i="37"/>
  <c r="Q27" i="37"/>
  <c r="R27" i="37"/>
  <c r="S27" i="37"/>
  <c r="T27" i="37"/>
  <c r="U27" i="37"/>
  <c r="V27" i="37"/>
  <c r="W27" i="37"/>
  <c r="X27" i="37"/>
  <c r="Y27" i="37"/>
  <c r="Z27" i="37"/>
  <c r="AA27" i="37"/>
  <c r="AB27" i="37"/>
  <c r="AC27" i="37"/>
  <c r="AD27" i="37"/>
  <c r="AE27" i="37"/>
  <c r="AF27" i="37"/>
  <c r="AG27" i="37"/>
  <c r="AH27" i="37"/>
  <c r="AI27" i="37"/>
  <c r="AJ27" i="37"/>
  <c r="AK27" i="37"/>
  <c r="AL27" i="37"/>
  <c r="AM27" i="37"/>
  <c r="AN27" i="37"/>
  <c r="AO27" i="37"/>
  <c r="AP27" i="37"/>
  <c r="AQ27" i="37"/>
  <c r="AR27" i="37"/>
  <c r="AS27" i="37"/>
  <c r="A26" i="37"/>
  <c r="J39" i="37"/>
  <c r="K39" i="37"/>
  <c r="L39" i="37"/>
  <c r="M39" i="37"/>
  <c r="N39" i="37"/>
  <c r="O39" i="37"/>
  <c r="P39" i="37"/>
  <c r="Q39" i="37"/>
  <c r="R39" i="37"/>
  <c r="S39" i="37"/>
  <c r="T39" i="37"/>
  <c r="U39" i="37"/>
  <c r="V39" i="37"/>
  <c r="W39" i="37"/>
  <c r="X39" i="37"/>
  <c r="Y39" i="37"/>
  <c r="Z39" i="37"/>
  <c r="AA39" i="37"/>
  <c r="AB39" i="37"/>
  <c r="AC39" i="37"/>
  <c r="AD39" i="37"/>
  <c r="AE39" i="37"/>
  <c r="AF39" i="37"/>
  <c r="AG39" i="37"/>
  <c r="AH39" i="37"/>
  <c r="AI39" i="37"/>
  <c r="AJ39" i="37"/>
  <c r="AK39" i="37"/>
  <c r="AL39" i="37"/>
  <c r="AM39" i="37"/>
  <c r="AN39" i="37"/>
  <c r="AO39" i="37"/>
  <c r="AP39" i="37"/>
  <c r="AQ39" i="37"/>
  <c r="AR39" i="37"/>
  <c r="AS39" i="37"/>
  <c r="A38" i="37"/>
  <c r="J51" i="37"/>
  <c r="K51" i="37"/>
  <c r="L51" i="37"/>
  <c r="M51" i="37"/>
  <c r="N51" i="37"/>
  <c r="O51" i="37"/>
  <c r="P51" i="37"/>
  <c r="Q51" i="37"/>
  <c r="R51" i="37"/>
  <c r="S51" i="37"/>
  <c r="T51" i="37"/>
  <c r="U51" i="37"/>
  <c r="V51" i="37"/>
  <c r="W51" i="37"/>
  <c r="X51" i="37"/>
  <c r="Y51" i="37"/>
  <c r="Z51" i="37"/>
  <c r="AA51" i="37"/>
  <c r="AB51" i="37"/>
  <c r="AC51" i="37"/>
  <c r="AD51" i="37"/>
  <c r="AE51" i="37"/>
  <c r="AF51" i="37"/>
  <c r="AG51" i="37"/>
  <c r="AH51" i="37"/>
  <c r="AI51" i="37"/>
  <c r="AJ51" i="37"/>
  <c r="AK51" i="37"/>
  <c r="AL51" i="37"/>
  <c r="AM51" i="37"/>
  <c r="AN51" i="37"/>
  <c r="AO51" i="37"/>
  <c r="AP51" i="37"/>
  <c r="AQ51" i="37"/>
  <c r="AR51" i="37"/>
  <c r="AS51" i="37"/>
  <c r="A50" i="37"/>
  <c r="J207" i="37"/>
  <c r="K207" i="37"/>
  <c r="L207" i="37"/>
  <c r="M207" i="37"/>
  <c r="N207" i="37"/>
  <c r="O207" i="37"/>
  <c r="P207" i="37"/>
  <c r="Q207" i="37"/>
  <c r="R207" i="37"/>
  <c r="S207" i="37"/>
  <c r="T207" i="37"/>
  <c r="U207" i="37"/>
  <c r="V207" i="37"/>
  <c r="W207" i="37"/>
  <c r="X207" i="37"/>
  <c r="Y207" i="37"/>
  <c r="Z207" i="37"/>
  <c r="AA207" i="37"/>
  <c r="AB207" i="37"/>
  <c r="AC207" i="37"/>
  <c r="AD207" i="37"/>
  <c r="AE207" i="37"/>
  <c r="AF207" i="37"/>
  <c r="AG207" i="37"/>
  <c r="AH207" i="37"/>
  <c r="AI207" i="37"/>
  <c r="AJ207" i="37"/>
  <c r="AK207" i="37"/>
  <c r="AL207" i="37"/>
  <c r="AM207" i="37"/>
  <c r="AN207" i="37"/>
  <c r="AO207" i="37"/>
  <c r="AP207" i="37"/>
  <c r="AQ207" i="37"/>
  <c r="AR207" i="37"/>
  <c r="AS207" i="37"/>
  <c r="A206" i="37"/>
  <c r="J219" i="37"/>
  <c r="K219" i="37"/>
  <c r="L219" i="37"/>
  <c r="M219" i="37"/>
  <c r="N219" i="37"/>
  <c r="O219" i="37"/>
  <c r="P219" i="37"/>
  <c r="Q219" i="37"/>
  <c r="R219" i="37"/>
  <c r="S219" i="37"/>
  <c r="T219" i="37"/>
  <c r="U219" i="37"/>
  <c r="V219" i="37"/>
  <c r="W219" i="37"/>
  <c r="X219" i="37"/>
  <c r="Y219" i="37"/>
  <c r="Z219" i="37"/>
  <c r="AA219" i="37"/>
  <c r="AB219" i="37"/>
  <c r="AC219" i="37"/>
  <c r="AD219" i="37"/>
  <c r="AE219" i="37"/>
  <c r="AF219" i="37"/>
  <c r="AG219" i="37"/>
  <c r="AH219" i="37"/>
  <c r="AI219" i="37"/>
  <c r="AJ219" i="37"/>
  <c r="AK219" i="37"/>
  <c r="AL219" i="37"/>
  <c r="AM219" i="37"/>
  <c r="AN219" i="37"/>
  <c r="AO219" i="37"/>
  <c r="AP219" i="37"/>
  <c r="AQ219" i="37"/>
  <c r="AR219" i="37"/>
  <c r="AS219" i="37"/>
  <c r="A218" i="37"/>
  <c r="J231" i="37"/>
  <c r="K231" i="37"/>
  <c r="L231" i="37"/>
  <c r="M231" i="37"/>
  <c r="N231" i="37"/>
  <c r="O231" i="37"/>
  <c r="P231" i="37"/>
  <c r="Q231" i="37"/>
  <c r="R231" i="37"/>
  <c r="S231" i="37"/>
  <c r="T231" i="37"/>
  <c r="U231" i="37"/>
  <c r="V231" i="37"/>
  <c r="W231" i="37"/>
  <c r="X231" i="37"/>
  <c r="Y231" i="37"/>
  <c r="Z231" i="37"/>
  <c r="AA231" i="37"/>
  <c r="AB231" i="37"/>
  <c r="AC231" i="37"/>
  <c r="AD231" i="37"/>
  <c r="AE231" i="37"/>
  <c r="AF231" i="37"/>
  <c r="AG231" i="37"/>
  <c r="AH231" i="37"/>
  <c r="AI231" i="37"/>
  <c r="AJ231" i="37"/>
  <c r="AK231" i="37"/>
  <c r="AL231" i="37"/>
  <c r="AM231" i="37"/>
  <c r="AN231" i="37"/>
  <c r="AO231" i="37"/>
  <c r="AP231" i="37"/>
  <c r="AQ231" i="37"/>
  <c r="AR231" i="37"/>
  <c r="AS231" i="37"/>
  <c r="A230" i="37"/>
  <c r="J243" i="37"/>
  <c r="K243" i="37"/>
  <c r="L243" i="37"/>
  <c r="M243" i="37"/>
  <c r="N243" i="37"/>
  <c r="O243" i="37"/>
  <c r="P243" i="37"/>
  <c r="Q243" i="37"/>
  <c r="R243" i="37"/>
  <c r="S243" i="37"/>
  <c r="T243" i="37"/>
  <c r="U243" i="37"/>
  <c r="V243" i="37"/>
  <c r="W243" i="37"/>
  <c r="X243" i="37"/>
  <c r="Y243" i="37"/>
  <c r="Z243" i="37"/>
  <c r="AA243" i="37"/>
  <c r="AB243" i="37"/>
  <c r="AC243" i="37"/>
  <c r="AD243" i="37"/>
  <c r="AE243" i="37"/>
  <c r="AF243" i="37"/>
  <c r="AG243" i="37"/>
  <c r="AH243" i="37"/>
  <c r="AI243" i="37"/>
  <c r="AJ243" i="37"/>
  <c r="AK243" i="37"/>
  <c r="AL243" i="37"/>
  <c r="AM243" i="37"/>
  <c r="AN243" i="37"/>
  <c r="AO243" i="37"/>
  <c r="AP243" i="37"/>
  <c r="AQ243" i="37"/>
  <c r="AR243" i="37"/>
  <c r="AS243" i="37"/>
  <c r="A242" i="37"/>
  <c r="J111" i="37"/>
  <c r="K111" i="37"/>
  <c r="L111" i="37"/>
  <c r="M111" i="37"/>
  <c r="N111" i="37"/>
  <c r="O111" i="37"/>
  <c r="P111" i="37"/>
  <c r="Q111" i="37"/>
  <c r="R111" i="37"/>
  <c r="S111" i="37"/>
  <c r="T111" i="37"/>
  <c r="U111" i="37"/>
  <c r="V111" i="37"/>
  <c r="W111" i="37"/>
  <c r="X111" i="37"/>
  <c r="Y111" i="37"/>
  <c r="Z111" i="37"/>
  <c r="AA111" i="37"/>
  <c r="AB111" i="37"/>
  <c r="AC111" i="37"/>
  <c r="AD111" i="37"/>
  <c r="AE111" i="37"/>
  <c r="AF111" i="37"/>
  <c r="AG111" i="37"/>
  <c r="AH111" i="37"/>
  <c r="AI111" i="37"/>
  <c r="AJ111" i="37"/>
  <c r="AK111" i="37"/>
  <c r="AL111" i="37"/>
  <c r="AM111" i="37"/>
  <c r="AN111" i="37"/>
  <c r="AO111" i="37"/>
  <c r="AP111" i="37"/>
  <c r="AQ111" i="37"/>
  <c r="AR111" i="37"/>
  <c r="AS111" i="37"/>
  <c r="A110" i="37"/>
  <c r="J123" i="37"/>
  <c r="K123" i="37"/>
  <c r="L123" i="37"/>
  <c r="M123" i="37"/>
  <c r="N123" i="37"/>
  <c r="O123" i="37"/>
  <c r="P123" i="37"/>
  <c r="Q123" i="37"/>
  <c r="R123" i="37"/>
  <c r="S123" i="37"/>
  <c r="T123" i="37"/>
  <c r="U123" i="37"/>
  <c r="V123" i="37"/>
  <c r="W123" i="37"/>
  <c r="X123" i="37"/>
  <c r="Y123" i="37"/>
  <c r="Z123" i="37"/>
  <c r="AA123" i="37"/>
  <c r="AB123" i="37"/>
  <c r="AC123" i="37"/>
  <c r="AD123" i="37"/>
  <c r="AE123" i="37"/>
  <c r="AF123" i="37"/>
  <c r="AG123" i="37"/>
  <c r="AH123" i="37"/>
  <c r="AI123" i="37"/>
  <c r="AJ123" i="37"/>
  <c r="AK123" i="37"/>
  <c r="AL123" i="37"/>
  <c r="AM123" i="37"/>
  <c r="AN123" i="37"/>
  <c r="AO123" i="37"/>
  <c r="AP123" i="37"/>
  <c r="AQ123" i="37"/>
  <c r="AR123" i="37"/>
  <c r="AS123" i="37"/>
  <c r="A122" i="37"/>
  <c r="J135" i="37"/>
  <c r="K135" i="37"/>
  <c r="L135" i="37"/>
  <c r="M135" i="37"/>
  <c r="N135" i="37"/>
  <c r="O135" i="37"/>
  <c r="P135" i="37"/>
  <c r="Q135" i="37"/>
  <c r="R135" i="37"/>
  <c r="S135" i="37"/>
  <c r="T135" i="37"/>
  <c r="U135" i="37"/>
  <c r="V135" i="37"/>
  <c r="W135" i="37"/>
  <c r="X135" i="37"/>
  <c r="Y135" i="37"/>
  <c r="Z135" i="37"/>
  <c r="AA135" i="37"/>
  <c r="AB135" i="37"/>
  <c r="AC135" i="37"/>
  <c r="AD135" i="37"/>
  <c r="AE135" i="37"/>
  <c r="AF135" i="37"/>
  <c r="AG135" i="37"/>
  <c r="AH135" i="37"/>
  <c r="AI135" i="37"/>
  <c r="AJ135" i="37"/>
  <c r="AK135" i="37"/>
  <c r="AL135" i="37"/>
  <c r="AM135" i="37"/>
  <c r="AN135" i="37"/>
  <c r="AO135" i="37"/>
  <c r="AP135" i="37"/>
  <c r="AQ135" i="37"/>
  <c r="AR135" i="37"/>
  <c r="AS135" i="37"/>
  <c r="A134" i="37"/>
  <c r="J147" i="37"/>
  <c r="K147" i="37"/>
  <c r="L147" i="37"/>
  <c r="M147" i="37"/>
  <c r="N147" i="37"/>
  <c r="O147" i="37"/>
  <c r="P147" i="37"/>
  <c r="Q147" i="37"/>
  <c r="R147" i="37"/>
  <c r="S147" i="37"/>
  <c r="T147" i="37"/>
  <c r="U147" i="37"/>
  <c r="V147" i="37"/>
  <c r="W147" i="37"/>
  <c r="X147" i="37"/>
  <c r="Y147" i="37"/>
  <c r="Z147" i="37"/>
  <c r="AA147" i="37"/>
  <c r="AB147" i="37"/>
  <c r="AC147" i="37"/>
  <c r="AD147" i="37"/>
  <c r="AE147" i="37"/>
  <c r="AF147" i="37"/>
  <c r="AG147" i="37"/>
  <c r="AH147" i="37"/>
  <c r="AI147" i="37"/>
  <c r="AJ147" i="37"/>
  <c r="AK147" i="37"/>
  <c r="AL147" i="37"/>
  <c r="AM147" i="37"/>
  <c r="AN147" i="37"/>
  <c r="AO147" i="37"/>
  <c r="AP147" i="37"/>
  <c r="AQ147" i="37"/>
  <c r="AR147" i="37"/>
  <c r="AS147" i="37"/>
  <c r="A146" i="37"/>
  <c r="J159" i="37"/>
  <c r="K159" i="37"/>
  <c r="L159" i="37"/>
  <c r="M159" i="37"/>
  <c r="N159" i="37"/>
  <c r="O159" i="37"/>
  <c r="P159" i="37"/>
  <c r="Q159" i="37"/>
  <c r="R159" i="37"/>
  <c r="S159" i="37"/>
  <c r="T159" i="37"/>
  <c r="U159" i="37"/>
  <c r="V159" i="37"/>
  <c r="W159" i="37"/>
  <c r="X159" i="37"/>
  <c r="Y159" i="37"/>
  <c r="Z159" i="37"/>
  <c r="AA159" i="37"/>
  <c r="AB159" i="37"/>
  <c r="AC159" i="37"/>
  <c r="AD159" i="37"/>
  <c r="AE159" i="37"/>
  <c r="AF159" i="37"/>
  <c r="AG159" i="37"/>
  <c r="AH159" i="37"/>
  <c r="AI159" i="37"/>
  <c r="AJ159" i="37"/>
  <c r="AK159" i="37"/>
  <c r="AL159" i="37"/>
  <c r="AM159" i="37"/>
  <c r="AN159" i="37"/>
  <c r="AO159" i="37"/>
  <c r="AP159" i="37"/>
  <c r="AQ159" i="37"/>
  <c r="AR159" i="37"/>
  <c r="AS159" i="37"/>
  <c r="A158" i="37"/>
  <c r="J171" i="37"/>
  <c r="K171" i="37"/>
  <c r="L171" i="37"/>
  <c r="M171" i="37"/>
  <c r="N171" i="37"/>
  <c r="O171" i="37"/>
  <c r="P171" i="37"/>
  <c r="Q171" i="37"/>
  <c r="R171" i="37"/>
  <c r="S171" i="37"/>
  <c r="T171" i="37"/>
  <c r="U171" i="37"/>
  <c r="V171" i="37"/>
  <c r="W171" i="37"/>
  <c r="X171" i="37"/>
  <c r="Y171" i="37"/>
  <c r="Z171" i="37"/>
  <c r="AA171" i="37"/>
  <c r="AB171" i="37"/>
  <c r="AC171" i="37"/>
  <c r="AD171" i="37"/>
  <c r="AE171" i="37"/>
  <c r="AF171" i="37"/>
  <c r="AG171" i="37"/>
  <c r="AH171" i="37"/>
  <c r="AI171" i="37"/>
  <c r="AJ171" i="37"/>
  <c r="AK171" i="37"/>
  <c r="AL171" i="37"/>
  <c r="AM171" i="37"/>
  <c r="AN171" i="37"/>
  <c r="AO171" i="37"/>
  <c r="AP171" i="37"/>
  <c r="AQ171" i="37"/>
  <c r="AR171" i="37"/>
  <c r="AS171" i="37"/>
  <c r="A170" i="37"/>
  <c r="J183" i="37"/>
  <c r="K183" i="37"/>
  <c r="L183" i="37"/>
  <c r="M183" i="37"/>
  <c r="N183" i="37"/>
  <c r="O183" i="37"/>
  <c r="P183" i="37"/>
  <c r="Q183" i="37"/>
  <c r="R183" i="37"/>
  <c r="S183" i="37"/>
  <c r="T183" i="37"/>
  <c r="U183" i="37"/>
  <c r="V183" i="37"/>
  <c r="W183" i="37"/>
  <c r="X183" i="37"/>
  <c r="Y183" i="37"/>
  <c r="Z183" i="37"/>
  <c r="AA183" i="37"/>
  <c r="AB183" i="37"/>
  <c r="AC183" i="37"/>
  <c r="AD183" i="37"/>
  <c r="AE183" i="37"/>
  <c r="AF183" i="37"/>
  <c r="AG183" i="37"/>
  <c r="AH183" i="37"/>
  <c r="AI183" i="37"/>
  <c r="AJ183" i="37"/>
  <c r="AK183" i="37"/>
  <c r="AL183" i="37"/>
  <c r="AM183" i="37"/>
  <c r="AN183" i="37"/>
  <c r="AO183" i="37"/>
  <c r="AP183" i="37"/>
  <c r="AQ183" i="37"/>
  <c r="AR183" i="37"/>
  <c r="AS183" i="37"/>
  <c r="A182" i="37"/>
  <c r="J195" i="37"/>
  <c r="K195" i="37"/>
  <c r="L195" i="37"/>
  <c r="M195" i="37"/>
  <c r="N195" i="37"/>
  <c r="O195" i="37"/>
  <c r="P195" i="37"/>
  <c r="Q195" i="37"/>
  <c r="R195" i="37"/>
  <c r="S195" i="37"/>
  <c r="T195" i="37"/>
  <c r="U195" i="37"/>
  <c r="V195" i="37"/>
  <c r="W195" i="37"/>
  <c r="X195" i="37"/>
  <c r="Y195" i="37"/>
  <c r="Z195" i="37"/>
  <c r="AA195" i="37"/>
  <c r="AB195" i="37"/>
  <c r="AC195" i="37"/>
  <c r="AD195" i="37"/>
  <c r="AE195" i="37"/>
  <c r="AF195" i="37"/>
  <c r="AG195" i="37"/>
  <c r="AH195" i="37"/>
  <c r="AI195" i="37"/>
  <c r="AJ195" i="37"/>
  <c r="AK195" i="37"/>
  <c r="AL195" i="37"/>
  <c r="AM195" i="37"/>
  <c r="AN195" i="37"/>
  <c r="AO195" i="37"/>
  <c r="AP195" i="37"/>
  <c r="AQ195" i="37"/>
  <c r="AR195" i="37"/>
  <c r="AS195" i="37"/>
  <c r="A194" i="37"/>
  <c r="A1" i="37"/>
  <c r="K15" i="36"/>
  <c r="L15" i="36"/>
  <c r="M15" i="36"/>
  <c r="N15" i="36"/>
  <c r="O15" i="36"/>
  <c r="P15" i="36"/>
  <c r="Q15" i="36"/>
  <c r="R15" i="36"/>
  <c r="S15" i="36"/>
  <c r="T15" i="36"/>
  <c r="U15" i="36"/>
  <c r="V15" i="36"/>
  <c r="W15" i="36"/>
  <c r="X15" i="36"/>
  <c r="Y15" i="36"/>
  <c r="Z15" i="36"/>
  <c r="AA15" i="36"/>
  <c r="AB15" i="36"/>
  <c r="AC15" i="36"/>
  <c r="AD15" i="36"/>
  <c r="AE15" i="36"/>
  <c r="AF15" i="36"/>
  <c r="AG15" i="36"/>
  <c r="AH15" i="36"/>
  <c r="AI15" i="36"/>
  <c r="AJ15" i="36"/>
  <c r="AK15" i="36"/>
  <c r="AL15" i="36"/>
  <c r="AM15" i="36"/>
  <c r="A14" i="36"/>
  <c r="K51" i="36"/>
  <c r="L51" i="36"/>
  <c r="M51" i="36"/>
  <c r="N51" i="36"/>
  <c r="O51" i="36"/>
  <c r="P51" i="36"/>
  <c r="Q51" i="36"/>
  <c r="R51" i="36"/>
  <c r="S51" i="36"/>
  <c r="T51" i="36"/>
  <c r="U51" i="36"/>
  <c r="V51" i="36"/>
  <c r="W51" i="36"/>
  <c r="X51" i="36"/>
  <c r="Y51" i="36"/>
  <c r="Z51" i="36"/>
  <c r="AA51" i="36"/>
  <c r="AB51" i="36"/>
  <c r="AC51" i="36"/>
  <c r="AD51" i="36"/>
  <c r="AE51" i="36"/>
  <c r="AF51" i="36"/>
  <c r="AG51" i="36"/>
  <c r="AH51" i="36"/>
  <c r="AI51" i="36"/>
  <c r="AJ51" i="36"/>
  <c r="AK51" i="36"/>
  <c r="AL51" i="36"/>
  <c r="AM51" i="36"/>
  <c r="AN51" i="36"/>
  <c r="AO51" i="36"/>
  <c r="AP51" i="36"/>
  <c r="AQ51" i="36"/>
  <c r="AR51" i="36"/>
  <c r="AS51" i="36"/>
  <c r="A50" i="36"/>
  <c r="K63" i="36"/>
  <c r="L63" i="36"/>
  <c r="M63" i="36"/>
  <c r="N63" i="36"/>
  <c r="O63" i="36"/>
  <c r="P63" i="36"/>
  <c r="Q63" i="36"/>
  <c r="R63" i="36"/>
  <c r="S63" i="36"/>
  <c r="T63" i="36"/>
  <c r="U63" i="36"/>
  <c r="V63" i="36"/>
  <c r="W63" i="36"/>
  <c r="X63" i="36"/>
  <c r="Y63" i="36"/>
  <c r="Z63" i="36"/>
  <c r="AA63" i="36"/>
  <c r="AB63" i="36"/>
  <c r="AC63" i="36"/>
  <c r="AD63" i="36"/>
  <c r="AE63" i="36"/>
  <c r="AF63" i="36"/>
  <c r="AG63" i="36"/>
  <c r="AH63" i="36"/>
  <c r="AI63" i="36"/>
  <c r="AJ63" i="36"/>
  <c r="AK63" i="36"/>
  <c r="AL63" i="36"/>
  <c r="AM63" i="36"/>
  <c r="AN63" i="36"/>
  <c r="AO63" i="36"/>
  <c r="AP63" i="36"/>
  <c r="AQ63" i="36"/>
  <c r="AR63" i="36"/>
  <c r="AS63" i="36"/>
  <c r="A62" i="36"/>
  <c r="K75" i="36"/>
  <c r="L75" i="36"/>
  <c r="M75" i="36"/>
  <c r="N75" i="36"/>
  <c r="O75" i="36"/>
  <c r="P75" i="36"/>
  <c r="Q75" i="36"/>
  <c r="R75" i="36"/>
  <c r="S75" i="36"/>
  <c r="T75" i="36"/>
  <c r="U75" i="36"/>
  <c r="V75" i="36"/>
  <c r="W75" i="36"/>
  <c r="X75" i="36"/>
  <c r="Y75" i="36"/>
  <c r="Z75" i="36"/>
  <c r="AA75" i="36"/>
  <c r="AB75" i="36"/>
  <c r="AC75" i="36"/>
  <c r="AD75" i="36"/>
  <c r="AE75" i="36"/>
  <c r="AF75" i="36"/>
  <c r="AG75" i="36"/>
  <c r="AH75" i="36"/>
  <c r="AI75" i="36"/>
  <c r="AJ75" i="36"/>
  <c r="AK75" i="36"/>
  <c r="AL75" i="36"/>
  <c r="AM75" i="36"/>
  <c r="AN75" i="36"/>
  <c r="AO75" i="36"/>
  <c r="AP75" i="36"/>
  <c r="AQ75" i="36"/>
  <c r="AR75" i="36"/>
  <c r="AS75" i="36"/>
  <c r="A74" i="36"/>
  <c r="K87" i="36"/>
  <c r="L87" i="36"/>
  <c r="M87" i="36"/>
  <c r="N87" i="36"/>
  <c r="O87" i="36"/>
  <c r="P87" i="36"/>
  <c r="Q87" i="36"/>
  <c r="R87" i="36"/>
  <c r="S87" i="36"/>
  <c r="T87" i="36"/>
  <c r="U87" i="36"/>
  <c r="V87" i="36"/>
  <c r="W87" i="36"/>
  <c r="X87" i="36"/>
  <c r="Y87" i="36"/>
  <c r="Z87" i="36"/>
  <c r="AA87" i="36"/>
  <c r="AB87" i="36"/>
  <c r="AC87" i="36"/>
  <c r="AD87" i="36"/>
  <c r="AE87" i="36"/>
  <c r="AF87" i="36"/>
  <c r="AG87" i="36"/>
  <c r="AH87" i="36"/>
  <c r="AI87" i="36"/>
  <c r="AJ87" i="36"/>
  <c r="AK87" i="36"/>
  <c r="AL87" i="36"/>
  <c r="AM87" i="36"/>
  <c r="AN87" i="36"/>
  <c r="AO87" i="36"/>
  <c r="AP87" i="36"/>
  <c r="AQ87" i="36"/>
  <c r="AR87" i="36"/>
  <c r="AS87" i="36"/>
  <c r="A86" i="36"/>
  <c r="K99" i="36"/>
  <c r="L99" i="36"/>
  <c r="M99" i="36"/>
  <c r="N99" i="36"/>
  <c r="O99" i="36"/>
  <c r="P99" i="36"/>
  <c r="Q99" i="36"/>
  <c r="R99" i="36"/>
  <c r="S99" i="36"/>
  <c r="T99" i="36"/>
  <c r="U99" i="36"/>
  <c r="V99" i="36"/>
  <c r="W99" i="36"/>
  <c r="X99" i="36"/>
  <c r="Y99" i="36"/>
  <c r="Z99" i="36"/>
  <c r="AA99" i="36"/>
  <c r="AB99" i="36"/>
  <c r="AC99" i="36"/>
  <c r="AD99" i="36"/>
  <c r="AE99" i="36"/>
  <c r="AF99" i="36"/>
  <c r="AG99" i="36"/>
  <c r="AH99" i="36"/>
  <c r="AI99" i="36"/>
  <c r="AJ99" i="36"/>
  <c r="AK99" i="36"/>
  <c r="AL99" i="36"/>
  <c r="AM99" i="36"/>
  <c r="AN99" i="36"/>
  <c r="AO99" i="36"/>
  <c r="AP99" i="36"/>
  <c r="AQ99" i="36"/>
  <c r="AR99" i="36"/>
  <c r="AS99" i="36"/>
  <c r="A98" i="36"/>
  <c r="K111" i="36"/>
  <c r="L111" i="36"/>
  <c r="M111" i="36"/>
  <c r="N111" i="36"/>
  <c r="O111" i="36"/>
  <c r="P111" i="36"/>
  <c r="Q111" i="36"/>
  <c r="R111" i="36"/>
  <c r="S111" i="36"/>
  <c r="T111" i="36"/>
  <c r="U111" i="36"/>
  <c r="V111" i="36"/>
  <c r="W111" i="36"/>
  <c r="X111" i="36"/>
  <c r="Y111" i="36"/>
  <c r="Z111" i="36"/>
  <c r="AA111" i="36"/>
  <c r="AB111" i="36"/>
  <c r="AC111" i="36"/>
  <c r="AD111" i="36"/>
  <c r="AE111" i="36"/>
  <c r="AF111" i="36"/>
  <c r="AG111" i="36"/>
  <c r="AH111" i="36"/>
  <c r="AI111" i="36"/>
  <c r="AJ111" i="36"/>
  <c r="AK111" i="36"/>
  <c r="AL111" i="36"/>
  <c r="AM111" i="36"/>
  <c r="AN111" i="36"/>
  <c r="AO111" i="36"/>
  <c r="AP111" i="36"/>
  <c r="AQ111" i="36"/>
  <c r="AR111" i="36"/>
  <c r="AS111" i="36"/>
  <c r="A110" i="36"/>
  <c r="K123" i="36"/>
  <c r="L123" i="36"/>
  <c r="M123" i="36"/>
  <c r="N123" i="36"/>
  <c r="O123" i="36"/>
  <c r="P123" i="36"/>
  <c r="Q123" i="36"/>
  <c r="R123" i="36"/>
  <c r="S123" i="36"/>
  <c r="T123" i="36"/>
  <c r="U123" i="36"/>
  <c r="V123" i="36"/>
  <c r="W123" i="36"/>
  <c r="X123" i="36"/>
  <c r="Y123" i="36"/>
  <c r="Z123" i="36"/>
  <c r="AA123" i="36"/>
  <c r="AB123" i="36"/>
  <c r="AC123" i="36"/>
  <c r="AD123" i="36"/>
  <c r="AE123" i="36"/>
  <c r="AF123" i="36"/>
  <c r="AG123" i="36"/>
  <c r="AH123" i="36"/>
  <c r="AI123" i="36"/>
  <c r="AJ123" i="36"/>
  <c r="AK123" i="36"/>
  <c r="AL123" i="36"/>
  <c r="AM123" i="36"/>
  <c r="AN123" i="36"/>
  <c r="AO123" i="36"/>
  <c r="AP123" i="36"/>
  <c r="AQ123" i="36"/>
  <c r="AR123" i="36"/>
  <c r="AS123" i="36"/>
  <c r="A122" i="36"/>
  <c r="K135" i="36"/>
  <c r="L135" i="36"/>
  <c r="M135" i="36"/>
  <c r="N135" i="36"/>
  <c r="O135" i="36"/>
  <c r="P135" i="36"/>
  <c r="Q135" i="36"/>
  <c r="R135" i="36"/>
  <c r="S135" i="36"/>
  <c r="T135" i="36"/>
  <c r="U135" i="36"/>
  <c r="V135" i="36"/>
  <c r="W135" i="36"/>
  <c r="X135" i="36"/>
  <c r="Y135" i="36"/>
  <c r="Z135" i="36"/>
  <c r="AA135" i="36"/>
  <c r="AB135" i="36"/>
  <c r="AC135" i="36"/>
  <c r="AD135" i="36"/>
  <c r="AE135" i="36"/>
  <c r="AF135" i="36"/>
  <c r="AG135" i="36"/>
  <c r="AH135" i="36"/>
  <c r="AI135" i="36"/>
  <c r="AJ135" i="36"/>
  <c r="AK135" i="36"/>
  <c r="AL135" i="36"/>
  <c r="AM135" i="36"/>
  <c r="AN135" i="36"/>
  <c r="AO135" i="36"/>
  <c r="AP135" i="36"/>
  <c r="AQ135" i="36"/>
  <c r="AR135" i="36"/>
  <c r="AS135" i="36"/>
  <c r="A134" i="36"/>
  <c r="K159" i="36"/>
  <c r="L159" i="36"/>
  <c r="M159" i="36"/>
  <c r="N159" i="36"/>
  <c r="O159" i="36"/>
  <c r="P159" i="36"/>
  <c r="Q159" i="36"/>
  <c r="R159" i="36"/>
  <c r="S159" i="36"/>
  <c r="T159" i="36"/>
  <c r="U159" i="36"/>
  <c r="V159" i="36"/>
  <c r="W159" i="36"/>
  <c r="X159" i="36"/>
  <c r="Y159" i="36"/>
  <c r="Z159" i="36"/>
  <c r="AA159" i="36"/>
  <c r="AB159" i="36"/>
  <c r="AC159" i="36"/>
  <c r="AD159" i="36"/>
  <c r="AE159" i="36"/>
  <c r="AF159" i="36"/>
  <c r="AG159" i="36"/>
  <c r="AH159" i="36"/>
  <c r="AI159" i="36"/>
  <c r="AJ159" i="36"/>
  <c r="AK159" i="36"/>
  <c r="AL159" i="36"/>
  <c r="AM159" i="36"/>
  <c r="AN159" i="36"/>
  <c r="AO159" i="36"/>
  <c r="AP159" i="36"/>
  <c r="AQ159" i="36"/>
  <c r="AR159" i="36"/>
  <c r="AS159" i="36"/>
  <c r="A158" i="36"/>
  <c r="K147" i="36"/>
  <c r="L147" i="36"/>
  <c r="M147" i="36"/>
  <c r="N147" i="36"/>
  <c r="O147" i="36"/>
  <c r="P147" i="36"/>
  <c r="Q147" i="36"/>
  <c r="R147" i="36"/>
  <c r="S147" i="36"/>
  <c r="T147" i="36"/>
  <c r="U147" i="36"/>
  <c r="V147" i="36"/>
  <c r="W147" i="36"/>
  <c r="X147" i="36"/>
  <c r="Y147" i="36"/>
  <c r="Z147" i="36"/>
  <c r="AA147" i="36"/>
  <c r="AB147" i="36"/>
  <c r="AC147" i="36"/>
  <c r="AD147" i="36"/>
  <c r="AE147" i="36"/>
  <c r="AF147" i="36"/>
  <c r="AG147" i="36"/>
  <c r="AH147" i="36"/>
  <c r="AI147" i="36"/>
  <c r="AJ147" i="36"/>
  <c r="AK147" i="36"/>
  <c r="AL147" i="36"/>
  <c r="AM147" i="36"/>
  <c r="AN147" i="36"/>
  <c r="AO147" i="36"/>
  <c r="AP147" i="36"/>
  <c r="AQ147" i="36"/>
  <c r="AR147" i="36"/>
  <c r="AS147" i="36"/>
  <c r="A146" i="36"/>
  <c r="K171" i="36"/>
  <c r="L171" i="36"/>
  <c r="M171" i="36"/>
  <c r="N171" i="36"/>
  <c r="O171" i="36"/>
  <c r="P171" i="36"/>
  <c r="Q171" i="36"/>
  <c r="R171" i="36"/>
  <c r="S171" i="36"/>
  <c r="T171" i="36"/>
  <c r="U171" i="36"/>
  <c r="V171" i="36"/>
  <c r="W171" i="36"/>
  <c r="X171" i="36"/>
  <c r="Y171" i="36"/>
  <c r="Z171" i="36"/>
  <c r="AA171" i="36"/>
  <c r="AB171" i="36"/>
  <c r="AC171" i="36"/>
  <c r="AD171" i="36"/>
  <c r="AE171" i="36"/>
  <c r="AF171" i="36"/>
  <c r="AG171" i="36"/>
  <c r="AH171" i="36"/>
  <c r="AI171" i="36"/>
  <c r="AJ171" i="36"/>
  <c r="AK171" i="36"/>
  <c r="AL171" i="36"/>
  <c r="AM171" i="36"/>
  <c r="AN171" i="36"/>
  <c r="AO171" i="36"/>
  <c r="AP171" i="36"/>
  <c r="AQ171" i="36"/>
  <c r="AR171" i="36"/>
  <c r="AS171" i="36"/>
  <c r="A170" i="36"/>
  <c r="K183" i="36"/>
  <c r="L183" i="36"/>
  <c r="M183" i="36"/>
  <c r="N183" i="36"/>
  <c r="O183" i="36"/>
  <c r="P183" i="36"/>
  <c r="Q183" i="36"/>
  <c r="R183" i="36"/>
  <c r="S183" i="36"/>
  <c r="T183" i="36"/>
  <c r="U183" i="36"/>
  <c r="V183" i="36"/>
  <c r="W183" i="36"/>
  <c r="X183" i="36"/>
  <c r="Y183" i="36"/>
  <c r="Z183" i="36"/>
  <c r="AA183" i="36"/>
  <c r="AB183" i="36"/>
  <c r="AC183" i="36"/>
  <c r="AD183" i="36"/>
  <c r="AE183" i="36"/>
  <c r="AF183" i="36"/>
  <c r="AG183" i="36"/>
  <c r="AH183" i="36"/>
  <c r="AI183" i="36"/>
  <c r="AJ183" i="36"/>
  <c r="AK183" i="36"/>
  <c r="AL183" i="36"/>
  <c r="AM183" i="36"/>
  <c r="AN183" i="36"/>
  <c r="AO183" i="36"/>
  <c r="AP183" i="36"/>
  <c r="AQ183" i="36"/>
  <c r="AR183" i="36"/>
  <c r="AS183" i="36"/>
  <c r="A182" i="36"/>
  <c r="K195" i="36"/>
  <c r="L195" i="36"/>
  <c r="M195" i="36"/>
  <c r="N195" i="36"/>
  <c r="O195" i="36"/>
  <c r="P195" i="36"/>
  <c r="Q195" i="36"/>
  <c r="R195" i="36"/>
  <c r="S195" i="36"/>
  <c r="T195" i="36"/>
  <c r="U195" i="36"/>
  <c r="V195" i="36"/>
  <c r="W195" i="36"/>
  <c r="X195" i="36"/>
  <c r="Y195" i="36"/>
  <c r="Z195" i="36"/>
  <c r="AA195" i="36"/>
  <c r="AB195" i="36"/>
  <c r="AC195" i="36"/>
  <c r="AD195" i="36"/>
  <c r="AE195" i="36"/>
  <c r="AF195" i="36"/>
  <c r="AG195" i="36"/>
  <c r="AH195" i="36"/>
  <c r="AI195" i="36"/>
  <c r="AJ195" i="36"/>
  <c r="AK195" i="36"/>
  <c r="AL195" i="36"/>
  <c r="AM195" i="36"/>
  <c r="AN195" i="36"/>
  <c r="AO195" i="36"/>
  <c r="AP195" i="36"/>
  <c r="AQ195" i="36"/>
  <c r="AR195" i="36"/>
  <c r="AS195" i="36"/>
  <c r="A194" i="36"/>
  <c r="K207" i="36"/>
  <c r="L207" i="36"/>
  <c r="M207" i="36"/>
  <c r="N207" i="36"/>
  <c r="O207" i="36"/>
  <c r="P207" i="36"/>
  <c r="Q207" i="36"/>
  <c r="R207" i="36"/>
  <c r="S207" i="36"/>
  <c r="T207" i="36"/>
  <c r="U207" i="36"/>
  <c r="V207" i="36"/>
  <c r="W207" i="36"/>
  <c r="X207" i="36"/>
  <c r="Y207" i="36"/>
  <c r="Z207" i="36"/>
  <c r="AA207" i="36"/>
  <c r="AB207" i="36"/>
  <c r="AC207" i="36"/>
  <c r="AD207" i="36"/>
  <c r="AE207" i="36"/>
  <c r="AF207" i="36"/>
  <c r="AG207" i="36"/>
  <c r="AH207" i="36"/>
  <c r="AI207" i="36"/>
  <c r="AJ207" i="36"/>
  <c r="AK207" i="36"/>
  <c r="AL207" i="36"/>
  <c r="AM207" i="36"/>
  <c r="AN207" i="36"/>
  <c r="AO207" i="36"/>
  <c r="AP207" i="36"/>
  <c r="AQ207" i="36"/>
  <c r="AR207" i="36"/>
  <c r="AS207" i="36"/>
  <c r="A206" i="36"/>
  <c r="K219" i="36"/>
  <c r="L219" i="36"/>
  <c r="M219" i="36"/>
  <c r="N219" i="36"/>
  <c r="O219" i="36"/>
  <c r="P219" i="36"/>
  <c r="Q219" i="36"/>
  <c r="R219" i="36"/>
  <c r="S219" i="36"/>
  <c r="T219" i="36"/>
  <c r="U219" i="36"/>
  <c r="V219" i="36"/>
  <c r="W219" i="36"/>
  <c r="X219" i="36"/>
  <c r="Y219" i="36"/>
  <c r="Z219" i="36"/>
  <c r="AA219" i="36"/>
  <c r="AB219" i="36"/>
  <c r="AC219" i="36"/>
  <c r="AD219" i="36"/>
  <c r="AE219" i="36"/>
  <c r="AF219" i="36"/>
  <c r="AG219" i="36"/>
  <c r="AH219" i="36"/>
  <c r="AI219" i="36"/>
  <c r="AJ219" i="36"/>
  <c r="AK219" i="36"/>
  <c r="AL219" i="36"/>
  <c r="AM219" i="36"/>
  <c r="AN219" i="36"/>
  <c r="AO219" i="36"/>
  <c r="AP219" i="36"/>
  <c r="AQ219" i="36"/>
  <c r="AR219" i="36"/>
  <c r="AS219" i="36"/>
  <c r="A218" i="36"/>
  <c r="K231" i="36"/>
  <c r="L231" i="36"/>
  <c r="M231" i="36"/>
  <c r="N231" i="36"/>
  <c r="O231" i="36"/>
  <c r="P231" i="36"/>
  <c r="Q231" i="36"/>
  <c r="R231" i="36"/>
  <c r="S231" i="36"/>
  <c r="T231" i="36"/>
  <c r="U231" i="36"/>
  <c r="V231" i="36"/>
  <c r="W231" i="36"/>
  <c r="X231" i="36"/>
  <c r="Y231" i="36"/>
  <c r="Z231" i="36"/>
  <c r="AA231" i="36"/>
  <c r="AB231" i="36"/>
  <c r="AC231" i="36"/>
  <c r="AD231" i="36"/>
  <c r="AE231" i="36"/>
  <c r="AF231" i="36"/>
  <c r="AG231" i="36"/>
  <c r="AH231" i="36"/>
  <c r="AI231" i="36"/>
  <c r="AJ231" i="36"/>
  <c r="AK231" i="36"/>
  <c r="AL231" i="36"/>
  <c r="AM231" i="36"/>
  <c r="AN231" i="36"/>
  <c r="AO231" i="36"/>
  <c r="AP231" i="36"/>
  <c r="AQ231" i="36"/>
  <c r="AR231" i="36"/>
  <c r="AS231" i="36"/>
  <c r="A230" i="36"/>
  <c r="K39" i="36"/>
  <c r="L39" i="36"/>
  <c r="M39" i="36"/>
  <c r="N39" i="36"/>
  <c r="O39" i="36"/>
  <c r="P39" i="36"/>
  <c r="Q39" i="36"/>
  <c r="R39" i="36"/>
  <c r="S39" i="36"/>
  <c r="T39" i="36"/>
  <c r="U39" i="36"/>
  <c r="V39" i="36"/>
  <c r="W39" i="36"/>
  <c r="X39" i="36"/>
  <c r="Y39" i="36"/>
  <c r="Z39" i="36"/>
  <c r="AA39" i="36"/>
  <c r="AB39" i="36"/>
  <c r="AC39" i="36"/>
  <c r="AD39" i="36"/>
  <c r="AE39" i="36"/>
  <c r="AF39" i="36"/>
  <c r="AG39" i="36"/>
  <c r="AH39" i="36"/>
  <c r="AI39" i="36"/>
  <c r="AJ39" i="36"/>
  <c r="AK39" i="36"/>
  <c r="AL39" i="36"/>
  <c r="AM39" i="36"/>
  <c r="AN39" i="36"/>
  <c r="AO39" i="36"/>
  <c r="AP39" i="36"/>
  <c r="AQ39" i="36"/>
  <c r="AR39" i="36"/>
  <c r="AS39" i="36"/>
  <c r="A38" i="36"/>
  <c r="K27" i="36"/>
  <c r="L27" i="36"/>
  <c r="M27" i="36"/>
  <c r="N27" i="36"/>
  <c r="O27" i="36"/>
  <c r="P27" i="36"/>
  <c r="Q27" i="36"/>
  <c r="R27" i="36"/>
  <c r="S27" i="36"/>
  <c r="T27" i="36"/>
  <c r="U27" i="36"/>
  <c r="V27" i="36"/>
  <c r="W27" i="36"/>
  <c r="X27" i="36"/>
  <c r="Y27" i="36"/>
  <c r="Z27" i="36"/>
  <c r="AA27" i="36"/>
  <c r="AB27" i="36"/>
  <c r="AC27" i="36"/>
  <c r="AD27" i="36"/>
  <c r="AE27" i="36"/>
  <c r="AF27" i="36"/>
  <c r="AG27" i="36"/>
  <c r="AH27" i="36"/>
  <c r="AI27" i="36"/>
  <c r="AJ27" i="36"/>
  <c r="AK27" i="36"/>
  <c r="AL27" i="36"/>
  <c r="AM27" i="36"/>
  <c r="AN27" i="36"/>
  <c r="AO27" i="36"/>
  <c r="AP27" i="36"/>
  <c r="AQ27" i="36"/>
  <c r="AR27" i="36"/>
  <c r="AS27" i="36"/>
  <c r="A26" i="36"/>
  <c r="K243" i="36"/>
  <c r="L243" i="36"/>
  <c r="M243" i="36"/>
  <c r="N243" i="36"/>
  <c r="O243" i="36"/>
  <c r="P243" i="36"/>
  <c r="Q243" i="36"/>
  <c r="R243" i="36"/>
  <c r="S243" i="36"/>
  <c r="T243" i="36"/>
  <c r="U243" i="36"/>
  <c r="V243" i="36"/>
  <c r="W243" i="36"/>
  <c r="X243" i="36"/>
  <c r="Y243" i="36"/>
  <c r="Z243" i="36"/>
  <c r="AA243" i="36"/>
  <c r="AB243" i="36"/>
  <c r="AC243" i="36"/>
  <c r="AD243" i="36"/>
  <c r="AE243" i="36"/>
  <c r="AF243" i="36"/>
  <c r="AG243" i="36"/>
  <c r="AH243" i="36"/>
  <c r="AI243" i="36"/>
  <c r="AJ243" i="36"/>
  <c r="AK243" i="36"/>
  <c r="AL243" i="36"/>
  <c r="AM243" i="36"/>
  <c r="AN243" i="36"/>
  <c r="AO243" i="36"/>
  <c r="AP243" i="36"/>
  <c r="AQ243" i="36"/>
  <c r="AR243" i="36"/>
  <c r="AS243" i="36"/>
  <c r="A242" i="36"/>
  <c r="K255" i="36"/>
  <c r="L255" i="36"/>
  <c r="M255" i="36"/>
  <c r="N255" i="36"/>
  <c r="O255" i="36"/>
  <c r="P255" i="36"/>
  <c r="Q255" i="36"/>
  <c r="R255" i="36"/>
  <c r="S255" i="36"/>
  <c r="T255" i="36"/>
  <c r="U255" i="36"/>
  <c r="V255" i="36"/>
  <c r="W255" i="36"/>
  <c r="X255" i="36"/>
  <c r="Y255" i="36"/>
  <c r="Z255" i="36"/>
  <c r="AA255" i="36"/>
  <c r="AB255" i="36"/>
  <c r="AC255" i="36"/>
  <c r="AD255" i="36"/>
  <c r="AE255" i="36"/>
  <c r="AF255" i="36"/>
  <c r="AG255" i="36"/>
  <c r="AH255" i="36"/>
  <c r="AI255" i="36"/>
  <c r="AJ255" i="36"/>
  <c r="AK255" i="36"/>
  <c r="AL255" i="36"/>
  <c r="AM255" i="36"/>
  <c r="AN255" i="36"/>
  <c r="AO255" i="36"/>
  <c r="AP255" i="36"/>
  <c r="AQ255" i="36"/>
  <c r="AR255" i="36"/>
  <c r="AS255" i="36"/>
  <c r="A254" i="36"/>
  <c r="A1" i="36"/>
  <c r="L15" i="38"/>
  <c r="M15" i="38"/>
  <c r="N15" i="38"/>
  <c r="O15" i="38"/>
  <c r="P15" i="38"/>
  <c r="Q15" i="38"/>
  <c r="R15" i="38"/>
  <c r="S15" i="38"/>
  <c r="T15" i="38"/>
  <c r="V15" i="38"/>
  <c r="W15" i="38"/>
  <c r="X15" i="38"/>
  <c r="Y15" i="38"/>
  <c r="Z15" i="38"/>
  <c r="AA15" i="38"/>
  <c r="AB15" i="38"/>
  <c r="AC15" i="38"/>
  <c r="AD15" i="38"/>
  <c r="AE15" i="38"/>
  <c r="AF15" i="38"/>
  <c r="AG15" i="38"/>
  <c r="AH15" i="38"/>
  <c r="AI15" i="38"/>
  <c r="AJ15" i="38"/>
  <c r="AK15" i="38"/>
  <c r="AL15" i="38"/>
  <c r="AM15" i="38"/>
  <c r="AN15" i="38"/>
  <c r="AO15" i="38"/>
  <c r="A14" i="38"/>
  <c r="L51" i="38"/>
  <c r="M51" i="38"/>
  <c r="N51" i="38"/>
  <c r="O51" i="38"/>
  <c r="P51" i="38"/>
  <c r="Q51" i="38"/>
  <c r="R51" i="38"/>
  <c r="S51" i="38"/>
  <c r="T51" i="38"/>
  <c r="V51" i="38"/>
  <c r="W51" i="38"/>
  <c r="X51" i="38"/>
  <c r="Y51" i="38"/>
  <c r="Z51" i="38"/>
  <c r="AA51" i="38"/>
  <c r="AB51" i="38"/>
  <c r="AC51" i="38"/>
  <c r="AD51" i="38"/>
  <c r="AE51" i="38"/>
  <c r="AF51" i="38"/>
  <c r="AG51" i="38"/>
  <c r="AH51" i="38"/>
  <c r="AI51" i="38"/>
  <c r="AJ51" i="38"/>
  <c r="AK51" i="38"/>
  <c r="AL51" i="38"/>
  <c r="AM51" i="38"/>
  <c r="AN51" i="38"/>
  <c r="AO51" i="38"/>
  <c r="AP51" i="38"/>
  <c r="AQ51" i="38"/>
  <c r="AR51" i="38"/>
  <c r="AS51" i="38"/>
  <c r="A50" i="38"/>
  <c r="L63" i="38"/>
  <c r="M63" i="38"/>
  <c r="N63" i="38"/>
  <c r="O63" i="38"/>
  <c r="P63" i="38"/>
  <c r="Q63" i="38"/>
  <c r="R63" i="38"/>
  <c r="S63" i="38"/>
  <c r="T63" i="38"/>
  <c r="V63" i="38"/>
  <c r="W63" i="38"/>
  <c r="X63" i="38"/>
  <c r="Y63" i="38"/>
  <c r="Z63" i="38"/>
  <c r="AA63" i="38"/>
  <c r="AB63" i="38"/>
  <c r="AC63" i="38"/>
  <c r="AD63" i="38"/>
  <c r="AE63" i="38"/>
  <c r="AF63" i="38"/>
  <c r="AG63" i="38"/>
  <c r="AH63" i="38"/>
  <c r="AI63" i="38"/>
  <c r="AJ63" i="38"/>
  <c r="AK63" i="38"/>
  <c r="AL63" i="38"/>
  <c r="AM63" i="38"/>
  <c r="AN63" i="38"/>
  <c r="AO63" i="38"/>
  <c r="AP63" i="38"/>
  <c r="AQ63" i="38"/>
  <c r="AR63" i="38"/>
  <c r="AS63" i="38"/>
  <c r="A62" i="38"/>
  <c r="L75" i="38"/>
  <c r="M75" i="38"/>
  <c r="N75" i="38"/>
  <c r="O75" i="38"/>
  <c r="P75" i="38"/>
  <c r="Q75" i="38"/>
  <c r="R75" i="38"/>
  <c r="S75" i="38"/>
  <c r="T75" i="38"/>
  <c r="V75" i="38"/>
  <c r="W75" i="38"/>
  <c r="X75" i="38"/>
  <c r="Y75" i="38"/>
  <c r="Z75" i="38"/>
  <c r="AA75" i="38"/>
  <c r="AB75" i="38"/>
  <c r="AC75" i="38"/>
  <c r="AD75" i="38"/>
  <c r="AE75" i="38"/>
  <c r="AF75" i="38"/>
  <c r="AG75" i="38"/>
  <c r="AH75" i="38"/>
  <c r="AI75" i="38"/>
  <c r="AJ75" i="38"/>
  <c r="AK75" i="38"/>
  <c r="AL75" i="38"/>
  <c r="AM75" i="38"/>
  <c r="AN75" i="38"/>
  <c r="AO75" i="38"/>
  <c r="AP75" i="38"/>
  <c r="AQ75" i="38"/>
  <c r="AR75" i="38"/>
  <c r="AS75" i="38"/>
  <c r="A74" i="38"/>
  <c r="L87" i="38"/>
  <c r="M87" i="38"/>
  <c r="N87" i="38"/>
  <c r="O87" i="38"/>
  <c r="P87" i="38"/>
  <c r="Q87" i="38"/>
  <c r="R87" i="38"/>
  <c r="S87" i="38"/>
  <c r="T87" i="38"/>
  <c r="V87" i="38"/>
  <c r="W87" i="38"/>
  <c r="X87" i="38"/>
  <c r="Y87" i="38"/>
  <c r="Z87" i="38"/>
  <c r="AA87" i="38"/>
  <c r="AB87" i="38"/>
  <c r="AC87" i="38"/>
  <c r="AD87" i="38"/>
  <c r="AE87" i="38"/>
  <c r="AF87" i="38"/>
  <c r="AG87" i="38"/>
  <c r="AH87" i="38"/>
  <c r="AI87" i="38"/>
  <c r="AJ87" i="38"/>
  <c r="AK87" i="38"/>
  <c r="AL87" i="38"/>
  <c r="AM87" i="38"/>
  <c r="AN87" i="38"/>
  <c r="AO87" i="38"/>
  <c r="AP87" i="38"/>
  <c r="AQ87" i="38"/>
  <c r="AR87" i="38"/>
  <c r="AS87" i="38"/>
  <c r="A86" i="38"/>
  <c r="L99" i="38"/>
  <c r="M99" i="38"/>
  <c r="N99" i="38"/>
  <c r="O99" i="38"/>
  <c r="P99" i="38"/>
  <c r="Q99" i="38"/>
  <c r="R99" i="38"/>
  <c r="S99" i="38"/>
  <c r="T99" i="38"/>
  <c r="V99" i="38"/>
  <c r="W99" i="38"/>
  <c r="X99" i="38"/>
  <c r="Y99" i="38"/>
  <c r="Z99" i="38"/>
  <c r="AA99" i="38"/>
  <c r="AB99" i="38"/>
  <c r="AC99" i="38"/>
  <c r="AD99" i="38"/>
  <c r="AE99" i="38"/>
  <c r="AF99" i="38"/>
  <c r="AG99" i="38"/>
  <c r="AH99" i="38"/>
  <c r="AI99" i="38"/>
  <c r="AJ99" i="38"/>
  <c r="AK99" i="38"/>
  <c r="AL99" i="38"/>
  <c r="AM99" i="38"/>
  <c r="AN99" i="38"/>
  <c r="AO99" i="38"/>
  <c r="AP99" i="38"/>
  <c r="AQ99" i="38"/>
  <c r="AR99" i="38"/>
  <c r="AS99" i="38"/>
  <c r="A98" i="38"/>
  <c r="L111" i="38"/>
  <c r="M111" i="38"/>
  <c r="N111" i="38"/>
  <c r="O111" i="38"/>
  <c r="P111" i="38"/>
  <c r="Q111" i="38"/>
  <c r="R111" i="38"/>
  <c r="S111" i="38"/>
  <c r="T111" i="38"/>
  <c r="V111" i="38"/>
  <c r="W111" i="38"/>
  <c r="X111" i="38"/>
  <c r="Y111" i="38"/>
  <c r="Z111" i="38"/>
  <c r="AA111" i="38"/>
  <c r="AB111" i="38"/>
  <c r="AC111" i="38"/>
  <c r="AD111" i="38"/>
  <c r="AE111" i="38"/>
  <c r="AF111" i="38"/>
  <c r="AG111" i="38"/>
  <c r="AH111" i="38"/>
  <c r="AI111" i="38"/>
  <c r="AJ111" i="38"/>
  <c r="AK111" i="38"/>
  <c r="AL111" i="38"/>
  <c r="AM111" i="38"/>
  <c r="AN111" i="38"/>
  <c r="AO111" i="38"/>
  <c r="AP111" i="38"/>
  <c r="AQ111" i="38"/>
  <c r="AR111" i="38"/>
  <c r="AS111" i="38"/>
  <c r="A110" i="38"/>
  <c r="L123" i="38"/>
  <c r="M123" i="38"/>
  <c r="N123" i="38"/>
  <c r="O123" i="38"/>
  <c r="P123" i="38"/>
  <c r="Q123" i="38"/>
  <c r="R123" i="38"/>
  <c r="S123" i="38"/>
  <c r="T123" i="38"/>
  <c r="V123" i="38"/>
  <c r="W123" i="38"/>
  <c r="X123" i="38"/>
  <c r="Y123" i="38"/>
  <c r="Z123" i="38"/>
  <c r="AA123" i="38"/>
  <c r="AB123" i="38"/>
  <c r="AC123" i="38"/>
  <c r="AD123" i="38"/>
  <c r="AE123" i="38"/>
  <c r="AF123" i="38"/>
  <c r="AG123" i="38"/>
  <c r="AH123" i="38"/>
  <c r="AI123" i="38"/>
  <c r="AJ123" i="38"/>
  <c r="AK123" i="38"/>
  <c r="AL123" i="38"/>
  <c r="AM123" i="38"/>
  <c r="AN123" i="38"/>
  <c r="AO123" i="38"/>
  <c r="AP123" i="38"/>
  <c r="AQ123" i="38"/>
  <c r="AR123" i="38"/>
  <c r="AS123" i="38"/>
  <c r="A122" i="38"/>
  <c r="L135" i="38"/>
  <c r="M135" i="38"/>
  <c r="N135" i="38"/>
  <c r="O135" i="38"/>
  <c r="P135" i="38"/>
  <c r="Q135" i="38"/>
  <c r="R135" i="38"/>
  <c r="S135" i="38"/>
  <c r="T135" i="38"/>
  <c r="V135" i="38"/>
  <c r="W135" i="38"/>
  <c r="X135" i="38"/>
  <c r="Y135" i="38"/>
  <c r="Z135" i="38"/>
  <c r="AA135" i="38"/>
  <c r="AB135" i="38"/>
  <c r="AC135" i="38"/>
  <c r="AD135" i="38"/>
  <c r="AE135" i="38"/>
  <c r="AF135" i="38"/>
  <c r="AG135" i="38"/>
  <c r="AH135" i="38"/>
  <c r="AI135" i="38"/>
  <c r="AJ135" i="38"/>
  <c r="AK135" i="38"/>
  <c r="AL135" i="38"/>
  <c r="AM135" i="38"/>
  <c r="AN135" i="38"/>
  <c r="AO135" i="38"/>
  <c r="AP135" i="38"/>
  <c r="AQ135" i="38"/>
  <c r="AR135" i="38"/>
  <c r="AS135" i="38"/>
  <c r="A134" i="38"/>
  <c r="L159" i="38"/>
  <c r="M159" i="38"/>
  <c r="N159" i="38"/>
  <c r="O159" i="38"/>
  <c r="P159" i="38"/>
  <c r="Q159" i="38"/>
  <c r="R159" i="38"/>
  <c r="S159" i="38"/>
  <c r="T159" i="38"/>
  <c r="V159" i="38"/>
  <c r="W159" i="38"/>
  <c r="X159" i="38"/>
  <c r="Y159" i="38"/>
  <c r="Z159" i="38"/>
  <c r="AA159" i="38"/>
  <c r="AB159" i="38"/>
  <c r="AC159" i="38"/>
  <c r="AD159" i="38"/>
  <c r="AE159" i="38"/>
  <c r="AF159" i="38"/>
  <c r="AG159" i="38"/>
  <c r="AH159" i="38"/>
  <c r="AI159" i="38"/>
  <c r="AJ159" i="38"/>
  <c r="AK159" i="38"/>
  <c r="AL159" i="38"/>
  <c r="AM159" i="38"/>
  <c r="AN159" i="38"/>
  <c r="AO159" i="38"/>
  <c r="AP159" i="38"/>
  <c r="AQ159" i="38"/>
  <c r="AR159" i="38"/>
  <c r="AS159" i="38"/>
  <c r="A158" i="38"/>
  <c r="L147" i="38"/>
  <c r="M147" i="38"/>
  <c r="N147" i="38"/>
  <c r="O147" i="38"/>
  <c r="P147" i="38"/>
  <c r="Q147" i="38"/>
  <c r="R147" i="38"/>
  <c r="S147" i="38"/>
  <c r="T147" i="38"/>
  <c r="V147" i="38"/>
  <c r="W147" i="38"/>
  <c r="X147" i="38"/>
  <c r="Y147" i="38"/>
  <c r="Z147" i="38"/>
  <c r="AA147" i="38"/>
  <c r="AB147" i="38"/>
  <c r="AC147" i="38"/>
  <c r="AD147" i="38"/>
  <c r="AE147" i="38"/>
  <c r="AF147" i="38"/>
  <c r="AG147" i="38"/>
  <c r="AH147" i="38"/>
  <c r="AI147" i="38"/>
  <c r="AJ147" i="38"/>
  <c r="AK147" i="38"/>
  <c r="AL147" i="38"/>
  <c r="AM147" i="38"/>
  <c r="AN147" i="38"/>
  <c r="AO147" i="38"/>
  <c r="AP147" i="38"/>
  <c r="AQ147" i="38"/>
  <c r="AR147" i="38"/>
  <c r="AS147" i="38"/>
  <c r="A146" i="38"/>
  <c r="L171" i="38"/>
  <c r="M171" i="38"/>
  <c r="N171" i="38"/>
  <c r="O171" i="38"/>
  <c r="P171" i="38"/>
  <c r="Q171" i="38"/>
  <c r="R171" i="38"/>
  <c r="S171" i="38"/>
  <c r="T171" i="38"/>
  <c r="V171" i="38"/>
  <c r="W171" i="38"/>
  <c r="X171" i="38"/>
  <c r="Y171" i="38"/>
  <c r="Z171" i="38"/>
  <c r="AA171" i="38"/>
  <c r="AB171" i="38"/>
  <c r="AC171" i="38"/>
  <c r="AD171" i="38"/>
  <c r="AE171" i="38"/>
  <c r="AF171" i="38"/>
  <c r="AG171" i="38"/>
  <c r="AH171" i="38"/>
  <c r="AI171" i="38"/>
  <c r="AJ171" i="38"/>
  <c r="AK171" i="38"/>
  <c r="AL171" i="38"/>
  <c r="AM171" i="38"/>
  <c r="AN171" i="38"/>
  <c r="AO171" i="38"/>
  <c r="AP171" i="38"/>
  <c r="AQ171" i="38"/>
  <c r="AR171" i="38"/>
  <c r="AS171" i="38"/>
  <c r="A170" i="38"/>
  <c r="L183" i="38"/>
  <c r="M183" i="38"/>
  <c r="N183" i="38"/>
  <c r="O183" i="38"/>
  <c r="P183" i="38"/>
  <c r="Q183" i="38"/>
  <c r="R183" i="38"/>
  <c r="S183" i="38"/>
  <c r="T183" i="38"/>
  <c r="V183" i="38"/>
  <c r="W183" i="38"/>
  <c r="X183" i="38"/>
  <c r="Y183" i="38"/>
  <c r="Z183" i="38"/>
  <c r="AA183" i="38"/>
  <c r="AB183" i="38"/>
  <c r="AC183" i="38"/>
  <c r="AD183" i="38"/>
  <c r="AE183" i="38"/>
  <c r="AF183" i="38"/>
  <c r="AG183" i="38"/>
  <c r="AH183" i="38"/>
  <c r="AI183" i="38"/>
  <c r="AJ183" i="38"/>
  <c r="AK183" i="38"/>
  <c r="AL183" i="38"/>
  <c r="AM183" i="38"/>
  <c r="AN183" i="38"/>
  <c r="AO183" i="38"/>
  <c r="AP183" i="38"/>
  <c r="AQ183" i="38"/>
  <c r="AR183" i="38"/>
  <c r="AS183" i="38"/>
  <c r="A182" i="38"/>
  <c r="L195" i="38"/>
  <c r="M195" i="38"/>
  <c r="N195" i="38"/>
  <c r="O195" i="38"/>
  <c r="P195" i="38"/>
  <c r="Q195" i="38"/>
  <c r="R195" i="38"/>
  <c r="S195" i="38"/>
  <c r="T195" i="38"/>
  <c r="V195" i="38"/>
  <c r="W195" i="38"/>
  <c r="X195" i="38"/>
  <c r="Y195" i="38"/>
  <c r="Z195" i="38"/>
  <c r="AA195" i="38"/>
  <c r="AB195" i="38"/>
  <c r="AC195" i="38"/>
  <c r="AD195" i="38"/>
  <c r="AE195" i="38"/>
  <c r="AF195" i="38"/>
  <c r="AG195" i="38"/>
  <c r="AH195" i="38"/>
  <c r="AI195" i="38"/>
  <c r="AJ195" i="38"/>
  <c r="AK195" i="38"/>
  <c r="AL195" i="38"/>
  <c r="AM195" i="38"/>
  <c r="AN195" i="38"/>
  <c r="AO195" i="38"/>
  <c r="AP195" i="38"/>
  <c r="AQ195" i="38"/>
  <c r="AR195" i="38"/>
  <c r="AS195" i="38"/>
  <c r="A194" i="38"/>
  <c r="L207" i="38"/>
  <c r="M207" i="38"/>
  <c r="N207" i="38"/>
  <c r="O207" i="38"/>
  <c r="P207" i="38"/>
  <c r="Q207" i="38"/>
  <c r="R207" i="38"/>
  <c r="S207" i="38"/>
  <c r="T207" i="38"/>
  <c r="V207" i="38"/>
  <c r="W207" i="38"/>
  <c r="X207" i="38"/>
  <c r="Y207" i="38"/>
  <c r="Z207" i="38"/>
  <c r="AA207" i="38"/>
  <c r="AB207" i="38"/>
  <c r="AC207" i="38"/>
  <c r="AD207" i="38"/>
  <c r="AE207" i="38"/>
  <c r="AF207" i="38"/>
  <c r="AG207" i="38"/>
  <c r="AH207" i="38"/>
  <c r="AI207" i="38"/>
  <c r="AJ207" i="38"/>
  <c r="AK207" i="38"/>
  <c r="AL207" i="38"/>
  <c r="AM207" i="38"/>
  <c r="AN207" i="38"/>
  <c r="AO207" i="38"/>
  <c r="AP207" i="38"/>
  <c r="AQ207" i="38"/>
  <c r="AR207" i="38"/>
  <c r="AS207" i="38"/>
  <c r="A206" i="38"/>
  <c r="L219" i="38"/>
  <c r="M219" i="38"/>
  <c r="N219" i="38"/>
  <c r="O219" i="38"/>
  <c r="P219" i="38"/>
  <c r="Q219" i="38"/>
  <c r="R219" i="38"/>
  <c r="S219" i="38"/>
  <c r="T219" i="38"/>
  <c r="V219" i="38"/>
  <c r="W219" i="38"/>
  <c r="X219" i="38"/>
  <c r="Y219" i="38"/>
  <c r="Z219" i="38"/>
  <c r="AA219" i="38"/>
  <c r="AB219" i="38"/>
  <c r="AC219" i="38"/>
  <c r="AD219" i="38"/>
  <c r="AE219" i="38"/>
  <c r="AF219" i="38"/>
  <c r="AG219" i="38"/>
  <c r="AH219" i="38"/>
  <c r="AI219" i="38"/>
  <c r="AJ219" i="38"/>
  <c r="AK219" i="38"/>
  <c r="AL219" i="38"/>
  <c r="AM219" i="38"/>
  <c r="AN219" i="38"/>
  <c r="AO219" i="38"/>
  <c r="AP219" i="38"/>
  <c r="AQ219" i="38"/>
  <c r="AR219" i="38"/>
  <c r="AS219" i="38"/>
  <c r="A218" i="38"/>
  <c r="L231" i="38"/>
  <c r="M231" i="38"/>
  <c r="N231" i="38"/>
  <c r="O231" i="38"/>
  <c r="P231" i="38"/>
  <c r="Q231" i="38"/>
  <c r="R231" i="38"/>
  <c r="S231" i="38"/>
  <c r="T231" i="38"/>
  <c r="V231" i="38"/>
  <c r="W231" i="38"/>
  <c r="X231" i="38"/>
  <c r="Y231" i="38"/>
  <c r="Z231" i="38"/>
  <c r="AA231" i="38"/>
  <c r="AB231" i="38"/>
  <c r="AC231" i="38"/>
  <c r="AD231" i="38"/>
  <c r="AE231" i="38"/>
  <c r="AF231" i="38"/>
  <c r="AG231" i="38"/>
  <c r="AH231" i="38"/>
  <c r="AI231" i="38"/>
  <c r="AJ231" i="38"/>
  <c r="AK231" i="38"/>
  <c r="AL231" i="38"/>
  <c r="AM231" i="38"/>
  <c r="AN231" i="38"/>
  <c r="AO231" i="38"/>
  <c r="AP231" i="38"/>
  <c r="AQ231" i="38"/>
  <c r="AR231" i="38"/>
  <c r="AS231" i="38"/>
  <c r="A230" i="38"/>
  <c r="L39" i="38"/>
  <c r="M39" i="38"/>
  <c r="N39" i="38"/>
  <c r="O39" i="38"/>
  <c r="P39" i="38"/>
  <c r="Q39" i="38"/>
  <c r="R39" i="38"/>
  <c r="S39" i="38"/>
  <c r="T39" i="38"/>
  <c r="V39" i="38"/>
  <c r="W39" i="38"/>
  <c r="X39" i="38"/>
  <c r="Y39" i="38"/>
  <c r="Z39" i="38"/>
  <c r="AA39" i="38"/>
  <c r="AB39" i="38"/>
  <c r="AC39" i="38"/>
  <c r="AD39" i="38"/>
  <c r="AE39" i="38"/>
  <c r="AF39" i="38"/>
  <c r="AG39" i="38"/>
  <c r="AH39" i="38"/>
  <c r="AI39" i="38"/>
  <c r="AJ39" i="38"/>
  <c r="AK39" i="38"/>
  <c r="AL39" i="38"/>
  <c r="AM39" i="38"/>
  <c r="AN39" i="38"/>
  <c r="AO39" i="38"/>
  <c r="AP39" i="38"/>
  <c r="AQ39" i="38"/>
  <c r="AR39" i="38"/>
  <c r="AS39" i="38"/>
  <c r="A38" i="38"/>
  <c r="L27" i="38"/>
  <c r="M27" i="38"/>
  <c r="N27" i="38"/>
  <c r="O27" i="38"/>
  <c r="P27" i="38"/>
  <c r="Q27" i="38"/>
  <c r="R27" i="38"/>
  <c r="S27" i="38"/>
  <c r="T27" i="38"/>
  <c r="V27" i="38"/>
  <c r="W27" i="38"/>
  <c r="X27" i="38"/>
  <c r="Y27" i="38"/>
  <c r="Z27" i="38"/>
  <c r="AA27" i="38"/>
  <c r="AB27" i="38"/>
  <c r="AC27" i="38"/>
  <c r="AD27" i="38"/>
  <c r="AE27" i="38"/>
  <c r="AF27" i="38"/>
  <c r="AG27" i="38"/>
  <c r="AH27" i="38"/>
  <c r="AI27" i="38"/>
  <c r="AJ27" i="38"/>
  <c r="AK27" i="38"/>
  <c r="AL27" i="38"/>
  <c r="AM27" i="38"/>
  <c r="AN27" i="38"/>
  <c r="AO27" i="38"/>
  <c r="AP27" i="38"/>
  <c r="AQ27" i="38"/>
  <c r="AR27" i="38"/>
  <c r="AS27" i="38"/>
  <c r="A26" i="38"/>
  <c r="L243" i="38"/>
  <c r="M243" i="38"/>
  <c r="N243" i="38"/>
  <c r="O243" i="38"/>
  <c r="P243" i="38"/>
  <c r="Q243" i="38"/>
  <c r="R243" i="38"/>
  <c r="S243" i="38"/>
  <c r="T243" i="38"/>
  <c r="U243" i="38"/>
  <c r="V243" i="38"/>
  <c r="W243" i="38"/>
  <c r="X243" i="38"/>
  <c r="Y243" i="38"/>
  <c r="Z243" i="38"/>
  <c r="AA243" i="38"/>
  <c r="AB243" i="38"/>
  <c r="AC243" i="38"/>
  <c r="AD243" i="38"/>
  <c r="AE243" i="38"/>
  <c r="AF243" i="38"/>
  <c r="AG243" i="38"/>
  <c r="AH243" i="38"/>
  <c r="AI243" i="38"/>
  <c r="AJ243" i="38"/>
  <c r="AK243" i="38"/>
  <c r="AL243" i="38"/>
  <c r="AM243" i="38"/>
  <c r="AN243" i="38"/>
  <c r="AO243" i="38"/>
  <c r="AP243" i="38"/>
  <c r="AQ243" i="38"/>
  <c r="AR243" i="38"/>
  <c r="AS243" i="38"/>
  <c r="A242" i="38"/>
  <c r="L255" i="38"/>
  <c r="M255" i="38"/>
  <c r="N255" i="38"/>
  <c r="O255" i="38"/>
  <c r="P255" i="38"/>
  <c r="Q255" i="38"/>
  <c r="R255" i="38"/>
  <c r="S255" i="38"/>
  <c r="T255" i="38"/>
  <c r="U255" i="38"/>
  <c r="V255" i="38"/>
  <c r="W255" i="38"/>
  <c r="X255" i="38"/>
  <c r="Y255" i="38"/>
  <c r="Z255" i="38"/>
  <c r="AA255" i="38"/>
  <c r="AB255" i="38"/>
  <c r="AC255" i="38"/>
  <c r="AD255" i="38"/>
  <c r="AE255" i="38"/>
  <c r="AF255" i="38"/>
  <c r="AG255" i="38"/>
  <c r="AH255" i="38"/>
  <c r="AI255" i="38"/>
  <c r="AJ255" i="38"/>
  <c r="AK255" i="38"/>
  <c r="AL255" i="38"/>
  <c r="AM255" i="38"/>
  <c r="AN255" i="38"/>
  <c r="AO255" i="38"/>
  <c r="AP255" i="38"/>
  <c r="AQ255" i="38"/>
  <c r="AR255" i="38"/>
  <c r="AS255" i="38"/>
  <c r="A254" i="38"/>
  <c r="A1" i="38"/>
  <c r="M15" i="39"/>
  <c r="N15" i="39"/>
  <c r="O15" i="39"/>
  <c r="P15" i="39"/>
  <c r="Q15" i="39"/>
  <c r="R15" i="39"/>
  <c r="S15" i="39"/>
  <c r="T15" i="39"/>
  <c r="U15" i="39"/>
  <c r="V15" i="39"/>
  <c r="W15" i="39"/>
  <c r="X15" i="39"/>
  <c r="Y15" i="39"/>
  <c r="Z15" i="39"/>
  <c r="AA15" i="39"/>
  <c r="AB15" i="39"/>
  <c r="AC15" i="39"/>
  <c r="AD15" i="39"/>
  <c r="AE15" i="39"/>
  <c r="AF15" i="39"/>
  <c r="AG15" i="39"/>
  <c r="AH15" i="39"/>
  <c r="AI15" i="39"/>
  <c r="AJ15" i="39"/>
  <c r="AK15" i="39"/>
  <c r="AL15" i="39"/>
  <c r="AM15" i="39"/>
  <c r="AN15" i="39"/>
  <c r="AO15" i="39"/>
  <c r="A14" i="39"/>
  <c r="M51" i="39"/>
  <c r="N51" i="39"/>
  <c r="O51" i="39"/>
  <c r="P51" i="39"/>
  <c r="Q51" i="39"/>
  <c r="R51" i="39"/>
  <c r="S51" i="39"/>
  <c r="T51" i="39"/>
  <c r="U51" i="39"/>
  <c r="V51" i="39"/>
  <c r="W51" i="39"/>
  <c r="X51" i="39"/>
  <c r="Y51" i="39"/>
  <c r="Z51" i="39"/>
  <c r="AA51" i="39"/>
  <c r="AB51" i="39"/>
  <c r="AC51" i="39"/>
  <c r="AD51" i="39"/>
  <c r="AE51" i="39"/>
  <c r="AF51" i="39"/>
  <c r="AG51" i="39"/>
  <c r="AH51" i="39"/>
  <c r="AI51" i="39"/>
  <c r="AJ51" i="39"/>
  <c r="AK51" i="39"/>
  <c r="AL51" i="39"/>
  <c r="AM51" i="39"/>
  <c r="AN51" i="39"/>
  <c r="AO51" i="39"/>
  <c r="AP51" i="39"/>
  <c r="AQ51" i="39"/>
  <c r="AR51" i="39"/>
  <c r="AS51" i="39"/>
  <c r="A50" i="39"/>
  <c r="M63" i="39"/>
  <c r="N63" i="39"/>
  <c r="O63" i="39"/>
  <c r="P63" i="39"/>
  <c r="Q63" i="39"/>
  <c r="R63" i="39"/>
  <c r="S63" i="39"/>
  <c r="T63" i="39"/>
  <c r="U63" i="39"/>
  <c r="V63" i="39"/>
  <c r="W63" i="39"/>
  <c r="X63" i="39"/>
  <c r="Y63" i="39"/>
  <c r="Z63" i="39"/>
  <c r="AA63" i="39"/>
  <c r="AB63" i="39"/>
  <c r="AC63" i="39"/>
  <c r="AD63" i="39"/>
  <c r="AE63" i="39"/>
  <c r="AF63" i="39"/>
  <c r="AG63" i="39"/>
  <c r="AH63" i="39"/>
  <c r="AI63" i="39"/>
  <c r="AJ63" i="39"/>
  <c r="AK63" i="39"/>
  <c r="AL63" i="39"/>
  <c r="AM63" i="39"/>
  <c r="AN63" i="39"/>
  <c r="AO63" i="39"/>
  <c r="AP63" i="39"/>
  <c r="AQ63" i="39"/>
  <c r="AR63" i="39"/>
  <c r="AS63" i="39"/>
  <c r="A62" i="39"/>
  <c r="M75" i="39"/>
  <c r="N75" i="39"/>
  <c r="O75" i="39"/>
  <c r="P75" i="39"/>
  <c r="Q75" i="39"/>
  <c r="R75" i="39"/>
  <c r="S75" i="39"/>
  <c r="T75" i="39"/>
  <c r="U75" i="39"/>
  <c r="V75" i="39"/>
  <c r="W75" i="39"/>
  <c r="X75" i="39"/>
  <c r="Y75" i="39"/>
  <c r="Z75" i="39"/>
  <c r="AA75" i="39"/>
  <c r="AB75" i="39"/>
  <c r="AC75" i="39"/>
  <c r="AD75" i="39"/>
  <c r="AE75" i="39"/>
  <c r="AF75" i="39"/>
  <c r="AG75" i="39"/>
  <c r="AH75" i="39"/>
  <c r="AI75" i="39"/>
  <c r="AJ75" i="39"/>
  <c r="AK75" i="39"/>
  <c r="AL75" i="39"/>
  <c r="AM75" i="39"/>
  <c r="AN75" i="39"/>
  <c r="AO75" i="39"/>
  <c r="AP75" i="39"/>
  <c r="AQ75" i="39"/>
  <c r="AR75" i="39"/>
  <c r="AS75" i="39"/>
  <c r="A74" i="39"/>
  <c r="M87" i="39"/>
  <c r="N87" i="39"/>
  <c r="O87" i="39"/>
  <c r="P87" i="39"/>
  <c r="Q87" i="39"/>
  <c r="R87" i="39"/>
  <c r="S87" i="39"/>
  <c r="T87" i="39"/>
  <c r="U87" i="39"/>
  <c r="V87" i="39"/>
  <c r="W87" i="39"/>
  <c r="X87" i="39"/>
  <c r="Y87" i="39"/>
  <c r="Z87" i="39"/>
  <c r="AA87" i="39"/>
  <c r="AB87" i="39"/>
  <c r="AC87" i="39"/>
  <c r="AD87" i="39"/>
  <c r="AE87" i="39"/>
  <c r="AF87" i="39"/>
  <c r="AG87" i="39"/>
  <c r="AH87" i="39"/>
  <c r="AI87" i="39"/>
  <c r="AJ87" i="39"/>
  <c r="AK87" i="39"/>
  <c r="AL87" i="39"/>
  <c r="AM87" i="39"/>
  <c r="AN87" i="39"/>
  <c r="AO87" i="39"/>
  <c r="AP87" i="39"/>
  <c r="AQ87" i="39"/>
  <c r="AR87" i="39"/>
  <c r="AS87" i="39"/>
  <c r="A86" i="39"/>
  <c r="M99" i="39"/>
  <c r="N99" i="39"/>
  <c r="O99" i="39"/>
  <c r="P99" i="39"/>
  <c r="Q99" i="39"/>
  <c r="R99" i="39"/>
  <c r="S99" i="39"/>
  <c r="T99" i="39"/>
  <c r="U99" i="39"/>
  <c r="V99" i="39"/>
  <c r="W99" i="39"/>
  <c r="X99" i="39"/>
  <c r="Y99" i="39"/>
  <c r="Z99" i="39"/>
  <c r="AA99" i="39"/>
  <c r="AB99" i="39"/>
  <c r="AC99" i="39"/>
  <c r="AD99" i="39"/>
  <c r="AE99" i="39"/>
  <c r="AF99" i="39"/>
  <c r="AG99" i="39"/>
  <c r="AH99" i="39"/>
  <c r="AI99" i="39"/>
  <c r="AJ99" i="39"/>
  <c r="AK99" i="39"/>
  <c r="AL99" i="39"/>
  <c r="AM99" i="39"/>
  <c r="AN99" i="39"/>
  <c r="AO99" i="39"/>
  <c r="AP99" i="39"/>
  <c r="AQ99" i="39"/>
  <c r="AR99" i="39"/>
  <c r="AS99" i="39"/>
  <c r="A98" i="39"/>
  <c r="M111" i="39"/>
  <c r="N111" i="39"/>
  <c r="O111" i="39"/>
  <c r="P111" i="39"/>
  <c r="Q111" i="39"/>
  <c r="R111" i="39"/>
  <c r="S111" i="39"/>
  <c r="T111" i="39"/>
  <c r="U111" i="39"/>
  <c r="V111" i="39"/>
  <c r="W111" i="39"/>
  <c r="X111" i="39"/>
  <c r="Y111" i="39"/>
  <c r="Z111" i="39"/>
  <c r="AA111" i="39"/>
  <c r="AB111" i="39"/>
  <c r="AC111" i="39"/>
  <c r="AD111" i="39"/>
  <c r="AE111" i="39"/>
  <c r="AF111" i="39"/>
  <c r="AG111" i="39"/>
  <c r="AH111" i="39"/>
  <c r="AI111" i="39"/>
  <c r="AJ111" i="39"/>
  <c r="AK111" i="39"/>
  <c r="AL111" i="39"/>
  <c r="AM111" i="39"/>
  <c r="AN111" i="39"/>
  <c r="AO111" i="39"/>
  <c r="AP111" i="39"/>
  <c r="AQ111" i="39"/>
  <c r="AR111" i="39"/>
  <c r="AS111" i="39"/>
  <c r="A110" i="39"/>
  <c r="M123" i="39"/>
  <c r="N123" i="39"/>
  <c r="O123" i="39"/>
  <c r="P123" i="39"/>
  <c r="Q123" i="39"/>
  <c r="R123" i="39"/>
  <c r="S123" i="39"/>
  <c r="T123" i="39"/>
  <c r="U123" i="39"/>
  <c r="V123" i="39"/>
  <c r="W123" i="39"/>
  <c r="X123" i="39"/>
  <c r="Y123" i="39"/>
  <c r="Z123" i="39"/>
  <c r="AA123" i="39"/>
  <c r="AB123" i="39"/>
  <c r="AC123" i="39"/>
  <c r="AD123" i="39"/>
  <c r="AE123" i="39"/>
  <c r="AF123" i="39"/>
  <c r="AG123" i="39"/>
  <c r="AH123" i="39"/>
  <c r="AI123" i="39"/>
  <c r="AJ123" i="39"/>
  <c r="AK123" i="39"/>
  <c r="AL123" i="39"/>
  <c r="AM123" i="39"/>
  <c r="AN123" i="39"/>
  <c r="AO123" i="39"/>
  <c r="AP123" i="39"/>
  <c r="AQ123" i="39"/>
  <c r="AR123" i="39"/>
  <c r="AS123" i="39"/>
  <c r="A122" i="39"/>
  <c r="M135" i="39"/>
  <c r="N135" i="39"/>
  <c r="O135" i="39"/>
  <c r="P135" i="39"/>
  <c r="Q135" i="39"/>
  <c r="R135" i="39"/>
  <c r="S135" i="39"/>
  <c r="T135" i="39"/>
  <c r="U135" i="39"/>
  <c r="V135" i="39"/>
  <c r="W135" i="39"/>
  <c r="X135" i="39"/>
  <c r="Y135" i="39"/>
  <c r="Z135" i="39"/>
  <c r="AA135" i="39"/>
  <c r="AB135" i="39"/>
  <c r="AC135" i="39"/>
  <c r="AD135" i="39"/>
  <c r="AE135" i="39"/>
  <c r="AF135" i="39"/>
  <c r="AG135" i="39"/>
  <c r="AH135" i="39"/>
  <c r="AI135" i="39"/>
  <c r="AJ135" i="39"/>
  <c r="AK135" i="39"/>
  <c r="AL135" i="39"/>
  <c r="AM135" i="39"/>
  <c r="AN135" i="39"/>
  <c r="AO135" i="39"/>
  <c r="AP135" i="39"/>
  <c r="AQ135" i="39"/>
  <c r="AR135" i="39"/>
  <c r="AS135" i="39"/>
  <c r="A134" i="39"/>
  <c r="M159" i="39"/>
  <c r="N159" i="39"/>
  <c r="O159" i="39"/>
  <c r="P159" i="39"/>
  <c r="Q159" i="39"/>
  <c r="R159" i="39"/>
  <c r="S159" i="39"/>
  <c r="T159" i="39"/>
  <c r="U159" i="39"/>
  <c r="V159" i="39"/>
  <c r="W159" i="39"/>
  <c r="X159" i="39"/>
  <c r="Y159" i="39"/>
  <c r="Z159" i="39"/>
  <c r="AA159" i="39"/>
  <c r="AB159" i="39"/>
  <c r="AC159" i="39"/>
  <c r="AD159" i="39"/>
  <c r="AE159" i="39"/>
  <c r="AF159" i="39"/>
  <c r="AG159" i="39"/>
  <c r="AH159" i="39"/>
  <c r="AI159" i="39"/>
  <c r="AJ159" i="39"/>
  <c r="AK159" i="39"/>
  <c r="AL159" i="39"/>
  <c r="AM159" i="39"/>
  <c r="AN159" i="39"/>
  <c r="AO159" i="39"/>
  <c r="AP159" i="39"/>
  <c r="AQ159" i="39"/>
  <c r="AR159" i="39"/>
  <c r="AS159" i="39"/>
  <c r="A158" i="39"/>
  <c r="M147" i="39"/>
  <c r="N147" i="39"/>
  <c r="O147" i="39"/>
  <c r="P147" i="39"/>
  <c r="Q147" i="39"/>
  <c r="R147" i="39"/>
  <c r="S147" i="39"/>
  <c r="T147" i="39"/>
  <c r="U147" i="39"/>
  <c r="V147" i="39"/>
  <c r="W147" i="39"/>
  <c r="X147" i="39"/>
  <c r="Y147" i="39"/>
  <c r="Z147" i="39"/>
  <c r="AA147" i="39"/>
  <c r="AB147" i="39"/>
  <c r="AC147" i="39"/>
  <c r="AD147" i="39"/>
  <c r="AE147" i="39"/>
  <c r="AF147" i="39"/>
  <c r="AG147" i="39"/>
  <c r="AH147" i="39"/>
  <c r="AI147" i="39"/>
  <c r="AJ147" i="39"/>
  <c r="AK147" i="39"/>
  <c r="AL147" i="39"/>
  <c r="AM147" i="39"/>
  <c r="AN147" i="39"/>
  <c r="AO147" i="39"/>
  <c r="AP147" i="39"/>
  <c r="AQ147" i="39"/>
  <c r="AR147" i="39"/>
  <c r="AS147" i="39"/>
  <c r="A146" i="39"/>
  <c r="M171" i="39"/>
  <c r="N171" i="39"/>
  <c r="O171" i="39"/>
  <c r="P171" i="39"/>
  <c r="Q171" i="39"/>
  <c r="R171" i="39"/>
  <c r="S171" i="39"/>
  <c r="T171" i="39"/>
  <c r="U171" i="39"/>
  <c r="V171" i="39"/>
  <c r="W171" i="39"/>
  <c r="X171" i="39"/>
  <c r="Y171" i="39"/>
  <c r="Z171" i="39"/>
  <c r="AA171" i="39"/>
  <c r="AB171" i="39"/>
  <c r="AC171" i="39"/>
  <c r="AD171" i="39"/>
  <c r="AE171" i="39"/>
  <c r="AF171" i="39"/>
  <c r="AG171" i="39"/>
  <c r="AH171" i="39"/>
  <c r="AI171" i="39"/>
  <c r="AJ171" i="39"/>
  <c r="AK171" i="39"/>
  <c r="AL171" i="39"/>
  <c r="AM171" i="39"/>
  <c r="AN171" i="39"/>
  <c r="AO171" i="39"/>
  <c r="AP171" i="39"/>
  <c r="AQ171" i="39"/>
  <c r="AR171" i="39"/>
  <c r="AS171" i="39"/>
  <c r="A170" i="39"/>
  <c r="M183" i="39"/>
  <c r="N183" i="39"/>
  <c r="O183" i="39"/>
  <c r="P183" i="39"/>
  <c r="Q183" i="39"/>
  <c r="R183" i="39"/>
  <c r="S183" i="39"/>
  <c r="T183" i="39"/>
  <c r="U183" i="39"/>
  <c r="V183" i="39"/>
  <c r="W183" i="39"/>
  <c r="X183" i="39"/>
  <c r="Y183" i="39"/>
  <c r="Z183" i="39"/>
  <c r="AA183" i="39"/>
  <c r="AB183" i="39"/>
  <c r="AC183" i="39"/>
  <c r="AD183" i="39"/>
  <c r="AE183" i="39"/>
  <c r="AF183" i="39"/>
  <c r="AG183" i="39"/>
  <c r="AH183" i="39"/>
  <c r="AI183" i="39"/>
  <c r="AJ183" i="39"/>
  <c r="AK183" i="39"/>
  <c r="AL183" i="39"/>
  <c r="AM183" i="39"/>
  <c r="AN183" i="39"/>
  <c r="AO183" i="39"/>
  <c r="AP183" i="39"/>
  <c r="AQ183" i="39"/>
  <c r="AR183" i="39"/>
  <c r="AS183" i="39"/>
  <c r="A182" i="39"/>
  <c r="M195" i="39"/>
  <c r="N195" i="39"/>
  <c r="O195" i="39"/>
  <c r="P195" i="39"/>
  <c r="Q195" i="39"/>
  <c r="R195" i="39"/>
  <c r="S195" i="39"/>
  <c r="T195" i="39"/>
  <c r="U195" i="39"/>
  <c r="V195" i="39"/>
  <c r="W195" i="39"/>
  <c r="X195" i="39"/>
  <c r="Y195" i="39"/>
  <c r="Z195" i="39"/>
  <c r="AA195" i="39"/>
  <c r="AB195" i="39"/>
  <c r="AC195" i="39"/>
  <c r="AD195" i="39"/>
  <c r="AE195" i="39"/>
  <c r="AF195" i="39"/>
  <c r="AG195" i="39"/>
  <c r="AH195" i="39"/>
  <c r="AI195" i="39"/>
  <c r="AJ195" i="39"/>
  <c r="AK195" i="39"/>
  <c r="AL195" i="39"/>
  <c r="AM195" i="39"/>
  <c r="AN195" i="39"/>
  <c r="AO195" i="39"/>
  <c r="AP195" i="39"/>
  <c r="AQ195" i="39"/>
  <c r="AR195" i="39"/>
  <c r="AS195" i="39"/>
  <c r="A194" i="39"/>
  <c r="M207" i="39"/>
  <c r="N207" i="39"/>
  <c r="O207" i="39"/>
  <c r="P207" i="39"/>
  <c r="Q207" i="39"/>
  <c r="R207" i="39"/>
  <c r="S207" i="39"/>
  <c r="T207" i="39"/>
  <c r="U207" i="39"/>
  <c r="V207" i="39"/>
  <c r="W207" i="39"/>
  <c r="X207" i="39"/>
  <c r="Y207" i="39"/>
  <c r="Z207" i="39"/>
  <c r="AA207" i="39"/>
  <c r="AB207" i="39"/>
  <c r="AC207" i="39"/>
  <c r="AD207" i="39"/>
  <c r="AE207" i="39"/>
  <c r="AF207" i="39"/>
  <c r="AG207" i="39"/>
  <c r="AH207" i="39"/>
  <c r="AI207" i="39"/>
  <c r="AJ207" i="39"/>
  <c r="AK207" i="39"/>
  <c r="AL207" i="39"/>
  <c r="AM207" i="39"/>
  <c r="AN207" i="39"/>
  <c r="AO207" i="39"/>
  <c r="AP207" i="39"/>
  <c r="AQ207" i="39"/>
  <c r="AR207" i="39"/>
  <c r="AS207" i="39"/>
  <c r="A206" i="39"/>
  <c r="M219" i="39"/>
  <c r="N219" i="39"/>
  <c r="O219" i="39"/>
  <c r="P219" i="39"/>
  <c r="Q219" i="39"/>
  <c r="R219" i="39"/>
  <c r="S219" i="39"/>
  <c r="T219" i="39"/>
  <c r="U219" i="39"/>
  <c r="V219" i="39"/>
  <c r="W219" i="39"/>
  <c r="X219" i="39"/>
  <c r="Y219" i="39"/>
  <c r="Z219" i="39"/>
  <c r="AA219" i="39"/>
  <c r="AB219" i="39"/>
  <c r="AC219" i="39"/>
  <c r="AD219" i="39"/>
  <c r="AE219" i="39"/>
  <c r="AF219" i="39"/>
  <c r="AG219" i="39"/>
  <c r="AH219" i="39"/>
  <c r="AI219" i="39"/>
  <c r="AJ219" i="39"/>
  <c r="AK219" i="39"/>
  <c r="AL219" i="39"/>
  <c r="AM219" i="39"/>
  <c r="AN219" i="39"/>
  <c r="AO219" i="39"/>
  <c r="AP219" i="39"/>
  <c r="AQ219" i="39"/>
  <c r="AR219" i="39"/>
  <c r="AS219" i="39"/>
  <c r="A218" i="39"/>
  <c r="M231" i="39"/>
  <c r="N231" i="39"/>
  <c r="O231" i="39"/>
  <c r="P231" i="39"/>
  <c r="Q231" i="39"/>
  <c r="R231" i="39"/>
  <c r="S231" i="39"/>
  <c r="T231" i="39"/>
  <c r="U231" i="39"/>
  <c r="V231" i="39"/>
  <c r="W231" i="39"/>
  <c r="X231" i="39"/>
  <c r="Y231" i="39"/>
  <c r="Z231" i="39"/>
  <c r="AA231" i="39"/>
  <c r="AB231" i="39"/>
  <c r="AC231" i="39"/>
  <c r="AD231" i="39"/>
  <c r="AE231" i="39"/>
  <c r="AF231" i="39"/>
  <c r="AG231" i="39"/>
  <c r="AH231" i="39"/>
  <c r="AI231" i="39"/>
  <c r="AJ231" i="39"/>
  <c r="AK231" i="39"/>
  <c r="AL231" i="39"/>
  <c r="AM231" i="39"/>
  <c r="AN231" i="39"/>
  <c r="AO231" i="39"/>
  <c r="AP231" i="39"/>
  <c r="AQ231" i="39"/>
  <c r="AR231" i="39"/>
  <c r="AS231" i="39"/>
  <c r="A230" i="39"/>
  <c r="M39" i="39"/>
  <c r="N39" i="39"/>
  <c r="O39" i="39"/>
  <c r="P39" i="39"/>
  <c r="Q39" i="39"/>
  <c r="R39" i="39"/>
  <c r="S39" i="39"/>
  <c r="T39" i="39"/>
  <c r="U39" i="39"/>
  <c r="V39" i="39"/>
  <c r="W39" i="39"/>
  <c r="X39" i="39"/>
  <c r="Y39" i="39"/>
  <c r="Z39" i="39"/>
  <c r="AA39" i="39"/>
  <c r="AB39" i="39"/>
  <c r="AC39" i="39"/>
  <c r="AD39" i="39"/>
  <c r="AE39" i="39"/>
  <c r="AF39" i="39"/>
  <c r="AG39" i="39"/>
  <c r="AH39" i="39"/>
  <c r="AI39" i="39"/>
  <c r="AJ39" i="39"/>
  <c r="AK39" i="39"/>
  <c r="AL39" i="39"/>
  <c r="AM39" i="39"/>
  <c r="AN39" i="39"/>
  <c r="AO39" i="39"/>
  <c r="AP39" i="39"/>
  <c r="AQ39" i="39"/>
  <c r="AR39" i="39"/>
  <c r="AS39" i="39"/>
  <c r="A38" i="39"/>
  <c r="M27" i="39"/>
  <c r="N27" i="39"/>
  <c r="O27" i="39"/>
  <c r="P27" i="39"/>
  <c r="Q27" i="39"/>
  <c r="R27" i="39"/>
  <c r="S27" i="39"/>
  <c r="T27" i="39"/>
  <c r="U27" i="39"/>
  <c r="V27" i="39"/>
  <c r="W27" i="39"/>
  <c r="X27" i="39"/>
  <c r="Y27" i="39"/>
  <c r="Z27" i="39"/>
  <c r="AA27" i="39"/>
  <c r="AB27" i="39"/>
  <c r="AC27" i="39"/>
  <c r="AD27" i="39"/>
  <c r="AE27" i="39"/>
  <c r="AF27" i="39"/>
  <c r="AG27" i="39"/>
  <c r="AH27" i="39"/>
  <c r="AI27" i="39"/>
  <c r="AJ27" i="39"/>
  <c r="AK27" i="39"/>
  <c r="AL27" i="39"/>
  <c r="AM27" i="39"/>
  <c r="AN27" i="39"/>
  <c r="AO27" i="39"/>
  <c r="AP27" i="39"/>
  <c r="AQ27" i="39"/>
  <c r="AR27" i="39"/>
  <c r="AS27" i="39"/>
  <c r="A26" i="39"/>
  <c r="M245" i="39"/>
  <c r="N245" i="39"/>
  <c r="O245" i="39"/>
  <c r="P245" i="39"/>
  <c r="Q245" i="39"/>
  <c r="R245" i="39"/>
  <c r="S245" i="39"/>
  <c r="T245" i="39"/>
  <c r="U245" i="39"/>
  <c r="V245" i="39"/>
  <c r="W245" i="39"/>
  <c r="X245" i="39"/>
  <c r="Y245" i="39"/>
  <c r="Z245" i="39"/>
  <c r="AA245" i="39"/>
  <c r="AB245" i="39"/>
  <c r="AC245" i="39"/>
  <c r="AD245" i="39"/>
  <c r="AE245" i="39"/>
  <c r="AF245" i="39"/>
  <c r="AG245" i="39"/>
  <c r="AH245" i="39"/>
  <c r="AI245" i="39"/>
  <c r="AJ245" i="39"/>
  <c r="AK245" i="39"/>
  <c r="AL245" i="39"/>
  <c r="AM245" i="39"/>
  <c r="AN245" i="39"/>
  <c r="AO245" i="39"/>
  <c r="AP245" i="39"/>
  <c r="AQ245" i="39"/>
  <c r="AR245" i="39"/>
  <c r="AS245" i="39"/>
  <c r="A244" i="39"/>
  <c r="A1" i="39"/>
  <c r="L63" i="40"/>
  <c r="M63" i="40"/>
  <c r="N63" i="40"/>
  <c r="O63" i="40"/>
  <c r="P63" i="40"/>
  <c r="Q63" i="40"/>
  <c r="R63" i="40"/>
  <c r="S63" i="40"/>
  <c r="T63" i="40"/>
  <c r="U63" i="40"/>
  <c r="V63" i="40"/>
  <c r="W63" i="40"/>
  <c r="X63" i="40"/>
  <c r="Y63" i="40"/>
  <c r="Z63" i="40"/>
  <c r="AA63" i="40"/>
  <c r="AB63" i="40"/>
  <c r="AC63" i="40"/>
  <c r="AD63" i="40"/>
  <c r="AE63" i="40"/>
  <c r="AF63" i="40"/>
  <c r="AG63" i="40"/>
  <c r="AH63" i="40"/>
  <c r="AI63" i="40"/>
  <c r="AJ63" i="40"/>
  <c r="AK63" i="40"/>
  <c r="AL63" i="40"/>
  <c r="AM63" i="40"/>
  <c r="AN63" i="40"/>
  <c r="AO63" i="40"/>
  <c r="AP63" i="40"/>
  <c r="AQ63" i="40"/>
  <c r="AR63" i="40"/>
  <c r="AS63" i="40"/>
  <c r="A62" i="40"/>
  <c r="L75" i="40"/>
  <c r="M75" i="40"/>
  <c r="N75" i="40"/>
  <c r="O75" i="40"/>
  <c r="P75" i="40"/>
  <c r="Q75" i="40"/>
  <c r="R75" i="40"/>
  <c r="S75" i="40"/>
  <c r="T75" i="40"/>
  <c r="U75" i="40"/>
  <c r="V75" i="40"/>
  <c r="W75" i="40"/>
  <c r="X75" i="40"/>
  <c r="Y75" i="40"/>
  <c r="Z75" i="40"/>
  <c r="AA75" i="40"/>
  <c r="AB75" i="40"/>
  <c r="AC75" i="40"/>
  <c r="AD75" i="40"/>
  <c r="AE75" i="40"/>
  <c r="AF75" i="40"/>
  <c r="AG75" i="40"/>
  <c r="AH75" i="40"/>
  <c r="AI75" i="40"/>
  <c r="AJ75" i="40"/>
  <c r="AK75" i="40"/>
  <c r="AL75" i="40"/>
  <c r="AM75" i="40"/>
  <c r="AN75" i="40"/>
  <c r="AO75" i="40"/>
  <c r="AP75" i="40"/>
  <c r="AQ75" i="40"/>
  <c r="AR75" i="40"/>
  <c r="AS75" i="40"/>
  <c r="A74" i="40"/>
  <c r="L87" i="40"/>
  <c r="M87" i="40"/>
  <c r="N87" i="40"/>
  <c r="O87" i="40"/>
  <c r="P87" i="40"/>
  <c r="Q87" i="40"/>
  <c r="R87" i="40"/>
  <c r="S87" i="40"/>
  <c r="T87" i="40"/>
  <c r="U87" i="40"/>
  <c r="V87" i="40"/>
  <c r="W87" i="40"/>
  <c r="X87" i="40"/>
  <c r="Y87" i="40"/>
  <c r="Z87" i="40"/>
  <c r="AA87" i="40"/>
  <c r="AB87" i="40"/>
  <c r="AC87" i="40"/>
  <c r="AD87" i="40"/>
  <c r="AE87" i="40"/>
  <c r="AF87" i="40"/>
  <c r="AG87" i="40"/>
  <c r="AH87" i="40"/>
  <c r="AI87" i="40"/>
  <c r="AJ87" i="40"/>
  <c r="AK87" i="40"/>
  <c r="AL87" i="40"/>
  <c r="AM87" i="40"/>
  <c r="AN87" i="40"/>
  <c r="AO87" i="40"/>
  <c r="AP87" i="40"/>
  <c r="AQ87" i="40"/>
  <c r="AR87" i="40"/>
  <c r="AS87" i="40"/>
  <c r="A86" i="40"/>
  <c r="L99" i="40"/>
  <c r="M99" i="40"/>
  <c r="N99" i="40"/>
  <c r="O99" i="40"/>
  <c r="P99" i="40"/>
  <c r="Q99" i="40"/>
  <c r="R99" i="40"/>
  <c r="S99" i="40"/>
  <c r="T99" i="40"/>
  <c r="U99" i="40"/>
  <c r="V99" i="40"/>
  <c r="W99" i="40"/>
  <c r="X99" i="40"/>
  <c r="Y99" i="40"/>
  <c r="Z99" i="40"/>
  <c r="AA99" i="40"/>
  <c r="AB99" i="40"/>
  <c r="AC99" i="40"/>
  <c r="AD99" i="40"/>
  <c r="AE99" i="40"/>
  <c r="AF99" i="40"/>
  <c r="AG99" i="40"/>
  <c r="AH99" i="40"/>
  <c r="AI99" i="40"/>
  <c r="AJ99" i="40"/>
  <c r="AK99" i="40"/>
  <c r="AL99" i="40"/>
  <c r="AM99" i="40"/>
  <c r="AN99" i="40"/>
  <c r="AO99" i="40"/>
  <c r="AP99" i="40"/>
  <c r="AQ99" i="40"/>
  <c r="AR99" i="40"/>
  <c r="AS99" i="40"/>
  <c r="A98" i="40"/>
  <c r="L15" i="40"/>
  <c r="M15" i="40"/>
  <c r="N15" i="40"/>
  <c r="O15" i="40"/>
  <c r="P15" i="40"/>
  <c r="Q15" i="40"/>
  <c r="R15" i="40"/>
  <c r="S15" i="40"/>
  <c r="T15" i="40"/>
  <c r="U15" i="40"/>
  <c r="V15" i="40"/>
  <c r="W15" i="40"/>
  <c r="X15" i="40"/>
  <c r="Y15" i="40"/>
  <c r="Z15" i="40"/>
  <c r="AA15" i="40"/>
  <c r="AB15" i="40"/>
  <c r="AC15" i="40"/>
  <c r="AD15" i="40"/>
  <c r="AE15" i="40"/>
  <c r="AF15" i="40"/>
  <c r="AG15" i="40"/>
  <c r="AH15" i="40"/>
  <c r="AI15" i="40"/>
  <c r="AJ15" i="40"/>
  <c r="AK15" i="40"/>
  <c r="AL15" i="40"/>
  <c r="AM15" i="40"/>
  <c r="AN15" i="40"/>
  <c r="AO15" i="40"/>
  <c r="A14" i="40"/>
  <c r="L27" i="40"/>
  <c r="M27" i="40"/>
  <c r="N27" i="40"/>
  <c r="O27" i="40"/>
  <c r="P27" i="40"/>
  <c r="Q27" i="40"/>
  <c r="R27" i="40"/>
  <c r="S27" i="40"/>
  <c r="T27" i="40"/>
  <c r="U27" i="40"/>
  <c r="V27" i="40"/>
  <c r="W27" i="40"/>
  <c r="X27" i="40"/>
  <c r="Y27" i="40"/>
  <c r="Z27" i="40"/>
  <c r="AA27" i="40"/>
  <c r="AB27" i="40"/>
  <c r="AC27" i="40"/>
  <c r="AD27" i="40"/>
  <c r="AE27" i="40"/>
  <c r="AF27" i="40"/>
  <c r="AG27" i="40"/>
  <c r="AH27" i="40"/>
  <c r="AI27" i="40"/>
  <c r="AJ27" i="40"/>
  <c r="AK27" i="40"/>
  <c r="AL27" i="40"/>
  <c r="AM27" i="40"/>
  <c r="AN27" i="40"/>
  <c r="AO27" i="40"/>
  <c r="AP27" i="40"/>
  <c r="AQ27" i="40"/>
  <c r="AR27" i="40"/>
  <c r="AS27" i="40"/>
  <c r="A26" i="40"/>
  <c r="L39" i="40"/>
  <c r="M39" i="40"/>
  <c r="N39" i="40"/>
  <c r="O39" i="40"/>
  <c r="P39" i="40"/>
  <c r="Q39" i="40"/>
  <c r="R39" i="40"/>
  <c r="S39" i="40"/>
  <c r="T39" i="40"/>
  <c r="U39" i="40"/>
  <c r="V39" i="40"/>
  <c r="W39" i="40"/>
  <c r="X39" i="40"/>
  <c r="Y39" i="40"/>
  <c r="Z39" i="40"/>
  <c r="AA39" i="40"/>
  <c r="AB39" i="40"/>
  <c r="AC39" i="40"/>
  <c r="AD39" i="40"/>
  <c r="AE39" i="40"/>
  <c r="AF39" i="40"/>
  <c r="AG39" i="40"/>
  <c r="AH39" i="40"/>
  <c r="AI39" i="40"/>
  <c r="AJ39" i="40"/>
  <c r="AK39" i="40"/>
  <c r="AL39" i="40"/>
  <c r="AM39" i="40"/>
  <c r="AN39" i="40"/>
  <c r="AO39" i="40"/>
  <c r="AP39" i="40"/>
  <c r="AQ39" i="40"/>
  <c r="AR39" i="40"/>
  <c r="AS39" i="40"/>
  <c r="A38" i="40"/>
  <c r="L51" i="40"/>
  <c r="M51" i="40"/>
  <c r="N51" i="40"/>
  <c r="O51" i="40"/>
  <c r="P51" i="40"/>
  <c r="Q51" i="40"/>
  <c r="R51" i="40"/>
  <c r="S51" i="40"/>
  <c r="T51" i="40"/>
  <c r="U51" i="40"/>
  <c r="V51" i="40"/>
  <c r="W51" i="40"/>
  <c r="X51" i="40"/>
  <c r="Y51" i="40"/>
  <c r="Z51" i="40"/>
  <c r="AA51" i="40"/>
  <c r="AB51" i="40"/>
  <c r="AC51" i="40"/>
  <c r="AD51" i="40"/>
  <c r="AE51" i="40"/>
  <c r="AF51" i="40"/>
  <c r="AG51" i="40"/>
  <c r="AH51" i="40"/>
  <c r="AI51" i="40"/>
  <c r="AJ51" i="40"/>
  <c r="AK51" i="40"/>
  <c r="AL51" i="40"/>
  <c r="AM51" i="40"/>
  <c r="AN51" i="40"/>
  <c r="AO51" i="40"/>
  <c r="AP51" i="40"/>
  <c r="AQ51" i="40"/>
  <c r="AR51" i="40"/>
  <c r="AS51" i="40"/>
  <c r="A50" i="40"/>
  <c r="L111" i="40"/>
  <c r="M111" i="40"/>
  <c r="N111" i="40"/>
  <c r="O111" i="40"/>
  <c r="P111" i="40"/>
  <c r="Q111" i="40"/>
  <c r="R111" i="40"/>
  <c r="S111" i="40"/>
  <c r="T111" i="40"/>
  <c r="U111" i="40"/>
  <c r="V111" i="40"/>
  <c r="W111" i="40"/>
  <c r="X111" i="40"/>
  <c r="Y111" i="40"/>
  <c r="Z111" i="40"/>
  <c r="AA111" i="40"/>
  <c r="AB111" i="40"/>
  <c r="AC111" i="40"/>
  <c r="AD111" i="40"/>
  <c r="AE111" i="40"/>
  <c r="AF111" i="40"/>
  <c r="AG111" i="40"/>
  <c r="AH111" i="40"/>
  <c r="AI111" i="40"/>
  <c r="AJ111" i="40"/>
  <c r="AK111" i="40"/>
  <c r="AL111" i="40"/>
  <c r="AM111" i="40"/>
  <c r="AN111" i="40"/>
  <c r="AO111" i="40"/>
  <c r="AP111" i="40"/>
  <c r="AQ111" i="40"/>
  <c r="AR111" i="40"/>
  <c r="AS111" i="40"/>
  <c r="A110" i="40"/>
  <c r="A1" i="40"/>
  <c r="L63" i="41"/>
  <c r="M63" i="41"/>
  <c r="N63" i="41"/>
  <c r="O63" i="41"/>
  <c r="P63" i="41"/>
  <c r="Q63" i="41"/>
  <c r="R63" i="41"/>
  <c r="S63" i="41"/>
  <c r="T63" i="41"/>
  <c r="U63" i="41"/>
  <c r="V63" i="41"/>
  <c r="W63" i="41"/>
  <c r="X63" i="41"/>
  <c r="Y63" i="41"/>
  <c r="Z63" i="41"/>
  <c r="AA63" i="41"/>
  <c r="AB63" i="41"/>
  <c r="AC63" i="41"/>
  <c r="AD63" i="41"/>
  <c r="AE63" i="41"/>
  <c r="AF63" i="41"/>
  <c r="AG63" i="41"/>
  <c r="AH63" i="41"/>
  <c r="AI63" i="41"/>
  <c r="AJ63" i="41"/>
  <c r="AK63" i="41"/>
  <c r="AL63" i="41"/>
  <c r="AM63" i="41"/>
  <c r="AN63" i="41"/>
  <c r="AO63" i="41"/>
  <c r="AP63" i="41"/>
  <c r="AQ63" i="41"/>
  <c r="AR63" i="41"/>
  <c r="AS63" i="41"/>
  <c r="A62" i="41"/>
  <c r="L75" i="41"/>
  <c r="M75" i="41"/>
  <c r="N75" i="41"/>
  <c r="O75" i="41"/>
  <c r="P75" i="41"/>
  <c r="Q75" i="41"/>
  <c r="R75" i="41"/>
  <c r="S75" i="41"/>
  <c r="T75" i="41"/>
  <c r="U75" i="41"/>
  <c r="V75" i="41"/>
  <c r="W75" i="41"/>
  <c r="X75" i="41"/>
  <c r="Y75" i="41"/>
  <c r="Z75" i="41"/>
  <c r="AA75" i="41"/>
  <c r="AB75" i="41"/>
  <c r="AC75" i="41"/>
  <c r="AD75" i="41"/>
  <c r="AE75" i="41"/>
  <c r="AF75" i="41"/>
  <c r="AG75" i="41"/>
  <c r="AH75" i="41"/>
  <c r="AI75" i="41"/>
  <c r="AJ75" i="41"/>
  <c r="AK75" i="41"/>
  <c r="AL75" i="41"/>
  <c r="AM75" i="41"/>
  <c r="AN75" i="41"/>
  <c r="AO75" i="41"/>
  <c r="AP75" i="41"/>
  <c r="AQ75" i="41"/>
  <c r="AR75" i="41"/>
  <c r="AS75" i="41"/>
  <c r="A74" i="41"/>
  <c r="L87" i="41"/>
  <c r="M87" i="41"/>
  <c r="N87" i="41"/>
  <c r="O87" i="41"/>
  <c r="P87" i="41"/>
  <c r="Q87" i="41"/>
  <c r="R87" i="41"/>
  <c r="S87" i="41"/>
  <c r="T87" i="41"/>
  <c r="U87" i="41"/>
  <c r="V87" i="41"/>
  <c r="W87" i="41"/>
  <c r="X87" i="41"/>
  <c r="Y87" i="41"/>
  <c r="Z87" i="41"/>
  <c r="AA87" i="41"/>
  <c r="AB87" i="41"/>
  <c r="AC87" i="41"/>
  <c r="AD87" i="41"/>
  <c r="AE87" i="41"/>
  <c r="AF87" i="41"/>
  <c r="AG87" i="41"/>
  <c r="AH87" i="41"/>
  <c r="AI87" i="41"/>
  <c r="AJ87" i="41"/>
  <c r="AK87" i="41"/>
  <c r="AL87" i="41"/>
  <c r="AM87" i="41"/>
  <c r="AN87" i="41"/>
  <c r="AO87" i="41"/>
  <c r="AP87" i="41"/>
  <c r="AQ87" i="41"/>
  <c r="AR87" i="41"/>
  <c r="AS87" i="41"/>
  <c r="A86" i="41"/>
  <c r="L99" i="41"/>
  <c r="M99" i="41"/>
  <c r="N99" i="41"/>
  <c r="O99" i="41"/>
  <c r="P99" i="41"/>
  <c r="Q99" i="41"/>
  <c r="R99" i="41"/>
  <c r="S99" i="41"/>
  <c r="T99" i="41"/>
  <c r="U99" i="41"/>
  <c r="V99" i="41"/>
  <c r="W99" i="41"/>
  <c r="X99" i="41"/>
  <c r="Y99" i="41"/>
  <c r="Z99" i="41"/>
  <c r="AA99" i="41"/>
  <c r="AB99" i="41"/>
  <c r="AC99" i="41"/>
  <c r="AD99" i="41"/>
  <c r="AE99" i="41"/>
  <c r="AF99" i="41"/>
  <c r="AG99" i="41"/>
  <c r="AH99" i="41"/>
  <c r="AI99" i="41"/>
  <c r="AJ99" i="41"/>
  <c r="AK99" i="41"/>
  <c r="AL99" i="41"/>
  <c r="AM99" i="41"/>
  <c r="AN99" i="41"/>
  <c r="AO99" i="41"/>
  <c r="AP99" i="41"/>
  <c r="AQ99" i="41"/>
  <c r="AR99" i="41"/>
  <c r="AS99" i="41"/>
  <c r="A98" i="41"/>
  <c r="L15" i="41"/>
  <c r="M15" i="41"/>
  <c r="N15" i="41"/>
  <c r="O15" i="41"/>
  <c r="P15" i="41"/>
  <c r="Q15" i="41"/>
  <c r="R15" i="41"/>
  <c r="S15" i="41"/>
  <c r="T15" i="41"/>
  <c r="U15" i="41"/>
  <c r="V15" i="41"/>
  <c r="W15" i="41"/>
  <c r="X15" i="41"/>
  <c r="Y15" i="41"/>
  <c r="Z15" i="41"/>
  <c r="AA15" i="41"/>
  <c r="AB15" i="41"/>
  <c r="AC15" i="41"/>
  <c r="AD15" i="41"/>
  <c r="AE15" i="41"/>
  <c r="AF15" i="41"/>
  <c r="AG15" i="41"/>
  <c r="AH15" i="41"/>
  <c r="AI15" i="41"/>
  <c r="AJ15" i="41"/>
  <c r="AK15" i="41"/>
  <c r="AL15" i="41"/>
  <c r="AM15" i="41"/>
  <c r="AN15" i="41"/>
  <c r="AO15" i="41"/>
  <c r="A14" i="41"/>
  <c r="L27" i="41"/>
  <c r="M27" i="41"/>
  <c r="N27" i="41"/>
  <c r="O27" i="41"/>
  <c r="P27" i="41"/>
  <c r="Q27" i="41"/>
  <c r="R27" i="41"/>
  <c r="S27" i="41"/>
  <c r="T27" i="41"/>
  <c r="U27" i="41"/>
  <c r="V27" i="41"/>
  <c r="W27" i="41"/>
  <c r="X27" i="41"/>
  <c r="Y27" i="41"/>
  <c r="Z27" i="41"/>
  <c r="AA27" i="41"/>
  <c r="AB27" i="41"/>
  <c r="AC27" i="41"/>
  <c r="AD27" i="41"/>
  <c r="AE27" i="41"/>
  <c r="AF27" i="41"/>
  <c r="AG27" i="41"/>
  <c r="AH27" i="41"/>
  <c r="AI27" i="41"/>
  <c r="AJ27" i="41"/>
  <c r="AK27" i="41"/>
  <c r="AL27" i="41"/>
  <c r="AM27" i="41"/>
  <c r="AN27" i="41"/>
  <c r="AO27" i="41"/>
  <c r="AP27" i="41"/>
  <c r="AQ27" i="41"/>
  <c r="AR27" i="41"/>
  <c r="AS27" i="41"/>
  <c r="A26" i="41"/>
  <c r="L39" i="41"/>
  <c r="M39" i="41"/>
  <c r="N39" i="41"/>
  <c r="O39" i="41"/>
  <c r="P39" i="41"/>
  <c r="Q39" i="41"/>
  <c r="R39" i="41"/>
  <c r="S39" i="41"/>
  <c r="T39" i="41"/>
  <c r="U39" i="41"/>
  <c r="V39" i="41"/>
  <c r="W39" i="41"/>
  <c r="X39" i="41"/>
  <c r="Y39" i="41"/>
  <c r="Z39" i="41"/>
  <c r="AA39" i="41"/>
  <c r="AB39" i="41"/>
  <c r="AC39" i="41"/>
  <c r="AD39" i="41"/>
  <c r="AE39" i="41"/>
  <c r="AF39" i="41"/>
  <c r="AG39" i="41"/>
  <c r="AH39" i="41"/>
  <c r="AI39" i="41"/>
  <c r="AJ39" i="41"/>
  <c r="AK39" i="41"/>
  <c r="AL39" i="41"/>
  <c r="AM39" i="41"/>
  <c r="AN39" i="41"/>
  <c r="AO39" i="41"/>
  <c r="AP39" i="41"/>
  <c r="AQ39" i="41"/>
  <c r="AR39" i="41"/>
  <c r="AS39" i="41"/>
  <c r="A38" i="41"/>
  <c r="L51" i="41"/>
  <c r="M51" i="41"/>
  <c r="N51" i="41"/>
  <c r="O51" i="41"/>
  <c r="P51" i="41"/>
  <c r="Q51" i="41"/>
  <c r="R51" i="41"/>
  <c r="S51" i="41"/>
  <c r="T51" i="41"/>
  <c r="U51" i="41"/>
  <c r="V51" i="41"/>
  <c r="W51" i="41"/>
  <c r="X51" i="41"/>
  <c r="Y51" i="41"/>
  <c r="Z51" i="41"/>
  <c r="AA51" i="41"/>
  <c r="AB51" i="41"/>
  <c r="AC51" i="41"/>
  <c r="AD51" i="41"/>
  <c r="AE51" i="41"/>
  <c r="AF51" i="41"/>
  <c r="AG51" i="41"/>
  <c r="AH51" i="41"/>
  <c r="AI51" i="41"/>
  <c r="AJ51" i="41"/>
  <c r="AK51" i="41"/>
  <c r="AL51" i="41"/>
  <c r="AM51" i="41"/>
  <c r="AN51" i="41"/>
  <c r="AO51" i="41"/>
  <c r="AP51" i="41"/>
  <c r="AQ51" i="41"/>
  <c r="AR51" i="41"/>
  <c r="AS51" i="41"/>
  <c r="A50" i="41"/>
  <c r="A1" i="41"/>
  <c r="A1" i="2"/>
  <c r="W62" i="35"/>
  <c r="W63" i="35"/>
  <c r="X62" i="35"/>
  <c r="X63" i="35"/>
  <c r="Y62" i="35"/>
  <c r="Y63" i="35"/>
  <c r="Z62" i="35"/>
  <c r="Z63" i="35"/>
  <c r="AO62" i="35"/>
  <c r="AO63" i="35"/>
  <c r="AG70" i="35"/>
  <c r="AO70" i="35"/>
  <c r="AG71" i="35"/>
  <c r="AO71" i="35"/>
  <c r="W72" i="35"/>
  <c r="W73" i="35"/>
  <c r="X72" i="35"/>
  <c r="X73" i="35"/>
  <c r="Y72" i="35"/>
  <c r="Y73" i="35"/>
  <c r="Z72" i="35"/>
  <c r="Z73" i="35"/>
  <c r="AG72" i="35"/>
  <c r="AG73" i="35"/>
  <c r="AO72" i="35"/>
  <c r="AO73" i="35"/>
  <c r="AG80" i="35"/>
  <c r="AO80" i="35"/>
  <c r="AG81" i="35"/>
  <c r="AO81" i="35"/>
  <c r="W82" i="35"/>
  <c r="W83" i="35"/>
  <c r="X82" i="35"/>
  <c r="X83" i="35"/>
  <c r="Y82" i="35"/>
  <c r="Y83" i="35"/>
  <c r="Z82" i="35"/>
  <c r="Z83" i="35"/>
  <c r="AO82" i="35"/>
  <c r="AO83" i="35"/>
  <c r="AJ90" i="35"/>
  <c r="AO90" i="35"/>
  <c r="AJ91" i="35"/>
  <c r="AO91" i="35"/>
  <c r="W92" i="35"/>
  <c r="W93" i="35"/>
  <c r="X92" i="35"/>
  <c r="X93" i="35"/>
  <c r="Y92" i="35"/>
  <c r="Y93" i="35"/>
  <c r="Z92" i="35"/>
  <c r="Z93" i="35"/>
  <c r="AJ92" i="35"/>
  <c r="AJ93" i="35"/>
  <c r="AO92" i="35"/>
  <c r="AO93" i="35"/>
  <c r="AJ100" i="35"/>
  <c r="AO100" i="35"/>
  <c r="AJ101" i="35"/>
  <c r="AO101" i="35"/>
  <c r="W102" i="35"/>
  <c r="W103" i="35"/>
  <c r="X102" i="35"/>
  <c r="X103" i="35"/>
  <c r="Y102" i="35"/>
  <c r="Y103" i="35"/>
  <c r="Z102" i="35"/>
  <c r="Z103" i="35"/>
  <c r="AO102" i="35"/>
  <c r="AO103" i="35"/>
  <c r="AH110" i="35"/>
  <c r="AL110" i="35"/>
  <c r="AO110" i="35"/>
  <c r="AH111" i="35"/>
  <c r="AL111" i="35"/>
  <c r="AO111" i="35"/>
  <c r="W112" i="35"/>
  <c r="X112" i="35"/>
  <c r="Y112" i="35"/>
  <c r="Z112" i="35"/>
  <c r="AH112" i="35"/>
  <c r="AL112" i="35"/>
  <c r="AO112" i="35"/>
  <c r="W113" i="35"/>
  <c r="X113" i="35"/>
  <c r="Y113" i="35"/>
  <c r="Z113" i="35"/>
  <c r="AH113" i="35"/>
  <c r="AL113" i="35"/>
  <c r="AO113" i="35"/>
  <c r="AH120" i="35"/>
  <c r="AL120" i="35"/>
  <c r="AO120" i="35"/>
  <c r="AH121" i="35"/>
  <c r="AL121" i="35"/>
  <c r="AO121" i="35"/>
  <c r="W122" i="35"/>
  <c r="W123" i="35"/>
  <c r="X122" i="35"/>
  <c r="X123" i="35"/>
  <c r="Y122" i="35"/>
  <c r="Y123" i="35"/>
  <c r="Z122" i="35"/>
  <c r="Z123" i="35"/>
  <c r="AH122" i="35"/>
  <c r="AH123" i="35"/>
  <c r="AL122" i="35"/>
  <c r="AL123" i="35"/>
  <c r="AO122" i="35"/>
  <c r="AO123" i="35"/>
  <c r="AA130" i="35"/>
  <c r="AH130" i="35"/>
  <c r="AL130" i="35"/>
  <c r="AO130" i="35"/>
  <c r="AA131" i="35"/>
  <c r="AH131" i="35"/>
  <c r="AL131" i="35"/>
  <c r="AO131" i="35"/>
  <c r="W132" i="35"/>
  <c r="W133" i="35"/>
  <c r="X132" i="35"/>
  <c r="X133" i="35"/>
  <c r="Y132" i="35"/>
  <c r="Y133" i="35"/>
  <c r="Z132" i="35"/>
  <c r="Z133" i="35"/>
  <c r="AA132" i="35"/>
  <c r="AA133" i="35"/>
  <c r="AH132" i="35"/>
  <c r="AH133" i="35"/>
  <c r="AL132" i="35"/>
  <c r="AL133" i="35"/>
  <c r="AO132" i="35"/>
  <c r="AO133" i="35"/>
  <c r="AA140" i="35"/>
  <c r="AH140" i="35"/>
  <c r="AL140" i="35"/>
  <c r="AO140" i="35"/>
  <c r="AA141" i="35"/>
  <c r="AH141" i="35"/>
  <c r="AL141" i="35"/>
  <c r="AO141" i="35"/>
  <c r="W142" i="35"/>
  <c r="W143" i="35"/>
  <c r="AA142" i="35"/>
  <c r="AA143" i="35"/>
  <c r="AH142" i="35"/>
  <c r="AH143" i="35"/>
  <c r="AH150" i="35"/>
  <c r="AH151" i="35"/>
  <c r="W152" i="35"/>
  <c r="W153" i="35"/>
  <c r="AH152" i="35"/>
  <c r="AH153" i="35"/>
  <c r="AO60" i="35"/>
  <c r="AO61" i="35"/>
  <c r="W52" i="35"/>
  <c r="W53" i="35"/>
  <c r="X52" i="35"/>
  <c r="X53" i="35"/>
  <c r="Y52" i="35"/>
  <c r="Y53" i="35"/>
  <c r="Z52" i="35"/>
  <c r="Z53" i="35"/>
  <c r="AO52" i="35"/>
  <c r="AO53" i="35"/>
  <c r="AO50" i="35"/>
  <c r="AO51" i="35"/>
  <c r="W42" i="35"/>
  <c r="W43" i="35"/>
  <c r="X42" i="35"/>
  <c r="X43" i="35"/>
  <c r="Y42" i="35"/>
  <c r="Y43" i="35"/>
  <c r="Z42" i="35"/>
  <c r="Z43" i="35"/>
  <c r="AO42" i="35"/>
  <c r="AO43" i="35"/>
  <c r="AO40" i="35"/>
  <c r="AO41" i="35"/>
  <c r="AO32" i="35"/>
  <c r="AO33" i="35"/>
  <c r="AO30" i="35"/>
  <c r="AO31" i="35"/>
  <c r="AO22" i="35"/>
  <c r="AO23" i="35"/>
  <c r="AO20" i="35"/>
  <c r="AO21" i="35"/>
  <c r="AO12" i="35"/>
  <c r="AO13" i="35"/>
  <c r="AO10" i="35"/>
  <c r="AO11" i="35"/>
  <c r="L93" i="41"/>
  <c r="O93" i="41"/>
  <c r="S93" i="41"/>
  <c r="V93" i="41"/>
  <c r="Z93" i="41"/>
  <c r="AE93" i="41"/>
  <c r="AG93" i="41"/>
  <c r="AJ93" i="41"/>
  <c r="L94" i="41"/>
  <c r="O94" i="41"/>
  <c r="S94" i="41"/>
  <c r="V94" i="41"/>
  <c r="Z94" i="41"/>
  <c r="AE94" i="41"/>
  <c r="AG94" i="41"/>
  <c r="AJ94" i="41"/>
  <c r="L81" i="41"/>
  <c r="O81" i="41"/>
  <c r="S81" i="41"/>
  <c r="V81" i="41"/>
  <c r="Z81" i="41"/>
  <c r="AG81" i="41"/>
  <c r="AJ81" i="41"/>
  <c r="L82" i="41"/>
  <c r="O82" i="41"/>
  <c r="S82" i="41"/>
  <c r="V82" i="41"/>
  <c r="Z82" i="41"/>
  <c r="AJ82" i="41"/>
  <c r="L69" i="41"/>
  <c r="S69" i="41"/>
  <c r="Z69" i="41"/>
  <c r="AD69" i="41"/>
  <c r="AE69" i="41"/>
  <c r="AG69" i="41"/>
  <c r="AN69" i="41"/>
  <c r="S70" i="41"/>
  <c r="AD70" i="41"/>
  <c r="AE70" i="41"/>
  <c r="AG61" i="41"/>
  <c r="L57" i="41"/>
  <c r="M57" i="41"/>
  <c r="N57" i="41"/>
  <c r="O57" i="41"/>
  <c r="S57" i="41"/>
  <c r="V57" i="41"/>
  <c r="AE57" i="41"/>
  <c r="AG57" i="41"/>
  <c r="AJ57" i="41"/>
  <c r="AN57" i="41"/>
  <c r="L58" i="41"/>
  <c r="M58" i="41"/>
  <c r="N58" i="41"/>
  <c r="O58" i="41"/>
  <c r="S58" i="41"/>
  <c r="V58" i="41"/>
  <c r="AE58" i="41"/>
  <c r="AJ58" i="41"/>
  <c r="AN58" i="41"/>
  <c r="O45" i="41"/>
  <c r="S45" i="41"/>
  <c r="V45" i="41"/>
  <c r="Z45" i="41"/>
  <c r="L46" i="41"/>
  <c r="O46" i="41"/>
  <c r="S46" i="41"/>
  <c r="V46" i="41"/>
  <c r="Z46" i="41"/>
  <c r="AG37" i="41"/>
  <c r="S37" i="41"/>
  <c r="L33" i="41"/>
  <c r="O33" i="41"/>
  <c r="S33" i="41"/>
  <c r="V33" i="41"/>
  <c r="Z33" i="41"/>
  <c r="AG33" i="41"/>
  <c r="AJ33" i="41"/>
  <c r="L34" i="41"/>
  <c r="O34" i="41"/>
  <c r="S34" i="41"/>
  <c r="V34" i="41"/>
  <c r="Z34" i="41"/>
  <c r="AD34" i="41"/>
  <c r="AG34" i="41"/>
  <c r="L21" i="41"/>
  <c r="S21" i="41"/>
  <c r="V21" i="41"/>
  <c r="Z21" i="41"/>
  <c r="AD21" i="41"/>
  <c r="AE21" i="41"/>
  <c r="AG21" i="41"/>
  <c r="AJ21" i="41"/>
  <c r="AN21" i="41"/>
  <c r="L22" i="41"/>
  <c r="S22" i="41"/>
  <c r="V22" i="41"/>
  <c r="Z22" i="41"/>
  <c r="AD22" i="41"/>
  <c r="AE22" i="41"/>
  <c r="AG22" i="41"/>
  <c r="AJ22" i="41"/>
  <c r="AN22" i="41"/>
  <c r="L13" i="41"/>
  <c r="L9" i="41"/>
  <c r="O9" i="41"/>
  <c r="S9" i="41"/>
  <c r="V9" i="41"/>
  <c r="Y9" i="41"/>
  <c r="Z9" i="41"/>
  <c r="AD9" i="41"/>
  <c r="AE9" i="41"/>
  <c r="AJ9" i="41"/>
  <c r="AN9" i="41"/>
  <c r="L10" i="41"/>
  <c r="O10" i="41"/>
  <c r="S10" i="41"/>
  <c r="V10" i="41"/>
  <c r="Z10" i="41"/>
  <c r="AE10" i="41"/>
  <c r="AG10" i="41"/>
  <c r="AJ10" i="41"/>
  <c r="AN10" i="41"/>
  <c r="P93" i="40"/>
  <c r="S93" i="40"/>
  <c r="V93" i="40"/>
  <c r="AD93" i="40"/>
  <c r="AE93" i="40"/>
  <c r="AG93" i="40"/>
  <c r="P94" i="40"/>
  <c r="S94" i="40"/>
  <c r="AD94" i="40"/>
  <c r="AE94" i="40"/>
  <c r="L105" i="40"/>
  <c r="O105" i="40"/>
  <c r="P105" i="40"/>
  <c r="S105" i="40"/>
  <c r="V105" i="40"/>
  <c r="AD105" i="40"/>
  <c r="AE105" i="40"/>
  <c r="L106" i="40"/>
  <c r="O106" i="40"/>
  <c r="S106" i="40"/>
  <c r="V106" i="40"/>
  <c r="AD106" i="40"/>
  <c r="AJ106" i="40"/>
  <c r="L85" i="40"/>
  <c r="AG85" i="40"/>
  <c r="O81" i="40"/>
  <c r="P81" i="40"/>
  <c r="Z81" i="40"/>
  <c r="P82" i="40"/>
  <c r="L69" i="40"/>
  <c r="S69" i="40"/>
  <c r="V69" i="40"/>
  <c r="AE69" i="40"/>
  <c r="AG69" i="40"/>
  <c r="AJ69" i="40"/>
  <c r="AN69" i="40"/>
  <c r="S70" i="40"/>
  <c r="V70" i="40"/>
  <c r="AE70" i="40"/>
  <c r="AG70" i="40"/>
  <c r="AJ70" i="40"/>
  <c r="AN70" i="40"/>
  <c r="AG61" i="40"/>
  <c r="S61" i="40"/>
  <c r="L57" i="40"/>
  <c r="O57" i="40"/>
  <c r="Z57" i="40"/>
  <c r="AJ57" i="40"/>
  <c r="L58" i="40"/>
  <c r="O58" i="40"/>
  <c r="AD58" i="40"/>
  <c r="Z49" i="40"/>
  <c r="L49" i="40"/>
  <c r="L45" i="40"/>
  <c r="P45" i="40"/>
  <c r="S45" i="40"/>
  <c r="V45" i="40"/>
  <c r="Z45" i="40"/>
  <c r="AD45" i="40"/>
  <c r="AE45" i="40"/>
  <c r="AG45" i="40"/>
  <c r="AJ45" i="40"/>
  <c r="P46" i="40"/>
  <c r="S46" i="40"/>
  <c r="V46" i="40"/>
  <c r="Z46" i="40"/>
  <c r="AD46" i="40"/>
  <c r="AE46" i="40"/>
  <c r="AG46" i="40"/>
  <c r="AJ46" i="40"/>
  <c r="L33" i="40"/>
  <c r="O33" i="40"/>
  <c r="P33" i="40"/>
  <c r="V33" i="40"/>
  <c r="Z33" i="40"/>
  <c r="AE33" i="40"/>
  <c r="AN33" i="40"/>
  <c r="L34" i="40"/>
  <c r="O34" i="40"/>
  <c r="P34" i="40"/>
  <c r="V34" i="40"/>
  <c r="AE34" i="40"/>
  <c r="AN34" i="40"/>
  <c r="P25" i="40"/>
  <c r="L21" i="40"/>
  <c r="O21" i="40"/>
  <c r="S21" i="40"/>
  <c r="V21" i="40"/>
  <c r="Z21" i="40"/>
  <c r="AD21" i="40"/>
  <c r="AE21" i="40"/>
  <c r="AG21" i="40"/>
  <c r="AJ21" i="40"/>
  <c r="AN21" i="40"/>
  <c r="L22" i="40"/>
  <c r="O22" i="40"/>
  <c r="S22" i="40"/>
  <c r="V22" i="40"/>
  <c r="Z22" i="40"/>
  <c r="AD22" i="40"/>
  <c r="AE22" i="40"/>
  <c r="AG22" i="40"/>
  <c r="AJ22" i="40"/>
  <c r="AN22" i="40"/>
  <c r="AD13" i="40"/>
  <c r="S13" i="40"/>
  <c r="O9" i="40"/>
  <c r="P9" i="40"/>
  <c r="S9" i="40"/>
  <c r="V9" i="40"/>
  <c r="Z9" i="40"/>
  <c r="AE9" i="40"/>
  <c r="AG9" i="40"/>
  <c r="AJ9" i="40"/>
  <c r="O10" i="40"/>
  <c r="P10" i="40"/>
  <c r="S10" i="40"/>
  <c r="V10" i="40"/>
  <c r="Z10" i="40"/>
  <c r="AE10" i="40"/>
  <c r="AG10" i="40"/>
  <c r="AJ10" i="40"/>
  <c r="S109" i="39"/>
  <c r="P117" i="39"/>
  <c r="S117" i="39"/>
  <c r="V117" i="39"/>
  <c r="Z117" i="39"/>
  <c r="AD117" i="39"/>
  <c r="AG117" i="39"/>
  <c r="AJ117" i="39"/>
  <c r="AN117" i="39"/>
  <c r="P118" i="39"/>
  <c r="S118" i="39"/>
  <c r="V118" i="39"/>
  <c r="Z118" i="39"/>
  <c r="AD118" i="39"/>
  <c r="AG118" i="39"/>
  <c r="AJ118" i="39"/>
  <c r="AN118" i="39"/>
  <c r="P129" i="39"/>
  <c r="S129" i="39"/>
  <c r="V129" i="39"/>
  <c r="Z129" i="39"/>
  <c r="AD129" i="39"/>
  <c r="AG129" i="39"/>
  <c r="AJ129" i="39"/>
  <c r="AN129" i="39"/>
  <c r="P130" i="39"/>
  <c r="S130" i="39"/>
  <c r="V130" i="39"/>
  <c r="Z130" i="39"/>
  <c r="AD130" i="39"/>
  <c r="AG130" i="39"/>
  <c r="AJ130" i="39"/>
  <c r="AN130" i="39"/>
  <c r="U132" i="39"/>
  <c r="P141" i="39"/>
  <c r="S141" i="39"/>
  <c r="V141" i="39"/>
  <c r="Z141" i="39"/>
  <c r="AD141" i="39"/>
  <c r="AJ141" i="39"/>
  <c r="AN141" i="39"/>
  <c r="P142" i="39"/>
  <c r="S142" i="39"/>
  <c r="V142" i="39"/>
  <c r="Z142" i="39"/>
  <c r="AD142" i="39"/>
  <c r="AJ142" i="39"/>
  <c r="AN142" i="39"/>
  <c r="R151" i="39"/>
  <c r="S151" i="39"/>
  <c r="P153" i="39"/>
  <c r="S153" i="39"/>
  <c r="V153" i="39"/>
  <c r="Z153" i="39"/>
  <c r="AD153" i="39"/>
  <c r="AG153" i="39"/>
  <c r="AJ153" i="39"/>
  <c r="P154" i="39"/>
  <c r="S154" i="39"/>
  <c r="V154" i="39"/>
  <c r="Z154" i="39"/>
  <c r="AD154" i="39"/>
  <c r="AG154" i="39"/>
  <c r="AJ154" i="39"/>
  <c r="V165" i="39"/>
  <c r="AD165" i="39"/>
  <c r="AJ165" i="39"/>
  <c r="AN165" i="39"/>
  <c r="P166" i="39"/>
  <c r="S166" i="39"/>
  <c r="V166" i="39"/>
  <c r="AD166" i="39"/>
  <c r="AN166" i="39"/>
  <c r="P177" i="39"/>
  <c r="S177" i="39"/>
  <c r="V177" i="39"/>
  <c r="Z177" i="39"/>
  <c r="AD177" i="39"/>
  <c r="AG177" i="39"/>
  <c r="M178" i="39"/>
  <c r="N178" i="39"/>
  <c r="O178" i="39"/>
  <c r="P178" i="39"/>
  <c r="S178" i="39"/>
  <c r="V178" i="39"/>
  <c r="Z178" i="39"/>
  <c r="AD178" i="39"/>
  <c r="AG178" i="39"/>
  <c r="S189" i="39"/>
  <c r="V189" i="39"/>
  <c r="Z189" i="39"/>
  <c r="AG189" i="39"/>
  <c r="AN189" i="39"/>
  <c r="M190" i="39"/>
  <c r="N190" i="39"/>
  <c r="O190" i="39"/>
  <c r="S190" i="39"/>
  <c r="V190" i="39"/>
  <c r="Z190" i="39"/>
  <c r="AD190" i="39"/>
  <c r="AG190" i="39"/>
  <c r="AN190" i="39"/>
  <c r="AG193" i="39"/>
  <c r="P201" i="39"/>
  <c r="S201" i="39"/>
  <c r="V201" i="39"/>
  <c r="Z201" i="39"/>
  <c r="AD201" i="39"/>
  <c r="AG201" i="39"/>
  <c r="AJ201" i="39"/>
  <c r="AN201" i="39"/>
  <c r="S202" i="39"/>
  <c r="V202" i="39"/>
  <c r="Z202" i="39"/>
  <c r="AD202" i="39"/>
  <c r="AJ202" i="39"/>
  <c r="AN202" i="39"/>
  <c r="V205" i="39"/>
  <c r="S213" i="39"/>
  <c r="V213" i="39"/>
  <c r="Z213" i="39"/>
  <c r="AD213" i="39"/>
  <c r="AG213" i="39"/>
  <c r="S214" i="39"/>
  <c r="V214" i="39"/>
  <c r="Z214" i="39"/>
  <c r="AD214" i="39"/>
  <c r="AN214" i="39"/>
  <c r="P217" i="39"/>
  <c r="P225" i="39"/>
  <c r="S225" i="39"/>
  <c r="V225" i="39"/>
  <c r="Z225" i="39"/>
  <c r="AD225" i="39"/>
  <c r="AG225" i="39"/>
  <c r="AJ225" i="39"/>
  <c r="P226" i="39"/>
  <c r="S226" i="39"/>
  <c r="V226" i="39"/>
  <c r="Z226" i="39"/>
  <c r="AD226" i="39"/>
  <c r="AG226" i="39"/>
  <c r="AJ226" i="39"/>
  <c r="M240" i="39"/>
  <c r="N240" i="39"/>
  <c r="O240" i="39"/>
  <c r="P240" i="39"/>
  <c r="S240" i="39"/>
  <c r="V240" i="39"/>
  <c r="Z240" i="39"/>
  <c r="AD240" i="39"/>
  <c r="AJ240" i="39"/>
  <c r="P105" i="39"/>
  <c r="S105" i="39"/>
  <c r="V105" i="39"/>
  <c r="Z105" i="39"/>
  <c r="AD105" i="39"/>
  <c r="AG105" i="39"/>
  <c r="AN105" i="39"/>
  <c r="P106" i="39"/>
  <c r="S106" i="39"/>
  <c r="V106" i="39"/>
  <c r="Z106" i="39"/>
  <c r="AD106" i="39"/>
  <c r="AG106" i="39"/>
  <c r="AN106" i="39"/>
  <c r="P93" i="39"/>
  <c r="S93" i="39"/>
  <c r="V93" i="39"/>
  <c r="Z93" i="39"/>
  <c r="AD93" i="39"/>
  <c r="AG93" i="39"/>
  <c r="AJ93" i="39"/>
  <c r="AN93" i="39"/>
  <c r="M94" i="39"/>
  <c r="N94" i="39"/>
  <c r="O94" i="39"/>
  <c r="P94" i="39"/>
  <c r="S94" i="39"/>
  <c r="V94" i="39"/>
  <c r="Z94" i="39"/>
  <c r="AD94" i="39"/>
  <c r="AG94" i="39"/>
  <c r="AN94" i="39"/>
  <c r="P81" i="39"/>
  <c r="S81" i="39"/>
  <c r="V81" i="39"/>
  <c r="Z81" i="39"/>
  <c r="AD81" i="39"/>
  <c r="AG81" i="39"/>
  <c r="AJ81" i="39"/>
  <c r="AN81" i="39"/>
  <c r="P82" i="39"/>
  <c r="S82" i="39"/>
  <c r="V82" i="39"/>
  <c r="Z82" i="39"/>
  <c r="AD82" i="39"/>
  <c r="AG82" i="39"/>
  <c r="AJ82" i="39"/>
  <c r="AN82" i="39"/>
  <c r="P69" i="39"/>
  <c r="S69" i="39"/>
  <c r="V69" i="39"/>
  <c r="Z69" i="39"/>
  <c r="AD69" i="39"/>
  <c r="AG69" i="39"/>
  <c r="AJ69" i="39"/>
  <c r="AN69" i="39"/>
  <c r="P70" i="39"/>
  <c r="S70" i="39"/>
  <c r="V70" i="39"/>
  <c r="Z70" i="39"/>
  <c r="AD70" i="39"/>
  <c r="AG70" i="39"/>
  <c r="AN70" i="39"/>
  <c r="P57" i="39"/>
  <c r="S57" i="39"/>
  <c r="V57" i="39"/>
  <c r="Z57" i="39"/>
  <c r="AD57" i="39"/>
  <c r="AG57" i="39"/>
  <c r="AN57" i="39"/>
  <c r="M58" i="39"/>
  <c r="N58" i="39"/>
  <c r="O58" i="39"/>
  <c r="P58" i="39"/>
  <c r="Q58" i="39"/>
  <c r="S58" i="39"/>
  <c r="T58" i="39"/>
  <c r="V58" i="39"/>
  <c r="Z58" i="39"/>
  <c r="AD58" i="39"/>
  <c r="AG58" i="39"/>
  <c r="AN58" i="39"/>
  <c r="AG49" i="39"/>
  <c r="P45" i="39"/>
  <c r="S45" i="39"/>
  <c r="V45" i="39"/>
  <c r="AD45" i="39"/>
  <c r="AG45" i="39"/>
  <c r="AJ45" i="39"/>
  <c r="AN45" i="39"/>
  <c r="P46" i="39"/>
  <c r="S46" i="39"/>
  <c r="V46" i="39"/>
  <c r="AD46" i="39"/>
  <c r="AG46" i="39"/>
  <c r="AJ46" i="39"/>
  <c r="AN46" i="39"/>
  <c r="P33" i="39"/>
  <c r="S33" i="39"/>
  <c r="V33" i="39"/>
  <c r="Z33" i="39"/>
  <c r="AD33" i="39"/>
  <c r="AG33" i="39"/>
  <c r="AJ33" i="39"/>
  <c r="AK33" i="39"/>
  <c r="P34" i="39"/>
  <c r="S34" i="39"/>
  <c r="V34" i="39"/>
  <c r="Z34" i="39"/>
  <c r="AD34" i="39"/>
  <c r="AG34" i="39"/>
  <c r="AJ34" i="39"/>
  <c r="AJ25" i="39"/>
  <c r="S25" i="39"/>
  <c r="M21" i="39"/>
  <c r="N21" i="39"/>
  <c r="O21" i="39"/>
  <c r="V21" i="39"/>
  <c r="Z21" i="39"/>
  <c r="AD21" i="39"/>
  <c r="AG21" i="39"/>
  <c r="AN21" i="39"/>
  <c r="V22" i="39"/>
  <c r="Z22" i="39"/>
  <c r="AD22" i="39"/>
  <c r="AJ22" i="39"/>
  <c r="S13" i="39"/>
  <c r="P9" i="39"/>
  <c r="S9" i="39"/>
  <c r="V9" i="39"/>
  <c r="Z9" i="39"/>
  <c r="AD9" i="39"/>
  <c r="AG9" i="39"/>
  <c r="AJ9" i="39"/>
  <c r="AN9" i="39"/>
  <c r="P10" i="39"/>
  <c r="S10" i="39"/>
  <c r="V10" i="39"/>
  <c r="Z10" i="39"/>
  <c r="AD10" i="39"/>
  <c r="AG10" i="39"/>
  <c r="AJ10" i="39"/>
  <c r="AN10" i="39"/>
  <c r="L105" i="38"/>
  <c r="O105" i="38"/>
  <c r="S105" i="38"/>
  <c r="T105" i="38"/>
  <c r="V105" i="38"/>
  <c r="W105" i="38"/>
  <c r="AD105" i="38"/>
  <c r="AG105" i="38"/>
  <c r="AJ105" i="38"/>
  <c r="AN105" i="38"/>
  <c r="L106" i="38"/>
  <c r="O106" i="38"/>
  <c r="T106" i="38"/>
  <c r="V106" i="38"/>
  <c r="W106" i="38"/>
  <c r="AG106" i="38"/>
  <c r="AJ106" i="38"/>
  <c r="O109" i="38"/>
  <c r="T114" i="38"/>
  <c r="T115" i="38"/>
  <c r="L117" i="38"/>
  <c r="S117" i="38"/>
  <c r="T117" i="38"/>
  <c r="V117" i="38"/>
  <c r="Z117" i="38"/>
  <c r="AG117" i="38"/>
  <c r="AN117" i="38"/>
  <c r="L118" i="38"/>
  <c r="S118" i="38"/>
  <c r="T118" i="38"/>
  <c r="V118" i="38"/>
  <c r="Z118" i="38"/>
  <c r="AG118" i="38"/>
  <c r="AN118" i="38"/>
  <c r="L129" i="38"/>
  <c r="O129" i="38"/>
  <c r="S129" i="38"/>
  <c r="T129" i="38"/>
  <c r="V129" i="38"/>
  <c r="W129" i="38"/>
  <c r="AE129" i="38"/>
  <c r="AG129" i="38"/>
  <c r="AJ129" i="38"/>
  <c r="AN129" i="38"/>
  <c r="L130" i="38"/>
  <c r="O130" i="38"/>
  <c r="T130" i="38"/>
  <c r="V130" i="38"/>
  <c r="W130" i="38"/>
  <c r="AE130" i="38"/>
  <c r="AJ130" i="38"/>
  <c r="L141" i="38"/>
  <c r="O141" i="38"/>
  <c r="S141" i="38"/>
  <c r="T141" i="38"/>
  <c r="V141" i="38"/>
  <c r="W141" i="38"/>
  <c r="Z141" i="38"/>
  <c r="AE141" i="38"/>
  <c r="AG141" i="38"/>
  <c r="AJ141" i="38"/>
  <c r="AN141" i="38"/>
  <c r="L142" i="38"/>
  <c r="O142" i="38"/>
  <c r="S142" i="38"/>
  <c r="T142" i="38"/>
  <c r="V142" i="38"/>
  <c r="W142" i="38"/>
  <c r="Z142" i="38"/>
  <c r="AE142" i="38"/>
  <c r="AG142" i="38"/>
  <c r="AJ142" i="38"/>
  <c r="AN142" i="38"/>
  <c r="Z145" i="38"/>
  <c r="AD145" i="38"/>
  <c r="L153" i="38"/>
  <c r="O153" i="38"/>
  <c r="S153" i="38"/>
  <c r="T153" i="38"/>
  <c r="V153" i="38"/>
  <c r="W153" i="38"/>
  <c r="Z153" i="38"/>
  <c r="AD153" i="38"/>
  <c r="AE153" i="38"/>
  <c r="AG153" i="38"/>
  <c r="AJ153" i="38"/>
  <c r="AN153" i="38"/>
  <c r="O154" i="38"/>
  <c r="V154" i="38"/>
  <c r="W154" i="38"/>
  <c r="Z154" i="38"/>
  <c r="AD154" i="38"/>
  <c r="AE154" i="38"/>
  <c r="AG154" i="38"/>
  <c r="AJ154" i="38"/>
  <c r="AN154" i="38"/>
  <c r="L165" i="38"/>
  <c r="O165" i="38"/>
  <c r="S165" i="38"/>
  <c r="T165" i="38"/>
  <c r="V165" i="38"/>
  <c r="W165" i="38"/>
  <c r="Z165" i="38"/>
  <c r="AD165" i="38"/>
  <c r="AE165" i="38"/>
  <c r="AG165" i="38"/>
  <c r="AN165" i="38"/>
  <c r="L166" i="38"/>
  <c r="O166" i="38"/>
  <c r="S166" i="38"/>
  <c r="T166" i="38"/>
  <c r="V166" i="38"/>
  <c r="W166" i="38"/>
  <c r="Z166" i="38"/>
  <c r="AD166" i="38"/>
  <c r="AE166" i="38"/>
  <c r="AG166" i="38"/>
  <c r="AN166" i="38"/>
  <c r="L177" i="38"/>
  <c r="O177" i="38"/>
  <c r="T177" i="38"/>
  <c r="W177" i="38"/>
  <c r="Z177" i="38"/>
  <c r="AD177" i="38"/>
  <c r="AE177" i="38"/>
  <c r="AG177" i="38"/>
  <c r="AJ177" i="38"/>
  <c r="L178" i="38"/>
  <c r="O178" i="38"/>
  <c r="S178" i="38"/>
  <c r="T178" i="38"/>
  <c r="W178" i="38"/>
  <c r="Z178" i="38"/>
  <c r="AD178" i="38"/>
  <c r="AE178" i="38"/>
  <c r="AG178" i="38"/>
  <c r="AJ178" i="38"/>
  <c r="S181" i="38"/>
  <c r="L189" i="38"/>
  <c r="O189" i="38"/>
  <c r="S189" i="38"/>
  <c r="V189" i="38"/>
  <c r="W189" i="38"/>
  <c r="Z189" i="38"/>
  <c r="AE189" i="38"/>
  <c r="AG189" i="38"/>
  <c r="AJ189" i="38"/>
  <c r="AN189" i="38"/>
  <c r="L190" i="38"/>
  <c r="O190" i="38"/>
  <c r="S190" i="38"/>
  <c r="V190" i="38"/>
  <c r="W190" i="38"/>
  <c r="Z190" i="38"/>
  <c r="AE190" i="38"/>
  <c r="AG190" i="38"/>
  <c r="AJ190" i="38"/>
  <c r="AN190" i="38"/>
  <c r="L201" i="38"/>
  <c r="O201" i="38"/>
  <c r="S201" i="38"/>
  <c r="V201" i="38"/>
  <c r="W201" i="38"/>
  <c r="Z201" i="38"/>
  <c r="AD201" i="38"/>
  <c r="AG201" i="38"/>
  <c r="AJ201" i="38"/>
  <c r="L202" i="38"/>
  <c r="O202" i="38"/>
  <c r="S202" i="38"/>
  <c r="V202" i="38"/>
  <c r="W202" i="38"/>
  <c r="Z202" i="38"/>
  <c r="AJ202" i="38"/>
  <c r="AG205" i="38"/>
  <c r="L213" i="38"/>
  <c r="O213" i="38"/>
  <c r="AG213" i="38"/>
  <c r="L214" i="38"/>
  <c r="L225" i="38"/>
  <c r="O225" i="38"/>
  <c r="S225" i="38"/>
  <c r="T225" i="38"/>
  <c r="V225" i="38"/>
  <c r="W225" i="38"/>
  <c r="Z225" i="38"/>
  <c r="AD225" i="38"/>
  <c r="AE225" i="38"/>
  <c r="AG225" i="38"/>
  <c r="L226" i="38"/>
  <c r="O226" i="38"/>
  <c r="S226" i="38"/>
  <c r="T226" i="38"/>
  <c r="V226" i="38"/>
  <c r="W226" i="38"/>
  <c r="Z226" i="38"/>
  <c r="AD226" i="38"/>
  <c r="AE226" i="38"/>
  <c r="AG226" i="38"/>
  <c r="AJ226" i="38"/>
  <c r="S229" i="38"/>
  <c r="L237" i="38"/>
  <c r="O237" i="38"/>
  <c r="T237" i="38"/>
  <c r="V237" i="38"/>
  <c r="Z237" i="38"/>
  <c r="AG237" i="38"/>
  <c r="AN237" i="38"/>
  <c r="L238" i="38"/>
  <c r="O238" i="38"/>
  <c r="V238" i="38"/>
  <c r="Z238" i="38"/>
  <c r="AG238" i="38"/>
  <c r="AN238" i="38"/>
  <c r="AG241" i="38"/>
  <c r="L249" i="38"/>
  <c r="O249" i="38"/>
  <c r="S249" i="38"/>
  <c r="T249" i="38"/>
  <c r="V249" i="38"/>
  <c r="W249" i="38"/>
  <c r="Z249" i="38"/>
  <c r="AD249" i="38"/>
  <c r="AG249" i="38"/>
  <c r="AJ249" i="38"/>
  <c r="AN249" i="38"/>
  <c r="L250" i="38"/>
  <c r="O250" i="38"/>
  <c r="S250" i="38"/>
  <c r="T250" i="38"/>
  <c r="V250" i="38"/>
  <c r="W250" i="38"/>
  <c r="Z250" i="38"/>
  <c r="AD250" i="38"/>
  <c r="AG250" i="38"/>
  <c r="AJ250" i="38"/>
  <c r="AN250" i="38"/>
  <c r="L261" i="38"/>
  <c r="O261" i="38"/>
  <c r="S261" i="38"/>
  <c r="T261" i="38"/>
  <c r="V261" i="38"/>
  <c r="Z261" i="38"/>
  <c r="AD261" i="38"/>
  <c r="AG261" i="38"/>
  <c r="AJ261" i="38"/>
  <c r="L262" i="38"/>
  <c r="O262" i="38"/>
  <c r="T262" i="38"/>
  <c r="V262" i="38"/>
  <c r="Z262" i="38"/>
  <c r="AD262" i="38"/>
  <c r="AJ262" i="38"/>
  <c r="L93" i="38"/>
  <c r="O93" i="38"/>
  <c r="S93" i="38"/>
  <c r="T93" i="38"/>
  <c r="V93" i="38"/>
  <c r="Z93" i="38"/>
  <c r="AG93" i="38"/>
  <c r="AJ93" i="38"/>
  <c r="L94" i="38"/>
  <c r="S94" i="38"/>
  <c r="T94" i="38"/>
  <c r="V94" i="38"/>
  <c r="Z94" i="38"/>
  <c r="AJ94" i="38"/>
  <c r="L85" i="38"/>
  <c r="L81" i="38"/>
  <c r="O81" i="38"/>
  <c r="S81" i="38"/>
  <c r="T81" i="38"/>
  <c r="V81" i="38"/>
  <c r="Z81" i="38"/>
  <c r="AD81" i="38"/>
  <c r="AE81" i="38"/>
  <c r="AG81" i="38"/>
  <c r="AJ81" i="38"/>
  <c r="L82" i="38"/>
  <c r="O82" i="38"/>
  <c r="S82" i="38"/>
  <c r="T82" i="38"/>
  <c r="V82" i="38"/>
  <c r="Z82" i="38"/>
  <c r="AD82" i="38"/>
  <c r="AE82" i="38"/>
  <c r="AG82" i="38"/>
  <c r="AJ82" i="38"/>
  <c r="L69" i="38"/>
  <c r="O69" i="38"/>
  <c r="T69" i="38"/>
  <c r="V69" i="38"/>
  <c r="Z69" i="38"/>
  <c r="AD69" i="38"/>
  <c r="AE69" i="38"/>
  <c r="AJ69" i="38"/>
  <c r="L70" i="38"/>
  <c r="T70" i="38"/>
  <c r="V70" i="38"/>
  <c r="Z70" i="38"/>
  <c r="AD70" i="38"/>
  <c r="AJ70" i="38"/>
  <c r="S72" i="38"/>
  <c r="O73" i="38"/>
  <c r="AJ61" i="38"/>
  <c r="T61" i="38"/>
  <c r="L57" i="38"/>
  <c r="O57" i="38"/>
  <c r="S57" i="38"/>
  <c r="T57" i="38"/>
  <c r="V57" i="38"/>
  <c r="AE57" i="38"/>
  <c r="AJ57" i="38"/>
  <c r="L58" i="38"/>
  <c r="O58" i="38"/>
  <c r="T58" i="38"/>
  <c r="V58" i="38"/>
  <c r="AE58" i="38"/>
  <c r="AJ58" i="38"/>
  <c r="L45" i="38"/>
  <c r="O45" i="38"/>
  <c r="S45" i="38"/>
  <c r="T45" i="38"/>
  <c r="Z45" i="38"/>
  <c r="AE45" i="38"/>
  <c r="AG45" i="38"/>
  <c r="AN45" i="38"/>
  <c r="L46" i="38"/>
  <c r="O46" i="38"/>
  <c r="S46" i="38"/>
  <c r="T46" i="38"/>
  <c r="Z46" i="38"/>
  <c r="AE46" i="38"/>
  <c r="AN46" i="38"/>
  <c r="O33" i="38"/>
  <c r="S33" i="38"/>
  <c r="V33" i="38"/>
  <c r="W33" i="38"/>
  <c r="Z33" i="38"/>
  <c r="AG33" i="38"/>
  <c r="AN33" i="38"/>
  <c r="O34" i="38"/>
  <c r="S34" i="38"/>
  <c r="V34" i="38"/>
  <c r="W34" i="38"/>
  <c r="AN34" i="38"/>
  <c r="Z25" i="38"/>
  <c r="L21" i="38"/>
  <c r="O21" i="38"/>
  <c r="S21" i="38"/>
  <c r="T21" i="38"/>
  <c r="V21" i="38"/>
  <c r="Z21" i="38"/>
  <c r="AD21" i="38"/>
  <c r="AE21" i="38"/>
  <c r="AG21" i="38"/>
  <c r="L22" i="38"/>
  <c r="S22" i="38"/>
  <c r="T22" i="38"/>
  <c r="V22" i="38"/>
  <c r="Z22" i="38"/>
  <c r="AD22" i="38"/>
  <c r="AE22" i="38"/>
  <c r="AG22" i="38"/>
  <c r="L13" i="38"/>
  <c r="L9" i="38"/>
  <c r="O9" i="38"/>
  <c r="S9" i="38"/>
  <c r="T9" i="38"/>
  <c r="W9" i="38"/>
  <c r="Z9" i="38"/>
  <c r="AD9" i="38"/>
  <c r="AE9" i="38"/>
  <c r="L10" i="38"/>
  <c r="S10" i="38"/>
  <c r="T10" i="38"/>
  <c r="W10" i="38"/>
  <c r="Z10" i="38"/>
  <c r="AD10" i="38"/>
  <c r="AE10" i="38"/>
  <c r="Q117" i="36"/>
  <c r="AA117" i="36"/>
  <c r="AL117" i="36"/>
  <c r="Q118" i="36"/>
  <c r="AA118" i="36"/>
  <c r="AH118" i="36"/>
  <c r="AL118" i="36"/>
  <c r="Q129" i="36"/>
  <c r="T129" i="36"/>
  <c r="X129" i="36"/>
  <c r="AA129" i="36"/>
  <c r="AD129" i="36"/>
  <c r="AH129" i="36"/>
  <c r="AL129" i="36"/>
  <c r="Q130" i="36"/>
  <c r="T130" i="36"/>
  <c r="X130" i="36"/>
  <c r="AA130" i="36"/>
  <c r="AD130" i="36"/>
  <c r="AH130" i="36"/>
  <c r="AL130" i="36"/>
  <c r="Q141" i="36"/>
  <c r="T141" i="36"/>
  <c r="X141" i="36"/>
  <c r="AA141" i="36"/>
  <c r="AD141" i="36"/>
  <c r="AH141" i="36"/>
  <c r="Q142" i="36"/>
  <c r="T142" i="36"/>
  <c r="X142" i="36"/>
  <c r="AA142" i="36"/>
  <c r="AH142" i="36"/>
  <c r="P145" i="36"/>
  <c r="Q145" i="36"/>
  <c r="Q153" i="36"/>
  <c r="AA153" i="36"/>
  <c r="AD153" i="36"/>
  <c r="AH153" i="36"/>
  <c r="AL153" i="36"/>
  <c r="Q154" i="36"/>
  <c r="AA154" i="36"/>
  <c r="AD154" i="36"/>
  <c r="AH154" i="36"/>
  <c r="AL154" i="36"/>
  <c r="Q156" i="36"/>
  <c r="Q165" i="36"/>
  <c r="T165" i="36"/>
  <c r="AA165" i="36"/>
  <c r="AH165" i="36"/>
  <c r="AL165" i="36"/>
  <c r="T166" i="36"/>
  <c r="AA166" i="36"/>
  <c r="AH166" i="36"/>
  <c r="AL166" i="36"/>
  <c r="X169" i="36"/>
  <c r="Q177" i="36"/>
  <c r="T177" i="36"/>
  <c r="X177" i="36"/>
  <c r="AA177" i="36"/>
  <c r="AD177" i="36"/>
  <c r="AH177" i="36"/>
  <c r="Q178" i="36"/>
  <c r="T178" i="36"/>
  <c r="AA178" i="36"/>
  <c r="AD178" i="36"/>
  <c r="AH178" i="36"/>
  <c r="Q189" i="36"/>
  <c r="T189" i="36"/>
  <c r="X189" i="36"/>
  <c r="AA189" i="36"/>
  <c r="AD189" i="36"/>
  <c r="AL189" i="36"/>
  <c r="Q190" i="36"/>
  <c r="T190" i="36"/>
  <c r="X190" i="36"/>
  <c r="AA190" i="36"/>
  <c r="AD190" i="36"/>
  <c r="AL190" i="36"/>
  <c r="X193" i="36"/>
  <c r="K201" i="36"/>
  <c r="L201" i="36"/>
  <c r="M201" i="36"/>
  <c r="Q201" i="36"/>
  <c r="T201" i="36"/>
  <c r="X201" i="36"/>
  <c r="AA201" i="36"/>
  <c r="AH201" i="36"/>
  <c r="K202" i="36"/>
  <c r="L202" i="36"/>
  <c r="M202" i="36"/>
  <c r="Q202" i="36"/>
  <c r="X202" i="36"/>
  <c r="AA202" i="36"/>
  <c r="AH202" i="36"/>
  <c r="Q213" i="36"/>
  <c r="T213" i="36"/>
  <c r="AA213" i="36"/>
  <c r="AL213" i="36"/>
  <c r="Q214" i="36"/>
  <c r="AA214" i="36"/>
  <c r="AL214" i="36"/>
  <c r="Q225" i="36"/>
  <c r="T225" i="36"/>
  <c r="X225" i="36"/>
  <c r="AA225" i="36"/>
  <c r="AH225" i="36"/>
  <c r="Q226" i="36"/>
  <c r="T226" i="36"/>
  <c r="X226" i="36"/>
  <c r="AA226" i="36"/>
  <c r="AH226" i="36"/>
  <c r="X249" i="36"/>
  <c r="K251" i="36"/>
  <c r="L251" i="36"/>
  <c r="M251" i="36"/>
  <c r="AA251" i="36"/>
  <c r="AL251" i="36"/>
  <c r="AL249" i="36"/>
  <c r="AL256" i="36"/>
  <c r="AL257" i="36"/>
  <c r="Q105" i="36"/>
  <c r="T105" i="36"/>
  <c r="AD105" i="36"/>
  <c r="Q106" i="36"/>
  <c r="T106" i="36"/>
  <c r="AA106" i="36"/>
  <c r="AD106" i="36"/>
  <c r="Q93" i="36"/>
  <c r="X93" i="36"/>
  <c r="AA93" i="36"/>
  <c r="AD93" i="36"/>
  <c r="AH93" i="36"/>
  <c r="Q94" i="36"/>
  <c r="X94" i="36"/>
  <c r="AA94" i="36"/>
  <c r="AH94" i="36"/>
  <c r="X85" i="36"/>
  <c r="Q81" i="36"/>
  <c r="T81" i="36"/>
  <c r="X81" i="36"/>
  <c r="AA81" i="36"/>
  <c r="AD81" i="36"/>
  <c r="AH81" i="36"/>
  <c r="AL81" i="36"/>
  <c r="Q82" i="36"/>
  <c r="T82" i="36"/>
  <c r="X82" i="36"/>
  <c r="AA82" i="36"/>
  <c r="AD82" i="36"/>
  <c r="AH82" i="36"/>
  <c r="AL82" i="36"/>
  <c r="K73" i="36"/>
  <c r="L73" i="36"/>
  <c r="M73" i="36"/>
  <c r="Q69" i="36"/>
  <c r="T69" i="36"/>
  <c r="X69" i="36"/>
  <c r="AA69" i="36"/>
  <c r="AL69" i="36"/>
  <c r="Q70" i="36"/>
  <c r="T70" i="36"/>
  <c r="X70" i="36"/>
  <c r="AA70" i="36"/>
  <c r="AL70" i="36"/>
  <c r="Q57" i="36"/>
  <c r="T57" i="36"/>
  <c r="X57" i="36"/>
  <c r="AA57" i="36"/>
  <c r="AH57" i="36"/>
  <c r="AL57" i="36"/>
  <c r="Q58" i="36"/>
  <c r="T58" i="36"/>
  <c r="X58" i="36"/>
  <c r="AA58" i="36"/>
  <c r="AH58" i="36"/>
  <c r="AL58" i="36"/>
  <c r="Q45" i="36"/>
  <c r="X45" i="36"/>
  <c r="AA45" i="36"/>
  <c r="AH45" i="36"/>
  <c r="Q46" i="36"/>
  <c r="X46" i="36"/>
  <c r="AA46" i="36"/>
  <c r="AH46" i="36"/>
  <c r="Q33" i="36"/>
  <c r="T33" i="36"/>
  <c r="X33" i="36"/>
  <c r="AA33" i="36"/>
  <c r="AH33" i="36"/>
  <c r="AL33" i="36"/>
  <c r="Q34" i="36"/>
  <c r="T34" i="36"/>
  <c r="X34" i="36"/>
  <c r="AA34" i="36"/>
  <c r="AH34" i="36"/>
  <c r="AL34" i="36"/>
  <c r="AH25" i="36"/>
  <c r="Q25" i="36"/>
  <c r="Q21" i="36"/>
  <c r="T21" i="36"/>
  <c r="X21" i="36"/>
  <c r="AA21" i="36"/>
  <c r="AD21" i="36"/>
  <c r="AL21" i="36"/>
  <c r="Q22" i="36"/>
  <c r="T22" i="36"/>
  <c r="X22" i="36"/>
  <c r="AA22" i="36"/>
  <c r="AD22" i="36"/>
  <c r="AL22" i="36"/>
  <c r="R9" i="36"/>
  <c r="T9" i="36"/>
  <c r="X9" i="36"/>
  <c r="AA9" i="36"/>
  <c r="AD9" i="36"/>
  <c r="AL9" i="36"/>
  <c r="T10" i="36"/>
  <c r="X10" i="36"/>
  <c r="AA10" i="36"/>
  <c r="AD10" i="36"/>
  <c r="AL10" i="36"/>
  <c r="J93" i="37"/>
  <c r="K93" i="37"/>
  <c r="L93" i="37"/>
  <c r="P93" i="37"/>
  <c r="S93" i="37"/>
  <c r="W93" i="37"/>
  <c r="Z93" i="37"/>
  <c r="AD93" i="37"/>
  <c r="AG93" i="37"/>
  <c r="AK93" i="37"/>
  <c r="J94" i="37"/>
  <c r="K94" i="37"/>
  <c r="L94" i="37"/>
  <c r="P94" i="37"/>
  <c r="S94" i="37"/>
  <c r="W94" i="37"/>
  <c r="Z94" i="37"/>
  <c r="AD94" i="37"/>
  <c r="AG94" i="37"/>
  <c r="P97" i="37"/>
  <c r="P105" i="37"/>
  <c r="S105" i="37"/>
  <c r="W105" i="37"/>
  <c r="Z105" i="37"/>
  <c r="AG105" i="37"/>
  <c r="AK105" i="37"/>
  <c r="S106" i="37"/>
  <c r="W106" i="37"/>
  <c r="Z106" i="37"/>
  <c r="AG106" i="37"/>
  <c r="AK106" i="37"/>
  <c r="AH108" i="37"/>
  <c r="S109" i="37"/>
  <c r="AD109" i="37"/>
  <c r="S117" i="37"/>
  <c r="Z117" i="37"/>
  <c r="AD117" i="37"/>
  <c r="AG117" i="37"/>
  <c r="AK117" i="37"/>
  <c r="S118" i="37"/>
  <c r="W118" i="37"/>
  <c r="AD118" i="37"/>
  <c r="AG118" i="37"/>
  <c r="AK118" i="37"/>
  <c r="W121" i="37"/>
  <c r="J129" i="37"/>
  <c r="K129" i="37"/>
  <c r="L129" i="37"/>
  <c r="P129" i="37"/>
  <c r="S129" i="37"/>
  <c r="W129" i="37"/>
  <c r="Z129" i="37"/>
  <c r="AD129" i="37"/>
  <c r="J130" i="37"/>
  <c r="K130" i="37"/>
  <c r="L130" i="37"/>
  <c r="P130" i="37"/>
  <c r="Z130" i="37"/>
  <c r="AD130" i="37"/>
  <c r="AG130" i="37"/>
  <c r="AG133" i="37"/>
  <c r="J141" i="37"/>
  <c r="K141" i="37"/>
  <c r="L141" i="37"/>
  <c r="S141" i="37"/>
  <c r="W141" i="37"/>
  <c r="AD141" i="37"/>
  <c r="AG141" i="37"/>
  <c r="AK141" i="37"/>
  <c r="J142" i="37"/>
  <c r="K142" i="37"/>
  <c r="L142" i="37"/>
  <c r="S142" i="37"/>
  <c r="W142" i="37"/>
  <c r="AD142" i="37"/>
  <c r="AG142" i="37"/>
  <c r="AK142" i="37"/>
  <c r="S153" i="37"/>
  <c r="W153" i="37"/>
  <c r="Z153" i="37"/>
  <c r="AG153" i="37"/>
  <c r="S154" i="37"/>
  <c r="W154" i="37"/>
  <c r="P165" i="37"/>
  <c r="S165" i="37"/>
  <c r="W165" i="37"/>
  <c r="Z165" i="37"/>
  <c r="AG165" i="37"/>
  <c r="AK165" i="37"/>
  <c r="P166" i="37"/>
  <c r="S166" i="37"/>
  <c r="W166" i="37"/>
  <c r="Z166" i="37"/>
  <c r="AG166" i="37"/>
  <c r="AK166" i="37"/>
  <c r="Z169" i="37"/>
  <c r="J177" i="37"/>
  <c r="K177" i="37"/>
  <c r="L177" i="37"/>
  <c r="P177" i="37"/>
  <c r="S177" i="37"/>
  <c r="W177" i="37"/>
  <c r="AD177" i="37"/>
  <c r="J178" i="37"/>
  <c r="K178" i="37"/>
  <c r="L178" i="37"/>
  <c r="P178" i="37"/>
  <c r="S178" i="37"/>
  <c r="AD178" i="37"/>
  <c r="S181" i="37"/>
  <c r="J189" i="37"/>
  <c r="K189" i="37"/>
  <c r="L189" i="37"/>
  <c r="P189" i="37"/>
  <c r="S189" i="37"/>
  <c r="W189" i="37"/>
  <c r="AG189" i="37"/>
  <c r="AK189" i="37"/>
  <c r="J190" i="37"/>
  <c r="K190" i="37"/>
  <c r="L190" i="37"/>
  <c r="P190" i="37"/>
  <c r="S190" i="37"/>
  <c r="W190" i="37"/>
  <c r="AG190" i="37"/>
  <c r="AK190" i="37"/>
  <c r="S199" i="37"/>
  <c r="J201" i="37"/>
  <c r="K201" i="37"/>
  <c r="L201" i="37"/>
  <c r="P201" i="37"/>
  <c r="S201" i="37"/>
  <c r="W201" i="37"/>
  <c r="Z201" i="37"/>
  <c r="AD201" i="37"/>
  <c r="AG201" i="37"/>
  <c r="AK201" i="37"/>
  <c r="J202" i="37"/>
  <c r="K202" i="37"/>
  <c r="L202" i="37"/>
  <c r="P202" i="37"/>
  <c r="S202" i="37"/>
  <c r="W202" i="37"/>
  <c r="Z202" i="37"/>
  <c r="AD202" i="37"/>
  <c r="AG202" i="37"/>
  <c r="AG205" i="37"/>
  <c r="P213" i="37"/>
  <c r="S213" i="37"/>
  <c r="W213" i="37"/>
  <c r="Z213" i="37"/>
  <c r="AG213" i="37"/>
  <c r="AK213" i="37"/>
  <c r="P214" i="37"/>
  <c r="S214" i="37"/>
  <c r="W214" i="37"/>
  <c r="Z214" i="37"/>
  <c r="AG214" i="37"/>
  <c r="AK214" i="37"/>
  <c r="P225" i="37"/>
  <c r="S225" i="37"/>
  <c r="W225" i="37"/>
  <c r="Z225" i="37"/>
  <c r="AD225" i="37"/>
  <c r="AG225" i="37"/>
  <c r="AK225" i="37"/>
  <c r="P226" i="37"/>
  <c r="S226" i="37"/>
  <c r="W226" i="37"/>
  <c r="Z226" i="37"/>
  <c r="AD226" i="37"/>
  <c r="AG226" i="37"/>
  <c r="AK226" i="37"/>
  <c r="Z229" i="37"/>
  <c r="P237" i="37"/>
  <c r="S237" i="37"/>
  <c r="U237" i="37"/>
  <c r="W237" i="37"/>
  <c r="Z237" i="37"/>
  <c r="AD237" i="37"/>
  <c r="AG237" i="37"/>
  <c r="AK237" i="37"/>
  <c r="P238" i="37"/>
  <c r="S238" i="37"/>
  <c r="U238" i="37"/>
  <c r="W238" i="37"/>
  <c r="Z238" i="37"/>
  <c r="AD238" i="37"/>
  <c r="AG238" i="37"/>
  <c r="AK238" i="37"/>
  <c r="J81" i="37"/>
  <c r="K81" i="37"/>
  <c r="L81" i="37"/>
  <c r="P81" i="37"/>
  <c r="S81" i="37"/>
  <c r="W81" i="37"/>
  <c r="Z81" i="37"/>
  <c r="AD81" i="37"/>
  <c r="AG81" i="37"/>
  <c r="AK81" i="37"/>
  <c r="J82" i="37"/>
  <c r="K82" i="37"/>
  <c r="L82" i="37"/>
  <c r="P82" i="37"/>
  <c r="S82" i="37"/>
  <c r="W82" i="37"/>
  <c r="Z82" i="37"/>
  <c r="AD82" i="37"/>
  <c r="AG82" i="37"/>
  <c r="AK82" i="37"/>
  <c r="P73" i="37"/>
  <c r="S69" i="37"/>
  <c r="W69" i="37"/>
  <c r="AD69" i="37"/>
  <c r="AK69" i="37"/>
  <c r="P70" i="37"/>
  <c r="S70" i="37"/>
  <c r="P57" i="37"/>
  <c r="S57" i="37"/>
  <c r="W57" i="37"/>
  <c r="Z57" i="37"/>
  <c r="AD57" i="37"/>
  <c r="AG57" i="37"/>
  <c r="AK57" i="37"/>
  <c r="P58" i="37"/>
  <c r="S58" i="37"/>
  <c r="W58" i="37"/>
  <c r="Z58" i="37"/>
  <c r="AD58" i="37"/>
  <c r="AG58" i="37"/>
  <c r="AK58" i="37"/>
  <c r="AG49" i="37"/>
  <c r="P45" i="37"/>
  <c r="S45" i="37"/>
  <c r="W45" i="37"/>
  <c r="Z45" i="37"/>
  <c r="AD45" i="37"/>
  <c r="AG45" i="37"/>
  <c r="AK45" i="37"/>
  <c r="P46" i="37"/>
  <c r="S46" i="37"/>
  <c r="W46" i="37"/>
  <c r="Z46" i="37"/>
  <c r="AD46" i="37"/>
  <c r="AG46" i="37"/>
  <c r="AK46" i="37"/>
  <c r="AK37" i="37"/>
  <c r="P33" i="37"/>
  <c r="S33" i="37"/>
  <c r="W33" i="37"/>
  <c r="Z33" i="37"/>
  <c r="AG33" i="37"/>
  <c r="AK33" i="37"/>
  <c r="P34" i="37"/>
  <c r="W34" i="37"/>
  <c r="AG34" i="37"/>
  <c r="AK34" i="37"/>
  <c r="J25" i="37"/>
  <c r="K25" i="37"/>
  <c r="L25" i="37"/>
  <c r="J21" i="37"/>
  <c r="K21" i="37"/>
  <c r="L21" i="37"/>
  <c r="P21" i="37"/>
  <c r="S21" i="37"/>
  <c r="W21" i="37"/>
  <c r="Z21" i="37"/>
  <c r="AD21" i="37"/>
  <c r="AG21" i="37"/>
  <c r="AK21" i="37"/>
  <c r="J22" i="37"/>
  <c r="K22" i="37"/>
  <c r="L22" i="37"/>
  <c r="P22" i="37"/>
  <c r="S22" i="37"/>
  <c r="W22" i="37"/>
  <c r="Z22" i="37"/>
  <c r="AD22" i="37"/>
  <c r="AG22" i="37"/>
  <c r="AK22" i="37"/>
  <c r="S13" i="37"/>
  <c r="J9" i="37"/>
  <c r="K9" i="37"/>
  <c r="P9" i="37"/>
  <c r="R9" i="37"/>
  <c r="S9" i="37"/>
  <c r="U9" i="37"/>
  <c r="W9" i="37"/>
  <c r="Z9" i="37"/>
  <c r="AD9" i="37"/>
  <c r="AK9" i="37"/>
  <c r="P10" i="37"/>
  <c r="S10" i="37"/>
  <c r="U10" i="37"/>
  <c r="W10" i="37"/>
  <c r="Z10" i="37"/>
  <c r="AD10" i="37"/>
  <c r="AK10" i="37"/>
  <c r="S133" i="34"/>
  <c r="P141" i="34"/>
  <c r="S141" i="34"/>
  <c r="T141" i="34"/>
  <c r="W141" i="34"/>
  <c r="Z141" i="34"/>
  <c r="AA141" i="34"/>
  <c r="AG141" i="34"/>
  <c r="P142" i="34"/>
  <c r="S142" i="34"/>
  <c r="T142" i="34"/>
  <c r="W142" i="34"/>
  <c r="Z142" i="34"/>
  <c r="AA142" i="34"/>
  <c r="AG142" i="34"/>
  <c r="AK142" i="34"/>
  <c r="P144" i="34"/>
  <c r="P145" i="34"/>
  <c r="AK145" i="34"/>
  <c r="J153" i="34"/>
  <c r="K153" i="34"/>
  <c r="L153" i="34"/>
  <c r="S153" i="34"/>
  <c r="T153" i="34"/>
  <c r="W153" i="34"/>
  <c r="X153" i="34"/>
  <c r="AA153" i="34"/>
  <c r="AG153" i="34"/>
  <c r="AK153" i="34"/>
  <c r="J154" i="34"/>
  <c r="K154" i="34"/>
  <c r="L154" i="34"/>
  <c r="S154" i="34"/>
  <c r="W154" i="34"/>
  <c r="X154" i="34"/>
  <c r="AA154" i="34"/>
  <c r="AG154" i="34"/>
  <c r="AK154" i="34"/>
  <c r="J165" i="34"/>
  <c r="M165" i="34"/>
  <c r="P165" i="34"/>
  <c r="Q165" i="34"/>
  <c r="S165" i="34"/>
  <c r="T165" i="34"/>
  <c r="W165" i="34"/>
  <c r="Z165" i="34"/>
  <c r="AE165" i="34"/>
  <c r="AG165" i="34"/>
  <c r="J166" i="34"/>
  <c r="M166" i="34"/>
  <c r="P166" i="34"/>
  <c r="S166" i="34"/>
  <c r="T166" i="34"/>
  <c r="W166" i="34"/>
  <c r="Z166" i="34"/>
  <c r="AE166" i="34"/>
  <c r="AG166" i="34"/>
  <c r="M177" i="34"/>
  <c r="Q177" i="34"/>
  <c r="T177" i="34"/>
  <c r="W177" i="34"/>
  <c r="Z177" i="34"/>
  <c r="AA177" i="34"/>
  <c r="AD177" i="34"/>
  <c r="AG177" i="34"/>
  <c r="M178" i="34"/>
  <c r="Q178" i="34"/>
  <c r="T178" i="34"/>
  <c r="Z178" i="34"/>
  <c r="AA178" i="34"/>
  <c r="AD178" i="34"/>
  <c r="AG178" i="34"/>
  <c r="AE181" i="34"/>
  <c r="J189" i="34"/>
  <c r="K189" i="34"/>
  <c r="L189" i="34"/>
  <c r="Q189" i="34"/>
  <c r="W189" i="34"/>
  <c r="X189" i="34"/>
  <c r="AG189" i="34"/>
  <c r="AK189" i="34"/>
  <c r="J190" i="34"/>
  <c r="K190" i="34"/>
  <c r="L190" i="34"/>
  <c r="Q190" i="34"/>
  <c r="W190" i="34"/>
  <c r="X190" i="34"/>
  <c r="AG190" i="34"/>
  <c r="AK190" i="34"/>
  <c r="J201" i="34"/>
  <c r="K201" i="34"/>
  <c r="L201" i="34"/>
  <c r="M201" i="34"/>
  <c r="P201" i="34"/>
  <c r="Q201" i="34"/>
  <c r="S201" i="34"/>
  <c r="W201" i="34"/>
  <c r="X201" i="34"/>
  <c r="AA201" i="34"/>
  <c r="AE201" i="34"/>
  <c r="AK201" i="34"/>
  <c r="J202" i="34"/>
  <c r="K202" i="34"/>
  <c r="L202" i="34"/>
  <c r="M202" i="34"/>
  <c r="P202" i="34"/>
  <c r="Q202" i="34"/>
  <c r="S202" i="34"/>
  <c r="T202" i="34"/>
  <c r="W202" i="34"/>
  <c r="X202" i="34"/>
  <c r="AA202" i="34"/>
  <c r="AE202" i="34"/>
  <c r="AK202" i="34"/>
  <c r="J204" i="34"/>
  <c r="K204" i="34"/>
  <c r="J213" i="34"/>
  <c r="S213" i="34"/>
  <c r="X213" i="34"/>
  <c r="Z213" i="34"/>
  <c r="AG213" i="34"/>
  <c r="AK213" i="34"/>
  <c r="J214" i="34"/>
  <c r="S214" i="34"/>
  <c r="X214" i="34"/>
  <c r="Z214" i="34"/>
  <c r="AG214" i="34"/>
  <c r="AK214" i="34"/>
  <c r="Q225" i="34"/>
  <c r="S225" i="34"/>
  <c r="X225" i="34"/>
  <c r="Z225" i="34"/>
  <c r="AD225" i="34"/>
  <c r="AG225" i="34"/>
  <c r="P226" i="34"/>
  <c r="S226" i="34"/>
  <c r="AG226" i="34"/>
  <c r="P229" i="34"/>
  <c r="J237" i="34"/>
  <c r="T237" i="34"/>
  <c r="W237" i="34"/>
  <c r="AA237" i="34"/>
  <c r="J238" i="34"/>
  <c r="T238" i="34"/>
  <c r="W238" i="34"/>
  <c r="AA238" i="34"/>
  <c r="AG241" i="34"/>
  <c r="J249" i="34"/>
  <c r="M249" i="34"/>
  <c r="P249" i="34"/>
  <c r="Q249" i="34"/>
  <c r="S249" i="34"/>
  <c r="T249" i="34"/>
  <c r="W249" i="34"/>
  <c r="X249" i="34"/>
  <c r="Z249" i="34"/>
  <c r="AA249" i="34"/>
  <c r="AD249" i="34"/>
  <c r="AG249" i="34"/>
  <c r="AK249" i="34"/>
  <c r="J250" i="34"/>
  <c r="M250" i="34"/>
  <c r="P250" i="34"/>
  <c r="Q250" i="34"/>
  <c r="S250" i="34"/>
  <c r="T250" i="34"/>
  <c r="W250" i="34"/>
  <c r="X250" i="34"/>
  <c r="Z250" i="34"/>
  <c r="AA250" i="34"/>
  <c r="AD250" i="34"/>
  <c r="AG250" i="34"/>
  <c r="AK250" i="34"/>
  <c r="J261" i="34"/>
  <c r="P261" i="34"/>
  <c r="Q261" i="34"/>
  <c r="S261" i="34"/>
  <c r="T261" i="34"/>
  <c r="W261" i="34"/>
  <c r="X261" i="34"/>
  <c r="AA261" i="34"/>
  <c r="AG261" i="34"/>
  <c r="AK261" i="34"/>
  <c r="J262" i="34"/>
  <c r="P262" i="34"/>
  <c r="Q262" i="34"/>
  <c r="S262" i="34"/>
  <c r="T262" i="34"/>
  <c r="W262" i="34"/>
  <c r="X262" i="34"/>
  <c r="AA262" i="34"/>
  <c r="AG262" i="34"/>
  <c r="AK262" i="34"/>
  <c r="J129" i="34"/>
  <c r="M129" i="34"/>
  <c r="P129" i="34"/>
  <c r="S129" i="34"/>
  <c r="W129" i="34"/>
  <c r="X129" i="34"/>
  <c r="Z129" i="34"/>
  <c r="AG129" i="34"/>
  <c r="J130" i="34"/>
  <c r="M130" i="34"/>
  <c r="P130" i="34"/>
  <c r="S130" i="34"/>
  <c r="W130" i="34"/>
  <c r="Z130" i="34"/>
  <c r="AG130" i="34"/>
  <c r="M117" i="34"/>
  <c r="P117" i="34"/>
  <c r="S117" i="34"/>
  <c r="W117" i="34"/>
  <c r="Z117" i="34"/>
  <c r="AA117" i="34"/>
  <c r="AD117" i="34"/>
  <c r="AG117" i="34"/>
  <c r="M118" i="34"/>
  <c r="P118" i="34"/>
  <c r="W118" i="34"/>
  <c r="Z118" i="34"/>
  <c r="AA118" i="34"/>
  <c r="AD118" i="34"/>
  <c r="AG118" i="34"/>
  <c r="AK118" i="34"/>
  <c r="P120" i="34"/>
  <c r="T121" i="34"/>
  <c r="X121" i="34"/>
  <c r="AK121" i="34"/>
  <c r="J105" i="34"/>
  <c r="K105" i="34"/>
  <c r="L105" i="34"/>
  <c r="M105" i="34"/>
  <c r="P105" i="34"/>
  <c r="Q105" i="34"/>
  <c r="W105" i="34"/>
  <c r="X105" i="34"/>
  <c r="Z105" i="34"/>
  <c r="AA105" i="34"/>
  <c r="AK105" i="34"/>
  <c r="J106" i="34"/>
  <c r="M106" i="34"/>
  <c r="P106" i="34"/>
  <c r="W106" i="34"/>
  <c r="Z106" i="34"/>
  <c r="AA106" i="34"/>
  <c r="AK106" i="34"/>
  <c r="AC101" i="34"/>
  <c r="J93" i="34"/>
  <c r="Q93" i="34"/>
  <c r="S93" i="34"/>
  <c r="W93" i="34"/>
  <c r="X93" i="34"/>
  <c r="Z93" i="34"/>
  <c r="AA93" i="34"/>
  <c r="AD93" i="34"/>
  <c r="AG93" i="34"/>
  <c r="AK93" i="34"/>
  <c r="J94" i="34"/>
  <c r="Q94" i="34"/>
  <c r="S94" i="34"/>
  <c r="W94" i="34"/>
  <c r="X94" i="34"/>
  <c r="Z94" i="34"/>
  <c r="AA94" i="34"/>
  <c r="AD94" i="34"/>
  <c r="AG94" i="34"/>
  <c r="AK94" i="34"/>
  <c r="J81" i="34"/>
  <c r="M81" i="34"/>
  <c r="P81" i="34"/>
  <c r="Q81" i="34"/>
  <c r="T81" i="34"/>
  <c r="W81" i="34"/>
  <c r="X81" i="34"/>
  <c r="Z81" i="34"/>
  <c r="AA81" i="34"/>
  <c r="AD81" i="34"/>
  <c r="AE81" i="34"/>
  <c r="AG81" i="34"/>
  <c r="J82" i="34"/>
  <c r="M82" i="34"/>
  <c r="P82" i="34"/>
  <c r="Q82" i="34"/>
  <c r="W82" i="34"/>
  <c r="X82" i="34"/>
  <c r="Z82" i="34"/>
  <c r="AA82" i="34"/>
  <c r="AD82" i="34"/>
  <c r="AG82" i="34"/>
  <c r="J69" i="34"/>
  <c r="P69" i="34"/>
  <c r="Q69" i="34"/>
  <c r="T69" i="34"/>
  <c r="W69" i="34"/>
  <c r="X69" i="34"/>
  <c r="Z69" i="34"/>
  <c r="AA69" i="34"/>
  <c r="AD69" i="34"/>
  <c r="AE69" i="34"/>
  <c r="AK69" i="34"/>
  <c r="J70" i="34"/>
  <c r="M70" i="34"/>
  <c r="P70" i="34"/>
  <c r="Q70" i="34"/>
  <c r="T70" i="34"/>
  <c r="W70" i="34"/>
  <c r="X70" i="34"/>
  <c r="Z70" i="34"/>
  <c r="AA70" i="34"/>
  <c r="AD70" i="34"/>
  <c r="AE70" i="34"/>
  <c r="AK70" i="34"/>
  <c r="J72" i="34"/>
  <c r="J73" i="34"/>
  <c r="AE73" i="34"/>
  <c r="J57" i="34"/>
  <c r="K57" i="34"/>
  <c r="L57" i="34"/>
  <c r="M57" i="34"/>
  <c r="P57" i="34"/>
  <c r="Q57" i="34"/>
  <c r="AA57" i="34"/>
  <c r="AG57" i="34"/>
  <c r="J58" i="34"/>
  <c r="K58" i="34"/>
  <c r="L58" i="34"/>
  <c r="M58" i="34"/>
  <c r="P58" i="34"/>
  <c r="Q58" i="34"/>
  <c r="AA58" i="34"/>
  <c r="AG58" i="34"/>
  <c r="M45" i="34"/>
  <c r="P45" i="34"/>
  <c r="Q45" i="34"/>
  <c r="S45" i="34"/>
  <c r="T45" i="34"/>
  <c r="W45" i="34"/>
  <c r="X45" i="34"/>
  <c r="Z45" i="34"/>
  <c r="AA45" i="34"/>
  <c r="AD45" i="34"/>
  <c r="AE45" i="34"/>
  <c r="AG45" i="34"/>
  <c r="AK45" i="34"/>
  <c r="M46" i="34"/>
  <c r="P46" i="34"/>
  <c r="Q46" i="34"/>
  <c r="S46" i="34"/>
  <c r="T46" i="34"/>
  <c r="W46" i="34"/>
  <c r="X46" i="34"/>
  <c r="Z46" i="34"/>
  <c r="AA46" i="34"/>
  <c r="AE46" i="34"/>
  <c r="AG46" i="34"/>
  <c r="AK46" i="34"/>
  <c r="J33" i="34"/>
  <c r="P33" i="34"/>
  <c r="S33" i="34"/>
  <c r="T33" i="34"/>
  <c r="W33" i="34"/>
  <c r="X33" i="34"/>
  <c r="Z33" i="34"/>
  <c r="AA33" i="34"/>
  <c r="AE33" i="34"/>
  <c r="AG33" i="34"/>
  <c r="J34" i="34"/>
  <c r="P34" i="34"/>
  <c r="S34" i="34"/>
  <c r="T34" i="34"/>
  <c r="W34" i="34"/>
  <c r="X34" i="34"/>
  <c r="Z34" i="34"/>
  <c r="AA34" i="34"/>
  <c r="AE34" i="34"/>
  <c r="AG34" i="34"/>
  <c r="M21" i="34"/>
  <c r="X21" i="34"/>
  <c r="Z21" i="34"/>
  <c r="J22" i="34"/>
  <c r="K22" i="34"/>
  <c r="L22" i="34"/>
  <c r="M22" i="34"/>
  <c r="X22" i="34"/>
  <c r="AG22" i="34"/>
  <c r="J9" i="34"/>
  <c r="M9" i="34"/>
  <c r="P9" i="34"/>
  <c r="Q9" i="34"/>
  <c r="S9" i="34"/>
  <c r="T9" i="34"/>
  <c r="W9" i="34"/>
  <c r="X9" i="34"/>
  <c r="Y9" i="34"/>
  <c r="Z9" i="34"/>
  <c r="AA9" i="34"/>
  <c r="AD9" i="34"/>
  <c r="AE9" i="34"/>
  <c r="AG9" i="34"/>
  <c r="AK9" i="34"/>
  <c r="J10" i="34"/>
  <c r="M10" i="34"/>
  <c r="P10" i="34"/>
  <c r="Q10" i="34"/>
  <c r="S10" i="34"/>
  <c r="T10" i="34"/>
  <c r="W10" i="34"/>
  <c r="X10" i="34"/>
  <c r="AA10" i="34"/>
  <c r="AD10" i="34"/>
  <c r="AG10" i="34"/>
  <c r="AK10" i="34"/>
  <c r="AM10" i="36"/>
  <c r="AI30" i="2"/>
  <c r="AB94" i="34"/>
  <c r="AC94" i="34"/>
  <c r="AE82" i="35"/>
  <c r="AE83" i="35"/>
  <c r="AE81" i="35"/>
  <c r="AE80" i="35"/>
  <c r="AE72" i="35"/>
  <c r="AE73" i="35"/>
  <c r="AE71" i="35"/>
  <c r="AE70" i="35"/>
  <c r="AD90" i="35"/>
  <c r="AD91" i="35"/>
  <c r="AD92" i="35"/>
  <c r="AD93" i="35"/>
  <c r="AB106" i="36"/>
  <c r="AC106" i="36"/>
  <c r="J2" i="2"/>
  <c r="I2" i="2"/>
  <c r="G2" i="2"/>
  <c r="H2" i="2"/>
  <c r="L2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Z32" i="35"/>
  <c r="Z33" i="35"/>
  <c r="Z22" i="35"/>
  <c r="Z23" i="35"/>
  <c r="Z12" i="35"/>
  <c r="Z13" i="35"/>
  <c r="A2" i="2"/>
  <c r="S197" i="37"/>
  <c r="S198" i="37"/>
  <c r="J1" i="37"/>
  <c r="K1" i="37"/>
  <c r="L1" i="37"/>
  <c r="M1" i="37"/>
  <c r="N1" i="37"/>
  <c r="O1" i="37"/>
  <c r="P1" i="37"/>
  <c r="Q1" i="37"/>
  <c r="R1" i="37"/>
  <c r="Q9" i="37"/>
  <c r="R16" i="37"/>
  <c r="Q10" i="37"/>
  <c r="R10" i="37"/>
  <c r="Q12" i="37"/>
  <c r="R12" i="37"/>
  <c r="Q13" i="37"/>
  <c r="R13" i="37"/>
  <c r="Q2" i="37"/>
  <c r="Q16" i="37"/>
  <c r="Q17" i="37"/>
  <c r="R17" i="37"/>
  <c r="Q18" i="37"/>
  <c r="Q19" i="37"/>
  <c r="R18" i="37"/>
  <c r="R19" i="37"/>
  <c r="Q25" i="37"/>
  <c r="Q21" i="37"/>
  <c r="R21" i="37"/>
  <c r="R28" i="37"/>
  <c r="Q28" i="37"/>
  <c r="Q37" i="37"/>
  <c r="Q33" i="37"/>
  <c r="R33" i="37"/>
  <c r="R40" i="37"/>
  <c r="Q40" i="37"/>
  <c r="Q49" i="37"/>
  <c r="Q45" i="37"/>
  <c r="R45" i="37"/>
  <c r="R52" i="37"/>
  <c r="Q52" i="37"/>
  <c r="Q57" i="37"/>
  <c r="R57" i="37"/>
  <c r="R64" i="37"/>
  <c r="Q58" i="37"/>
  <c r="R58" i="37"/>
  <c r="Q60" i="37"/>
  <c r="R60" i="37"/>
  <c r="Q61" i="37"/>
  <c r="R61" i="37"/>
  <c r="Q64" i="37"/>
  <c r="Q65" i="37"/>
  <c r="R65" i="37"/>
  <c r="Q66" i="37"/>
  <c r="Q67" i="37"/>
  <c r="R66" i="37"/>
  <c r="R67" i="37"/>
  <c r="Q69" i="37"/>
  <c r="R69" i="37"/>
  <c r="R76" i="37"/>
  <c r="Q70" i="37"/>
  <c r="R70" i="37"/>
  <c r="Q72" i="37"/>
  <c r="R72" i="37"/>
  <c r="Q73" i="37"/>
  <c r="R73" i="37"/>
  <c r="Q76" i="37"/>
  <c r="Q77" i="37"/>
  <c r="R77" i="37"/>
  <c r="Q78" i="37"/>
  <c r="Q79" i="37"/>
  <c r="R78" i="37"/>
  <c r="R79" i="37"/>
  <c r="Q81" i="37"/>
  <c r="R81" i="37"/>
  <c r="R88" i="37"/>
  <c r="Q82" i="37"/>
  <c r="R82" i="37"/>
  <c r="Q84" i="37"/>
  <c r="R84" i="37"/>
  <c r="Q85" i="37"/>
  <c r="R85" i="37"/>
  <c r="Q88" i="37"/>
  <c r="Q89" i="37"/>
  <c r="R89" i="37"/>
  <c r="Q90" i="37"/>
  <c r="Q91" i="37"/>
  <c r="R90" i="37"/>
  <c r="R91" i="37"/>
  <c r="Q93" i="37"/>
  <c r="R93" i="37"/>
  <c r="R100" i="37"/>
  <c r="Q94" i="37"/>
  <c r="R94" i="37"/>
  <c r="Q96" i="37"/>
  <c r="R96" i="37"/>
  <c r="Q97" i="37"/>
  <c r="R97" i="37"/>
  <c r="Q100" i="37"/>
  <c r="Q101" i="37"/>
  <c r="R101" i="37"/>
  <c r="Q102" i="37"/>
  <c r="Q103" i="37"/>
  <c r="R102" i="37"/>
  <c r="R103" i="37"/>
  <c r="Q105" i="37"/>
  <c r="R105" i="37"/>
  <c r="R112" i="37"/>
  <c r="Q106" i="37"/>
  <c r="R106" i="37"/>
  <c r="Q108" i="37"/>
  <c r="R108" i="37"/>
  <c r="Q109" i="37"/>
  <c r="R109" i="37"/>
  <c r="Q112" i="37"/>
  <c r="Q113" i="37"/>
  <c r="R113" i="37"/>
  <c r="Q114" i="37"/>
  <c r="Q115" i="37"/>
  <c r="R114" i="37"/>
  <c r="R115" i="37"/>
  <c r="Q117" i="37"/>
  <c r="R117" i="37"/>
  <c r="R124" i="37"/>
  <c r="Q118" i="37"/>
  <c r="R118" i="37"/>
  <c r="Q120" i="37"/>
  <c r="R120" i="37"/>
  <c r="Q121" i="37"/>
  <c r="R121" i="37"/>
  <c r="Q124" i="37"/>
  <c r="Q125" i="37"/>
  <c r="R125" i="37"/>
  <c r="Q126" i="37"/>
  <c r="Q127" i="37"/>
  <c r="R126" i="37"/>
  <c r="R127" i="37"/>
  <c r="Q129" i="37"/>
  <c r="R129" i="37"/>
  <c r="R136" i="37"/>
  <c r="Q130" i="37"/>
  <c r="R130" i="37"/>
  <c r="Q132" i="37"/>
  <c r="R132" i="37"/>
  <c r="Q133" i="37"/>
  <c r="R133" i="37"/>
  <c r="Q136" i="37"/>
  <c r="Q137" i="37"/>
  <c r="R137" i="37"/>
  <c r="Q138" i="37"/>
  <c r="Q139" i="37"/>
  <c r="R138" i="37"/>
  <c r="R139" i="37"/>
  <c r="Q141" i="37"/>
  <c r="R141" i="37"/>
  <c r="R148" i="37"/>
  <c r="Q142" i="37"/>
  <c r="R142" i="37"/>
  <c r="Q144" i="37"/>
  <c r="R144" i="37"/>
  <c r="Q145" i="37"/>
  <c r="R145" i="37"/>
  <c r="Q148" i="37"/>
  <c r="Q149" i="37"/>
  <c r="R149" i="37"/>
  <c r="Q150" i="37"/>
  <c r="Q151" i="37"/>
  <c r="R150" i="37"/>
  <c r="R151" i="37"/>
  <c r="Q153" i="37"/>
  <c r="R153" i="37"/>
  <c r="R160" i="37"/>
  <c r="Q154" i="37"/>
  <c r="R154" i="37"/>
  <c r="Q156" i="37"/>
  <c r="R156" i="37"/>
  <c r="Q157" i="37"/>
  <c r="R157" i="37"/>
  <c r="Q160" i="37"/>
  <c r="Q161" i="37"/>
  <c r="R161" i="37"/>
  <c r="Q162" i="37"/>
  <c r="Q163" i="37"/>
  <c r="R162" i="37"/>
  <c r="R163" i="37"/>
  <c r="Q165" i="37"/>
  <c r="R165" i="37"/>
  <c r="R172" i="37"/>
  <c r="Q166" i="37"/>
  <c r="R166" i="37"/>
  <c r="Q168" i="37"/>
  <c r="R168" i="37"/>
  <c r="Q169" i="37"/>
  <c r="R169" i="37"/>
  <c r="Q172" i="37"/>
  <c r="Q173" i="37"/>
  <c r="R173" i="37"/>
  <c r="Q174" i="37"/>
  <c r="Q175" i="37"/>
  <c r="R174" i="37"/>
  <c r="R175" i="37"/>
  <c r="Q177" i="37"/>
  <c r="R177" i="37"/>
  <c r="R184" i="37"/>
  <c r="Q178" i="37"/>
  <c r="R178" i="37"/>
  <c r="Q180" i="37"/>
  <c r="R180" i="37"/>
  <c r="Q181" i="37"/>
  <c r="R181" i="37"/>
  <c r="Q184" i="37"/>
  <c r="Q185" i="37"/>
  <c r="R185" i="37"/>
  <c r="Q186" i="37"/>
  <c r="Q187" i="37"/>
  <c r="R186" i="37"/>
  <c r="R187" i="37"/>
  <c r="Q189" i="37"/>
  <c r="R189" i="37"/>
  <c r="R196" i="37"/>
  <c r="Q190" i="37"/>
  <c r="R190" i="37"/>
  <c r="Q192" i="37"/>
  <c r="R192" i="37"/>
  <c r="Q193" i="37"/>
  <c r="R193" i="37"/>
  <c r="Q196" i="37"/>
  <c r="Q197" i="37"/>
  <c r="R197" i="37"/>
  <c r="Q198" i="37"/>
  <c r="Q199" i="37"/>
  <c r="R198" i="37"/>
  <c r="R199" i="37"/>
  <c r="Q201" i="37"/>
  <c r="R201" i="37"/>
  <c r="R208" i="37"/>
  <c r="Q202" i="37"/>
  <c r="R202" i="37"/>
  <c r="Q204" i="37"/>
  <c r="R204" i="37"/>
  <c r="Q205" i="37"/>
  <c r="R205" i="37"/>
  <c r="Q208" i="37"/>
  <c r="Q209" i="37"/>
  <c r="R209" i="37"/>
  <c r="Q210" i="37"/>
  <c r="Q211" i="37"/>
  <c r="R210" i="37"/>
  <c r="R211" i="37"/>
  <c r="Q213" i="37"/>
  <c r="R213" i="37"/>
  <c r="R220" i="37"/>
  <c r="Q214" i="37"/>
  <c r="R214" i="37"/>
  <c r="Q216" i="37"/>
  <c r="R216" i="37"/>
  <c r="Q217" i="37"/>
  <c r="R217" i="37"/>
  <c r="Q220" i="37"/>
  <c r="Q221" i="37"/>
  <c r="R221" i="37"/>
  <c r="Q222" i="37"/>
  <c r="Q223" i="37"/>
  <c r="R222" i="37"/>
  <c r="R223" i="37"/>
  <c r="Q225" i="37"/>
  <c r="R225" i="37"/>
  <c r="R232" i="37"/>
  <c r="Q226" i="37"/>
  <c r="R226" i="37"/>
  <c r="Q228" i="37"/>
  <c r="R228" i="37"/>
  <c r="Q229" i="37"/>
  <c r="R229" i="37"/>
  <c r="Q232" i="37"/>
  <c r="Q233" i="37"/>
  <c r="R233" i="37"/>
  <c r="Q234" i="37"/>
  <c r="Q235" i="37"/>
  <c r="R234" i="37"/>
  <c r="R235" i="37"/>
  <c r="Q237" i="37"/>
  <c r="R237" i="37"/>
  <c r="R244" i="37"/>
  <c r="Q238" i="37"/>
  <c r="R238" i="37"/>
  <c r="Q240" i="37"/>
  <c r="R240" i="37"/>
  <c r="Q241" i="37"/>
  <c r="R241" i="37"/>
  <c r="Q244" i="37"/>
  <c r="Q245" i="37"/>
  <c r="R245" i="37"/>
  <c r="Q246" i="37"/>
  <c r="Q247" i="37"/>
  <c r="R246" i="37"/>
  <c r="R247" i="37"/>
  <c r="K1" i="36"/>
  <c r="L1" i="36"/>
  <c r="M1" i="36"/>
  <c r="N1" i="36"/>
  <c r="O1" i="36"/>
  <c r="P1" i="36"/>
  <c r="Q1" i="36"/>
  <c r="R1" i="36"/>
  <c r="S1" i="36"/>
  <c r="T1" i="36"/>
  <c r="U1" i="36"/>
  <c r="V1" i="36"/>
  <c r="W1" i="36"/>
  <c r="X1" i="36"/>
  <c r="Y1" i="36"/>
  <c r="Z1" i="36"/>
  <c r="AA1" i="36"/>
  <c r="AB1" i="36"/>
  <c r="AC1" i="36"/>
  <c r="AD1" i="36"/>
  <c r="AE1" i="36"/>
  <c r="AF1" i="36"/>
  <c r="AG1" i="36"/>
  <c r="AH1" i="36"/>
  <c r="AI1" i="36"/>
  <c r="AJ1" i="36"/>
  <c r="AK1" i="36"/>
  <c r="AL1" i="36"/>
  <c r="AM1" i="36"/>
  <c r="AN1" i="36"/>
  <c r="AO1" i="36"/>
  <c r="AP1" i="36"/>
  <c r="AQ1" i="36"/>
  <c r="AR1" i="36"/>
  <c r="AS1" i="36"/>
  <c r="S9" i="36"/>
  <c r="R10" i="36"/>
  <c r="S10" i="36"/>
  <c r="R12" i="36"/>
  <c r="S12" i="36"/>
  <c r="R13" i="36"/>
  <c r="S13" i="36"/>
  <c r="R2" i="36"/>
  <c r="R16" i="36"/>
  <c r="S16" i="36"/>
  <c r="R17" i="36"/>
  <c r="R18" i="36"/>
  <c r="R19" i="36"/>
  <c r="S17" i="36"/>
  <c r="S18" i="36"/>
  <c r="S19" i="36"/>
  <c r="R25" i="36"/>
  <c r="S25" i="36"/>
  <c r="R21" i="36"/>
  <c r="S21" i="36"/>
  <c r="R22" i="36"/>
  <c r="R28" i="36"/>
  <c r="S28" i="36"/>
  <c r="R29" i="36"/>
  <c r="R37" i="36"/>
  <c r="S37" i="36"/>
  <c r="R33" i="36"/>
  <c r="S33" i="36"/>
  <c r="R34" i="36"/>
  <c r="R40" i="36"/>
  <c r="S40" i="36"/>
  <c r="R41" i="36"/>
  <c r="R49" i="36"/>
  <c r="S49" i="36"/>
  <c r="R45" i="36"/>
  <c r="S45" i="36"/>
  <c r="R46" i="36"/>
  <c r="R52" i="36"/>
  <c r="S52" i="36"/>
  <c r="R53" i="36"/>
  <c r="R61" i="36"/>
  <c r="S61" i="36"/>
  <c r="R57" i="36"/>
  <c r="S57" i="36"/>
  <c r="R58" i="36"/>
  <c r="R64" i="36"/>
  <c r="S64" i="36"/>
  <c r="R65" i="36"/>
  <c r="R73" i="36"/>
  <c r="R69" i="36"/>
  <c r="S69" i="36"/>
  <c r="R70" i="36"/>
  <c r="R76" i="36"/>
  <c r="S76" i="36"/>
  <c r="R77" i="36"/>
  <c r="R85" i="36"/>
  <c r="R81" i="36"/>
  <c r="S81" i="36"/>
  <c r="R82" i="36"/>
  <c r="R88" i="36"/>
  <c r="S88" i="36"/>
  <c r="R89" i="36"/>
  <c r="R97" i="36"/>
  <c r="R93" i="36"/>
  <c r="S93" i="36"/>
  <c r="R94" i="36"/>
  <c r="R100" i="36"/>
  <c r="S100" i="36"/>
  <c r="R101" i="36"/>
  <c r="R109" i="36"/>
  <c r="R105" i="36"/>
  <c r="S105" i="36"/>
  <c r="R106" i="36"/>
  <c r="R112" i="36"/>
  <c r="S112" i="36"/>
  <c r="R113" i="36"/>
  <c r="R121" i="36"/>
  <c r="R117" i="36"/>
  <c r="S117" i="36"/>
  <c r="R118" i="36"/>
  <c r="R124" i="36"/>
  <c r="S124" i="36"/>
  <c r="R125" i="36"/>
  <c r="R133" i="36"/>
  <c r="R129" i="36"/>
  <c r="S129" i="36"/>
  <c r="R130" i="36"/>
  <c r="R136" i="36"/>
  <c r="S136" i="36"/>
  <c r="R137" i="36"/>
  <c r="R145" i="36"/>
  <c r="R141" i="36"/>
  <c r="S141" i="36"/>
  <c r="R142" i="36"/>
  <c r="R148" i="36"/>
  <c r="S148" i="36"/>
  <c r="R149" i="36"/>
  <c r="R157" i="36"/>
  <c r="R153" i="36"/>
  <c r="S153" i="36"/>
  <c r="R154" i="36"/>
  <c r="R160" i="36"/>
  <c r="S160" i="36"/>
  <c r="R161" i="36"/>
  <c r="R169" i="36"/>
  <c r="R165" i="36"/>
  <c r="S165" i="36"/>
  <c r="R166" i="36"/>
  <c r="R172" i="36"/>
  <c r="S172" i="36"/>
  <c r="R173" i="36"/>
  <c r="R181" i="36"/>
  <c r="R177" i="36"/>
  <c r="S177" i="36"/>
  <c r="R178" i="36"/>
  <c r="R184" i="36"/>
  <c r="S184" i="36"/>
  <c r="R185" i="36"/>
  <c r="R193" i="36"/>
  <c r="R189" i="36"/>
  <c r="S189" i="36"/>
  <c r="R190" i="36"/>
  <c r="R196" i="36"/>
  <c r="S196" i="36"/>
  <c r="R197" i="36"/>
  <c r="R205" i="36"/>
  <c r="R201" i="36"/>
  <c r="S201" i="36"/>
  <c r="R202" i="36"/>
  <c r="R208" i="36"/>
  <c r="S208" i="36"/>
  <c r="R209" i="36"/>
  <c r="R217" i="36"/>
  <c r="R213" i="36"/>
  <c r="S213" i="36"/>
  <c r="R214" i="36"/>
  <c r="R220" i="36"/>
  <c r="S220" i="36"/>
  <c r="R221" i="36"/>
  <c r="R229" i="36"/>
  <c r="R225" i="36"/>
  <c r="S225" i="36"/>
  <c r="R226" i="36"/>
  <c r="R232" i="36"/>
  <c r="S232" i="36"/>
  <c r="R233" i="36"/>
  <c r="R240" i="36"/>
  <c r="R237" i="36"/>
  <c r="S237" i="36"/>
  <c r="R238" i="36"/>
  <c r="S238" i="36"/>
  <c r="S244" i="36"/>
  <c r="S245" i="36"/>
  <c r="R239" i="36"/>
  <c r="S239" i="36"/>
  <c r="R241" i="36"/>
  <c r="S241" i="36"/>
  <c r="R244" i="36"/>
  <c r="R245" i="36"/>
  <c r="R249" i="36"/>
  <c r="S249" i="36"/>
  <c r="S256" i="36"/>
  <c r="S257" i="36"/>
  <c r="S258" i="36"/>
  <c r="S259" i="36"/>
  <c r="R250" i="36"/>
  <c r="S250" i="36"/>
  <c r="R251" i="36"/>
  <c r="S251" i="36"/>
  <c r="R252" i="36"/>
  <c r="S252" i="36"/>
  <c r="R253" i="36"/>
  <c r="S253" i="36"/>
  <c r="L1" i="38"/>
  <c r="M1" i="38"/>
  <c r="N1" i="38"/>
  <c r="O1" i="38"/>
  <c r="P1" i="38"/>
  <c r="Q1" i="38"/>
  <c r="R1" i="38"/>
  <c r="S1" i="38"/>
  <c r="T1" i="38"/>
  <c r="U1" i="38"/>
  <c r="V1" i="38"/>
  <c r="W1" i="38"/>
  <c r="X1" i="38"/>
  <c r="Y1" i="38"/>
  <c r="Z1" i="38"/>
  <c r="AA1" i="38"/>
  <c r="AB1" i="38"/>
  <c r="AC1" i="38"/>
  <c r="AD1" i="38"/>
  <c r="AE1" i="38"/>
  <c r="AF1" i="38"/>
  <c r="AG1" i="38"/>
  <c r="AH1" i="38"/>
  <c r="AI1" i="38"/>
  <c r="AJ1" i="38"/>
  <c r="AK1" i="38"/>
  <c r="AL1" i="38"/>
  <c r="AM1" i="38"/>
  <c r="AN1" i="38"/>
  <c r="AO1" i="38"/>
  <c r="AP1" i="38"/>
  <c r="AQ1" i="38"/>
  <c r="AR1" i="38"/>
  <c r="AS1" i="38"/>
  <c r="U9" i="38"/>
  <c r="U10" i="38"/>
  <c r="T12" i="38"/>
  <c r="U12" i="38"/>
  <c r="T13" i="38"/>
  <c r="U13" i="38"/>
  <c r="T238" i="38"/>
  <c r="T245" i="38"/>
  <c r="T2" i="38"/>
  <c r="T16" i="38"/>
  <c r="U16" i="38"/>
  <c r="T17" i="38"/>
  <c r="T18" i="38"/>
  <c r="T19" i="38"/>
  <c r="U17" i="38"/>
  <c r="U18" i="38"/>
  <c r="U19" i="38"/>
  <c r="T25" i="38"/>
  <c r="U21" i="38"/>
  <c r="U22" i="38"/>
  <c r="T24" i="38"/>
  <c r="U24" i="38"/>
  <c r="T28" i="38"/>
  <c r="U28" i="38"/>
  <c r="T29" i="38"/>
  <c r="T30" i="38"/>
  <c r="T31" i="38"/>
  <c r="U29" i="38"/>
  <c r="U30" i="38"/>
  <c r="U31" i="38"/>
  <c r="T37" i="38"/>
  <c r="T33" i="38"/>
  <c r="U33" i="38"/>
  <c r="T34" i="38"/>
  <c r="U34" i="38"/>
  <c r="T36" i="38"/>
  <c r="U36" i="38"/>
  <c r="T40" i="38"/>
  <c r="U40" i="38"/>
  <c r="T41" i="38"/>
  <c r="T42" i="38"/>
  <c r="T43" i="38"/>
  <c r="U41" i="38"/>
  <c r="U42" i="38"/>
  <c r="U43" i="38"/>
  <c r="T49" i="38"/>
  <c r="U45" i="38"/>
  <c r="U46" i="38"/>
  <c r="T48" i="38"/>
  <c r="U48" i="38"/>
  <c r="T52" i="38"/>
  <c r="U52" i="38"/>
  <c r="T53" i="38"/>
  <c r="T54" i="38"/>
  <c r="T55" i="38"/>
  <c r="U53" i="38"/>
  <c r="U54" i="38"/>
  <c r="U55" i="38"/>
  <c r="U57" i="38"/>
  <c r="U58" i="38"/>
  <c r="T60" i="38"/>
  <c r="U60" i="38"/>
  <c r="T64" i="38"/>
  <c r="U64" i="38"/>
  <c r="T65" i="38"/>
  <c r="T66" i="38"/>
  <c r="T67" i="38"/>
  <c r="U65" i="38"/>
  <c r="U66" i="38"/>
  <c r="U67" i="38"/>
  <c r="T73" i="38"/>
  <c r="U69" i="38"/>
  <c r="U70" i="38"/>
  <c r="T72" i="38"/>
  <c r="U72" i="38"/>
  <c r="T76" i="38"/>
  <c r="U76" i="38"/>
  <c r="T77" i="38"/>
  <c r="T78" i="38"/>
  <c r="T79" i="38"/>
  <c r="U77" i="38"/>
  <c r="U78" i="38"/>
  <c r="U79" i="38"/>
  <c r="T85" i="38"/>
  <c r="U81" i="38"/>
  <c r="U82" i="38"/>
  <c r="U89" i="38"/>
  <c r="U90" i="38"/>
  <c r="U91" i="38"/>
  <c r="T84" i="38"/>
  <c r="U84" i="38"/>
  <c r="T88" i="38"/>
  <c r="U88" i="38"/>
  <c r="T89" i="38"/>
  <c r="T90" i="38"/>
  <c r="T91" i="38"/>
  <c r="T97" i="38"/>
  <c r="U97" i="38"/>
  <c r="U93" i="38"/>
  <c r="U94" i="38"/>
  <c r="U101" i="38"/>
  <c r="U102" i="38"/>
  <c r="U103" i="38"/>
  <c r="T96" i="38"/>
  <c r="U96" i="38"/>
  <c r="T100" i="38"/>
  <c r="U100" i="38"/>
  <c r="T101" i="38"/>
  <c r="T102" i="38"/>
  <c r="T103" i="38"/>
  <c r="T109" i="38"/>
  <c r="U109" i="38"/>
  <c r="U105" i="38"/>
  <c r="U106" i="38"/>
  <c r="U113" i="38"/>
  <c r="U114" i="38"/>
  <c r="U115" i="38"/>
  <c r="T108" i="38"/>
  <c r="U108" i="38"/>
  <c r="T112" i="38"/>
  <c r="U112" i="38"/>
  <c r="T113" i="38"/>
  <c r="T121" i="38"/>
  <c r="U121" i="38"/>
  <c r="U117" i="38"/>
  <c r="U118" i="38"/>
  <c r="U125" i="38"/>
  <c r="U126" i="38"/>
  <c r="U127" i="38"/>
  <c r="T120" i="38"/>
  <c r="U120" i="38"/>
  <c r="T124" i="38"/>
  <c r="U124" i="38"/>
  <c r="T125" i="38"/>
  <c r="T126" i="38"/>
  <c r="T127" i="38"/>
  <c r="T133" i="38"/>
  <c r="U133" i="38"/>
  <c r="U129" i="38"/>
  <c r="U130" i="38"/>
  <c r="U137" i="38"/>
  <c r="U138" i="38"/>
  <c r="U139" i="38"/>
  <c r="T132" i="38"/>
  <c r="U132" i="38"/>
  <c r="T136" i="38"/>
  <c r="U136" i="38"/>
  <c r="T137" i="38"/>
  <c r="T138" i="38"/>
  <c r="T139" i="38"/>
  <c r="T145" i="38"/>
  <c r="U141" i="38"/>
  <c r="U142" i="38"/>
  <c r="U149" i="38"/>
  <c r="U150" i="38"/>
  <c r="U151" i="38"/>
  <c r="T144" i="38"/>
  <c r="U144" i="38"/>
  <c r="T148" i="38"/>
  <c r="U148" i="38"/>
  <c r="T149" i="38"/>
  <c r="T150" i="38"/>
  <c r="T151" i="38"/>
  <c r="T157" i="38"/>
  <c r="U157" i="38"/>
  <c r="U153" i="38"/>
  <c r="T154" i="38"/>
  <c r="U154" i="38"/>
  <c r="U161" i="38"/>
  <c r="U162" i="38"/>
  <c r="U163" i="38"/>
  <c r="T156" i="38"/>
  <c r="U156" i="38"/>
  <c r="T160" i="38"/>
  <c r="U160" i="38"/>
  <c r="T161" i="38"/>
  <c r="T162" i="38"/>
  <c r="T163" i="38"/>
  <c r="T169" i="38"/>
  <c r="U169" i="38"/>
  <c r="U165" i="38"/>
  <c r="U166" i="38"/>
  <c r="U173" i="38"/>
  <c r="U174" i="38"/>
  <c r="U175" i="38"/>
  <c r="T168" i="38"/>
  <c r="U168" i="38"/>
  <c r="T172" i="38"/>
  <c r="U172" i="38"/>
  <c r="T173" i="38"/>
  <c r="T174" i="38"/>
  <c r="T175" i="38"/>
  <c r="T181" i="38"/>
  <c r="U177" i="38"/>
  <c r="U178" i="38"/>
  <c r="U185" i="38"/>
  <c r="U186" i="38"/>
  <c r="U187" i="38"/>
  <c r="T180" i="38"/>
  <c r="U180" i="38"/>
  <c r="T184" i="38"/>
  <c r="U184" i="38"/>
  <c r="T185" i="38"/>
  <c r="T186" i="38"/>
  <c r="T187" i="38"/>
  <c r="T193" i="38"/>
  <c r="U193" i="38"/>
  <c r="T189" i="38"/>
  <c r="U189" i="38"/>
  <c r="T190" i="38"/>
  <c r="U190" i="38"/>
  <c r="U197" i="38"/>
  <c r="U198" i="38"/>
  <c r="U199" i="38"/>
  <c r="T192" i="38"/>
  <c r="U192" i="38"/>
  <c r="T196" i="38"/>
  <c r="U196" i="38"/>
  <c r="T197" i="38"/>
  <c r="T198" i="38"/>
  <c r="T199" i="38"/>
  <c r="T205" i="38"/>
  <c r="T201" i="38"/>
  <c r="U201" i="38"/>
  <c r="T202" i="38"/>
  <c r="U202" i="38"/>
  <c r="U209" i="38"/>
  <c r="U210" i="38"/>
  <c r="U211" i="38"/>
  <c r="T204" i="38"/>
  <c r="U204" i="38"/>
  <c r="T208" i="38"/>
  <c r="U208" i="38"/>
  <c r="T209" i="38"/>
  <c r="T210" i="38"/>
  <c r="T211" i="38"/>
  <c r="T217" i="38"/>
  <c r="U217" i="38"/>
  <c r="T213" i="38"/>
  <c r="U213" i="38"/>
  <c r="T214" i="38"/>
  <c r="U214" i="38"/>
  <c r="U221" i="38"/>
  <c r="U222" i="38"/>
  <c r="U223" i="38"/>
  <c r="T216" i="38"/>
  <c r="U216" i="38"/>
  <c r="T220" i="38"/>
  <c r="U220" i="38"/>
  <c r="T221" i="38"/>
  <c r="T222" i="38"/>
  <c r="T223" i="38"/>
  <c r="T229" i="38"/>
  <c r="U229" i="38"/>
  <c r="U225" i="38"/>
  <c r="U226" i="38"/>
  <c r="U233" i="38"/>
  <c r="U234" i="38"/>
  <c r="U235" i="38"/>
  <c r="T228" i="38"/>
  <c r="U228" i="38"/>
  <c r="T232" i="38"/>
  <c r="U232" i="38"/>
  <c r="T233" i="38"/>
  <c r="T234" i="38"/>
  <c r="T235" i="38"/>
  <c r="T241" i="38"/>
  <c r="U237" i="38"/>
  <c r="U246" i="38"/>
  <c r="U247" i="38"/>
  <c r="T240" i="38"/>
  <c r="U240" i="38"/>
  <c r="T244" i="38"/>
  <c r="U244" i="38"/>
  <c r="T246" i="38"/>
  <c r="T247" i="38"/>
  <c r="T253" i="38"/>
  <c r="U253" i="38"/>
  <c r="U249" i="38"/>
  <c r="U250" i="38"/>
  <c r="U257" i="38"/>
  <c r="U258" i="38"/>
  <c r="U259" i="38"/>
  <c r="T252" i="38"/>
  <c r="U252" i="38"/>
  <c r="T256" i="38"/>
  <c r="U256" i="38"/>
  <c r="T257" i="38"/>
  <c r="T258" i="38"/>
  <c r="T259" i="38"/>
  <c r="T265" i="38"/>
  <c r="U261" i="38"/>
  <c r="U262" i="38"/>
  <c r="U269" i="38"/>
  <c r="U270" i="38"/>
  <c r="U271" i="38"/>
  <c r="T264" i="38"/>
  <c r="U264" i="38"/>
  <c r="T267" i="38"/>
  <c r="U267" i="38"/>
  <c r="T268" i="38"/>
  <c r="U268" i="38"/>
  <c r="T269" i="38"/>
  <c r="T270" i="38"/>
  <c r="T271" i="38"/>
  <c r="M1" i="39"/>
  <c r="N1" i="39"/>
  <c r="O1" i="39"/>
  <c r="P1" i="39"/>
  <c r="Q1" i="39"/>
  <c r="R1" i="39"/>
  <c r="S1" i="39"/>
  <c r="T1" i="39"/>
  <c r="U1" i="39"/>
  <c r="V1" i="39"/>
  <c r="W1" i="39"/>
  <c r="X1" i="39"/>
  <c r="Y1" i="39"/>
  <c r="Z1" i="39"/>
  <c r="AA1" i="39"/>
  <c r="AB1" i="39"/>
  <c r="AC1" i="39"/>
  <c r="AD1" i="39"/>
  <c r="AE1" i="39"/>
  <c r="AF1" i="39"/>
  <c r="AG1" i="39"/>
  <c r="AH1" i="39"/>
  <c r="AI1" i="39"/>
  <c r="AJ1" i="39"/>
  <c r="AK1" i="39"/>
  <c r="AL1" i="39"/>
  <c r="AM1" i="39"/>
  <c r="AN1" i="39"/>
  <c r="AO1" i="39"/>
  <c r="AP1" i="39"/>
  <c r="AQ1" i="39"/>
  <c r="AR1" i="39"/>
  <c r="AS1" i="39"/>
  <c r="T9" i="39"/>
  <c r="U9" i="39"/>
  <c r="U16" i="39"/>
  <c r="T10" i="39"/>
  <c r="U10" i="39"/>
  <c r="T12" i="39"/>
  <c r="U12" i="39"/>
  <c r="T13" i="39"/>
  <c r="U13" i="39"/>
  <c r="T16" i="39"/>
  <c r="T17" i="39"/>
  <c r="U17" i="39"/>
  <c r="T18" i="39"/>
  <c r="T19" i="39"/>
  <c r="U18" i="39"/>
  <c r="U19" i="39"/>
  <c r="T25" i="39"/>
  <c r="T21" i="39"/>
  <c r="U21" i="39"/>
  <c r="U28" i="39"/>
  <c r="T22" i="39"/>
  <c r="T24" i="39"/>
  <c r="T28" i="39"/>
  <c r="T29" i="39"/>
  <c r="T30" i="39"/>
  <c r="T31" i="39"/>
  <c r="T37" i="39"/>
  <c r="T33" i="39"/>
  <c r="U33" i="39"/>
  <c r="U40" i="39"/>
  <c r="T34" i="39"/>
  <c r="T36" i="39"/>
  <c r="T40" i="39"/>
  <c r="T41" i="39"/>
  <c r="T42" i="39"/>
  <c r="T43" i="39"/>
  <c r="U49" i="39"/>
  <c r="T45" i="39"/>
  <c r="U45" i="39"/>
  <c r="U52" i="39"/>
  <c r="T46" i="39"/>
  <c r="T48" i="39"/>
  <c r="T49" i="39"/>
  <c r="T52" i="39"/>
  <c r="T53" i="39"/>
  <c r="T54" i="39"/>
  <c r="T55" i="39"/>
  <c r="U61" i="39"/>
  <c r="T57" i="39"/>
  <c r="U57" i="39"/>
  <c r="U64" i="39"/>
  <c r="T60" i="39"/>
  <c r="T61" i="39"/>
  <c r="T64" i="39"/>
  <c r="T65" i="39"/>
  <c r="T66" i="39"/>
  <c r="T67" i="39"/>
  <c r="U73" i="39"/>
  <c r="T69" i="39"/>
  <c r="U69" i="39"/>
  <c r="U76" i="39"/>
  <c r="T70" i="39"/>
  <c r="T72" i="39"/>
  <c r="T73" i="39"/>
  <c r="T76" i="39"/>
  <c r="T77" i="39"/>
  <c r="T78" i="39"/>
  <c r="T79" i="39"/>
  <c r="U85" i="39"/>
  <c r="T81" i="39"/>
  <c r="U81" i="39"/>
  <c r="U88" i="39"/>
  <c r="T82" i="39"/>
  <c r="T84" i="39"/>
  <c r="T85" i="39"/>
  <c r="T88" i="39"/>
  <c r="T89" i="39"/>
  <c r="T90" i="39"/>
  <c r="T91" i="39"/>
  <c r="U97" i="39"/>
  <c r="T93" i="39"/>
  <c r="U93" i="39"/>
  <c r="U100" i="39"/>
  <c r="T94" i="39"/>
  <c r="T96" i="39"/>
  <c r="T97" i="39"/>
  <c r="T100" i="39"/>
  <c r="T101" i="39"/>
  <c r="T102" i="39"/>
  <c r="T103" i="39"/>
  <c r="U109" i="39"/>
  <c r="T105" i="39"/>
  <c r="U105" i="39"/>
  <c r="U112" i="39"/>
  <c r="T106" i="39"/>
  <c r="T108" i="39"/>
  <c r="T109" i="39"/>
  <c r="T112" i="39"/>
  <c r="T113" i="39"/>
  <c r="T114" i="39"/>
  <c r="T115" i="39"/>
  <c r="U121" i="39"/>
  <c r="T117" i="39"/>
  <c r="U117" i="39"/>
  <c r="U124" i="39"/>
  <c r="T118" i="39"/>
  <c r="T120" i="39"/>
  <c r="T121" i="39"/>
  <c r="T124" i="39"/>
  <c r="T125" i="39"/>
  <c r="T126" i="39"/>
  <c r="T127" i="39"/>
  <c r="U133" i="39"/>
  <c r="T129" i="39"/>
  <c r="U129" i="39"/>
  <c r="U136" i="39"/>
  <c r="T130" i="39"/>
  <c r="T132" i="39"/>
  <c r="T133" i="39"/>
  <c r="T136" i="39"/>
  <c r="T137" i="39"/>
  <c r="T138" i="39"/>
  <c r="T139" i="39"/>
  <c r="T141" i="39"/>
  <c r="U141" i="39"/>
  <c r="U148" i="39"/>
  <c r="T142" i="39"/>
  <c r="U142" i="39"/>
  <c r="T144" i="39"/>
  <c r="U144" i="39"/>
  <c r="U150" i="39"/>
  <c r="U151" i="39"/>
  <c r="T145" i="39"/>
  <c r="U145" i="39"/>
  <c r="T148" i="39"/>
  <c r="T149" i="39"/>
  <c r="U149" i="39"/>
  <c r="T150" i="39"/>
  <c r="T151" i="39"/>
  <c r="T153" i="39"/>
  <c r="U153" i="39"/>
  <c r="U160" i="39"/>
  <c r="T154" i="39"/>
  <c r="U154" i="39"/>
  <c r="T156" i="39"/>
  <c r="U156" i="39"/>
  <c r="U162" i="39"/>
  <c r="U163" i="39"/>
  <c r="T157" i="39"/>
  <c r="U157" i="39"/>
  <c r="T160" i="39"/>
  <c r="T161" i="39"/>
  <c r="U161" i="39"/>
  <c r="T162" i="39"/>
  <c r="T163" i="39"/>
  <c r="T165" i="39"/>
  <c r="U165" i="39"/>
  <c r="U172" i="39"/>
  <c r="T166" i="39"/>
  <c r="U166" i="39"/>
  <c r="T168" i="39"/>
  <c r="U168" i="39"/>
  <c r="T169" i="39"/>
  <c r="U169" i="39"/>
  <c r="T172" i="39"/>
  <c r="T173" i="39"/>
  <c r="U173" i="39"/>
  <c r="U174" i="39"/>
  <c r="U175" i="39"/>
  <c r="T174" i="39"/>
  <c r="T175" i="39"/>
  <c r="T177" i="39"/>
  <c r="U177" i="39"/>
  <c r="U184" i="39"/>
  <c r="T178" i="39"/>
  <c r="U178" i="39"/>
  <c r="T180" i="39"/>
  <c r="U180" i="39"/>
  <c r="T181" i="39"/>
  <c r="U181" i="39"/>
  <c r="T184" i="39"/>
  <c r="T185" i="39"/>
  <c r="U185" i="39"/>
  <c r="U186" i="39"/>
  <c r="U187" i="39"/>
  <c r="T186" i="39"/>
  <c r="T187" i="39"/>
  <c r="T189" i="39"/>
  <c r="U189" i="39"/>
  <c r="U196" i="39"/>
  <c r="T190" i="39"/>
  <c r="U190" i="39"/>
  <c r="T192" i="39"/>
  <c r="U192" i="39"/>
  <c r="U198" i="39"/>
  <c r="U199" i="39"/>
  <c r="T193" i="39"/>
  <c r="U193" i="39"/>
  <c r="T196" i="39"/>
  <c r="T197" i="39"/>
  <c r="U197" i="39"/>
  <c r="T198" i="39"/>
  <c r="T199" i="39"/>
  <c r="T201" i="39"/>
  <c r="U201" i="39"/>
  <c r="U208" i="39"/>
  <c r="T202" i="39"/>
  <c r="U202" i="39"/>
  <c r="T204" i="39"/>
  <c r="U204" i="39"/>
  <c r="T205" i="39"/>
  <c r="U205" i="39"/>
  <c r="T208" i="39"/>
  <c r="T209" i="39"/>
  <c r="U209" i="39"/>
  <c r="T210" i="39"/>
  <c r="T211" i="39"/>
  <c r="U210" i="39"/>
  <c r="U211" i="39"/>
  <c r="T213" i="39"/>
  <c r="U213" i="39"/>
  <c r="U220" i="39"/>
  <c r="T214" i="39"/>
  <c r="U214" i="39"/>
  <c r="T216" i="39"/>
  <c r="U216" i="39"/>
  <c r="T217" i="39"/>
  <c r="U217" i="39"/>
  <c r="T220" i="39"/>
  <c r="T221" i="39"/>
  <c r="U221" i="39"/>
  <c r="U222" i="39"/>
  <c r="U223" i="39"/>
  <c r="T222" i="39"/>
  <c r="T223" i="39"/>
  <c r="T225" i="39"/>
  <c r="U225" i="39"/>
  <c r="U232" i="39"/>
  <c r="T226" i="39"/>
  <c r="U226" i="39"/>
  <c r="T228" i="39"/>
  <c r="U228" i="39"/>
  <c r="T229" i="39"/>
  <c r="U229" i="39"/>
  <c r="T232" i="39"/>
  <c r="T233" i="39"/>
  <c r="U233" i="39"/>
  <c r="U234" i="39"/>
  <c r="U235" i="39"/>
  <c r="T234" i="39"/>
  <c r="T235" i="39"/>
  <c r="T240" i="39"/>
  <c r="U240" i="39"/>
  <c r="T242" i="39"/>
  <c r="U242" i="39"/>
  <c r="T243" i="39"/>
  <c r="U243" i="39"/>
  <c r="T246" i="39"/>
  <c r="U246" i="39"/>
  <c r="T247" i="39"/>
  <c r="U247" i="39"/>
  <c r="T248" i="39"/>
  <c r="T249" i="39"/>
  <c r="L1" i="40"/>
  <c r="M1" i="40"/>
  <c r="N1" i="40"/>
  <c r="O1" i="40"/>
  <c r="P1" i="40"/>
  <c r="Q1" i="40"/>
  <c r="R1" i="40"/>
  <c r="S1" i="40"/>
  <c r="T1" i="40"/>
  <c r="U1" i="40"/>
  <c r="T9" i="40"/>
  <c r="U9" i="40"/>
  <c r="U16" i="40"/>
  <c r="T10" i="40"/>
  <c r="U10" i="40"/>
  <c r="U17" i="40"/>
  <c r="U18" i="40"/>
  <c r="U19" i="40"/>
  <c r="T12" i="40"/>
  <c r="U12" i="40"/>
  <c r="T13" i="40"/>
  <c r="U13" i="40"/>
  <c r="T2" i="40"/>
  <c r="U2" i="40"/>
  <c r="T16" i="40"/>
  <c r="T17" i="40"/>
  <c r="T18" i="40"/>
  <c r="T19" i="40"/>
  <c r="T21" i="40"/>
  <c r="U21" i="40"/>
  <c r="T22" i="40"/>
  <c r="T24" i="40"/>
  <c r="T25" i="40"/>
  <c r="T28" i="40"/>
  <c r="U28" i="40"/>
  <c r="T29" i="40"/>
  <c r="T30" i="40"/>
  <c r="T31" i="40"/>
  <c r="U37" i="40"/>
  <c r="T33" i="40"/>
  <c r="U33" i="40"/>
  <c r="U40" i="40"/>
  <c r="T34" i="40"/>
  <c r="T36" i="40"/>
  <c r="T37" i="40"/>
  <c r="T40" i="40"/>
  <c r="T41" i="40"/>
  <c r="T42" i="40"/>
  <c r="T43" i="40"/>
  <c r="U49" i="40"/>
  <c r="T45" i="40"/>
  <c r="U45" i="40"/>
  <c r="U52" i="40"/>
  <c r="T46" i="40"/>
  <c r="T48" i="40"/>
  <c r="T49" i="40"/>
  <c r="T52" i="40"/>
  <c r="T53" i="40"/>
  <c r="T54" i="40"/>
  <c r="T55" i="40"/>
  <c r="U61" i="40"/>
  <c r="T57" i="40"/>
  <c r="U57" i="40"/>
  <c r="U64" i="40"/>
  <c r="T58" i="40"/>
  <c r="T60" i="40"/>
  <c r="T61" i="40"/>
  <c r="T64" i="40"/>
  <c r="T65" i="40"/>
  <c r="T66" i="40"/>
  <c r="T67" i="40"/>
  <c r="U73" i="40"/>
  <c r="T69" i="40"/>
  <c r="U69" i="40"/>
  <c r="U76" i="40"/>
  <c r="T70" i="40"/>
  <c r="T72" i="40"/>
  <c r="T73" i="40"/>
  <c r="T76" i="40"/>
  <c r="T77" i="40"/>
  <c r="T78" i="40"/>
  <c r="T79" i="40"/>
  <c r="U85" i="40"/>
  <c r="T81" i="40"/>
  <c r="U81" i="40"/>
  <c r="U88" i="40"/>
  <c r="T82" i="40"/>
  <c r="T84" i="40"/>
  <c r="T85" i="40"/>
  <c r="T88" i="40"/>
  <c r="T89" i="40"/>
  <c r="T90" i="40"/>
  <c r="T91" i="40"/>
  <c r="U97" i="40"/>
  <c r="T93" i="40"/>
  <c r="U93" i="40"/>
  <c r="T94" i="40"/>
  <c r="T96" i="40"/>
  <c r="T97" i="40"/>
  <c r="T100" i="40"/>
  <c r="U100" i="40"/>
  <c r="T101" i="40"/>
  <c r="T102" i="40"/>
  <c r="T103" i="40"/>
  <c r="U109" i="40"/>
  <c r="T105" i="40"/>
  <c r="U105" i="40"/>
  <c r="U112" i="40"/>
  <c r="T106" i="40"/>
  <c r="T108" i="40"/>
  <c r="T109" i="40"/>
  <c r="T112" i="40"/>
  <c r="T113" i="40"/>
  <c r="T114" i="40"/>
  <c r="T115" i="40"/>
  <c r="L1" i="41"/>
  <c r="M1" i="41"/>
  <c r="N1" i="41"/>
  <c r="O1" i="41"/>
  <c r="P1" i="41"/>
  <c r="Q1" i="41"/>
  <c r="R1" i="41"/>
  <c r="S1" i="41"/>
  <c r="T1" i="41"/>
  <c r="U1" i="41"/>
  <c r="V1" i="41"/>
  <c r="W1" i="41"/>
  <c r="X1" i="41"/>
  <c r="Y1" i="41"/>
  <c r="Z1" i="41"/>
  <c r="AA1" i="41"/>
  <c r="AB1" i="41"/>
  <c r="AC1" i="41"/>
  <c r="AD1" i="41"/>
  <c r="AE1" i="41"/>
  <c r="AF1" i="41"/>
  <c r="AG1" i="41"/>
  <c r="AH1" i="41"/>
  <c r="AI1" i="41"/>
  <c r="AJ1" i="41"/>
  <c r="AK1" i="41"/>
  <c r="AL1" i="41"/>
  <c r="AM1" i="41"/>
  <c r="AN1" i="41"/>
  <c r="AO1" i="41"/>
  <c r="AP1" i="41"/>
  <c r="AQ1" i="41"/>
  <c r="AR1" i="41"/>
  <c r="AS1" i="41"/>
  <c r="T9" i="41"/>
  <c r="U9" i="41"/>
  <c r="U16" i="41"/>
  <c r="T10" i="41"/>
  <c r="U10" i="41"/>
  <c r="T12" i="41"/>
  <c r="U12" i="41"/>
  <c r="T13" i="41"/>
  <c r="U13" i="41"/>
  <c r="T2" i="41"/>
  <c r="U2" i="41"/>
  <c r="T16" i="41"/>
  <c r="T17" i="41"/>
  <c r="U17" i="41"/>
  <c r="T18" i="41"/>
  <c r="T19" i="41"/>
  <c r="U18" i="41"/>
  <c r="U19" i="41"/>
  <c r="T22" i="41"/>
  <c r="T29" i="41"/>
  <c r="T30" i="41"/>
  <c r="T31" i="41"/>
  <c r="U25" i="41"/>
  <c r="T21" i="41"/>
  <c r="U21" i="41"/>
  <c r="U28" i="41"/>
  <c r="T24" i="41"/>
  <c r="U24" i="41"/>
  <c r="T25" i="41"/>
  <c r="T28" i="41"/>
  <c r="T34" i="41"/>
  <c r="T41" i="41"/>
  <c r="T42" i="41"/>
  <c r="T43" i="41"/>
  <c r="U37" i="41"/>
  <c r="T33" i="41"/>
  <c r="U33" i="41"/>
  <c r="U40" i="41"/>
  <c r="T36" i="41"/>
  <c r="U36" i="41"/>
  <c r="T37" i="41"/>
  <c r="T40" i="41"/>
  <c r="T46" i="41"/>
  <c r="T53" i="41"/>
  <c r="T54" i="41"/>
  <c r="T55" i="41"/>
  <c r="U49" i="41"/>
  <c r="T45" i="41"/>
  <c r="U45" i="41"/>
  <c r="U52" i="41"/>
  <c r="T48" i="41"/>
  <c r="U48" i="41"/>
  <c r="T49" i="41"/>
  <c r="T52" i="41"/>
  <c r="T58" i="41"/>
  <c r="T65" i="41"/>
  <c r="T66" i="41"/>
  <c r="T67" i="41"/>
  <c r="U61" i="41"/>
  <c r="T57" i="41"/>
  <c r="U57" i="41"/>
  <c r="U64" i="41"/>
  <c r="T60" i="41"/>
  <c r="U60" i="41"/>
  <c r="T61" i="41"/>
  <c r="T64" i="41"/>
  <c r="T70" i="41"/>
  <c r="T77" i="41"/>
  <c r="T78" i="41"/>
  <c r="T79" i="41"/>
  <c r="U73" i="41"/>
  <c r="T69" i="41"/>
  <c r="U69" i="41"/>
  <c r="U76" i="41"/>
  <c r="T72" i="41"/>
  <c r="U72" i="41"/>
  <c r="T73" i="41"/>
  <c r="T76" i="41"/>
  <c r="T82" i="41"/>
  <c r="T89" i="41"/>
  <c r="T90" i="41"/>
  <c r="T91" i="41"/>
  <c r="U85" i="41"/>
  <c r="T81" i="41"/>
  <c r="U81" i="41"/>
  <c r="T84" i="41"/>
  <c r="U84" i="41"/>
  <c r="T85" i="41"/>
  <c r="T88" i="41"/>
  <c r="U88" i="41"/>
  <c r="T94" i="41"/>
  <c r="T101" i="41"/>
  <c r="U97" i="41"/>
  <c r="T93" i="41"/>
  <c r="U93" i="41"/>
  <c r="T97" i="41"/>
  <c r="T100" i="41"/>
  <c r="U100" i="41"/>
  <c r="V1" i="40"/>
  <c r="W1" i="40"/>
  <c r="X1" i="40"/>
  <c r="Y1" i="40"/>
  <c r="Z1" i="40"/>
  <c r="AA1" i="40"/>
  <c r="AB1" i="40"/>
  <c r="AC1" i="40"/>
  <c r="AD1" i="40"/>
  <c r="AE1" i="40"/>
  <c r="AF1" i="40"/>
  <c r="AG1" i="40"/>
  <c r="AH1" i="40"/>
  <c r="AI1" i="40"/>
  <c r="AJ1" i="40"/>
  <c r="AK1" i="40"/>
  <c r="AL1" i="40"/>
  <c r="AM1" i="40"/>
  <c r="AN1" i="40"/>
  <c r="AO1" i="40"/>
  <c r="AP1" i="40"/>
  <c r="AQ1" i="40"/>
  <c r="AR1" i="40"/>
  <c r="AS1" i="40"/>
  <c r="S1" i="37"/>
  <c r="T1" i="37"/>
  <c r="U1" i="37"/>
  <c r="V1" i="37"/>
  <c r="W1" i="37"/>
  <c r="X1" i="37"/>
  <c r="Y1" i="37"/>
  <c r="Z1" i="37"/>
  <c r="AA1" i="37"/>
  <c r="AB1" i="37"/>
  <c r="AC1" i="37"/>
  <c r="AD1" i="37"/>
  <c r="AE1" i="37"/>
  <c r="AF1" i="37"/>
  <c r="AG1" i="37"/>
  <c r="AH1" i="37"/>
  <c r="AI1" i="37"/>
  <c r="AJ1" i="37"/>
  <c r="AK1" i="37"/>
  <c r="AL1" i="37"/>
  <c r="AM1" i="37"/>
  <c r="AN1" i="37"/>
  <c r="AO1" i="37"/>
  <c r="AP1" i="37"/>
  <c r="AQ1" i="37"/>
  <c r="AR1" i="37"/>
  <c r="AS1" i="37"/>
  <c r="V150" i="35"/>
  <c r="V151" i="35"/>
  <c r="V32" i="35"/>
  <c r="V33" i="35"/>
  <c r="V22" i="35"/>
  <c r="V23" i="35"/>
  <c r="V12" i="35"/>
  <c r="V13" i="35"/>
  <c r="U32" i="35"/>
  <c r="U33" i="35"/>
  <c r="U22" i="35"/>
  <c r="U23" i="35"/>
  <c r="U12" i="35"/>
  <c r="U13" i="35"/>
  <c r="T32" i="35"/>
  <c r="T33" i="35"/>
  <c r="T22" i="35"/>
  <c r="T23" i="35"/>
  <c r="T12" i="35"/>
  <c r="T13" i="35"/>
  <c r="S32" i="35"/>
  <c r="S33" i="35"/>
  <c r="S22" i="35"/>
  <c r="S23" i="35"/>
  <c r="S12" i="35"/>
  <c r="S13" i="35"/>
  <c r="Q132" i="35"/>
  <c r="Q133" i="35"/>
  <c r="Q131" i="35"/>
  <c r="Q130" i="35"/>
  <c r="P132" i="35"/>
  <c r="P133" i="35"/>
  <c r="P131" i="35"/>
  <c r="P130" i="35"/>
  <c r="Q112" i="35"/>
  <c r="Q113" i="35"/>
  <c r="Q111" i="35"/>
  <c r="Q110" i="35"/>
  <c r="O82" i="35"/>
  <c r="O83" i="35"/>
  <c r="O22" i="35"/>
  <c r="O23" i="35"/>
  <c r="O20" i="35"/>
  <c r="O21" i="35"/>
  <c r="O12" i="35"/>
  <c r="O13" i="35"/>
  <c r="O90" i="35"/>
  <c r="P90" i="35"/>
  <c r="Q90" i="35"/>
  <c r="O100" i="35"/>
  <c r="P100" i="35"/>
  <c r="Q100" i="35"/>
  <c r="O50" i="35"/>
  <c r="P50" i="35"/>
  <c r="Q50" i="35"/>
  <c r="O51" i="35"/>
  <c r="P51" i="35"/>
  <c r="Q51" i="35"/>
  <c r="O40" i="35"/>
  <c r="P40" i="35"/>
  <c r="Q40" i="35"/>
  <c r="AA24" i="34"/>
  <c r="AB24" i="34"/>
  <c r="AC24" i="34"/>
  <c r="AD24" i="34"/>
  <c r="AE24" i="34"/>
  <c r="AF24" i="34"/>
  <c r="AG24" i="34"/>
  <c r="AM24" i="34"/>
  <c r="J36" i="34"/>
  <c r="K36" i="34"/>
  <c r="L36" i="34"/>
  <c r="P41" i="34"/>
  <c r="U34" i="34"/>
  <c r="V34" i="34"/>
  <c r="V41" i="34"/>
  <c r="AK48" i="34"/>
  <c r="AM46" i="34"/>
  <c r="AM53" i="34"/>
  <c r="AM15" i="37"/>
  <c r="AN15" i="37"/>
  <c r="AO15" i="37"/>
  <c r="AP15" i="37"/>
  <c r="AQ15" i="37"/>
  <c r="AR15" i="37"/>
  <c r="AS15" i="37"/>
  <c r="T22" i="37"/>
  <c r="T29" i="37"/>
  <c r="T25" i="37"/>
  <c r="U25" i="37"/>
  <c r="V25" i="37"/>
  <c r="X25" i="37"/>
  <c r="Y25" i="37"/>
  <c r="AA25" i="37"/>
  <c r="AA22" i="37"/>
  <c r="AB22" i="37"/>
  <c r="AB29" i="37"/>
  <c r="AB25" i="37"/>
  <c r="AC25" i="37"/>
  <c r="AD25" i="37"/>
  <c r="AE25" i="37"/>
  <c r="AF25" i="37"/>
  <c r="AG25" i="37"/>
  <c r="AN25" i="37"/>
  <c r="AO22" i="37"/>
  <c r="AO29" i="37"/>
  <c r="AQ22" i="37"/>
  <c r="AQ29" i="37"/>
  <c r="AS24" i="37"/>
  <c r="J34" i="37"/>
  <c r="K34" i="37"/>
  <c r="T36" i="37"/>
  <c r="T34" i="37"/>
  <c r="U34" i="37"/>
  <c r="U41" i="37"/>
  <c r="U36" i="37"/>
  <c r="V36" i="37"/>
  <c r="X36" i="37"/>
  <c r="Y36" i="37"/>
  <c r="Z36" i="37"/>
  <c r="AA37" i="37"/>
  <c r="AB37" i="37"/>
  <c r="AA34" i="37"/>
  <c r="AB34" i="37"/>
  <c r="AC34" i="37"/>
  <c r="AC41" i="37"/>
  <c r="AH34" i="37"/>
  <c r="AH41" i="37"/>
  <c r="AN36" i="37"/>
  <c r="N46" i="37"/>
  <c r="N53" i="37"/>
  <c r="S48" i="37"/>
  <c r="T48" i="37"/>
  <c r="U48" i="37"/>
  <c r="W48" i="37"/>
  <c r="X49" i="37"/>
  <c r="X48" i="37"/>
  <c r="Y48" i="37"/>
  <c r="Z48" i="37"/>
  <c r="AA46" i="37"/>
  <c r="AB46" i="37"/>
  <c r="AC46" i="37"/>
  <c r="AC53" i="37"/>
  <c r="AA48" i="37"/>
  <c r="AB48" i="37"/>
  <c r="AC48" i="37"/>
  <c r="AC54" i="37"/>
  <c r="AC55" i="37"/>
  <c r="AD53" i="37"/>
  <c r="AD48" i="37"/>
  <c r="AD54" i="37"/>
  <c r="AD55" i="37"/>
  <c r="AH54" i="37"/>
  <c r="AH55" i="37"/>
  <c r="AM48" i="37"/>
  <c r="AQ49" i="37"/>
  <c r="AN15" i="36"/>
  <c r="AO15" i="36"/>
  <c r="AP15" i="36"/>
  <c r="AQ15" i="36"/>
  <c r="AR15" i="36"/>
  <c r="AS15" i="36"/>
  <c r="U46" i="36"/>
  <c r="V46" i="36"/>
  <c r="W46" i="36"/>
  <c r="W53" i="36"/>
  <c r="X53" i="36"/>
  <c r="AE46" i="36"/>
  <c r="AE53" i="36"/>
  <c r="AK48" i="36"/>
  <c r="AN46" i="36"/>
  <c r="AN53" i="36"/>
  <c r="AR49" i="36"/>
  <c r="U60" i="36"/>
  <c r="V60" i="36"/>
  <c r="W60" i="36"/>
  <c r="X60" i="36"/>
  <c r="AE58" i="36"/>
  <c r="AE65" i="36"/>
  <c r="AE70" i="36"/>
  <c r="AE77" i="36"/>
  <c r="AE72" i="36"/>
  <c r="AE78" i="36"/>
  <c r="AE79" i="36"/>
  <c r="AQ73" i="36"/>
  <c r="U84" i="36"/>
  <c r="V84" i="36"/>
  <c r="W84" i="36"/>
  <c r="X84" i="36"/>
  <c r="AL85" i="36"/>
  <c r="AO82" i="36"/>
  <c r="AO89" i="36"/>
  <c r="K97" i="36"/>
  <c r="U97" i="36"/>
  <c r="U94" i="36"/>
  <c r="V94" i="36"/>
  <c r="W94" i="36"/>
  <c r="X101" i="36"/>
  <c r="U96" i="36"/>
  <c r="V96" i="36"/>
  <c r="W96" i="36"/>
  <c r="X96" i="36"/>
  <c r="X102" i="36"/>
  <c r="X103" i="36"/>
  <c r="Y94" i="36"/>
  <c r="Z94" i="36"/>
  <c r="Z101" i="36"/>
  <c r="AK97" i="36"/>
  <c r="AL94" i="36"/>
  <c r="AL101" i="36"/>
  <c r="AO97" i="36"/>
  <c r="AP94" i="36"/>
  <c r="AP101" i="36"/>
  <c r="U109" i="36"/>
  <c r="U106" i="36"/>
  <c r="V106" i="36"/>
  <c r="V113" i="36"/>
  <c r="AE108" i="36"/>
  <c r="AF108" i="36"/>
  <c r="AE106" i="36"/>
  <c r="AF106" i="36"/>
  <c r="AG106" i="36"/>
  <c r="AH106" i="36"/>
  <c r="AH113" i="36"/>
  <c r="AG108" i="36"/>
  <c r="AH108" i="36"/>
  <c r="AH114" i="36"/>
  <c r="AH115" i="36"/>
  <c r="N118" i="36"/>
  <c r="N125" i="36"/>
  <c r="T118" i="36"/>
  <c r="T125" i="36"/>
  <c r="T120" i="36"/>
  <c r="T126" i="36"/>
  <c r="T127" i="36"/>
  <c r="Y120" i="36"/>
  <c r="Z120" i="36"/>
  <c r="AA125" i="36"/>
  <c r="AB120" i="36"/>
  <c r="AC120" i="36"/>
  <c r="AD120" i="36"/>
  <c r="AE121" i="36"/>
  <c r="AF121" i="36"/>
  <c r="AE118" i="36"/>
  <c r="AF118" i="36"/>
  <c r="AG118" i="36"/>
  <c r="AG125" i="36"/>
  <c r="AE120" i="36"/>
  <c r="AF120" i="36"/>
  <c r="AG120" i="36"/>
  <c r="AH120" i="36"/>
  <c r="AO118" i="36"/>
  <c r="AO125" i="36"/>
  <c r="AE130" i="36"/>
  <c r="AF130" i="36"/>
  <c r="AF137" i="36"/>
  <c r="AE132" i="36"/>
  <c r="AF132" i="36"/>
  <c r="AF138" i="36"/>
  <c r="AF139" i="36"/>
  <c r="AM130" i="36"/>
  <c r="AM137" i="36"/>
  <c r="AP130" i="36"/>
  <c r="AP137" i="36"/>
  <c r="K154" i="36"/>
  <c r="L154" i="36"/>
  <c r="L161" i="36"/>
  <c r="K156" i="36"/>
  <c r="L156" i="36"/>
  <c r="L162" i="36"/>
  <c r="L163" i="36"/>
  <c r="AB154" i="36"/>
  <c r="AC154" i="36"/>
  <c r="AC161" i="36"/>
  <c r="AB157" i="36"/>
  <c r="AC157" i="36"/>
  <c r="AD157" i="36"/>
  <c r="AI154" i="36"/>
  <c r="AI161" i="36"/>
  <c r="AO162" i="36"/>
  <c r="AO163" i="36"/>
  <c r="AP157" i="36"/>
  <c r="K144" i="36"/>
  <c r="L144" i="36"/>
  <c r="M144" i="36"/>
  <c r="N145" i="36"/>
  <c r="U145" i="36"/>
  <c r="AM142" i="36"/>
  <c r="AM149" i="36"/>
  <c r="AR144" i="36"/>
  <c r="U166" i="36"/>
  <c r="V166" i="36"/>
  <c r="W166" i="36"/>
  <c r="X166" i="36"/>
  <c r="X173" i="36"/>
  <c r="AO166" i="36"/>
  <c r="AO173" i="36"/>
  <c r="AB181" i="36"/>
  <c r="AI186" i="36"/>
  <c r="AI187" i="36"/>
  <c r="AL181" i="36"/>
  <c r="AS178" i="36"/>
  <c r="AS185" i="36"/>
  <c r="AE192" i="36"/>
  <c r="AF192" i="36"/>
  <c r="AG192" i="36"/>
  <c r="AM193" i="36"/>
  <c r="K214" i="36"/>
  <c r="L214" i="36"/>
  <c r="L221" i="36"/>
  <c r="K216" i="36"/>
  <c r="L216" i="36"/>
  <c r="L222" i="36"/>
  <c r="L223" i="36"/>
  <c r="Y214" i="36"/>
  <c r="Z214" i="36"/>
  <c r="Z221" i="36"/>
  <c r="AB214" i="36"/>
  <c r="AB221" i="36"/>
  <c r="AJ222" i="36"/>
  <c r="AJ223" i="36"/>
  <c r="AK217" i="36"/>
  <c r="AR217" i="36"/>
  <c r="N226" i="36"/>
  <c r="T229" i="36"/>
  <c r="U226" i="36"/>
  <c r="V226" i="36"/>
  <c r="W226" i="36"/>
  <c r="X233" i="36"/>
  <c r="AE226" i="36"/>
  <c r="AF226" i="36"/>
  <c r="AF233" i="36"/>
  <c r="AE228" i="36"/>
  <c r="AF228" i="36"/>
  <c r="AF234" i="36"/>
  <c r="AF235" i="36"/>
  <c r="AL234" i="36"/>
  <c r="AL235" i="36"/>
  <c r="T41" i="36"/>
  <c r="U34" i="36"/>
  <c r="V34" i="36"/>
  <c r="W34" i="36"/>
  <c r="W41" i="36"/>
  <c r="U36" i="36"/>
  <c r="V36" i="36"/>
  <c r="W36" i="36"/>
  <c r="W42" i="36"/>
  <c r="W43" i="36"/>
  <c r="Y34" i="36"/>
  <c r="Y41" i="36"/>
  <c r="AE34" i="36"/>
  <c r="AF34" i="36"/>
  <c r="AF41" i="36"/>
  <c r="AE36" i="36"/>
  <c r="AF36" i="36"/>
  <c r="AF42" i="36"/>
  <c r="AF43" i="36"/>
  <c r="AG36" i="36"/>
  <c r="AK37" i="36"/>
  <c r="AL37" i="36"/>
  <c r="AS37" i="36"/>
  <c r="K25" i="36"/>
  <c r="U25" i="36"/>
  <c r="Y22" i="36"/>
  <c r="Y29" i="36"/>
  <c r="Y24" i="36"/>
  <c r="Y30" i="36"/>
  <c r="Y31" i="36"/>
  <c r="AE22" i="36"/>
  <c r="AE29" i="36"/>
  <c r="AE25" i="36"/>
  <c r="AF25" i="36"/>
  <c r="AJ30" i="36"/>
  <c r="AJ31" i="36"/>
  <c r="AM30" i="36"/>
  <c r="AM31" i="36"/>
  <c r="AN30" i="36"/>
  <c r="AN31" i="36"/>
  <c r="AO25" i="36"/>
  <c r="AN246" i="36"/>
  <c r="AN247" i="36"/>
  <c r="AO241" i="36"/>
  <c r="U252" i="36"/>
  <c r="V252" i="36"/>
  <c r="W252" i="36"/>
  <c r="X252" i="36"/>
  <c r="Y253" i="36"/>
  <c r="AE249" i="36"/>
  <c r="AF249" i="36"/>
  <c r="AG249" i="36"/>
  <c r="AH249" i="36"/>
  <c r="AE250" i="36"/>
  <c r="AF250" i="36"/>
  <c r="AG250" i="36"/>
  <c r="AH250" i="36"/>
  <c r="AE251" i="36"/>
  <c r="AF251" i="36"/>
  <c r="AG251" i="36"/>
  <c r="AH251" i="36"/>
  <c r="AH256" i="36"/>
  <c r="AH257" i="36"/>
  <c r="AE252" i="36"/>
  <c r="AF252" i="36"/>
  <c r="AG252" i="36"/>
  <c r="AH252" i="36"/>
  <c r="AH258" i="36"/>
  <c r="AH259" i="36"/>
  <c r="AP252" i="36"/>
  <c r="AF49" i="38"/>
  <c r="AF46" i="38"/>
  <c r="AG46" i="38"/>
  <c r="AH46" i="38"/>
  <c r="AI46" i="38"/>
  <c r="AI53" i="38"/>
  <c r="AF48" i="38"/>
  <c r="AG48" i="38"/>
  <c r="AH48" i="38"/>
  <c r="AI48" i="38"/>
  <c r="AI54" i="38"/>
  <c r="AI55" i="38"/>
  <c r="AL48" i="38"/>
  <c r="AR46" i="38"/>
  <c r="AR53" i="38"/>
  <c r="AS46" i="38"/>
  <c r="AS53" i="38"/>
  <c r="O61" i="38"/>
  <c r="S60" i="38"/>
  <c r="V65" i="38"/>
  <c r="V60" i="38"/>
  <c r="W60" i="38"/>
  <c r="X60" i="38"/>
  <c r="Y60" i="38"/>
  <c r="Z60" i="38"/>
  <c r="Z58" i="38"/>
  <c r="AA58" i="38"/>
  <c r="AA65" i="38"/>
  <c r="AA60" i="38"/>
  <c r="AA66" i="38"/>
  <c r="AA67" i="38"/>
  <c r="AD60" i="38"/>
  <c r="AF60" i="38"/>
  <c r="AG60" i="38"/>
  <c r="AF58" i="38"/>
  <c r="AG58" i="38"/>
  <c r="AH58" i="38"/>
  <c r="AH65" i="38"/>
  <c r="AL60" i="38"/>
  <c r="AM61" i="38"/>
  <c r="AQ61" i="38"/>
  <c r="AR61" i="38"/>
  <c r="L73" i="38"/>
  <c r="O70" i="38"/>
  <c r="O77" i="38"/>
  <c r="S70" i="38"/>
  <c r="S77" i="38"/>
  <c r="V73" i="38"/>
  <c r="W73" i="38"/>
  <c r="W70" i="38"/>
  <c r="X70" i="38"/>
  <c r="X77" i="38"/>
  <c r="AA70" i="38"/>
  <c r="AA77" i="38"/>
  <c r="Z72" i="38"/>
  <c r="AA72" i="38"/>
  <c r="AA78" i="38"/>
  <c r="AA79" i="38"/>
  <c r="Z73" i="38"/>
  <c r="AA73" i="38"/>
  <c r="AB73" i="38"/>
  <c r="AC73" i="38"/>
  <c r="AF70" i="38"/>
  <c r="AF77" i="38"/>
  <c r="AF72" i="38"/>
  <c r="AF78" i="38"/>
  <c r="AF79" i="38"/>
  <c r="AG70" i="38"/>
  <c r="AG77" i="38"/>
  <c r="AG72" i="38"/>
  <c r="AG78" i="38"/>
  <c r="AG79" i="38"/>
  <c r="AK72" i="38"/>
  <c r="AL72" i="38"/>
  <c r="AD85" i="38"/>
  <c r="AF85" i="38"/>
  <c r="AG85" i="38"/>
  <c r="AF84" i="38"/>
  <c r="AG84" i="38"/>
  <c r="AH84" i="38"/>
  <c r="AL90" i="38"/>
  <c r="AL91" i="38"/>
  <c r="AM84" i="38"/>
  <c r="AP84" i="38"/>
  <c r="AS82" i="38"/>
  <c r="AS89" i="38"/>
  <c r="O94" i="38"/>
  <c r="O101" i="38"/>
  <c r="R97" i="38"/>
  <c r="V96" i="38"/>
  <c r="W94" i="38"/>
  <c r="W101" i="38"/>
  <c r="V97" i="38"/>
  <c r="W97" i="38"/>
  <c r="X97" i="38"/>
  <c r="Y97" i="38"/>
  <c r="Z96" i="38"/>
  <c r="Z97" i="38"/>
  <c r="AA97" i="38"/>
  <c r="AA94" i="38"/>
  <c r="AB94" i="38"/>
  <c r="AC94" i="38"/>
  <c r="AC101" i="38"/>
  <c r="AD96" i="38"/>
  <c r="AD97" i="38"/>
  <c r="AE97" i="38"/>
  <c r="AF94" i="38"/>
  <c r="AF101" i="38"/>
  <c r="AF96" i="38"/>
  <c r="AF102" i="38"/>
  <c r="AF103" i="38"/>
  <c r="AN94" i="38"/>
  <c r="AN101" i="38"/>
  <c r="AO96" i="38"/>
  <c r="AQ96" i="38"/>
  <c r="AR96" i="38"/>
  <c r="M106" i="38"/>
  <c r="M113" i="38"/>
  <c r="N106" i="38"/>
  <c r="N113" i="38"/>
  <c r="V109" i="38"/>
  <c r="W109" i="38"/>
  <c r="X109" i="38"/>
  <c r="Z106" i="38"/>
  <c r="AA106" i="38"/>
  <c r="AA113" i="38"/>
  <c r="AD106" i="38"/>
  <c r="AD113" i="38"/>
  <c r="AD109" i="38"/>
  <c r="AE109" i="38"/>
  <c r="AK108" i="38"/>
  <c r="AL109" i="38"/>
  <c r="AM106" i="38"/>
  <c r="AM113" i="38"/>
  <c r="L125" i="38"/>
  <c r="L120" i="38"/>
  <c r="L126" i="38"/>
  <c r="L127" i="38"/>
  <c r="N118" i="38"/>
  <c r="N125" i="38"/>
  <c r="M120" i="38"/>
  <c r="N120" i="38"/>
  <c r="N126" i="38"/>
  <c r="N127" i="38"/>
  <c r="O118" i="38"/>
  <c r="O125" i="38"/>
  <c r="O120" i="38"/>
  <c r="O126" i="38"/>
  <c r="O127" i="38"/>
  <c r="R118" i="38"/>
  <c r="R125" i="38"/>
  <c r="V120" i="38"/>
  <c r="W120" i="38"/>
  <c r="X120" i="38"/>
  <c r="W118" i="38"/>
  <c r="X118" i="38"/>
  <c r="Y118" i="38"/>
  <c r="Y125" i="38"/>
  <c r="Z121" i="38"/>
  <c r="AA121" i="38"/>
  <c r="AA118" i="38"/>
  <c r="AB118" i="38"/>
  <c r="AB125" i="38"/>
  <c r="AC118" i="38"/>
  <c r="AC125" i="38"/>
  <c r="AD121" i="38"/>
  <c r="AE121" i="38"/>
  <c r="AF120" i="38"/>
  <c r="AK126" i="38"/>
  <c r="AK127" i="38"/>
  <c r="AM120" i="38"/>
  <c r="AQ121" i="38"/>
  <c r="AR121" i="38"/>
  <c r="L137" i="38"/>
  <c r="P133" i="38"/>
  <c r="R130" i="38"/>
  <c r="R137" i="38"/>
  <c r="S132" i="38"/>
  <c r="V137" i="38"/>
  <c r="V132" i="38"/>
  <c r="V138" i="38"/>
  <c r="V139" i="38"/>
  <c r="W137" i="38"/>
  <c r="W132" i="38"/>
  <c r="W138" i="38"/>
  <c r="W139" i="38"/>
  <c r="Z130" i="38"/>
  <c r="Z137" i="38"/>
  <c r="AA130" i="38"/>
  <c r="AA137" i="38"/>
  <c r="AF130" i="38"/>
  <c r="AG130" i="38"/>
  <c r="AH130" i="38"/>
  <c r="AH137" i="38"/>
  <c r="AK138" i="38"/>
  <c r="AK139" i="38"/>
  <c r="AQ130" i="38"/>
  <c r="AQ137" i="38"/>
  <c r="Q156" i="38"/>
  <c r="S157" i="38"/>
  <c r="V161" i="38"/>
  <c r="V156" i="38"/>
  <c r="V162" i="38"/>
  <c r="V163" i="38"/>
  <c r="V157" i="38"/>
  <c r="W157" i="38"/>
  <c r="X157" i="38"/>
  <c r="X154" i="38"/>
  <c r="Y154" i="38"/>
  <c r="Y161" i="38"/>
  <c r="Z156" i="38"/>
  <c r="AA156" i="38"/>
  <c r="AB156" i="38"/>
  <c r="AA154" i="38"/>
  <c r="AB154" i="38"/>
  <c r="AC154" i="38"/>
  <c r="AC161" i="38"/>
  <c r="AF154" i="38"/>
  <c r="AF161" i="38"/>
  <c r="AF156" i="38"/>
  <c r="AF162" i="38"/>
  <c r="AF163" i="38"/>
  <c r="AH154" i="38"/>
  <c r="AH161" i="38"/>
  <c r="AF157" i="38"/>
  <c r="AG157" i="38"/>
  <c r="AH157" i="38"/>
  <c r="AI157" i="38"/>
  <c r="AJ157" i="38"/>
  <c r="AK154" i="38"/>
  <c r="AK161" i="38"/>
  <c r="AL156" i="38"/>
  <c r="L144" i="38"/>
  <c r="M144" i="38"/>
  <c r="N144" i="38"/>
  <c r="P142" i="38"/>
  <c r="P149" i="38"/>
  <c r="Q142" i="38"/>
  <c r="Q149" i="38"/>
  <c r="S144" i="38"/>
  <c r="S150" i="38"/>
  <c r="S151" i="38"/>
  <c r="V144" i="38"/>
  <c r="W144" i="38"/>
  <c r="X144" i="38"/>
  <c r="X142" i="38"/>
  <c r="Y142" i="38"/>
  <c r="Y149" i="38"/>
  <c r="Z144" i="38"/>
  <c r="AA144" i="38"/>
  <c r="AA145" i="38"/>
  <c r="AB145" i="38"/>
  <c r="AA142" i="38"/>
  <c r="AB142" i="38"/>
  <c r="AC142" i="38"/>
  <c r="AC149" i="38"/>
  <c r="AD142" i="38"/>
  <c r="AE149" i="38"/>
  <c r="AD144" i="38"/>
  <c r="AE144" i="38"/>
  <c r="AE150" i="38"/>
  <c r="AE151" i="38"/>
  <c r="AF145" i="38"/>
  <c r="AG145" i="38"/>
  <c r="AL142" i="38"/>
  <c r="AL149" i="38"/>
  <c r="AM144" i="38"/>
  <c r="AQ142" i="38"/>
  <c r="AQ149" i="38"/>
  <c r="AS144" i="38"/>
  <c r="L169" i="38"/>
  <c r="S168" i="38"/>
  <c r="Z173" i="38"/>
  <c r="Z168" i="38"/>
  <c r="AA168" i="38"/>
  <c r="AB168" i="38"/>
  <c r="AC168" i="38"/>
  <c r="AD169" i="38"/>
  <c r="AE173" i="38"/>
  <c r="AF169" i="38"/>
  <c r="AG169" i="38"/>
  <c r="AK169" i="38"/>
  <c r="AN173" i="38"/>
  <c r="M185" i="38"/>
  <c r="S185" i="38"/>
  <c r="V180" i="38"/>
  <c r="Z181" i="38"/>
  <c r="AA181" i="38"/>
  <c r="AB181" i="38"/>
  <c r="AC181" i="38"/>
  <c r="AF178" i="38"/>
  <c r="AG185" i="38"/>
  <c r="AF180" i="38"/>
  <c r="AG180" i="38"/>
  <c r="AG186" i="38"/>
  <c r="AG187" i="38"/>
  <c r="AH178" i="38"/>
  <c r="AH185" i="38"/>
  <c r="AF181" i="38"/>
  <c r="AG181" i="38"/>
  <c r="AH181" i="38"/>
  <c r="AI181" i="38"/>
  <c r="AJ181" i="38"/>
  <c r="AK180" i="38"/>
  <c r="AS178" i="38"/>
  <c r="AS185" i="38"/>
  <c r="P193" i="38"/>
  <c r="X190" i="38"/>
  <c r="X197" i="38"/>
  <c r="Z193" i="38"/>
  <c r="AA193" i="38"/>
  <c r="AD193" i="38"/>
  <c r="AE193" i="38"/>
  <c r="AF193" i="38"/>
  <c r="AG193" i="38"/>
  <c r="AH190" i="38"/>
  <c r="AH197" i="38"/>
  <c r="AF192" i="38"/>
  <c r="AG192" i="38"/>
  <c r="AH192" i="38"/>
  <c r="AI192" i="38"/>
  <c r="AJ192" i="38"/>
  <c r="AK190" i="38"/>
  <c r="AK197" i="38"/>
  <c r="AL198" i="38"/>
  <c r="AL199" i="38"/>
  <c r="AM192" i="38"/>
  <c r="AP190" i="38"/>
  <c r="AP197" i="38"/>
  <c r="AR190" i="38"/>
  <c r="AR197" i="38"/>
  <c r="V209" i="38"/>
  <c r="V204" i="38"/>
  <c r="V210" i="38"/>
  <c r="V211" i="38"/>
  <c r="W209" i="38"/>
  <c r="W204" i="38"/>
  <c r="W210" i="38"/>
  <c r="W211" i="38"/>
  <c r="X202" i="38"/>
  <c r="X209" i="38"/>
  <c r="Y202" i="38"/>
  <c r="Y209" i="38"/>
  <c r="X204" i="38"/>
  <c r="Y204" i="38"/>
  <c r="Y210" i="38"/>
  <c r="Y211" i="38"/>
  <c r="Z204" i="38"/>
  <c r="Z205" i="38"/>
  <c r="AA205" i="38"/>
  <c r="AD204" i="38"/>
  <c r="AE204" i="38"/>
  <c r="AF205" i="38"/>
  <c r="AF202" i="38"/>
  <c r="AG202" i="38"/>
  <c r="AG209" i="38"/>
  <c r="AH202" i="38"/>
  <c r="AI202" i="38"/>
  <c r="AJ209" i="38"/>
  <c r="AF204" i="38"/>
  <c r="AG204" i="38"/>
  <c r="AH204" i="38"/>
  <c r="AI204" i="38"/>
  <c r="AJ204" i="38"/>
  <c r="AJ210" i="38"/>
  <c r="AJ211" i="38"/>
  <c r="V216" i="38"/>
  <c r="W216" i="38"/>
  <c r="V214" i="38"/>
  <c r="W214" i="38"/>
  <c r="X214" i="38"/>
  <c r="Y214" i="38"/>
  <c r="Y221" i="38"/>
  <c r="X216" i="38"/>
  <c r="Y216" i="38"/>
  <c r="Y222" i="38"/>
  <c r="Y223" i="38"/>
  <c r="AD217" i="38"/>
  <c r="AF214" i="38"/>
  <c r="AF221" i="38"/>
  <c r="AL214" i="38"/>
  <c r="AL221" i="38"/>
  <c r="AM217" i="38"/>
  <c r="L233" i="38"/>
  <c r="X226" i="38"/>
  <c r="X233" i="38"/>
  <c r="V228" i="38"/>
  <c r="W228" i="38"/>
  <c r="X228" i="38"/>
  <c r="X234" i="38"/>
  <c r="X235" i="38"/>
  <c r="Y226" i="38"/>
  <c r="Y233" i="38"/>
  <c r="Z228" i="38"/>
  <c r="AA226" i="38"/>
  <c r="AB226" i="38"/>
  <c r="AB233" i="38"/>
  <c r="AA228" i="38"/>
  <c r="AB228" i="38"/>
  <c r="AB234" i="38"/>
  <c r="AB235" i="38"/>
  <c r="AD233" i="38"/>
  <c r="AD228" i="38"/>
  <c r="AD234" i="38"/>
  <c r="AD235" i="38"/>
  <c r="AE233" i="38"/>
  <c r="AE228" i="38"/>
  <c r="AE234" i="38"/>
  <c r="AE235" i="38"/>
  <c r="AF226" i="38"/>
  <c r="AG233" i="38"/>
  <c r="AF228" i="38"/>
  <c r="AG228" i="38"/>
  <c r="AG234" i="38"/>
  <c r="AG235" i="38"/>
  <c r="AM226" i="38"/>
  <c r="AM233" i="38"/>
  <c r="L34" i="38"/>
  <c r="M34" i="38"/>
  <c r="N34" i="38"/>
  <c r="N41" i="38"/>
  <c r="V36" i="38"/>
  <c r="W36" i="38"/>
  <c r="X36" i="38"/>
  <c r="Z34" i="38"/>
  <c r="Z41" i="38"/>
  <c r="Z36" i="38"/>
  <c r="Z42" i="38"/>
  <c r="Z43" i="38"/>
  <c r="Z37" i="38"/>
  <c r="AA37" i="38"/>
  <c r="AA34" i="38"/>
  <c r="AB34" i="38"/>
  <c r="AC34" i="38"/>
  <c r="AC41" i="38"/>
  <c r="AA36" i="38"/>
  <c r="AB36" i="38"/>
  <c r="AC36" i="38"/>
  <c r="AC42" i="38"/>
  <c r="AC43" i="38"/>
  <c r="AD34" i="38"/>
  <c r="AD41" i="38"/>
  <c r="AF34" i="38"/>
  <c r="AG34" i="38"/>
  <c r="AH34" i="38"/>
  <c r="AH41" i="38"/>
  <c r="AF36" i="38"/>
  <c r="AG36" i="38"/>
  <c r="AH36" i="38"/>
  <c r="AH42" i="38"/>
  <c r="AH43" i="38"/>
  <c r="AI34" i="38"/>
  <c r="AJ34" i="38"/>
  <c r="AJ41" i="38"/>
  <c r="AM34" i="38"/>
  <c r="AM41" i="38"/>
  <c r="AS34" i="38"/>
  <c r="AS41" i="38"/>
  <c r="L24" i="38"/>
  <c r="L25" i="38"/>
  <c r="M25" i="38"/>
  <c r="N25" i="38"/>
  <c r="V24" i="38"/>
  <c r="V25" i="38"/>
  <c r="W25" i="38"/>
  <c r="W22" i="38"/>
  <c r="X22" i="38"/>
  <c r="X29" i="38"/>
  <c r="W24" i="38"/>
  <c r="X24" i="38"/>
  <c r="X30" i="38"/>
  <c r="X31" i="38"/>
  <c r="AA25" i="38"/>
  <c r="AA22" i="38"/>
  <c r="AB22" i="38"/>
  <c r="AB29" i="38"/>
  <c r="Z24" i="38"/>
  <c r="AA24" i="38"/>
  <c r="AB24" i="38"/>
  <c r="AB30" i="38"/>
  <c r="AB31" i="38"/>
  <c r="AK22" i="38"/>
  <c r="AK29" i="38"/>
  <c r="AL30" i="38"/>
  <c r="AL31" i="38"/>
  <c r="AM30" i="38"/>
  <c r="AM31" i="38"/>
  <c r="AQ30" i="38"/>
  <c r="AQ31" i="38"/>
  <c r="AS24" i="38"/>
  <c r="L240" i="38"/>
  <c r="R241" i="38"/>
  <c r="S240" i="38"/>
  <c r="V240" i="38"/>
  <c r="W238" i="38"/>
  <c r="W245" i="38"/>
  <c r="W240" i="38"/>
  <c r="X240" i="38"/>
  <c r="Z245" i="38"/>
  <c r="Z240" i="38"/>
  <c r="Z246" i="38"/>
  <c r="Z247" i="38"/>
  <c r="AA238" i="38"/>
  <c r="AA245" i="38"/>
  <c r="AA240" i="38"/>
  <c r="AA246" i="38"/>
  <c r="AA247" i="38"/>
  <c r="AB238" i="38"/>
  <c r="AB245" i="38"/>
  <c r="AB240" i="38"/>
  <c r="AB246" i="38"/>
  <c r="AB247" i="38"/>
  <c r="AC238" i="38"/>
  <c r="AC245" i="38"/>
  <c r="AC240" i="38"/>
  <c r="AC246" i="38"/>
  <c r="AC247" i="38"/>
  <c r="AD238" i="38"/>
  <c r="AD245" i="38"/>
  <c r="AF241" i="38"/>
  <c r="AF240" i="38"/>
  <c r="AG240" i="38"/>
  <c r="AH240" i="38"/>
  <c r="AH238" i="38"/>
  <c r="AI238" i="38"/>
  <c r="AJ238" i="38"/>
  <c r="AJ245" i="38"/>
  <c r="AI240" i="38"/>
  <c r="AJ240" i="38"/>
  <c r="AJ246" i="38"/>
  <c r="AJ247" i="38"/>
  <c r="M257" i="38"/>
  <c r="S253" i="38"/>
  <c r="V257" i="38"/>
  <c r="V252" i="38"/>
  <c r="V258" i="38"/>
  <c r="V259" i="38"/>
  <c r="W257" i="38"/>
  <c r="W252" i="38"/>
  <c r="W258" i="38"/>
  <c r="W259" i="38"/>
  <c r="X252" i="38"/>
  <c r="Y252" i="38"/>
  <c r="AA250" i="38"/>
  <c r="AA257" i="38"/>
  <c r="Z253" i="38"/>
  <c r="AA253" i="38"/>
  <c r="AB253" i="38"/>
  <c r="AF252" i="38"/>
  <c r="AG252" i="38"/>
  <c r="AF250" i="38"/>
  <c r="AH250" i="38"/>
  <c r="AI250" i="38"/>
  <c r="AJ257" i="38"/>
  <c r="AH252" i="38"/>
  <c r="AI252" i="38"/>
  <c r="AJ252" i="38"/>
  <c r="AJ258" i="38"/>
  <c r="AJ259" i="38"/>
  <c r="AK250" i="38"/>
  <c r="AK257" i="38"/>
  <c r="AL258" i="38"/>
  <c r="AL259" i="38"/>
  <c r="AM252" i="38"/>
  <c r="AR250" i="38"/>
  <c r="AR257" i="38"/>
  <c r="AK49" i="39"/>
  <c r="V61" i="39"/>
  <c r="W61" i="39"/>
  <c r="X61" i="39"/>
  <c r="AC60" i="39"/>
  <c r="AD60" i="39"/>
  <c r="AE61" i="39"/>
  <c r="AF61" i="39"/>
  <c r="AG61" i="39"/>
  <c r="AH61" i="39"/>
  <c r="AI61" i="39"/>
  <c r="AJ61" i="39"/>
  <c r="AC73" i="39"/>
  <c r="AO72" i="39"/>
  <c r="V89" i="39"/>
  <c r="V85" i="39"/>
  <c r="W85" i="39"/>
  <c r="Z84" i="39"/>
  <c r="AA84" i="39"/>
  <c r="AB84" i="39"/>
  <c r="AE85" i="39"/>
  <c r="AF85" i="39"/>
  <c r="AG85" i="39"/>
  <c r="AE84" i="39"/>
  <c r="AF84" i="39"/>
  <c r="AG84" i="39"/>
  <c r="AH84" i="39"/>
  <c r="W94" i="39"/>
  <c r="X94" i="39"/>
  <c r="X101" i="39"/>
  <c r="AC94" i="39"/>
  <c r="AD101" i="39"/>
  <c r="AE94" i="39"/>
  <c r="AF94" i="39"/>
  <c r="AF101" i="39"/>
  <c r="AE96" i="39"/>
  <c r="AF96" i="39"/>
  <c r="AF102" i="39"/>
  <c r="AF103" i="39"/>
  <c r="V113" i="39"/>
  <c r="V108" i="39"/>
  <c r="V114" i="39"/>
  <c r="V115" i="39"/>
  <c r="V109" i="39"/>
  <c r="W109" i="39"/>
  <c r="AE109" i="39"/>
  <c r="AF109" i="39"/>
  <c r="AG109" i="39"/>
  <c r="AL108" i="39"/>
  <c r="W118" i="39"/>
  <c r="W125" i="39"/>
  <c r="X118" i="39"/>
  <c r="X125" i="39"/>
  <c r="AE118" i="39"/>
  <c r="AF118" i="39"/>
  <c r="AH118" i="39"/>
  <c r="AH125" i="39"/>
  <c r="AL126" i="39"/>
  <c r="AL127" i="39"/>
  <c r="V133" i="39"/>
  <c r="AK130" i="39"/>
  <c r="AK137" i="39"/>
  <c r="M34" i="39"/>
  <c r="M41" i="39"/>
  <c r="W34" i="39"/>
  <c r="W41" i="39"/>
  <c r="Z37" i="39"/>
  <c r="AA37" i="39"/>
  <c r="AB37" i="39"/>
  <c r="AE36" i="39"/>
  <c r="AE37" i="39"/>
  <c r="AF37" i="39"/>
  <c r="AG37" i="39"/>
  <c r="AH37" i="39"/>
  <c r="AI37" i="39"/>
  <c r="AJ37" i="39"/>
  <c r="AL34" i="39"/>
  <c r="AL41" i="39"/>
  <c r="V24" i="39"/>
  <c r="Z25" i="39"/>
  <c r="AA25" i="39"/>
  <c r="AE24" i="39"/>
  <c r="AO60" i="40"/>
  <c r="L73" i="40"/>
  <c r="M73" i="40"/>
  <c r="N73" i="40"/>
  <c r="O72" i="40"/>
  <c r="V73" i="40"/>
  <c r="W73" i="40"/>
  <c r="Z70" i="40"/>
  <c r="Z77" i="40"/>
  <c r="AC73" i="40"/>
  <c r="AD73" i="40"/>
  <c r="AE73" i="40"/>
  <c r="AF73" i="40"/>
  <c r="AG73" i="40"/>
  <c r="AH73" i="40"/>
  <c r="AI73" i="40"/>
  <c r="AJ73" i="40"/>
  <c r="AL78" i="40"/>
  <c r="AL79" i="40"/>
  <c r="AR78" i="40"/>
  <c r="AR79" i="40"/>
  <c r="AS72" i="40"/>
  <c r="Q84" i="40"/>
  <c r="V82" i="40"/>
  <c r="V89" i="40"/>
  <c r="V84" i="40"/>
  <c r="V90" i="40"/>
  <c r="V91" i="40"/>
  <c r="Z84" i="40"/>
  <c r="AA84" i="40"/>
  <c r="AC82" i="40"/>
  <c r="AD82" i="40"/>
  <c r="AD89" i="40"/>
  <c r="AC84" i="40"/>
  <c r="AD84" i="40"/>
  <c r="AD90" i="40"/>
  <c r="AD91" i="40"/>
  <c r="AM84" i="40"/>
  <c r="AN85" i="40"/>
  <c r="AP82" i="40"/>
  <c r="AP89" i="40"/>
  <c r="P101" i="40"/>
  <c r="P96" i="40"/>
  <c r="P102" i="40"/>
  <c r="P103" i="40"/>
  <c r="V96" i="40"/>
  <c r="W96" i="40"/>
  <c r="X96" i="40"/>
  <c r="Y96" i="40"/>
  <c r="Z94" i="40"/>
  <c r="AA94" i="40"/>
  <c r="AB94" i="40"/>
  <c r="AB101" i="40"/>
  <c r="Z96" i="40"/>
  <c r="AA96" i="40"/>
  <c r="AB96" i="40"/>
  <c r="AB102" i="40"/>
  <c r="AB103" i="40"/>
  <c r="AC97" i="40"/>
  <c r="AD97" i="40"/>
  <c r="AE97" i="40"/>
  <c r="AF97" i="40"/>
  <c r="AG97" i="40"/>
  <c r="AH97" i="40"/>
  <c r="AL102" i="40"/>
  <c r="AL103" i="40"/>
  <c r="AR94" i="40"/>
  <c r="AR101" i="40"/>
  <c r="V24" i="40"/>
  <c r="AC22" i="40"/>
  <c r="AC29" i="40"/>
  <c r="AN30" i="40"/>
  <c r="AN31" i="40"/>
  <c r="AR22" i="40"/>
  <c r="AR29" i="40"/>
  <c r="M34" i="40"/>
  <c r="N34" i="40"/>
  <c r="N41" i="40"/>
  <c r="W34" i="40"/>
  <c r="W41" i="40"/>
  <c r="Z34" i="40"/>
  <c r="AA34" i="40"/>
  <c r="AB34" i="40"/>
  <c r="AB41" i="40"/>
  <c r="AF34" i="40"/>
  <c r="AG34" i="40"/>
  <c r="AG41" i="40"/>
  <c r="AM34" i="40"/>
  <c r="AM41" i="40"/>
  <c r="L46" i="40"/>
  <c r="M46" i="40"/>
  <c r="O46" i="40"/>
  <c r="O53" i="40"/>
  <c r="W46" i="40"/>
  <c r="X46" i="40"/>
  <c r="X53" i="40"/>
  <c r="AC49" i="40"/>
  <c r="AC46" i="40"/>
  <c r="AD53" i="40"/>
  <c r="AD49" i="40"/>
  <c r="AE49" i="40"/>
  <c r="AF49" i="40"/>
  <c r="AG49" i="40"/>
  <c r="AH49" i="40"/>
  <c r="AQ48" i="40"/>
  <c r="AR48" i="40"/>
  <c r="S113" i="40"/>
  <c r="W106" i="40"/>
  <c r="X106" i="40"/>
  <c r="X113" i="40"/>
  <c r="V108" i="40"/>
  <c r="W108" i="40"/>
  <c r="X108" i="40"/>
  <c r="X114" i="40"/>
  <c r="X115" i="40"/>
  <c r="Z106" i="40"/>
  <c r="AA106" i="40"/>
  <c r="AA113" i="40"/>
  <c r="AQ106" i="40"/>
  <c r="AQ113" i="40"/>
  <c r="R58" i="41"/>
  <c r="R65" i="41"/>
  <c r="W58" i="41"/>
  <c r="W65" i="41"/>
  <c r="X58" i="41"/>
  <c r="Y58" i="41"/>
  <c r="Y65" i="41"/>
  <c r="V60" i="41"/>
  <c r="W60" i="41"/>
  <c r="X60" i="41"/>
  <c r="Y60" i="41"/>
  <c r="Y66" i="41"/>
  <c r="Y67" i="41"/>
  <c r="AF58" i="41"/>
  <c r="AG58" i="41"/>
  <c r="AG65" i="41"/>
  <c r="AC60" i="41"/>
  <c r="AD60" i="41"/>
  <c r="AE60" i="41"/>
  <c r="AF60" i="41"/>
  <c r="AG60" i="41"/>
  <c r="AH60" i="41"/>
  <c r="AI60" i="41"/>
  <c r="AJ60" i="41"/>
  <c r="L72" i="41"/>
  <c r="M72" i="41"/>
  <c r="O72" i="41"/>
  <c r="Z72" i="41"/>
  <c r="AA72" i="41"/>
  <c r="AC73" i="41"/>
  <c r="AF70" i="41"/>
  <c r="AF77" i="41"/>
  <c r="AC72" i="41"/>
  <c r="AD72" i="41"/>
  <c r="AE72" i="41"/>
  <c r="AF72" i="41"/>
  <c r="AG72" i="41"/>
  <c r="AH72" i="41"/>
  <c r="AI72" i="41"/>
  <c r="AK78" i="41"/>
  <c r="AK79" i="41"/>
  <c r="AS73" i="41"/>
  <c r="R84" i="41"/>
  <c r="S89" i="41"/>
  <c r="W82" i="41"/>
  <c r="X82" i="41"/>
  <c r="X89" i="41"/>
  <c r="V84" i="41"/>
  <c r="W84" i="41"/>
  <c r="X84" i="41"/>
  <c r="X90" i="41"/>
  <c r="X91" i="41"/>
  <c r="AC82" i="41"/>
  <c r="AD82" i="41"/>
  <c r="AE82" i="41"/>
  <c r="AE89" i="41"/>
  <c r="AC84" i="41"/>
  <c r="AD84" i="41"/>
  <c r="AE84" i="41"/>
  <c r="AE90" i="41"/>
  <c r="AE91" i="41"/>
  <c r="AF84" i="41"/>
  <c r="AF82" i="41"/>
  <c r="AG82" i="41"/>
  <c r="AH82" i="41"/>
  <c r="AH89" i="41"/>
  <c r="O97" i="41"/>
  <c r="Q94" i="41"/>
  <c r="Q101" i="41"/>
  <c r="V96" i="41"/>
  <c r="W94" i="41"/>
  <c r="X94" i="41"/>
  <c r="Y94" i="41"/>
  <c r="Y101" i="41"/>
  <c r="W96" i="41"/>
  <c r="X96" i="41"/>
  <c r="Y96" i="41"/>
  <c r="Y102" i="41"/>
  <c r="Y103" i="41"/>
  <c r="Z96" i="41"/>
  <c r="AA96" i="41"/>
  <c r="AC97" i="41"/>
  <c r="AD97" i="41"/>
  <c r="AE97" i="41"/>
  <c r="AF94" i="41"/>
  <c r="AH94" i="41"/>
  <c r="AH101" i="41"/>
  <c r="AC96" i="41"/>
  <c r="AD96" i="41"/>
  <c r="AE96" i="41"/>
  <c r="AF96" i="41"/>
  <c r="AG96" i="41"/>
  <c r="AH96" i="41"/>
  <c r="AI96" i="41"/>
  <c r="AI94" i="41"/>
  <c r="AJ101" i="41"/>
  <c r="P25" i="41"/>
  <c r="Q25" i="41"/>
  <c r="Z25" i="41"/>
  <c r="AA25" i="41"/>
  <c r="AB25" i="41"/>
  <c r="AC22" i="41"/>
  <c r="AC29" i="41"/>
  <c r="AC24" i="41"/>
  <c r="AC30" i="41"/>
  <c r="AC31" i="41"/>
  <c r="AD24" i="41"/>
  <c r="AE24" i="41"/>
  <c r="AF24" i="41"/>
  <c r="AN25" i="41"/>
  <c r="AP22" i="41"/>
  <c r="AP29" i="41"/>
  <c r="AQ24" i="41"/>
  <c r="L37" i="41"/>
  <c r="M37" i="41"/>
  <c r="P36" i="41"/>
  <c r="P42" i="41"/>
  <c r="P43" i="41"/>
  <c r="R36" i="41"/>
  <c r="W34" i="41"/>
  <c r="W41" i="41"/>
  <c r="AA34" i="41"/>
  <c r="AA41" i="41"/>
  <c r="Z36" i="41"/>
  <c r="AA36" i="41"/>
  <c r="AA42" i="41"/>
  <c r="AA43" i="41"/>
  <c r="AB36" i="41"/>
  <c r="AC34" i="41"/>
  <c r="AE34" i="41"/>
  <c r="AF34" i="41"/>
  <c r="AH34" i="41"/>
  <c r="AH41" i="41"/>
  <c r="AC36" i="41"/>
  <c r="AD36" i="41"/>
  <c r="AE36" i="41"/>
  <c r="AF36" i="41"/>
  <c r="AG36" i="41"/>
  <c r="AH36" i="41"/>
  <c r="AI36" i="41"/>
  <c r="AJ36" i="41"/>
  <c r="AL34" i="41"/>
  <c r="AL41" i="41"/>
  <c r="AR42" i="41"/>
  <c r="AR43" i="41"/>
  <c r="AS36" i="41"/>
  <c r="R49" i="41"/>
  <c r="W46" i="41"/>
  <c r="X46" i="41"/>
  <c r="Y46" i="41"/>
  <c r="Y53" i="41"/>
  <c r="V48" i="41"/>
  <c r="W48" i="41"/>
  <c r="X48" i="41"/>
  <c r="Y48" i="41"/>
  <c r="Y54" i="41"/>
  <c r="Y55" i="41"/>
  <c r="AC46" i="41"/>
  <c r="AD46" i="41"/>
  <c r="AD53" i="41"/>
  <c r="AE46" i="41"/>
  <c r="AF46" i="41"/>
  <c r="AG46" i="41"/>
  <c r="AH46" i="41"/>
  <c r="AI46" i="41"/>
  <c r="AI53" i="41"/>
  <c r="AC48" i="41"/>
  <c r="AD48" i="41"/>
  <c r="AE48" i="41"/>
  <c r="AF48" i="41"/>
  <c r="AG48" i="41"/>
  <c r="AH48" i="41"/>
  <c r="AI48" i="41"/>
  <c r="AI54" i="41"/>
  <c r="AI55" i="41"/>
  <c r="AC49" i="41"/>
  <c r="AD49" i="41"/>
  <c r="AE49" i="41"/>
  <c r="AF49" i="41"/>
  <c r="AG49" i="41"/>
  <c r="AH49" i="41"/>
  <c r="AI49" i="41"/>
  <c r="AJ49" i="41"/>
  <c r="AL48" i="41"/>
  <c r="AQ49" i="41"/>
  <c r="U150" i="35"/>
  <c r="W150" i="35"/>
  <c r="X150" i="35"/>
  <c r="U151" i="35"/>
  <c r="W151" i="35"/>
  <c r="X151" i="35"/>
  <c r="O92" i="35"/>
  <c r="O93" i="35"/>
  <c r="O70" i="35"/>
  <c r="P70" i="35"/>
  <c r="Q70" i="35"/>
  <c r="O52" i="35"/>
  <c r="O53" i="35"/>
  <c r="O42" i="35"/>
  <c r="O43" i="35"/>
  <c r="O30" i="35"/>
  <c r="P30" i="35"/>
  <c r="Q30" i="35"/>
  <c r="P32" i="35"/>
  <c r="P33" i="35"/>
  <c r="Q32" i="35"/>
  <c r="Q33" i="35"/>
  <c r="R32" i="35"/>
  <c r="R33" i="35"/>
  <c r="W32" i="35"/>
  <c r="W33" i="35"/>
  <c r="X32" i="35"/>
  <c r="X33" i="35"/>
  <c r="Y32" i="35"/>
  <c r="Y33" i="35"/>
  <c r="P22" i="35"/>
  <c r="P23" i="35"/>
  <c r="Q22" i="35"/>
  <c r="Q23" i="35"/>
  <c r="R22" i="35"/>
  <c r="R23" i="35"/>
  <c r="W22" i="35"/>
  <c r="W23" i="35"/>
  <c r="X22" i="35"/>
  <c r="X23" i="35"/>
  <c r="Y22" i="35"/>
  <c r="Y23" i="35"/>
  <c r="P20" i="35"/>
  <c r="Q20" i="35"/>
  <c r="P12" i="35"/>
  <c r="P13" i="35"/>
  <c r="Q12" i="35"/>
  <c r="Q13" i="35"/>
  <c r="R12" i="35"/>
  <c r="R13" i="35"/>
  <c r="W12" i="35"/>
  <c r="W13" i="35"/>
  <c r="X12" i="35"/>
  <c r="X13" i="35"/>
  <c r="Y12" i="35"/>
  <c r="Y13" i="35"/>
  <c r="O100" i="41"/>
  <c r="V100" i="41"/>
  <c r="AF93" i="41"/>
  <c r="AG100" i="41"/>
  <c r="O88" i="41"/>
  <c r="Z88" i="41"/>
  <c r="AC81" i="41"/>
  <c r="AD81" i="41"/>
  <c r="AE81" i="41"/>
  <c r="AF81" i="41"/>
  <c r="AG88" i="41"/>
  <c r="L76" i="41"/>
  <c r="S76" i="41"/>
  <c r="AC69" i="41"/>
  <c r="AD76" i="41"/>
  <c r="AF69" i="41"/>
  <c r="AG76" i="41"/>
  <c r="S64" i="41"/>
  <c r="V64" i="41"/>
  <c r="AF57" i="41"/>
  <c r="AG64" i="41"/>
  <c r="O52" i="41"/>
  <c r="S52" i="41"/>
  <c r="V52" i="41"/>
  <c r="Z52" i="41"/>
  <c r="O40" i="41"/>
  <c r="S40" i="41"/>
  <c r="V40" i="41"/>
  <c r="Z40" i="41"/>
  <c r="AC33" i="41"/>
  <c r="AD33" i="41"/>
  <c r="AE33" i="41"/>
  <c r="AF33" i="41"/>
  <c r="AG40" i="41"/>
  <c r="O41" i="41"/>
  <c r="L28" i="41"/>
  <c r="S28" i="41"/>
  <c r="V28" i="41"/>
  <c r="Z28" i="41"/>
  <c r="AC21" i="41"/>
  <c r="AD28" i="41"/>
  <c r="AF21" i="41"/>
  <c r="AG28" i="41"/>
  <c r="L29" i="41"/>
  <c r="O16" i="41"/>
  <c r="S16" i="41"/>
  <c r="V16" i="41"/>
  <c r="Z16" i="41"/>
  <c r="AC9" i="41"/>
  <c r="AD16" i="41"/>
  <c r="O17" i="41"/>
  <c r="S17" i="41"/>
  <c r="Z17" i="41"/>
  <c r="AF10" i="41"/>
  <c r="L112" i="40"/>
  <c r="O112" i="40"/>
  <c r="V112" i="40"/>
  <c r="AC105" i="40"/>
  <c r="AD112" i="40"/>
  <c r="M106" i="40"/>
  <c r="N106" i="40"/>
  <c r="S100" i="40"/>
  <c r="AC93" i="40"/>
  <c r="AD100" i="40"/>
  <c r="AF93" i="40"/>
  <c r="AG100" i="40"/>
  <c r="O88" i="40"/>
  <c r="S76" i="40"/>
  <c r="AF69" i="40"/>
  <c r="AG76" i="40"/>
  <c r="L64" i="40"/>
  <c r="O64" i="40"/>
  <c r="S52" i="40"/>
  <c r="AC45" i="40"/>
  <c r="AF45" i="40"/>
  <c r="AG52" i="40"/>
  <c r="O28" i="40"/>
  <c r="S28" i="40"/>
  <c r="V28" i="40"/>
  <c r="Z28" i="40"/>
  <c r="AC21" i="40"/>
  <c r="AD28" i="40"/>
  <c r="AF21" i="40"/>
  <c r="AG28" i="40"/>
  <c r="L29" i="40"/>
  <c r="AC13" i="40"/>
  <c r="AF9" i="40"/>
  <c r="AG16" i="40"/>
  <c r="O17" i="40"/>
  <c r="AF10" i="40"/>
  <c r="AG17" i="40"/>
  <c r="S136" i="39"/>
  <c r="V136" i="39"/>
  <c r="S137" i="39"/>
  <c r="S161" i="39"/>
  <c r="S162" i="39"/>
  <c r="S163" i="39"/>
  <c r="S184" i="39"/>
  <c r="S185" i="39"/>
  <c r="S233" i="39"/>
  <c r="S234" i="39"/>
  <c r="S235" i="39"/>
  <c r="S124" i="39"/>
  <c r="V124" i="39"/>
  <c r="Z124" i="39"/>
  <c r="V125" i="39"/>
  <c r="S112" i="39"/>
  <c r="V112" i="39"/>
  <c r="Z112" i="39"/>
  <c r="S100" i="39"/>
  <c r="V100" i="39"/>
  <c r="Z100" i="39"/>
  <c r="S88" i="39"/>
  <c r="V88" i="39"/>
  <c r="S76" i="39"/>
  <c r="Z76" i="39"/>
  <c r="S64" i="39"/>
  <c r="V65" i="39"/>
  <c r="S52" i="39"/>
  <c r="S40" i="39"/>
  <c r="Z40" i="39"/>
  <c r="S41" i="39"/>
  <c r="V28" i="39"/>
  <c r="V16" i="39"/>
  <c r="AE153" i="39"/>
  <c r="AF153" i="39"/>
  <c r="AE154" i="39"/>
  <c r="AF154" i="39"/>
  <c r="AC177" i="39"/>
  <c r="AC178" i="39"/>
  <c r="AC190" i="39"/>
  <c r="AC213" i="39"/>
  <c r="AC214" i="39"/>
  <c r="AE226" i="39"/>
  <c r="AF226" i="39"/>
  <c r="AC129" i="39"/>
  <c r="AD136" i="39"/>
  <c r="AE129" i="39"/>
  <c r="AF129" i="39"/>
  <c r="AG136" i="39"/>
  <c r="AC117" i="39"/>
  <c r="AD124" i="39"/>
  <c r="AE117" i="39"/>
  <c r="AF117" i="39"/>
  <c r="AG124" i="39"/>
  <c r="AE105" i="39"/>
  <c r="AF105" i="39"/>
  <c r="AG112" i="39"/>
  <c r="AC93" i="39"/>
  <c r="AD100" i="39"/>
  <c r="AE93" i="39"/>
  <c r="AF93" i="39"/>
  <c r="AG100" i="39"/>
  <c r="AC81" i="39"/>
  <c r="AD88" i="39"/>
  <c r="AE81" i="39"/>
  <c r="AF81" i="39"/>
  <c r="AG88" i="39"/>
  <c r="AC69" i="39"/>
  <c r="AD76" i="39"/>
  <c r="AE69" i="39"/>
  <c r="AF69" i="39"/>
  <c r="AG76" i="39"/>
  <c r="AC57" i="39"/>
  <c r="AD64" i="39"/>
  <c r="AE57" i="39"/>
  <c r="AF57" i="39"/>
  <c r="AG64" i="39"/>
  <c r="AE45" i="39"/>
  <c r="AF45" i="39"/>
  <c r="AG52" i="39"/>
  <c r="AC33" i="39"/>
  <c r="AD40" i="39"/>
  <c r="AC34" i="39"/>
  <c r="AD41" i="39"/>
  <c r="AC21" i="39"/>
  <c r="AD28" i="39"/>
  <c r="AE21" i="39"/>
  <c r="AF21" i="39"/>
  <c r="AG28" i="39"/>
  <c r="AE9" i="39"/>
  <c r="AF9" i="39"/>
  <c r="AG16" i="39"/>
  <c r="AE10" i="39"/>
  <c r="AF10" i="39"/>
  <c r="AG17" i="39"/>
  <c r="L124" i="38"/>
  <c r="Z124" i="38"/>
  <c r="AF117" i="38"/>
  <c r="AG124" i="38"/>
  <c r="L136" i="38"/>
  <c r="W136" i="38"/>
  <c r="L148" i="38"/>
  <c r="O148" i="38"/>
  <c r="AF141" i="38"/>
  <c r="AG148" i="38"/>
  <c r="L149" i="38"/>
  <c r="L160" i="38"/>
  <c r="O160" i="38"/>
  <c r="W160" i="38"/>
  <c r="Z160" i="38"/>
  <c r="AD160" i="38"/>
  <c r="AF153" i="38"/>
  <c r="AG160" i="38"/>
  <c r="L172" i="38"/>
  <c r="W172" i="38"/>
  <c r="Z172" i="38"/>
  <c r="AD172" i="38"/>
  <c r="AF165" i="38"/>
  <c r="AG172" i="38"/>
  <c r="L184" i="38"/>
  <c r="V177" i="38"/>
  <c r="W184" i="38"/>
  <c r="AD184" i="38"/>
  <c r="W196" i="38"/>
  <c r="Z196" i="38"/>
  <c r="AF189" i="38"/>
  <c r="AG196" i="38"/>
  <c r="L208" i="38"/>
  <c r="W208" i="38"/>
  <c r="AD208" i="38"/>
  <c r="L209" i="38"/>
  <c r="L220" i="38"/>
  <c r="O232" i="38"/>
  <c r="W232" i="38"/>
  <c r="Z232" i="38"/>
  <c r="AD232" i="38"/>
  <c r="AF225" i="38"/>
  <c r="AG232" i="38"/>
  <c r="L244" i="38"/>
  <c r="O244" i="38"/>
  <c r="Z244" i="38"/>
  <c r="W256" i="38"/>
  <c r="Z256" i="38"/>
  <c r="AD256" i="38"/>
  <c r="AF249" i="38"/>
  <c r="AG256" i="38"/>
  <c r="N250" i="38"/>
  <c r="O257" i="38"/>
  <c r="L265" i="38"/>
  <c r="Z269" i="38"/>
  <c r="AD269" i="38"/>
  <c r="AF262" i="38"/>
  <c r="AG262" i="38"/>
  <c r="AG269" i="38"/>
  <c r="Z268" i="38"/>
  <c r="AD268" i="38"/>
  <c r="AF261" i="38"/>
  <c r="AG268" i="38"/>
  <c r="L112" i="38"/>
  <c r="W112" i="38"/>
  <c r="AD112" i="38"/>
  <c r="L100" i="38"/>
  <c r="Z100" i="38"/>
  <c r="L88" i="38"/>
  <c r="O88" i="38"/>
  <c r="Z88" i="38"/>
  <c r="AD88" i="38"/>
  <c r="AF81" i="38"/>
  <c r="AG88" i="38"/>
  <c r="O89" i="38"/>
  <c r="O76" i="38"/>
  <c r="AD76" i="38"/>
  <c r="L64" i="38"/>
  <c r="O64" i="38"/>
  <c r="L52" i="38"/>
  <c r="O52" i="38"/>
  <c r="Z52" i="38"/>
  <c r="W40" i="38"/>
  <c r="AD28" i="38"/>
  <c r="AF21" i="38"/>
  <c r="AG28" i="38"/>
  <c r="L16" i="38"/>
  <c r="V9" i="38"/>
  <c r="W16" i="38"/>
  <c r="AD16" i="38"/>
  <c r="L17" i="38"/>
  <c r="V10" i="38"/>
  <c r="W17" i="38"/>
  <c r="AD17" i="38"/>
  <c r="K129" i="36"/>
  <c r="L129" i="36"/>
  <c r="M136" i="36"/>
  <c r="T136" i="36"/>
  <c r="U129" i="36"/>
  <c r="V129" i="36"/>
  <c r="W129" i="36"/>
  <c r="X136" i="36"/>
  <c r="AA136" i="36"/>
  <c r="AB129" i="36"/>
  <c r="AC129" i="36"/>
  <c r="AD136" i="36"/>
  <c r="T148" i="36"/>
  <c r="U141" i="36"/>
  <c r="V141" i="36"/>
  <c r="W141" i="36"/>
  <c r="X148" i="36"/>
  <c r="AB141" i="36"/>
  <c r="AC141" i="36"/>
  <c r="AD148" i="36"/>
  <c r="AB153" i="36"/>
  <c r="AC153" i="36"/>
  <c r="AD160" i="36"/>
  <c r="T184" i="36"/>
  <c r="AA184" i="36"/>
  <c r="AB177" i="36"/>
  <c r="AC177" i="36"/>
  <c r="AD184" i="36"/>
  <c r="K189" i="36"/>
  <c r="L189" i="36"/>
  <c r="M196" i="36"/>
  <c r="T196" i="36"/>
  <c r="U189" i="36"/>
  <c r="V189" i="36"/>
  <c r="W189" i="36"/>
  <c r="X196" i="36"/>
  <c r="T208" i="36"/>
  <c r="U201" i="36"/>
  <c r="V201" i="36"/>
  <c r="W201" i="36"/>
  <c r="X208" i="36"/>
  <c r="K225" i="36"/>
  <c r="L225" i="36"/>
  <c r="M232" i="36"/>
  <c r="T232" i="36"/>
  <c r="U225" i="36"/>
  <c r="V225" i="36"/>
  <c r="W225" i="36"/>
  <c r="X232" i="36"/>
  <c r="K117" i="36"/>
  <c r="L117" i="36"/>
  <c r="M124" i="36"/>
  <c r="T112" i="36"/>
  <c r="AB105" i="36"/>
  <c r="AC105" i="36"/>
  <c r="AD112" i="36"/>
  <c r="U93" i="36"/>
  <c r="V93" i="36"/>
  <c r="W93" i="36"/>
  <c r="X100" i="36"/>
  <c r="AB93" i="36"/>
  <c r="AC93" i="36"/>
  <c r="AD100" i="36"/>
  <c r="K81" i="36"/>
  <c r="L81" i="36"/>
  <c r="M88" i="36"/>
  <c r="U81" i="36"/>
  <c r="V81" i="36"/>
  <c r="W81" i="36"/>
  <c r="X88" i="36"/>
  <c r="AA88" i="36"/>
  <c r="K82" i="36"/>
  <c r="L82" i="36"/>
  <c r="M89" i="36"/>
  <c r="T76" i="36"/>
  <c r="U69" i="36"/>
  <c r="V69" i="36"/>
  <c r="W69" i="36"/>
  <c r="X76" i="36"/>
  <c r="AA76" i="36"/>
  <c r="K70" i="36"/>
  <c r="L70" i="36"/>
  <c r="M77" i="36"/>
  <c r="U70" i="36"/>
  <c r="V70" i="36"/>
  <c r="W70" i="36"/>
  <c r="X77" i="36"/>
  <c r="K57" i="36"/>
  <c r="L57" i="36"/>
  <c r="M64" i="36"/>
  <c r="U57" i="36"/>
  <c r="V57" i="36"/>
  <c r="W57" i="36"/>
  <c r="X64" i="36"/>
  <c r="AA64" i="36"/>
  <c r="K58" i="36"/>
  <c r="L58" i="36"/>
  <c r="M65" i="36"/>
  <c r="U45" i="36"/>
  <c r="V45" i="36"/>
  <c r="W45" i="36"/>
  <c r="X52" i="36"/>
  <c r="T40" i="36"/>
  <c r="U33" i="36"/>
  <c r="V33" i="36"/>
  <c r="W33" i="36"/>
  <c r="X40" i="36"/>
  <c r="AA40" i="36"/>
  <c r="K21" i="36"/>
  <c r="L21" i="36"/>
  <c r="M28" i="36"/>
  <c r="T28" i="36"/>
  <c r="U21" i="36"/>
  <c r="V21" i="36"/>
  <c r="W21" i="36"/>
  <c r="X28" i="36"/>
  <c r="AA28" i="36"/>
  <c r="AB21" i="36"/>
  <c r="AC21" i="36"/>
  <c r="AD28" i="36"/>
  <c r="K22" i="36"/>
  <c r="L22" i="36"/>
  <c r="M29" i="36"/>
  <c r="K9" i="36"/>
  <c r="L9" i="36"/>
  <c r="M16" i="36"/>
  <c r="T16" i="36"/>
  <c r="U9" i="36"/>
  <c r="V9" i="36"/>
  <c r="W9" i="36"/>
  <c r="T17" i="36"/>
  <c r="U10" i="36"/>
  <c r="V10" i="36"/>
  <c r="W10" i="36"/>
  <c r="X17" i="36"/>
  <c r="AA109" i="37"/>
  <c r="AB109" i="37"/>
  <c r="AC109" i="37"/>
  <c r="AA129" i="37"/>
  <c r="AB129" i="37"/>
  <c r="AC129" i="37"/>
  <c r="AA130" i="37"/>
  <c r="AB130" i="37"/>
  <c r="AC130" i="37"/>
  <c r="AA141" i="37"/>
  <c r="AB141" i="37"/>
  <c r="AC141" i="37"/>
  <c r="AA142" i="37"/>
  <c r="AB142" i="37"/>
  <c r="AC142" i="37"/>
  <c r="AA153" i="37"/>
  <c r="AB153" i="37"/>
  <c r="AC153" i="37"/>
  <c r="AD153" i="37"/>
  <c r="AE153" i="37"/>
  <c r="AF153" i="37"/>
  <c r="X169" i="37"/>
  <c r="Y169" i="37"/>
  <c r="AA189" i="37"/>
  <c r="AB189" i="37"/>
  <c r="AC189" i="37"/>
  <c r="AD189" i="37"/>
  <c r="AE189" i="37"/>
  <c r="AF189" i="37"/>
  <c r="AA190" i="37"/>
  <c r="AB190" i="37"/>
  <c r="AC190" i="37"/>
  <c r="AD190" i="37"/>
  <c r="AE190" i="37"/>
  <c r="AF190" i="37"/>
  <c r="AA225" i="37"/>
  <c r="AB225" i="37"/>
  <c r="AC225" i="37"/>
  <c r="AA226" i="37"/>
  <c r="AB226" i="37"/>
  <c r="AC226" i="37"/>
  <c r="T237" i="37"/>
  <c r="X237" i="37"/>
  <c r="Y237" i="37"/>
  <c r="T238" i="37"/>
  <c r="P100" i="37"/>
  <c r="AA81" i="37"/>
  <c r="AB81" i="37"/>
  <c r="AC81" i="37"/>
  <c r="AA82" i="37"/>
  <c r="AB82" i="37"/>
  <c r="AC82" i="37"/>
  <c r="P65" i="37"/>
  <c r="P66" i="37"/>
  <c r="P67" i="37"/>
  <c r="AE58" i="37"/>
  <c r="AF58" i="37"/>
  <c r="J45" i="37"/>
  <c r="K45" i="37"/>
  <c r="L52" i="37"/>
  <c r="P52" i="37"/>
  <c r="W52" i="37"/>
  <c r="X45" i="37"/>
  <c r="Y45" i="37"/>
  <c r="Z52" i="37"/>
  <c r="AA45" i="37"/>
  <c r="AB45" i="37"/>
  <c r="AC45" i="37"/>
  <c r="AD52" i="37"/>
  <c r="AK52" i="37"/>
  <c r="P40" i="37"/>
  <c r="W40" i="37"/>
  <c r="X33" i="37"/>
  <c r="Y33" i="37"/>
  <c r="Z40" i="37"/>
  <c r="AA33" i="37"/>
  <c r="AB33" i="37"/>
  <c r="AC33" i="37"/>
  <c r="AD33" i="37"/>
  <c r="AE33" i="37"/>
  <c r="AF33" i="37"/>
  <c r="AD34" i="37"/>
  <c r="AE34" i="37"/>
  <c r="AF34" i="37"/>
  <c r="AG41" i="37"/>
  <c r="W28" i="37"/>
  <c r="AE21" i="37"/>
  <c r="AF21" i="37"/>
  <c r="AG28" i="37"/>
  <c r="T9" i="37"/>
  <c r="U16" i="37"/>
  <c r="X9" i="37"/>
  <c r="Y9" i="37"/>
  <c r="Z16" i="37"/>
  <c r="AA9" i="37"/>
  <c r="AB9" i="37"/>
  <c r="AC9" i="37"/>
  <c r="AK16" i="37"/>
  <c r="T10" i="37"/>
  <c r="U17" i="37"/>
  <c r="X10" i="37"/>
  <c r="Y10" i="37"/>
  <c r="Z17" i="37"/>
  <c r="AA10" i="37"/>
  <c r="AB10" i="37"/>
  <c r="AC10" i="37"/>
  <c r="AD17" i="37"/>
  <c r="AK17" i="37"/>
  <c r="AA165" i="34"/>
  <c r="AB165" i="34"/>
  <c r="AC165" i="34"/>
  <c r="AD165" i="34"/>
  <c r="AA166" i="34"/>
  <c r="AB166" i="34"/>
  <c r="AC166" i="34"/>
  <c r="AD166" i="34"/>
  <c r="S177" i="34"/>
  <c r="S178" i="34"/>
  <c r="AA181" i="34"/>
  <c r="AB181" i="34"/>
  <c r="AC181" i="34"/>
  <c r="AD181" i="34"/>
  <c r="AB201" i="34"/>
  <c r="AC201" i="34"/>
  <c r="AD201" i="34"/>
  <c r="AB202" i="34"/>
  <c r="AC202" i="34"/>
  <c r="AD202" i="34"/>
  <c r="Q232" i="34"/>
  <c r="S237" i="34"/>
  <c r="S238" i="34"/>
  <c r="S121" i="34"/>
  <c r="Q101" i="34"/>
  <c r="Q102" i="34"/>
  <c r="Q103" i="34"/>
  <c r="S81" i="34"/>
  <c r="Q76" i="34"/>
  <c r="S69" i="34"/>
  <c r="S70" i="34"/>
  <c r="AA73" i="34"/>
  <c r="AB73" i="34"/>
  <c r="AC73" i="34"/>
  <c r="AD73" i="34"/>
  <c r="R57" i="34"/>
  <c r="R64" i="34"/>
  <c r="M52" i="34"/>
  <c r="X52" i="34"/>
  <c r="AA52" i="34"/>
  <c r="AE52" i="34"/>
  <c r="Q53" i="34"/>
  <c r="Q54" i="34"/>
  <c r="Q55" i="34"/>
  <c r="T53" i="34"/>
  <c r="J40" i="34"/>
  <c r="AA40" i="34"/>
  <c r="AB33" i="34"/>
  <c r="AC33" i="34"/>
  <c r="AD33" i="34"/>
  <c r="M28" i="34"/>
  <c r="X28" i="34"/>
  <c r="M16" i="34"/>
  <c r="Q16" i="34"/>
  <c r="T16" i="34"/>
  <c r="Y16" i="34"/>
  <c r="AA16" i="34"/>
  <c r="AE16" i="34"/>
  <c r="J17" i="34"/>
  <c r="Q17" i="34"/>
  <c r="Q18" i="34"/>
  <c r="Q19" i="34"/>
  <c r="T17" i="34"/>
  <c r="AA17" i="34"/>
  <c r="AI43" i="2"/>
  <c r="AI1" i="2"/>
  <c r="M195" i="2"/>
  <c r="Y70" i="35"/>
  <c r="Y71" i="35"/>
  <c r="Y80" i="35"/>
  <c r="Y81" i="35"/>
  <c r="Y90" i="35"/>
  <c r="Y91" i="35"/>
  <c r="Y100" i="35"/>
  <c r="Y101" i="35"/>
  <c r="Y110" i="35"/>
  <c r="Y111" i="35"/>
  <c r="Y120" i="35"/>
  <c r="Y121" i="35"/>
  <c r="Y130" i="35"/>
  <c r="Y131" i="35"/>
  <c r="Y140" i="35"/>
  <c r="Y141" i="35"/>
  <c r="Y60" i="35"/>
  <c r="Y61" i="35"/>
  <c r="Y50" i="35"/>
  <c r="Y51" i="35"/>
  <c r="Y40" i="35"/>
  <c r="Y41" i="35"/>
  <c r="Y30" i="35"/>
  <c r="Y31" i="35"/>
  <c r="Y20" i="35"/>
  <c r="Y21" i="35"/>
  <c r="Y10" i="35"/>
  <c r="Y11" i="35"/>
  <c r="X70" i="35"/>
  <c r="X71" i="35"/>
  <c r="X80" i="35"/>
  <c r="X81" i="35"/>
  <c r="X90" i="35"/>
  <c r="X91" i="35"/>
  <c r="X100" i="35"/>
  <c r="X101" i="35"/>
  <c r="X110" i="35"/>
  <c r="X111" i="35"/>
  <c r="X120" i="35"/>
  <c r="X121" i="35"/>
  <c r="X130" i="35"/>
  <c r="X131" i="35"/>
  <c r="X140" i="35"/>
  <c r="X141" i="35"/>
  <c r="X60" i="35"/>
  <c r="X61" i="35"/>
  <c r="X50" i="35"/>
  <c r="X51" i="35"/>
  <c r="X40" i="35"/>
  <c r="X41" i="35"/>
  <c r="X30" i="35"/>
  <c r="X31" i="35"/>
  <c r="X20" i="35"/>
  <c r="X21" i="35"/>
  <c r="X10" i="35"/>
  <c r="X11" i="35"/>
  <c r="M77" i="41"/>
  <c r="X2" i="35"/>
  <c r="W10" i="35"/>
  <c r="W11" i="35"/>
  <c r="W20" i="35"/>
  <c r="W21" i="35"/>
  <c r="W30" i="35"/>
  <c r="W31" i="35"/>
  <c r="W40" i="35"/>
  <c r="R40" i="35"/>
  <c r="S40" i="35"/>
  <c r="T40" i="35"/>
  <c r="U40" i="35"/>
  <c r="V40" i="35"/>
  <c r="Z40" i="35"/>
  <c r="AA40" i="35"/>
  <c r="AB40" i="35"/>
  <c r="AC40" i="35"/>
  <c r="AD40" i="35"/>
  <c r="AE40" i="35"/>
  <c r="AF40" i="35"/>
  <c r="AG40" i="35"/>
  <c r="AH40" i="35"/>
  <c r="AI40" i="35"/>
  <c r="AJ40" i="35"/>
  <c r="AK40" i="35"/>
  <c r="AL40" i="35"/>
  <c r="AM40" i="35"/>
  <c r="AN40" i="35"/>
  <c r="A40" i="35"/>
  <c r="S2" i="35"/>
  <c r="W41" i="35"/>
  <c r="W50" i="35"/>
  <c r="W51" i="35"/>
  <c r="W60" i="35"/>
  <c r="W61" i="35"/>
  <c r="W70" i="35"/>
  <c r="W71" i="35"/>
  <c r="W80" i="35"/>
  <c r="W81" i="35"/>
  <c r="W90" i="35"/>
  <c r="W91" i="35"/>
  <c r="W100" i="35"/>
  <c r="W101" i="35"/>
  <c r="W110" i="35"/>
  <c r="W111" i="35"/>
  <c r="W120" i="35"/>
  <c r="W121" i="35"/>
  <c r="W130" i="35"/>
  <c r="W131" i="35"/>
  <c r="W140" i="35"/>
  <c r="W141" i="35"/>
  <c r="R30" i="35"/>
  <c r="R31" i="35"/>
  <c r="O31" i="35"/>
  <c r="P31" i="35"/>
  <c r="Q31" i="35"/>
  <c r="S31" i="35"/>
  <c r="T31" i="35"/>
  <c r="U31" i="35"/>
  <c r="V31" i="35"/>
  <c r="Z31" i="35"/>
  <c r="AA31" i="35"/>
  <c r="AB31" i="35"/>
  <c r="AC31" i="35"/>
  <c r="AD31" i="35"/>
  <c r="AE31" i="35"/>
  <c r="AF31" i="35"/>
  <c r="AG31" i="35"/>
  <c r="AH31" i="35"/>
  <c r="AI31" i="35"/>
  <c r="AJ31" i="35"/>
  <c r="AK31" i="35"/>
  <c r="AL31" i="35"/>
  <c r="AM31" i="35"/>
  <c r="AN31" i="35"/>
  <c r="A31" i="35"/>
  <c r="R20" i="35"/>
  <c r="R21" i="35"/>
  <c r="R10" i="35"/>
  <c r="R11" i="35"/>
  <c r="Q21" i="35"/>
  <c r="Q10" i="35"/>
  <c r="Q11" i="35"/>
  <c r="M82" i="37"/>
  <c r="N82" i="37"/>
  <c r="O82" i="37"/>
  <c r="AM15" i="34"/>
  <c r="AN15" i="34"/>
  <c r="AO15" i="34"/>
  <c r="AP15" i="34"/>
  <c r="AQ15" i="34"/>
  <c r="AR15" i="34"/>
  <c r="AS15" i="34"/>
  <c r="AP15" i="38"/>
  <c r="AQ15" i="38"/>
  <c r="AR15" i="38"/>
  <c r="AS15" i="38"/>
  <c r="AP15" i="39"/>
  <c r="AQ15" i="39"/>
  <c r="AR15" i="39"/>
  <c r="AS15" i="39"/>
  <c r="AP15" i="41"/>
  <c r="AQ15" i="41"/>
  <c r="AR15" i="41"/>
  <c r="AS15" i="41"/>
  <c r="AP15" i="40"/>
  <c r="AQ15" i="40"/>
  <c r="AR15" i="40"/>
  <c r="AS15" i="40"/>
  <c r="O91" i="35"/>
  <c r="O41" i="35"/>
  <c r="O10" i="35"/>
  <c r="O11" i="35"/>
  <c r="P21" i="35"/>
  <c r="P10" i="35"/>
  <c r="P11" i="35"/>
  <c r="AI2" i="2"/>
  <c r="AI11" i="2"/>
  <c r="M3" i="35"/>
  <c r="N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AG3" i="35"/>
  <c r="AH3" i="35"/>
  <c r="AI3" i="35"/>
  <c r="AJ3" i="35"/>
  <c r="AK3" i="35"/>
  <c r="AL3" i="35"/>
  <c r="AM3" i="35"/>
  <c r="AN3" i="35"/>
  <c r="AO3" i="35"/>
  <c r="AP3" i="35"/>
  <c r="S10" i="35"/>
  <c r="T10" i="35"/>
  <c r="U10" i="35"/>
  <c r="V10" i="35"/>
  <c r="Z10" i="35"/>
  <c r="AA10" i="35"/>
  <c r="AB10" i="35"/>
  <c r="AC10" i="35"/>
  <c r="AD10" i="35"/>
  <c r="AE10" i="35"/>
  <c r="AF10" i="35"/>
  <c r="AG10" i="35"/>
  <c r="AH10" i="35"/>
  <c r="AI10" i="35"/>
  <c r="AJ10" i="35"/>
  <c r="AK10" i="35"/>
  <c r="AL10" i="35"/>
  <c r="AM10" i="35"/>
  <c r="AN10" i="35"/>
  <c r="AP10" i="35"/>
  <c r="S11" i="35"/>
  <c r="T11" i="35"/>
  <c r="U11" i="35"/>
  <c r="V11" i="35"/>
  <c r="Z11" i="35"/>
  <c r="AA11" i="35"/>
  <c r="AB11" i="35"/>
  <c r="AC11" i="35"/>
  <c r="AD11" i="35"/>
  <c r="AE11" i="35"/>
  <c r="AF11" i="35"/>
  <c r="AG11" i="35"/>
  <c r="AH11" i="35"/>
  <c r="AI11" i="35"/>
  <c r="AJ11" i="35"/>
  <c r="AK11" i="35"/>
  <c r="AL11" i="35"/>
  <c r="AM11" i="35"/>
  <c r="AN11" i="35"/>
  <c r="AP11" i="35"/>
  <c r="AA12" i="35"/>
  <c r="AB12" i="35"/>
  <c r="AC12" i="35"/>
  <c r="AD12" i="35"/>
  <c r="AD13" i="35"/>
  <c r="AE12" i="35"/>
  <c r="AE13" i="35"/>
  <c r="AF12" i="35"/>
  <c r="AF13" i="35"/>
  <c r="AG12" i="35"/>
  <c r="AG13" i="35"/>
  <c r="AH12" i="35"/>
  <c r="AH13" i="35"/>
  <c r="AI12" i="35"/>
  <c r="AJ12" i="35"/>
  <c r="AK12" i="35"/>
  <c r="AL12" i="35"/>
  <c r="AM12" i="35"/>
  <c r="AN12" i="35"/>
  <c r="AN13" i="35"/>
  <c r="AP12" i="35"/>
  <c r="AP13" i="35"/>
  <c r="AA13" i="35"/>
  <c r="AB13" i="35"/>
  <c r="AC13" i="35"/>
  <c r="AI13" i="35"/>
  <c r="AJ13" i="35"/>
  <c r="AK13" i="35"/>
  <c r="AL13" i="35"/>
  <c r="AM13" i="35"/>
  <c r="S20" i="35"/>
  <c r="T20" i="35"/>
  <c r="U20" i="35"/>
  <c r="V20" i="35"/>
  <c r="Z20" i="35"/>
  <c r="AA20" i="35"/>
  <c r="AB20" i="35"/>
  <c r="AC20" i="35"/>
  <c r="AD20" i="35"/>
  <c r="AE20" i="35"/>
  <c r="AF20" i="35"/>
  <c r="AG20" i="35"/>
  <c r="AH20" i="35"/>
  <c r="AI20" i="35"/>
  <c r="AJ20" i="35"/>
  <c r="AK20" i="35"/>
  <c r="AL20" i="35"/>
  <c r="AM20" i="35"/>
  <c r="AN20" i="35"/>
  <c r="AP20" i="35"/>
  <c r="S21" i="35"/>
  <c r="T21" i="35"/>
  <c r="U21" i="35"/>
  <c r="V21" i="35"/>
  <c r="Z21" i="35"/>
  <c r="AA21" i="35"/>
  <c r="AB21" i="35"/>
  <c r="AC21" i="35"/>
  <c r="AD21" i="35"/>
  <c r="AE21" i="35"/>
  <c r="AF21" i="35"/>
  <c r="AG21" i="35"/>
  <c r="AH21" i="35"/>
  <c r="AI21" i="35"/>
  <c r="AJ21" i="35"/>
  <c r="AK21" i="35"/>
  <c r="AL21" i="35"/>
  <c r="AM21" i="35"/>
  <c r="AN21" i="35"/>
  <c r="A21" i="35"/>
  <c r="AP21" i="35"/>
  <c r="AA22" i="35"/>
  <c r="AA23" i="35"/>
  <c r="AB22" i="35"/>
  <c r="AB23" i="35"/>
  <c r="AC22" i="35"/>
  <c r="AD22" i="35"/>
  <c r="AE22" i="35"/>
  <c r="AF22" i="35"/>
  <c r="AG22" i="35"/>
  <c r="AH22" i="35"/>
  <c r="AH23" i="35"/>
  <c r="AI22" i="35"/>
  <c r="AI23" i="35"/>
  <c r="AJ22" i="35"/>
  <c r="AJ23" i="35"/>
  <c r="AK22" i="35"/>
  <c r="AK23" i="35"/>
  <c r="AL22" i="35"/>
  <c r="AL23" i="35"/>
  <c r="AM22" i="35"/>
  <c r="AN22" i="35"/>
  <c r="AP22" i="35"/>
  <c r="AC23" i="35"/>
  <c r="AD23" i="35"/>
  <c r="AE23" i="35"/>
  <c r="AF23" i="35"/>
  <c r="AG23" i="35"/>
  <c r="AM23" i="35"/>
  <c r="AN23" i="35"/>
  <c r="AP23" i="35"/>
  <c r="S30" i="35"/>
  <c r="T30" i="35"/>
  <c r="U30" i="35"/>
  <c r="V30" i="35"/>
  <c r="Z30" i="35"/>
  <c r="AA30" i="35"/>
  <c r="AB30" i="35"/>
  <c r="AC30" i="35"/>
  <c r="AD30" i="35"/>
  <c r="AE30" i="35"/>
  <c r="AF30" i="35"/>
  <c r="AG30" i="35"/>
  <c r="AH30" i="35"/>
  <c r="AI30" i="35"/>
  <c r="AJ30" i="35"/>
  <c r="AK30" i="35"/>
  <c r="AL30" i="35"/>
  <c r="AM30" i="35"/>
  <c r="AN30" i="35"/>
  <c r="AP30" i="35"/>
  <c r="AP31" i="35"/>
  <c r="O32" i="35"/>
  <c r="AA32" i="35"/>
  <c r="AB32" i="35"/>
  <c r="AB33" i="35"/>
  <c r="AC32" i="35"/>
  <c r="AC33" i="35"/>
  <c r="AD32" i="35"/>
  <c r="AD33" i="35"/>
  <c r="AE32" i="35"/>
  <c r="AE33" i="35"/>
  <c r="AF32" i="35"/>
  <c r="AF33" i="35"/>
  <c r="AG32" i="35"/>
  <c r="AH32" i="35"/>
  <c r="AI32" i="35"/>
  <c r="AJ32" i="35"/>
  <c r="AK32" i="35"/>
  <c r="AL32" i="35"/>
  <c r="AL33" i="35"/>
  <c r="AM32" i="35"/>
  <c r="AM33" i="35"/>
  <c r="AN32" i="35"/>
  <c r="AN33" i="35"/>
  <c r="AP32" i="35"/>
  <c r="AP33" i="35"/>
  <c r="O33" i="35"/>
  <c r="AA33" i="35"/>
  <c r="AG33" i="35"/>
  <c r="AH33" i="35"/>
  <c r="AI33" i="35"/>
  <c r="AJ33" i="35"/>
  <c r="AK33" i="35"/>
  <c r="AP40" i="35"/>
  <c r="P41" i="35"/>
  <c r="Q41" i="35"/>
  <c r="R41" i="35"/>
  <c r="S41" i="35"/>
  <c r="T41" i="35"/>
  <c r="U41" i="35"/>
  <c r="V41" i="35"/>
  <c r="Z41" i="35"/>
  <c r="AA41" i="35"/>
  <c r="AB41" i="35"/>
  <c r="AC41" i="35"/>
  <c r="AD41" i="35"/>
  <c r="AE41" i="35"/>
  <c r="AF41" i="35"/>
  <c r="AG41" i="35"/>
  <c r="AH41" i="35"/>
  <c r="AI41" i="35"/>
  <c r="AJ41" i="35"/>
  <c r="AK41" i="35"/>
  <c r="AL41" i="35"/>
  <c r="AM41" i="35"/>
  <c r="AN41" i="35"/>
  <c r="A41" i="35"/>
  <c r="AP41" i="35"/>
  <c r="P42" i="35"/>
  <c r="P43" i="35"/>
  <c r="Q42" i="35"/>
  <c r="R42" i="35"/>
  <c r="S42" i="35"/>
  <c r="T42" i="35"/>
  <c r="U42" i="35"/>
  <c r="V42" i="35"/>
  <c r="V43" i="35"/>
  <c r="AA42" i="35"/>
  <c r="AB42" i="35"/>
  <c r="AC42" i="35"/>
  <c r="AD42" i="35"/>
  <c r="AE42" i="35"/>
  <c r="AF42" i="35"/>
  <c r="AF43" i="35"/>
  <c r="AG42" i="35"/>
  <c r="AG43" i="35"/>
  <c r="AH42" i="35"/>
  <c r="AH43" i="35"/>
  <c r="AI42" i="35"/>
  <c r="AI43" i="35"/>
  <c r="AJ42" i="35"/>
  <c r="AJ43" i="35"/>
  <c r="AK42" i="35"/>
  <c r="AL42" i="35"/>
  <c r="AM42" i="35"/>
  <c r="AN42" i="35"/>
  <c r="AP42" i="35"/>
  <c r="AP43" i="35"/>
  <c r="Q43" i="35"/>
  <c r="R43" i="35"/>
  <c r="S43" i="35"/>
  <c r="T43" i="35"/>
  <c r="U43" i="35"/>
  <c r="AA43" i="35"/>
  <c r="AB43" i="35"/>
  <c r="AC43" i="35"/>
  <c r="AD43" i="35"/>
  <c r="AE43" i="35"/>
  <c r="AK43" i="35"/>
  <c r="AL43" i="35"/>
  <c r="AM43" i="35"/>
  <c r="AN43" i="35"/>
  <c r="R50" i="35"/>
  <c r="S50" i="35"/>
  <c r="T50" i="35"/>
  <c r="U50" i="35"/>
  <c r="V50" i="35"/>
  <c r="Z50" i="35"/>
  <c r="AA50" i="35"/>
  <c r="AB50" i="35"/>
  <c r="AC50" i="35"/>
  <c r="AD50" i="35"/>
  <c r="AE50" i="35"/>
  <c r="AF50" i="35"/>
  <c r="AG50" i="35"/>
  <c r="AH50" i="35"/>
  <c r="AI50" i="35"/>
  <c r="AJ50" i="35"/>
  <c r="AK50" i="35"/>
  <c r="AL50" i="35"/>
  <c r="AM50" i="35"/>
  <c r="AN50" i="35"/>
  <c r="AP50" i="35"/>
  <c r="R51" i="35"/>
  <c r="S51" i="35"/>
  <c r="T51" i="35"/>
  <c r="U51" i="35"/>
  <c r="V51" i="35"/>
  <c r="Z51" i="35"/>
  <c r="AA51" i="35"/>
  <c r="AB51" i="35"/>
  <c r="AC51" i="35"/>
  <c r="AD51" i="35"/>
  <c r="AE51" i="35"/>
  <c r="AF51" i="35"/>
  <c r="AG51" i="35"/>
  <c r="AH51" i="35"/>
  <c r="AI51" i="35"/>
  <c r="AJ51" i="35"/>
  <c r="AK51" i="35"/>
  <c r="AL51" i="35"/>
  <c r="AM51" i="35"/>
  <c r="AN51" i="35"/>
  <c r="AP51" i="35"/>
  <c r="P52" i="35"/>
  <c r="P53" i="35"/>
  <c r="Q52" i="35"/>
  <c r="Q53" i="35"/>
  <c r="R52" i="35"/>
  <c r="R53" i="35"/>
  <c r="S52" i="35"/>
  <c r="S53" i="35"/>
  <c r="T52" i="35"/>
  <c r="T53" i="35"/>
  <c r="U52" i="35"/>
  <c r="V52" i="35"/>
  <c r="AA52" i="35"/>
  <c r="AA53" i="35"/>
  <c r="AB52" i="35"/>
  <c r="AB53" i="35"/>
  <c r="AC52" i="35"/>
  <c r="AC53" i="35"/>
  <c r="AD52" i="35"/>
  <c r="AD53" i="35"/>
  <c r="AE52" i="35"/>
  <c r="AF52" i="35"/>
  <c r="AG52" i="35"/>
  <c r="AH52" i="35"/>
  <c r="AI52" i="35"/>
  <c r="AJ52" i="35"/>
  <c r="AJ53" i="35"/>
  <c r="AK52" i="35"/>
  <c r="AK53" i="35"/>
  <c r="AL52" i="35"/>
  <c r="AL53" i="35"/>
  <c r="AM52" i="35"/>
  <c r="AM53" i="35"/>
  <c r="AN52" i="35"/>
  <c r="AN53" i="35"/>
  <c r="AP52" i="35"/>
  <c r="U53" i="35"/>
  <c r="V53" i="35"/>
  <c r="AE53" i="35"/>
  <c r="AF53" i="35"/>
  <c r="AG53" i="35"/>
  <c r="AH53" i="35"/>
  <c r="AI53" i="35"/>
  <c r="AP53" i="35"/>
  <c r="O60" i="35"/>
  <c r="P60" i="35"/>
  <c r="Q60" i="35"/>
  <c r="R60" i="35"/>
  <c r="S60" i="35"/>
  <c r="T60" i="35"/>
  <c r="U60" i="35"/>
  <c r="V60" i="35"/>
  <c r="Z60" i="35"/>
  <c r="AA60" i="35"/>
  <c r="AB60" i="35"/>
  <c r="AC60" i="35"/>
  <c r="AD60" i="35"/>
  <c r="AE60" i="35"/>
  <c r="AF60" i="35"/>
  <c r="AG60" i="35"/>
  <c r="AH60" i="35"/>
  <c r="AI60" i="35"/>
  <c r="AJ60" i="35"/>
  <c r="AK60" i="35"/>
  <c r="AL60" i="35"/>
  <c r="AM60" i="35"/>
  <c r="AN60" i="35"/>
  <c r="A58" i="35"/>
  <c r="AP60" i="35"/>
  <c r="O61" i="35"/>
  <c r="P61" i="35"/>
  <c r="Q61" i="35"/>
  <c r="R61" i="35"/>
  <c r="S61" i="35"/>
  <c r="T61" i="35"/>
  <c r="U61" i="35"/>
  <c r="V61" i="35"/>
  <c r="Z61" i="35"/>
  <c r="AA61" i="35"/>
  <c r="AB61" i="35"/>
  <c r="AC61" i="35"/>
  <c r="AD61" i="35"/>
  <c r="AE61" i="35"/>
  <c r="AF61" i="35"/>
  <c r="AG61" i="35"/>
  <c r="AH61" i="35"/>
  <c r="AI61" i="35"/>
  <c r="AJ61" i="35"/>
  <c r="AK61" i="35"/>
  <c r="AL61" i="35"/>
  <c r="AM61" i="35"/>
  <c r="AN61" i="35"/>
  <c r="AP61" i="35"/>
  <c r="O62" i="35"/>
  <c r="P62" i="35"/>
  <c r="Q62" i="35"/>
  <c r="R62" i="35"/>
  <c r="S62" i="35"/>
  <c r="T62" i="35"/>
  <c r="T63" i="35"/>
  <c r="U62" i="35"/>
  <c r="U63" i="35"/>
  <c r="V62" i="35"/>
  <c r="V63" i="35"/>
  <c r="AA62" i="35"/>
  <c r="AB62" i="35"/>
  <c r="AC62" i="35"/>
  <c r="AD62" i="35"/>
  <c r="AD63" i="35"/>
  <c r="AE62" i="35"/>
  <c r="AE63" i="35"/>
  <c r="AF62" i="35"/>
  <c r="AF63" i="35"/>
  <c r="AG62" i="35"/>
  <c r="AG63" i="35"/>
  <c r="AH62" i="35"/>
  <c r="AH63" i="35"/>
  <c r="AI62" i="35"/>
  <c r="AJ62" i="35"/>
  <c r="AK62" i="35"/>
  <c r="AL62" i="35"/>
  <c r="AM62" i="35"/>
  <c r="AN62" i="35"/>
  <c r="AN63" i="35"/>
  <c r="AP62" i="35"/>
  <c r="AP63" i="35"/>
  <c r="O63" i="35"/>
  <c r="P63" i="35"/>
  <c r="Q63" i="35"/>
  <c r="R63" i="35"/>
  <c r="S63" i="35"/>
  <c r="AA63" i="35"/>
  <c r="AB63" i="35"/>
  <c r="AC63" i="35"/>
  <c r="AI63" i="35"/>
  <c r="AJ63" i="35"/>
  <c r="AK63" i="35"/>
  <c r="AL63" i="35"/>
  <c r="AM63" i="35"/>
  <c r="R70" i="35"/>
  <c r="S70" i="35"/>
  <c r="T70" i="35"/>
  <c r="U70" i="35"/>
  <c r="V70" i="35"/>
  <c r="Z70" i="35"/>
  <c r="AA70" i="35"/>
  <c r="AB70" i="35"/>
  <c r="AC70" i="35"/>
  <c r="AD70" i="35"/>
  <c r="AF70" i="35"/>
  <c r="AH70" i="35"/>
  <c r="AI70" i="35"/>
  <c r="AJ70" i="35"/>
  <c r="AK70" i="35"/>
  <c r="AL70" i="35"/>
  <c r="AM70" i="35"/>
  <c r="AN70" i="35"/>
  <c r="AP70" i="35"/>
  <c r="O71" i="35"/>
  <c r="P71" i="35"/>
  <c r="Q71" i="35"/>
  <c r="R71" i="35"/>
  <c r="S71" i="35"/>
  <c r="T71" i="35"/>
  <c r="U71" i="35"/>
  <c r="V71" i="35"/>
  <c r="Z71" i="35"/>
  <c r="AA71" i="35"/>
  <c r="AB71" i="35"/>
  <c r="AC71" i="35"/>
  <c r="AD71" i="35"/>
  <c r="AF71" i="35"/>
  <c r="AH71" i="35"/>
  <c r="AI71" i="35"/>
  <c r="AJ71" i="35"/>
  <c r="AK71" i="35"/>
  <c r="AL71" i="35"/>
  <c r="AM71" i="35"/>
  <c r="AN71" i="35"/>
  <c r="AP71" i="35"/>
  <c r="O72" i="35"/>
  <c r="O73" i="35"/>
  <c r="P72" i="35"/>
  <c r="P73" i="35"/>
  <c r="Q72" i="35"/>
  <c r="Q73" i="35"/>
  <c r="R72" i="35"/>
  <c r="R73" i="35"/>
  <c r="S72" i="35"/>
  <c r="T72" i="35"/>
  <c r="U72" i="35"/>
  <c r="V72" i="35"/>
  <c r="AA72" i="35"/>
  <c r="AA73" i="35"/>
  <c r="AB72" i="35"/>
  <c r="AB73" i="35"/>
  <c r="AC72" i="35"/>
  <c r="AD72" i="35"/>
  <c r="AF72" i="35"/>
  <c r="AH72" i="35"/>
  <c r="AH73" i="35"/>
  <c r="AI72" i="35"/>
  <c r="AI73" i="35"/>
  <c r="AJ72" i="35"/>
  <c r="AJ73" i="35"/>
  <c r="AK72" i="35"/>
  <c r="AK73" i="35"/>
  <c r="AL72" i="35"/>
  <c r="AL73" i="35"/>
  <c r="AM72" i="35"/>
  <c r="AN72" i="35"/>
  <c r="AP72" i="35"/>
  <c r="S73" i="35"/>
  <c r="T73" i="35"/>
  <c r="U73" i="35"/>
  <c r="V73" i="35"/>
  <c r="AC73" i="35"/>
  <c r="AD73" i="35"/>
  <c r="AF73" i="35"/>
  <c r="AM73" i="35"/>
  <c r="AN73" i="35"/>
  <c r="AP73" i="35"/>
  <c r="O80" i="35"/>
  <c r="P80" i="35"/>
  <c r="Q80" i="35"/>
  <c r="R80" i="35"/>
  <c r="S80" i="35"/>
  <c r="T80" i="35"/>
  <c r="U80" i="35"/>
  <c r="V80" i="35"/>
  <c r="Z80" i="35"/>
  <c r="AA80" i="35"/>
  <c r="AB80" i="35"/>
  <c r="AC80" i="35"/>
  <c r="AD80" i="35"/>
  <c r="AF80" i="35"/>
  <c r="AH80" i="35"/>
  <c r="AI80" i="35"/>
  <c r="AJ80" i="35"/>
  <c r="AK80" i="35"/>
  <c r="AL80" i="35"/>
  <c r="AM80" i="35"/>
  <c r="AN80" i="35"/>
  <c r="AP80" i="35"/>
  <c r="O81" i="35"/>
  <c r="P81" i="35"/>
  <c r="Q81" i="35"/>
  <c r="R81" i="35"/>
  <c r="S81" i="35"/>
  <c r="T81" i="35"/>
  <c r="U81" i="35"/>
  <c r="V81" i="35"/>
  <c r="Z81" i="35"/>
  <c r="AA81" i="35"/>
  <c r="AB81" i="35"/>
  <c r="AC81" i="35"/>
  <c r="AD81" i="35"/>
  <c r="AF81" i="35"/>
  <c r="AH81" i="35"/>
  <c r="AI81" i="35"/>
  <c r="AJ81" i="35"/>
  <c r="AK81" i="35"/>
  <c r="AL81" i="35"/>
  <c r="AM81" i="35"/>
  <c r="AN81" i="35"/>
  <c r="AP81" i="35"/>
  <c r="P82" i="35"/>
  <c r="Q82" i="35"/>
  <c r="R82" i="35"/>
  <c r="R83" i="35"/>
  <c r="S82" i="35"/>
  <c r="S83" i="35"/>
  <c r="T82" i="35"/>
  <c r="T83" i="35"/>
  <c r="U82" i="35"/>
  <c r="U83" i="35"/>
  <c r="V82" i="35"/>
  <c r="V83" i="35"/>
  <c r="AA82" i="35"/>
  <c r="AB82" i="35"/>
  <c r="AB83" i="35"/>
  <c r="AC82" i="35"/>
  <c r="AC83" i="35"/>
  <c r="AD82" i="35"/>
  <c r="AD83" i="35"/>
  <c r="AF82" i="35"/>
  <c r="AF83" i="35"/>
  <c r="AG82" i="35"/>
  <c r="AH82" i="35"/>
  <c r="AI82" i="35"/>
  <c r="AJ82" i="35"/>
  <c r="AK82" i="35"/>
  <c r="AL82" i="35"/>
  <c r="AL83" i="35"/>
  <c r="AM82" i="35"/>
  <c r="AM83" i="35"/>
  <c r="AN82" i="35"/>
  <c r="AN83" i="35"/>
  <c r="AP82" i="35"/>
  <c r="AP83" i="35"/>
  <c r="P83" i="35"/>
  <c r="Q83" i="35"/>
  <c r="AA83" i="35"/>
  <c r="AG83" i="35"/>
  <c r="AH83" i="35"/>
  <c r="AI83" i="35"/>
  <c r="AJ83" i="35"/>
  <c r="AK83" i="35"/>
  <c r="R90" i="35"/>
  <c r="S90" i="35"/>
  <c r="T90" i="35"/>
  <c r="U90" i="35"/>
  <c r="V90" i="35"/>
  <c r="Z90" i="35"/>
  <c r="AA90" i="35"/>
  <c r="AB90" i="35"/>
  <c r="AC90" i="35"/>
  <c r="AE90" i="35"/>
  <c r="AF90" i="35"/>
  <c r="AG90" i="35"/>
  <c r="AH90" i="35"/>
  <c r="AI90" i="35"/>
  <c r="AK90" i="35"/>
  <c r="AL90" i="35"/>
  <c r="AM90" i="35"/>
  <c r="AN90" i="35"/>
  <c r="AP90" i="35"/>
  <c r="P91" i="35"/>
  <c r="Q91" i="35"/>
  <c r="R91" i="35"/>
  <c r="S91" i="35"/>
  <c r="T91" i="35"/>
  <c r="U91" i="35"/>
  <c r="V91" i="35"/>
  <c r="Z91" i="35"/>
  <c r="AA91" i="35"/>
  <c r="AB91" i="35"/>
  <c r="AC91" i="35"/>
  <c r="AE91" i="35"/>
  <c r="AF91" i="35"/>
  <c r="AG91" i="35"/>
  <c r="AH91" i="35"/>
  <c r="AI91" i="35"/>
  <c r="AK91" i="35"/>
  <c r="AL91" i="35"/>
  <c r="AM91" i="35"/>
  <c r="AN91" i="35"/>
  <c r="AP91" i="35"/>
  <c r="P92" i="35"/>
  <c r="P93" i="35"/>
  <c r="Q92" i="35"/>
  <c r="R92" i="35"/>
  <c r="S92" i="35"/>
  <c r="T92" i="35"/>
  <c r="U92" i="35"/>
  <c r="V92" i="35"/>
  <c r="V93" i="35"/>
  <c r="AA92" i="35"/>
  <c r="AB92" i="35"/>
  <c r="AC92" i="35"/>
  <c r="AE92" i="35"/>
  <c r="AF92" i="35"/>
  <c r="AF93" i="35"/>
  <c r="AG92" i="35"/>
  <c r="AG93" i="35"/>
  <c r="AH92" i="35"/>
  <c r="AH93" i="35"/>
  <c r="AI92" i="35"/>
  <c r="AI93" i="35"/>
  <c r="AK92" i="35"/>
  <c r="AL92" i="35"/>
  <c r="AM92" i="35"/>
  <c r="AN92" i="35"/>
  <c r="AP92" i="35"/>
  <c r="AP93" i="35"/>
  <c r="Q93" i="35"/>
  <c r="R93" i="35"/>
  <c r="S93" i="35"/>
  <c r="T93" i="35"/>
  <c r="U93" i="35"/>
  <c r="AA93" i="35"/>
  <c r="AB93" i="35"/>
  <c r="AC93" i="35"/>
  <c r="AE93" i="35"/>
  <c r="AK93" i="35"/>
  <c r="AL93" i="35"/>
  <c r="AM93" i="35"/>
  <c r="AN93" i="35"/>
  <c r="R100" i="35"/>
  <c r="S100" i="35"/>
  <c r="T100" i="35"/>
  <c r="U100" i="35"/>
  <c r="V100" i="35"/>
  <c r="Z100" i="35"/>
  <c r="AA100" i="35"/>
  <c r="AB100" i="35"/>
  <c r="AC100" i="35"/>
  <c r="AD100" i="35"/>
  <c r="AE100" i="35"/>
  <c r="AF100" i="35"/>
  <c r="AG100" i="35"/>
  <c r="AH100" i="35"/>
  <c r="AI100" i="35"/>
  <c r="AK100" i="35"/>
  <c r="AL100" i="35"/>
  <c r="AM100" i="35"/>
  <c r="AN100" i="35"/>
  <c r="AP100" i="35"/>
  <c r="O101" i="35"/>
  <c r="P101" i="35"/>
  <c r="Q101" i="35"/>
  <c r="R101" i="35"/>
  <c r="S101" i="35"/>
  <c r="T101" i="35"/>
  <c r="U101" i="35"/>
  <c r="V101" i="35"/>
  <c r="Z101" i="35"/>
  <c r="AA101" i="35"/>
  <c r="AB101" i="35"/>
  <c r="AC101" i="35"/>
  <c r="AD101" i="35"/>
  <c r="AE101" i="35"/>
  <c r="AF101" i="35"/>
  <c r="AG101" i="35"/>
  <c r="AH101" i="35"/>
  <c r="AI101" i="35"/>
  <c r="AK101" i="35"/>
  <c r="AL101" i="35"/>
  <c r="AM101" i="35"/>
  <c r="AN101" i="35"/>
  <c r="AP101" i="35"/>
  <c r="O102" i="35"/>
  <c r="P102" i="35"/>
  <c r="P103" i="35"/>
  <c r="Q102" i="35"/>
  <c r="Q103" i="35"/>
  <c r="R102" i="35"/>
  <c r="R103" i="35"/>
  <c r="S102" i="35"/>
  <c r="S103" i="35"/>
  <c r="T102" i="35"/>
  <c r="T103" i="35"/>
  <c r="U102" i="35"/>
  <c r="V102" i="35"/>
  <c r="AA102" i="35"/>
  <c r="AA103" i="35"/>
  <c r="AB102" i="35"/>
  <c r="AB103" i="35"/>
  <c r="AC102" i="35"/>
  <c r="AC103" i="35"/>
  <c r="AD102" i="35"/>
  <c r="AD103" i="35"/>
  <c r="AE102" i="35"/>
  <c r="AF102" i="35"/>
  <c r="AG102" i="35"/>
  <c r="AH102" i="35"/>
  <c r="AI102" i="35"/>
  <c r="AJ102" i="35"/>
  <c r="AJ103" i="35"/>
  <c r="AK102" i="35"/>
  <c r="AK103" i="35"/>
  <c r="AL102" i="35"/>
  <c r="AL103" i="35"/>
  <c r="AM102" i="35"/>
  <c r="AM103" i="35"/>
  <c r="AN102" i="35"/>
  <c r="AN103" i="35"/>
  <c r="AP102" i="35"/>
  <c r="O103" i="35"/>
  <c r="U103" i="35"/>
  <c r="V103" i="35"/>
  <c r="AE103" i="35"/>
  <c r="AF103" i="35"/>
  <c r="AG103" i="35"/>
  <c r="AH103" i="35"/>
  <c r="AI103" i="35"/>
  <c r="AP103" i="35"/>
  <c r="O110" i="35"/>
  <c r="P110" i="35"/>
  <c r="R110" i="35"/>
  <c r="S110" i="35"/>
  <c r="T110" i="35"/>
  <c r="U110" i="35"/>
  <c r="V110" i="35"/>
  <c r="Z110" i="35"/>
  <c r="AA110" i="35"/>
  <c r="AB110" i="35"/>
  <c r="AC110" i="35"/>
  <c r="AD110" i="35"/>
  <c r="AE110" i="35"/>
  <c r="AF110" i="35"/>
  <c r="AG110" i="35"/>
  <c r="AI110" i="35"/>
  <c r="AJ110" i="35"/>
  <c r="AK110" i="35"/>
  <c r="AM110" i="35"/>
  <c r="AN110" i="35"/>
  <c r="AP110" i="35"/>
  <c r="O111" i="35"/>
  <c r="P111" i="35"/>
  <c r="R111" i="35"/>
  <c r="S111" i="35"/>
  <c r="T111" i="35"/>
  <c r="U111" i="35"/>
  <c r="V111" i="35"/>
  <c r="Z111" i="35"/>
  <c r="AA111" i="35"/>
  <c r="AB111" i="35"/>
  <c r="AC111" i="35"/>
  <c r="AD111" i="35"/>
  <c r="AE111" i="35"/>
  <c r="AF111" i="35"/>
  <c r="AG111" i="35"/>
  <c r="AI111" i="35"/>
  <c r="AJ111" i="35"/>
  <c r="AK111" i="35"/>
  <c r="AM111" i="35"/>
  <c r="AN111" i="35"/>
  <c r="AP111" i="35"/>
  <c r="O112" i="35"/>
  <c r="P112" i="35"/>
  <c r="R112" i="35"/>
  <c r="S112" i="35"/>
  <c r="S113" i="35"/>
  <c r="T112" i="35"/>
  <c r="T113" i="35"/>
  <c r="U112" i="35"/>
  <c r="U113" i="35"/>
  <c r="V112" i="35"/>
  <c r="V113" i="35"/>
  <c r="AA112" i="35"/>
  <c r="AB112" i="35"/>
  <c r="AC112" i="35"/>
  <c r="AD112" i="35"/>
  <c r="AD113" i="35"/>
  <c r="AE112" i="35"/>
  <c r="AE113" i="35"/>
  <c r="AF112" i="35"/>
  <c r="AG112" i="35"/>
  <c r="AG113" i="35"/>
  <c r="AI112" i="35"/>
  <c r="AJ112" i="35"/>
  <c r="AK112" i="35"/>
  <c r="AM112" i="35"/>
  <c r="AN112" i="35"/>
  <c r="AN113" i="35"/>
  <c r="AP112" i="35"/>
  <c r="O113" i="35"/>
  <c r="P113" i="35"/>
  <c r="R113" i="35"/>
  <c r="AA113" i="35"/>
  <c r="AB113" i="35"/>
  <c r="AC113" i="35"/>
  <c r="AF113" i="35"/>
  <c r="AI113" i="35"/>
  <c r="AJ113" i="35"/>
  <c r="AK113" i="35"/>
  <c r="AM113" i="35"/>
  <c r="AP113" i="35"/>
  <c r="O120" i="35"/>
  <c r="P120" i="35"/>
  <c r="Q120" i="35"/>
  <c r="R120" i="35"/>
  <c r="S120" i="35"/>
  <c r="T120" i="35"/>
  <c r="U120" i="35"/>
  <c r="V120" i="35"/>
  <c r="Z120" i="35"/>
  <c r="AA120" i="35"/>
  <c r="AB120" i="35"/>
  <c r="AC120" i="35"/>
  <c r="AD120" i="35"/>
  <c r="AE120" i="35"/>
  <c r="AF120" i="35"/>
  <c r="AG120" i="35"/>
  <c r="AI120" i="35"/>
  <c r="AJ120" i="35"/>
  <c r="AK120" i="35"/>
  <c r="AM120" i="35"/>
  <c r="AN120" i="35"/>
  <c r="AP120" i="35"/>
  <c r="O121" i="35"/>
  <c r="P121" i="35"/>
  <c r="Q121" i="35"/>
  <c r="R121" i="35"/>
  <c r="S121" i="35"/>
  <c r="T121" i="35"/>
  <c r="U121" i="35"/>
  <c r="V121" i="35"/>
  <c r="Z121" i="35"/>
  <c r="AA121" i="35"/>
  <c r="AB121" i="35"/>
  <c r="AC121" i="35"/>
  <c r="AD121" i="35"/>
  <c r="AE121" i="35"/>
  <c r="AF121" i="35"/>
  <c r="AG121" i="35"/>
  <c r="AI121" i="35"/>
  <c r="AJ121" i="35"/>
  <c r="AK121" i="35"/>
  <c r="AM121" i="35"/>
  <c r="AN121" i="35"/>
  <c r="AP121" i="35"/>
  <c r="O122" i="35"/>
  <c r="O123" i="35"/>
  <c r="P122" i="35"/>
  <c r="P123" i="35"/>
  <c r="Q122" i="35"/>
  <c r="Q123" i="35"/>
  <c r="R122" i="35"/>
  <c r="R123" i="35"/>
  <c r="S122" i="35"/>
  <c r="T122" i="35"/>
  <c r="U122" i="35"/>
  <c r="V122" i="35"/>
  <c r="AA122" i="35"/>
  <c r="AA123" i="35"/>
  <c r="AB122" i="35"/>
  <c r="AB123" i="35"/>
  <c r="AC122" i="35"/>
  <c r="AD122" i="35"/>
  <c r="AE122" i="35"/>
  <c r="AF122" i="35"/>
  <c r="AG122" i="35"/>
  <c r="AI122" i="35"/>
  <c r="AI123" i="35"/>
  <c r="AJ122" i="35"/>
  <c r="AJ123" i="35"/>
  <c r="AK122" i="35"/>
  <c r="AK123" i="35"/>
  <c r="AM122" i="35"/>
  <c r="AN122" i="35"/>
  <c r="AP122" i="35"/>
  <c r="S123" i="35"/>
  <c r="T123" i="35"/>
  <c r="U123" i="35"/>
  <c r="V123" i="35"/>
  <c r="AC123" i="35"/>
  <c r="AD123" i="35"/>
  <c r="AE123" i="35"/>
  <c r="AF123" i="35"/>
  <c r="AG123" i="35"/>
  <c r="AM123" i="35"/>
  <c r="AN123" i="35"/>
  <c r="AP123" i="35"/>
  <c r="O130" i="35"/>
  <c r="R130" i="35"/>
  <c r="S130" i="35"/>
  <c r="T130" i="35"/>
  <c r="U130" i="35"/>
  <c r="V130" i="35"/>
  <c r="Z130" i="35"/>
  <c r="AB130" i="35"/>
  <c r="AC130" i="35"/>
  <c r="AD130" i="35"/>
  <c r="AE130" i="35"/>
  <c r="AF130" i="35"/>
  <c r="AG130" i="35"/>
  <c r="AI130" i="35"/>
  <c r="AJ130" i="35"/>
  <c r="AK130" i="35"/>
  <c r="AM130" i="35"/>
  <c r="AN130" i="35"/>
  <c r="A128" i="35"/>
  <c r="AP130" i="35"/>
  <c r="O131" i="35"/>
  <c r="R131" i="35"/>
  <c r="S131" i="35"/>
  <c r="T131" i="35"/>
  <c r="U131" i="35"/>
  <c r="V131" i="35"/>
  <c r="Z131" i="35"/>
  <c r="AB131" i="35"/>
  <c r="AC131" i="35"/>
  <c r="AD131" i="35"/>
  <c r="AE131" i="35"/>
  <c r="AF131" i="35"/>
  <c r="AG131" i="35"/>
  <c r="AI131" i="35"/>
  <c r="AJ131" i="35"/>
  <c r="AK131" i="35"/>
  <c r="AM131" i="35"/>
  <c r="AN131" i="35"/>
  <c r="AP131" i="35"/>
  <c r="O132" i="35"/>
  <c r="R132" i="35"/>
  <c r="R133" i="35"/>
  <c r="S132" i="35"/>
  <c r="S133" i="35"/>
  <c r="T132" i="35"/>
  <c r="T133" i="35"/>
  <c r="U132" i="35"/>
  <c r="U133" i="35"/>
  <c r="V132" i="35"/>
  <c r="V133" i="35"/>
  <c r="AB132" i="35"/>
  <c r="AB133" i="35"/>
  <c r="AC132" i="35"/>
  <c r="AC133" i="35"/>
  <c r="AD132" i="35"/>
  <c r="AD133" i="35"/>
  <c r="AE132" i="35"/>
  <c r="AE133" i="35"/>
  <c r="AF132" i="35"/>
  <c r="AF133" i="35"/>
  <c r="AG132" i="35"/>
  <c r="AI132" i="35"/>
  <c r="AJ132" i="35"/>
  <c r="AK132" i="35"/>
  <c r="AM132" i="35"/>
  <c r="AM133" i="35"/>
  <c r="AN132" i="35"/>
  <c r="AN133" i="35"/>
  <c r="AP132" i="35"/>
  <c r="AP133" i="35"/>
  <c r="O133" i="35"/>
  <c r="AG133" i="35"/>
  <c r="AI133" i="35"/>
  <c r="AJ133" i="35"/>
  <c r="AK133" i="35"/>
  <c r="O140" i="35"/>
  <c r="P140" i="35"/>
  <c r="Q140" i="35"/>
  <c r="R140" i="35"/>
  <c r="S140" i="35"/>
  <c r="T140" i="35"/>
  <c r="U140" i="35"/>
  <c r="V140" i="35"/>
  <c r="Z140" i="35"/>
  <c r="AB140" i="35"/>
  <c r="AC140" i="35"/>
  <c r="AD140" i="35"/>
  <c r="AE140" i="35"/>
  <c r="AF140" i="35"/>
  <c r="AG140" i="35"/>
  <c r="AI140" i="35"/>
  <c r="AJ140" i="35"/>
  <c r="AK140" i="35"/>
  <c r="AM140" i="35"/>
  <c r="AN140" i="35"/>
  <c r="AP140" i="35"/>
  <c r="O141" i="35"/>
  <c r="P141" i="35"/>
  <c r="Q141" i="35"/>
  <c r="R141" i="35"/>
  <c r="S141" i="35"/>
  <c r="T141" i="35"/>
  <c r="U141" i="35"/>
  <c r="V141" i="35"/>
  <c r="Z141" i="35"/>
  <c r="AB141" i="35"/>
  <c r="AC141" i="35"/>
  <c r="AD141" i="35"/>
  <c r="AE141" i="35"/>
  <c r="AF141" i="35"/>
  <c r="AG141" i="35"/>
  <c r="AI141" i="35"/>
  <c r="AJ141" i="35"/>
  <c r="AK141" i="35"/>
  <c r="AM141" i="35"/>
  <c r="AN141" i="35"/>
  <c r="AP141" i="35"/>
  <c r="O142" i="35"/>
  <c r="O143" i="35"/>
  <c r="P142" i="35"/>
  <c r="P143" i="35"/>
  <c r="Q142" i="35"/>
  <c r="R142" i="35"/>
  <c r="S142" i="35"/>
  <c r="T142" i="35"/>
  <c r="U142" i="35"/>
  <c r="V142" i="35"/>
  <c r="V143" i="35"/>
  <c r="X142" i="35"/>
  <c r="X143" i="35"/>
  <c r="Y142" i="35"/>
  <c r="Y143" i="35"/>
  <c r="Z142" i="35"/>
  <c r="Z143" i="35"/>
  <c r="AB142" i="35"/>
  <c r="AC142" i="35"/>
  <c r="AD142" i="35"/>
  <c r="AE142" i="35"/>
  <c r="AF142" i="35"/>
  <c r="AF143" i="35"/>
  <c r="AG142" i="35"/>
  <c r="AG143" i="35"/>
  <c r="AI142" i="35"/>
  <c r="AI143" i="35"/>
  <c r="AJ142" i="35"/>
  <c r="AJ143" i="35"/>
  <c r="AK142" i="35"/>
  <c r="AL142" i="35"/>
  <c r="AM142" i="35"/>
  <c r="AN142" i="35"/>
  <c r="AO142" i="35"/>
  <c r="AP142" i="35"/>
  <c r="AP143" i="35"/>
  <c r="Q143" i="35"/>
  <c r="R143" i="35"/>
  <c r="S143" i="35"/>
  <c r="T143" i="35"/>
  <c r="U143" i="35"/>
  <c r="AB143" i="35"/>
  <c r="AC143" i="35"/>
  <c r="AD143" i="35"/>
  <c r="AE143" i="35"/>
  <c r="AK143" i="35"/>
  <c r="AL143" i="35"/>
  <c r="AM143" i="35"/>
  <c r="AN143" i="35"/>
  <c r="AO143" i="35"/>
  <c r="N150" i="35"/>
  <c r="O150" i="35"/>
  <c r="P150" i="35"/>
  <c r="Q150" i="35"/>
  <c r="R150" i="35"/>
  <c r="S150" i="35"/>
  <c r="T150" i="35"/>
  <c r="Y150" i="35"/>
  <c r="Z150" i="35"/>
  <c r="AA150" i="35"/>
  <c r="AB150" i="35"/>
  <c r="AC150" i="35"/>
  <c r="AD150" i="35"/>
  <c r="AE150" i="35"/>
  <c r="AF150" i="35"/>
  <c r="AG150" i="35"/>
  <c r="AI150" i="35"/>
  <c r="AJ150" i="35"/>
  <c r="AK150" i="35"/>
  <c r="AL150" i="35"/>
  <c r="AM150" i="35"/>
  <c r="AN150" i="35"/>
  <c r="AO150" i="35"/>
  <c r="AP150" i="35"/>
  <c r="N151" i="35"/>
  <c r="O151" i="35"/>
  <c r="P151" i="35"/>
  <c r="Q151" i="35"/>
  <c r="R151" i="35"/>
  <c r="S151" i="35"/>
  <c r="T151" i="35"/>
  <c r="Y151" i="35"/>
  <c r="Z151" i="35"/>
  <c r="AA151" i="35"/>
  <c r="AB151" i="35"/>
  <c r="AC151" i="35"/>
  <c r="AD151" i="35"/>
  <c r="AE151" i="35"/>
  <c r="AF151" i="35"/>
  <c r="AG151" i="35"/>
  <c r="AI151" i="35"/>
  <c r="AJ151" i="35"/>
  <c r="AK151" i="35"/>
  <c r="AL151" i="35"/>
  <c r="AM151" i="35"/>
  <c r="AN151" i="35"/>
  <c r="AO151" i="35"/>
  <c r="AP151" i="35"/>
  <c r="N152" i="35"/>
  <c r="O152" i="35"/>
  <c r="P152" i="35"/>
  <c r="P153" i="35"/>
  <c r="Q152" i="35"/>
  <c r="Q153" i="35"/>
  <c r="R152" i="35"/>
  <c r="R153" i="35"/>
  <c r="S152" i="35"/>
  <c r="S153" i="35"/>
  <c r="T152" i="35"/>
  <c r="T153" i="35"/>
  <c r="U152" i="35"/>
  <c r="V152" i="35"/>
  <c r="X152" i="35"/>
  <c r="Y152" i="35"/>
  <c r="Z152" i="35"/>
  <c r="Z153" i="35"/>
  <c r="AA152" i="35"/>
  <c r="AA153" i="35"/>
  <c r="AB152" i="35"/>
  <c r="AB153" i="35"/>
  <c r="AC152" i="35"/>
  <c r="AC153" i="35"/>
  <c r="AD152" i="35"/>
  <c r="AD153" i="35"/>
  <c r="AE152" i="35"/>
  <c r="AF152" i="35"/>
  <c r="AG152" i="35"/>
  <c r="AI152" i="35"/>
  <c r="AJ152" i="35"/>
  <c r="AJ153" i="35"/>
  <c r="AK152" i="35"/>
  <c r="AK153" i="35"/>
  <c r="AL152" i="35"/>
  <c r="AL153" i="35"/>
  <c r="AM152" i="35"/>
  <c r="AM153" i="35"/>
  <c r="AN152" i="35"/>
  <c r="AN153" i="35"/>
  <c r="AO152" i="35"/>
  <c r="AP152" i="35"/>
  <c r="N153" i="35"/>
  <c r="O153" i="35"/>
  <c r="U153" i="35"/>
  <c r="V153" i="35"/>
  <c r="X153" i="35"/>
  <c r="Y153" i="35"/>
  <c r="AE153" i="35"/>
  <c r="AF153" i="35"/>
  <c r="AG153" i="35"/>
  <c r="AI153" i="35"/>
  <c r="AO153" i="35"/>
  <c r="AP153" i="35"/>
  <c r="M152" i="35"/>
  <c r="M153" i="35"/>
  <c r="M151" i="35"/>
  <c r="M150" i="35"/>
  <c r="A142" i="35"/>
  <c r="A131" i="35"/>
  <c r="A107" i="35"/>
  <c r="L16" i="41"/>
  <c r="M9" i="41"/>
  <c r="M16" i="41"/>
  <c r="N16" i="41"/>
  <c r="P9" i="41"/>
  <c r="P16" i="41"/>
  <c r="Q9" i="41"/>
  <c r="R9" i="41"/>
  <c r="W9" i="41"/>
  <c r="W16" i="41"/>
  <c r="X9" i="41"/>
  <c r="X16" i="41"/>
  <c r="Y16" i="41"/>
  <c r="AA9" i="41"/>
  <c r="AA16" i="41"/>
  <c r="AB9" i="41"/>
  <c r="AB16" i="41"/>
  <c r="AC16" i="41"/>
  <c r="AE16" i="41"/>
  <c r="AF9" i="41"/>
  <c r="AF16" i="41"/>
  <c r="AG9" i="41"/>
  <c r="AG16" i="41"/>
  <c r="AH9" i="41"/>
  <c r="AH16" i="41"/>
  <c r="AI9" i="41"/>
  <c r="AI16" i="41"/>
  <c r="AJ16" i="41"/>
  <c r="AK9" i="41"/>
  <c r="AK16" i="41"/>
  <c r="AL9" i="41"/>
  <c r="AL16" i="41"/>
  <c r="AM9" i="41"/>
  <c r="AM16" i="41"/>
  <c r="AN16" i="41"/>
  <c r="L17" i="41"/>
  <c r="M10" i="41"/>
  <c r="M17" i="41"/>
  <c r="N17" i="41"/>
  <c r="P10" i="41"/>
  <c r="P17" i="41"/>
  <c r="P18" i="41"/>
  <c r="P19" i="41"/>
  <c r="Q10" i="41"/>
  <c r="Q17" i="41"/>
  <c r="R10" i="41"/>
  <c r="R17" i="41"/>
  <c r="R18" i="41"/>
  <c r="R19" i="41"/>
  <c r="V17" i="41"/>
  <c r="W10" i="41"/>
  <c r="W17" i="41"/>
  <c r="X10" i="41"/>
  <c r="X17" i="41"/>
  <c r="Y10" i="41"/>
  <c r="Y17" i="41"/>
  <c r="AA10" i="41"/>
  <c r="AA17" i="41"/>
  <c r="AB10" i="41"/>
  <c r="AB17" i="41"/>
  <c r="AC10" i="41"/>
  <c r="AC17" i="41"/>
  <c r="AD10" i="41"/>
  <c r="AD17" i="41"/>
  <c r="AE17" i="41"/>
  <c r="AF17" i="41"/>
  <c r="AG17" i="41"/>
  <c r="AH10" i="41"/>
  <c r="AH17" i="41"/>
  <c r="AI10" i="41"/>
  <c r="AI17" i="41"/>
  <c r="AJ17" i="41"/>
  <c r="AK10" i="41"/>
  <c r="AK17" i="41"/>
  <c r="AL10" i="41"/>
  <c r="AL17" i="41"/>
  <c r="AM10" i="41"/>
  <c r="AM17" i="41"/>
  <c r="AN17" i="41"/>
  <c r="L12" i="41"/>
  <c r="M12" i="41"/>
  <c r="N12" i="41"/>
  <c r="O12" i="41"/>
  <c r="P12" i="41"/>
  <c r="Q12" i="41"/>
  <c r="R12" i="41"/>
  <c r="S12" i="41"/>
  <c r="V12" i="41"/>
  <c r="W12" i="41"/>
  <c r="X12" i="41"/>
  <c r="Y12" i="41"/>
  <c r="Z12" i="41"/>
  <c r="AA12" i="41"/>
  <c r="AB12" i="41"/>
  <c r="AC12" i="41"/>
  <c r="AD12" i="41"/>
  <c r="AE12" i="41"/>
  <c r="AF12" i="41"/>
  <c r="AG12" i="41"/>
  <c r="AH12" i="41"/>
  <c r="AI12" i="41"/>
  <c r="AJ12" i="41"/>
  <c r="AK12" i="41"/>
  <c r="AL12" i="41"/>
  <c r="AM12" i="41"/>
  <c r="AN12" i="41"/>
  <c r="M13" i="41"/>
  <c r="N13" i="41"/>
  <c r="O13" i="41"/>
  <c r="P13" i="41"/>
  <c r="Q13" i="41"/>
  <c r="R13" i="41"/>
  <c r="S13" i="41"/>
  <c r="V13" i="41"/>
  <c r="W13" i="41"/>
  <c r="X13" i="41"/>
  <c r="Y13" i="41"/>
  <c r="Z13" i="41"/>
  <c r="AA13" i="41"/>
  <c r="AB13" i="41"/>
  <c r="AC13" i="41"/>
  <c r="AD13" i="41"/>
  <c r="AE13" i="41"/>
  <c r="AF13" i="41"/>
  <c r="AG13" i="41"/>
  <c r="AH13" i="41"/>
  <c r="AI13" i="41"/>
  <c r="AJ13" i="41"/>
  <c r="AK13" i="41"/>
  <c r="AL13" i="41"/>
  <c r="AM13" i="41"/>
  <c r="AN13" i="41"/>
  <c r="Q16" i="41"/>
  <c r="R16" i="41"/>
  <c r="L18" i="41"/>
  <c r="L19" i="41"/>
  <c r="M18" i="41"/>
  <c r="N18" i="41"/>
  <c r="N19" i="41"/>
  <c r="Q18" i="41"/>
  <c r="Q19" i="41"/>
  <c r="V18" i="41"/>
  <c r="V19" i="41"/>
  <c r="W18" i="41"/>
  <c r="W19" i="41"/>
  <c r="X18" i="41"/>
  <c r="X19" i="41"/>
  <c r="Y18" i="41"/>
  <c r="Y19" i="41"/>
  <c r="Z18" i="41"/>
  <c r="Z19" i="41"/>
  <c r="AA18" i="41"/>
  <c r="AA19" i="41"/>
  <c r="AB18" i="41"/>
  <c r="AB19" i="41"/>
  <c r="AC18" i="41"/>
  <c r="AC19" i="41"/>
  <c r="AD18" i="41"/>
  <c r="AD19" i="41"/>
  <c r="AE18" i="41"/>
  <c r="AE19" i="41"/>
  <c r="AF18" i="41"/>
  <c r="AF19" i="41"/>
  <c r="AG18" i="41"/>
  <c r="AG19" i="41"/>
  <c r="AH18" i="41"/>
  <c r="AH19" i="41"/>
  <c r="AI18" i="41"/>
  <c r="AI19" i="41"/>
  <c r="AJ18" i="41"/>
  <c r="AJ19" i="41"/>
  <c r="AK18" i="41"/>
  <c r="AK19" i="41"/>
  <c r="AL18" i="41"/>
  <c r="AL19" i="41"/>
  <c r="AM18" i="41"/>
  <c r="AM19" i="41"/>
  <c r="AN18" i="41"/>
  <c r="AN19" i="41"/>
  <c r="M19" i="41"/>
  <c r="L24" i="41"/>
  <c r="M24" i="41"/>
  <c r="N24" i="41"/>
  <c r="M21" i="41"/>
  <c r="M28" i="41"/>
  <c r="N28" i="41"/>
  <c r="O21" i="41"/>
  <c r="O28" i="41"/>
  <c r="P21" i="41"/>
  <c r="P28" i="41"/>
  <c r="Q21" i="41"/>
  <c r="Q28" i="41"/>
  <c r="R21" i="41"/>
  <c r="R28" i="41"/>
  <c r="W21" i="41"/>
  <c r="W28" i="41"/>
  <c r="X21" i="41"/>
  <c r="X28" i="41"/>
  <c r="Y21" i="41"/>
  <c r="Y28" i="41"/>
  <c r="AA21" i="41"/>
  <c r="AA28" i="41"/>
  <c r="AB21" i="41"/>
  <c r="AB28" i="41"/>
  <c r="AC28" i="41"/>
  <c r="AE28" i="41"/>
  <c r="AF28" i="41"/>
  <c r="AH21" i="41"/>
  <c r="AH28" i="41"/>
  <c r="AI21" i="41"/>
  <c r="AI28" i="41"/>
  <c r="AJ28" i="41"/>
  <c r="AK21" i="41"/>
  <c r="AK28" i="41"/>
  <c r="AL21" i="41"/>
  <c r="AL28" i="41"/>
  <c r="AM21" i="41"/>
  <c r="AM28" i="41"/>
  <c r="AN28" i="41"/>
  <c r="M22" i="41"/>
  <c r="N22" i="41"/>
  <c r="N29" i="41"/>
  <c r="L25" i="41"/>
  <c r="M25" i="41"/>
  <c r="N25" i="41"/>
  <c r="O25" i="41"/>
  <c r="AC25" i="41"/>
  <c r="AD25" i="41"/>
  <c r="AE25" i="41"/>
  <c r="N30" i="41"/>
  <c r="N31" i="41"/>
  <c r="Q34" i="41"/>
  <c r="Q41" i="41"/>
  <c r="Q42" i="41"/>
  <c r="Q43" i="41"/>
  <c r="L36" i="41"/>
  <c r="M36" i="41"/>
  <c r="N36" i="41"/>
  <c r="O36" i="41"/>
  <c r="O42" i="41"/>
  <c r="Q36" i="41"/>
  <c r="AM34" i="41"/>
  <c r="AM41" i="41"/>
  <c r="L40" i="41"/>
  <c r="M33" i="41"/>
  <c r="M40" i="41"/>
  <c r="P33" i="41"/>
  <c r="P40" i="41"/>
  <c r="Q33" i="41"/>
  <c r="Q40" i="41"/>
  <c r="R33" i="41"/>
  <c r="R40" i="41"/>
  <c r="W33" i="41"/>
  <c r="W40" i="41"/>
  <c r="X33" i="41"/>
  <c r="X40" i="41"/>
  <c r="Y33" i="41"/>
  <c r="Y40" i="41"/>
  <c r="AA33" i="41"/>
  <c r="AA40" i="41"/>
  <c r="AB33" i="41"/>
  <c r="AB40" i="41"/>
  <c r="AC40" i="41"/>
  <c r="AD40" i="41"/>
  <c r="AE40" i="41"/>
  <c r="AF40" i="41"/>
  <c r="AH33" i="41"/>
  <c r="AH40" i="41"/>
  <c r="AI33" i="41"/>
  <c r="AI40" i="41"/>
  <c r="AJ40" i="41"/>
  <c r="AK33" i="41"/>
  <c r="AK40" i="41"/>
  <c r="AL33" i="41"/>
  <c r="AL40" i="41"/>
  <c r="AM33" i="41"/>
  <c r="AM40" i="41"/>
  <c r="AN33" i="41"/>
  <c r="AN40" i="41"/>
  <c r="X34" i="41"/>
  <c r="X41" i="41"/>
  <c r="V36" i="41"/>
  <c r="W36" i="41"/>
  <c r="X36" i="41"/>
  <c r="O37" i="41"/>
  <c r="N40" i="41"/>
  <c r="AE41" i="41"/>
  <c r="AE42" i="41"/>
  <c r="AE43" i="41"/>
  <c r="W53" i="41"/>
  <c r="L45" i="41"/>
  <c r="L52" i="41"/>
  <c r="M45" i="41"/>
  <c r="M52" i="41"/>
  <c r="N52" i="41"/>
  <c r="P45" i="41"/>
  <c r="P52" i="41"/>
  <c r="Q45" i="41"/>
  <c r="Q52" i="41"/>
  <c r="R45" i="41"/>
  <c r="R52" i="41"/>
  <c r="W45" i="41"/>
  <c r="W52" i="41"/>
  <c r="X45" i="41"/>
  <c r="X52" i="41"/>
  <c r="Y45" i="41"/>
  <c r="Y52" i="41"/>
  <c r="AA45" i="41"/>
  <c r="AA52" i="41"/>
  <c r="AB45" i="41"/>
  <c r="AB52" i="41"/>
  <c r="AC45" i="41"/>
  <c r="AC52" i="41"/>
  <c r="AD45" i="41"/>
  <c r="AD52" i="41"/>
  <c r="AE45" i="41"/>
  <c r="AE52" i="41"/>
  <c r="AF45" i="41"/>
  <c r="AF52" i="41"/>
  <c r="AG45" i="41"/>
  <c r="AG52" i="41"/>
  <c r="AH45" i="41"/>
  <c r="AH52" i="41"/>
  <c r="AI45" i="41"/>
  <c r="AI52" i="41"/>
  <c r="AJ45" i="41"/>
  <c r="AJ52" i="41"/>
  <c r="AK45" i="41"/>
  <c r="AK52" i="41"/>
  <c r="AL45" i="41"/>
  <c r="AL52" i="41"/>
  <c r="AM45" i="41"/>
  <c r="AM52" i="41"/>
  <c r="AN45" i="41"/>
  <c r="AN52" i="41"/>
  <c r="M46" i="41"/>
  <c r="M53" i="41"/>
  <c r="O53" i="41"/>
  <c r="O54" i="41"/>
  <c r="O55" i="41"/>
  <c r="P46" i="41"/>
  <c r="P53" i="41"/>
  <c r="P54" i="41"/>
  <c r="P55" i="41"/>
  <c r="O48" i="41"/>
  <c r="P48" i="41"/>
  <c r="R48" i="41"/>
  <c r="L49" i="41"/>
  <c r="M49" i="41"/>
  <c r="O49" i="41"/>
  <c r="P49" i="41"/>
  <c r="Q49" i="41"/>
  <c r="V49" i="41"/>
  <c r="W49" i="41"/>
  <c r="L61" i="41"/>
  <c r="M61" i="41"/>
  <c r="L65" i="41"/>
  <c r="M65" i="41"/>
  <c r="L60" i="41"/>
  <c r="M60" i="41"/>
  <c r="N60" i="41"/>
  <c r="O60" i="41"/>
  <c r="P60" i="41"/>
  <c r="N61" i="41"/>
  <c r="P61" i="41"/>
  <c r="L64" i="41"/>
  <c r="M64" i="41"/>
  <c r="N64" i="41"/>
  <c r="P57" i="41"/>
  <c r="Q57" i="41"/>
  <c r="Q64" i="41"/>
  <c r="R57" i="41"/>
  <c r="R64" i="41"/>
  <c r="W57" i="41"/>
  <c r="W64" i="41"/>
  <c r="X57" i="41"/>
  <c r="X64" i="41"/>
  <c r="Y57" i="41"/>
  <c r="Y64" i="41"/>
  <c r="Z57" i="41"/>
  <c r="Z64" i="41"/>
  <c r="AA57" i="41"/>
  <c r="AA64" i="41"/>
  <c r="AB57" i="41"/>
  <c r="AB64" i="41"/>
  <c r="AC57" i="41"/>
  <c r="AC64" i="41"/>
  <c r="AD57" i="41"/>
  <c r="AD64" i="41"/>
  <c r="AE64" i="41"/>
  <c r="AF64" i="41"/>
  <c r="AH57" i="41"/>
  <c r="AH64" i="41"/>
  <c r="AI57" i="41"/>
  <c r="AI64" i="41"/>
  <c r="AJ64" i="41"/>
  <c r="AK57" i="41"/>
  <c r="AK64" i="41"/>
  <c r="AL57" i="41"/>
  <c r="AL64" i="41"/>
  <c r="AM57" i="41"/>
  <c r="AM64" i="41"/>
  <c r="AN64" i="41"/>
  <c r="P58" i="41"/>
  <c r="P65" i="41"/>
  <c r="P66" i="41"/>
  <c r="P67" i="41"/>
  <c r="V61" i="41"/>
  <c r="W61" i="41"/>
  <c r="X61" i="41"/>
  <c r="AC61" i="41"/>
  <c r="AD61" i="41"/>
  <c r="AE61" i="41"/>
  <c r="AF61" i="41"/>
  <c r="AH61" i="41"/>
  <c r="AI61" i="41"/>
  <c r="AJ61" i="41"/>
  <c r="O64" i="41"/>
  <c r="P64" i="41"/>
  <c r="L66" i="41"/>
  <c r="L67" i="41"/>
  <c r="M66" i="41"/>
  <c r="M67" i="41"/>
  <c r="N65" i="41"/>
  <c r="N66" i="41"/>
  <c r="N67" i="41"/>
  <c r="L73" i="41"/>
  <c r="M73" i="41"/>
  <c r="N72" i="41"/>
  <c r="N73" i="41"/>
  <c r="Q73" i="41"/>
  <c r="M69" i="41"/>
  <c r="N76" i="41"/>
  <c r="O69" i="41"/>
  <c r="O76" i="41"/>
  <c r="P69" i="41"/>
  <c r="P76" i="41"/>
  <c r="Q69" i="41"/>
  <c r="Q76" i="41"/>
  <c r="R69" i="41"/>
  <c r="R76" i="41"/>
  <c r="V69" i="41"/>
  <c r="V76" i="41"/>
  <c r="W69" i="41"/>
  <c r="W76" i="41"/>
  <c r="X69" i="41"/>
  <c r="X76" i="41"/>
  <c r="Y69" i="41"/>
  <c r="Y76" i="41"/>
  <c r="Z76" i="41"/>
  <c r="AA69" i="41"/>
  <c r="AA76" i="41"/>
  <c r="AB69" i="41"/>
  <c r="AB76" i="41"/>
  <c r="AC76" i="41"/>
  <c r="AE76" i="41"/>
  <c r="AF76" i="41"/>
  <c r="AH69" i="41"/>
  <c r="AH76" i="41"/>
  <c r="AI69" i="41"/>
  <c r="AI76" i="41"/>
  <c r="AJ69" i="41"/>
  <c r="AJ76" i="41"/>
  <c r="AK69" i="41"/>
  <c r="AK76" i="41"/>
  <c r="AL69" i="41"/>
  <c r="AL76" i="41"/>
  <c r="AM69" i="41"/>
  <c r="AM76" i="41"/>
  <c r="AN76" i="41"/>
  <c r="L77" i="41"/>
  <c r="AG70" i="41"/>
  <c r="AG77" i="41"/>
  <c r="M76" i="41"/>
  <c r="L78" i="41"/>
  <c r="L79" i="41"/>
  <c r="N77" i="41"/>
  <c r="N78" i="41"/>
  <c r="N79" i="41"/>
  <c r="L89" i="41"/>
  <c r="M82" i="41"/>
  <c r="M89" i="41"/>
  <c r="L84" i="41"/>
  <c r="M84" i="41"/>
  <c r="M90" i="41"/>
  <c r="M91" i="41"/>
  <c r="L85" i="41"/>
  <c r="M85" i="41"/>
  <c r="N85" i="41"/>
  <c r="O85" i="41"/>
  <c r="Q85" i="41"/>
  <c r="N84" i="41"/>
  <c r="O84" i="41"/>
  <c r="O90" i="41"/>
  <c r="M81" i="41"/>
  <c r="M88" i="41"/>
  <c r="N81" i="41"/>
  <c r="N88" i="41"/>
  <c r="P81" i="41"/>
  <c r="P88" i="41"/>
  <c r="Q81" i="41"/>
  <c r="Q88" i="41"/>
  <c r="R81" i="41"/>
  <c r="R88" i="41"/>
  <c r="V88" i="41"/>
  <c r="W81" i="41"/>
  <c r="W88" i="41"/>
  <c r="X81" i="41"/>
  <c r="X88" i="41"/>
  <c r="Y81" i="41"/>
  <c r="Y88" i="41"/>
  <c r="AA81" i="41"/>
  <c r="AA88" i="41"/>
  <c r="AB81" i="41"/>
  <c r="AB88" i="41"/>
  <c r="AC88" i="41"/>
  <c r="AD88" i="41"/>
  <c r="AE88" i="41"/>
  <c r="AF88" i="41"/>
  <c r="AH81" i="41"/>
  <c r="AH88" i="41"/>
  <c r="AI81" i="41"/>
  <c r="AI88" i="41"/>
  <c r="AJ88" i="41"/>
  <c r="AK81" i="41"/>
  <c r="AK88" i="41"/>
  <c r="AL81" i="41"/>
  <c r="AL88" i="41"/>
  <c r="AM81" i="41"/>
  <c r="AM88" i="41"/>
  <c r="AN81" i="41"/>
  <c r="AN88" i="41"/>
  <c r="N82" i="41"/>
  <c r="N89" i="41"/>
  <c r="AK82" i="41"/>
  <c r="AK89" i="41"/>
  <c r="AL82" i="41"/>
  <c r="AL89" i="41"/>
  <c r="L88" i="41"/>
  <c r="S88" i="41"/>
  <c r="N90" i="41"/>
  <c r="N91" i="41"/>
  <c r="O89" i="41"/>
  <c r="AA82" i="41"/>
  <c r="AB82" i="41"/>
  <c r="AB89" i="41"/>
  <c r="Z84" i="41"/>
  <c r="AA84" i="41"/>
  <c r="AB84" i="41"/>
  <c r="AB90" i="41"/>
  <c r="AB91" i="41"/>
  <c r="AN90" i="41"/>
  <c r="AN91" i="41"/>
  <c r="L96" i="41"/>
  <c r="M93" i="41"/>
  <c r="M100" i="41"/>
  <c r="N100" i="41"/>
  <c r="P93" i="41"/>
  <c r="P100" i="41"/>
  <c r="Q93" i="41"/>
  <c r="Q100" i="41"/>
  <c r="R93" i="41"/>
  <c r="R100" i="41"/>
  <c r="S100" i="41"/>
  <c r="W93" i="41"/>
  <c r="W100" i="41"/>
  <c r="X93" i="41"/>
  <c r="X100" i="41"/>
  <c r="Y93" i="41"/>
  <c r="Y100" i="41"/>
  <c r="Z100" i="41"/>
  <c r="AA93" i="41"/>
  <c r="AA100" i="41"/>
  <c r="AB93" i="41"/>
  <c r="AB100" i="41"/>
  <c r="AC93" i="41"/>
  <c r="AC100" i="41"/>
  <c r="AD93" i="41"/>
  <c r="AD100" i="41"/>
  <c r="AE100" i="41"/>
  <c r="AF100" i="41"/>
  <c r="AH93" i="41"/>
  <c r="AH100" i="41"/>
  <c r="AI93" i="41"/>
  <c r="AI100" i="41"/>
  <c r="AJ100" i="41"/>
  <c r="AK93" i="41"/>
  <c r="AK100" i="41"/>
  <c r="AL93" i="41"/>
  <c r="AL100" i="41"/>
  <c r="AM93" i="41"/>
  <c r="AM100" i="41"/>
  <c r="AN93" i="41"/>
  <c r="AN100" i="41"/>
  <c r="L97" i="41"/>
  <c r="M97" i="41"/>
  <c r="Z97" i="41"/>
  <c r="L100" i="41"/>
  <c r="L101" i="41"/>
  <c r="L102" i="41"/>
  <c r="L103" i="41"/>
  <c r="M94" i="41"/>
  <c r="N101" i="41"/>
  <c r="M96" i="41"/>
  <c r="N96" i="41"/>
  <c r="N102" i="41"/>
  <c r="N103" i="41"/>
  <c r="AC94" i="41"/>
  <c r="AD94" i="41"/>
  <c r="AE101" i="41"/>
  <c r="AE102" i="41"/>
  <c r="AE103" i="41"/>
  <c r="L9" i="40"/>
  <c r="L16" i="40"/>
  <c r="M9" i="40"/>
  <c r="M16" i="40"/>
  <c r="N16" i="40"/>
  <c r="P16" i="40"/>
  <c r="Q9" i="40"/>
  <c r="Q16" i="40"/>
  <c r="R9" i="40"/>
  <c r="R16" i="40"/>
  <c r="S16" i="40"/>
  <c r="V16" i="40"/>
  <c r="W9" i="40"/>
  <c r="W16" i="40"/>
  <c r="X9" i="40"/>
  <c r="X16" i="40"/>
  <c r="Y9" i="40"/>
  <c r="Y16" i="40"/>
  <c r="Z16" i="40"/>
  <c r="AA9" i="40"/>
  <c r="AA16" i="40"/>
  <c r="AB9" i="40"/>
  <c r="AB16" i="40"/>
  <c r="AC9" i="40"/>
  <c r="AC16" i="40"/>
  <c r="AD9" i="40"/>
  <c r="AD16" i="40"/>
  <c r="AE16" i="40"/>
  <c r="AF16" i="40"/>
  <c r="AH9" i="40"/>
  <c r="AH16" i="40"/>
  <c r="AI9" i="40"/>
  <c r="AI16" i="40"/>
  <c r="AJ16" i="40"/>
  <c r="AK9" i="40"/>
  <c r="AK16" i="40"/>
  <c r="AL9" i="40"/>
  <c r="AL16" i="40"/>
  <c r="L10" i="40"/>
  <c r="L17" i="40"/>
  <c r="M10" i="40"/>
  <c r="M17" i="40"/>
  <c r="N17" i="40"/>
  <c r="P17" i="40"/>
  <c r="Q10" i="40"/>
  <c r="Q17" i="40"/>
  <c r="R10" i="40"/>
  <c r="R17" i="40"/>
  <c r="R18" i="40"/>
  <c r="R19" i="40"/>
  <c r="S17" i="40"/>
  <c r="V17" i="40"/>
  <c r="W10" i="40"/>
  <c r="W17" i="40"/>
  <c r="X10" i="40"/>
  <c r="X17" i="40"/>
  <c r="Y10" i="40"/>
  <c r="Y17" i="40"/>
  <c r="Z17" i="40"/>
  <c r="AA10" i="40"/>
  <c r="AA17" i="40"/>
  <c r="AB10" i="40"/>
  <c r="AB17" i="40"/>
  <c r="AC10" i="40"/>
  <c r="AC17" i="40"/>
  <c r="AD10" i="40"/>
  <c r="AD17" i="40"/>
  <c r="AE17" i="40"/>
  <c r="AF17" i="40"/>
  <c r="AH10" i="40"/>
  <c r="AH17" i="40"/>
  <c r="AI10" i="40"/>
  <c r="AI17" i="40"/>
  <c r="AJ17" i="40"/>
  <c r="AK10" i="40"/>
  <c r="AK17" i="40"/>
  <c r="AL10" i="40"/>
  <c r="AL17" i="40"/>
  <c r="L12" i="40"/>
  <c r="M12" i="40"/>
  <c r="N12" i="40"/>
  <c r="O12" i="40"/>
  <c r="P12" i="40"/>
  <c r="Q12" i="40"/>
  <c r="R12" i="40"/>
  <c r="S12" i="40"/>
  <c r="V12" i="40"/>
  <c r="W12" i="40"/>
  <c r="X12" i="40"/>
  <c r="Y12" i="40"/>
  <c r="Z12" i="40"/>
  <c r="AA12" i="40"/>
  <c r="AB12" i="40"/>
  <c r="AC12" i="40"/>
  <c r="AD12" i="40"/>
  <c r="AE12" i="40"/>
  <c r="AF12" i="40"/>
  <c r="AG12" i="40"/>
  <c r="AH12" i="40"/>
  <c r="AI12" i="40"/>
  <c r="AJ12" i="40"/>
  <c r="AK12" i="40"/>
  <c r="AL12" i="40"/>
  <c r="L13" i="40"/>
  <c r="M13" i="40"/>
  <c r="N13" i="40"/>
  <c r="O13" i="40"/>
  <c r="P13" i="40"/>
  <c r="Q13" i="40"/>
  <c r="R13" i="40"/>
  <c r="V13" i="40"/>
  <c r="W13" i="40"/>
  <c r="X13" i="40"/>
  <c r="Y13" i="40"/>
  <c r="Z13" i="40"/>
  <c r="AA13" i="40"/>
  <c r="AB13" i="40"/>
  <c r="AE13" i="40"/>
  <c r="AF13" i="40"/>
  <c r="AG13" i="40"/>
  <c r="AH13" i="40"/>
  <c r="AI13" i="40"/>
  <c r="AJ13" i="40"/>
  <c r="AK13" i="40"/>
  <c r="AL13" i="40"/>
  <c r="O16" i="40"/>
  <c r="L18" i="40"/>
  <c r="L19" i="40"/>
  <c r="M18" i="40"/>
  <c r="M19" i="40"/>
  <c r="N18" i="40"/>
  <c r="N19" i="40"/>
  <c r="O18" i="40"/>
  <c r="O19" i="40"/>
  <c r="P18" i="40"/>
  <c r="P19" i="40"/>
  <c r="V18" i="40"/>
  <c r="V19" i="40"/>
  <c r="W18" i="40"/>
  <c r="W19" i="40"/>
  <c r="X18" i="40"/>
  <c r="X19" i="40"/>
  <c r="Y18" i="40"/>
  <c r="Y19" i="40"/>
  <c r="Z18" i="40"/>
  <c r="Z19" i="40"/>
  <c r="AA18" i="40"/>
  <c r="AA19" i="40"/>
  <c r="AB18" i="40"/>
  <c r="AB19" i="40"/>
  <c r="AC18" i="40"/>
  <c r="AC19" i="40"/>
  <c r="AD18" i="40"/>
  <c r="AD19" i="40"/>
  <c r="AE18" i="40"/>
  <c r="AE19" i="40"/>
  <c r="AF18" i="40"/>
  <c r="AF19" i="40"/>
  <c r="AG18" i="40"/>
  <c r="AG19" i="40"/>
  <c r="AH18" i="40"/>
  <c r="AH19" i="40"/>
  <c r="AI18" i="40"/>
  <c r="AI19" i="40"/>
  <c r="AJ18" i="40"/>
  <c r="AJ19" i="40"/>
  <c r="AK18" i="40"/>
  <c r="AK19" i="40"/>
  <c r="AL18" i="40"/>
  <c r="AL19" i="40"/>
  <c r="P22" i="40"/>
  <c r="P29" i="40"/>
  <c r="Q22" i="40"/>
  <c r="Q29" i="40"/>
  <c r="O24" i="40"/>
  <c r="Q24" i="40"/>
  <c r="R24" i="40"/>
  <c r="M21" i="40"/>
  <c r="M28" i="40"/>
  <c r="N28" i="40"/>
  <c r="P21" i="40"/>
  <c r="P28" i="40"/>
  <c r="Q21" i="40"/>
  <c r="Q28" i="40"/>
  <c r="R21" i="40"/>
  <c r="R28" i="40"/>
  <c r="W21" i="40"/>
  <c r="W28" i="40"/>
  <c r="X21" i="40"/>
  <c r="X28" i="40"/>
  <c r="Y21" i="40"/>
  <c r="Y28" i="40"/>
  <c r="AA21" i="40"/>
  <c r="AA28" i="40"/>
  <c r="AB21" i="40"/>
  <c r="AB28" i="40"/>
  <c r="AC28" i="40"/>
  <c r="AE28" i="40"/>
  <c r="AF28" i="40"/>
  <c r="AH21" i="40"/>
  <c r="AH28" i="40"/>
  <c r="AI21" i="40"/>
  <c r="AI28" i="40"/>
  <c r="AJ28" i="40"/>
  <c r="AK21" i="40"/>
  <c r="AK28" i="40"/>
  <c r="AL21" i="40"/>
  <c r="AL28" i="40"/>
  <c r="AC24" i="40"/>
  <c r="AD24" i="40"/>
  <c r="AE24" i="40"/>
  <c r="AL24" i="40"/>
  <c r="O25" i="40"/>
  <c r="Q25" i="40"/>
  <c r="R25" i="40"/>
  <c r="AC25" i="40"/>
  <c r="AD25" i="40"/>
  <c r="AE25" i="40"/>
  <c r="L28" i="40"/>
  <c r="L24" i="40"/>
  <c r="L30" i="40"/>
  <c r="L31" i="40"/>
  <c r="P24" i="40"/>
  <c r="P30" i="40"/>
  <c r="P31" i="40"/>
  <c r="Q34" i="40"/>
  <c r="Q41" i="40"/>
  <c r="L36" i="40"/>
  <c r="M36" i="40"/>
  <c r="O36" i="40"/>
  <c r="Q36" i="40"/>
  <c r="L40" i="40"/>
  <c r="M33" i="40"/>
  <c r="M40" i="40"/>
  <c r="N33" i="40"/>
  <c r="N40" i="40"/>
  <c r="P40" i="40"/>
  <c r="Q33" i="40"/>
  <c r="Q40" i="40"/>
  <c r="R33" i="40"/>
  <c r="R40" i="40"/>
  <c r="S33" i="40"/>
  <c r="S40" i="40"/>
  <c r="V40" i="40"/>
  <c r="W33" i="40"/>
  <c r="W40" i="40"/>
  <c r="X33" i="40"/>
  <c r="X40" i="40"/>
  <c r="Y33" i="40"/>
  <c r="Y40" i="40"/>
  <c r="Z40" i="40"/>
  <c r="AA33" i="40"/>
  <c r="AA40" i="40"/>
  <c r="AB33" i="40"/>
  <c r="AB40" i="40"/>
  <c r="AC33" i="40"/>
  <c r="AC40" i="40"/>
  <c r="AD33" i="40"/>
  <c r="AD40" i="40"/>
  <c r="AE40" i="40"/>
  <c r="AF33" i="40"/>
  <c r="AF40" i="40"/>
  <c r="AG33" i="40"/>
  <c r="AG40" i="40"/>
  <c r="AH33" i="40"/>
  <c r="AH40" i="40"/>
  <c r="AI33" i="40"/>
  <c r="AI40" i="40"/>
  <c r="AJ33" i="40"/>
  <c r="AJ40" i="40"/>
  <c r="AK33" i="40"/>
  <c r="AK40" i="40"/>
  <c r="AL33" i="40"/>
  <c r="AL40" i="40"/>
  <c r="AC34" i="40"/>
  <c r="AD34" i="40"/>
  <c r="AE41" i="40"/>
  <c r="AF41" i="40"/>
  <c r="L37" i="40"/>
  <c r="M37" i="40"/>
  <c r="N37" i="40"/>
  <c r="O37" i="40"/>
  <c r="Q37" i="40"/>
  <c r="O40" i="40"/>
  <c r="N36" i="40"/>
  <c r="N42" i="40"/>
  <c r="N43" i="40"/>
  <c r="O41" i="40"/>
  <c r="O42" i="40"/>
  <c r="P41" i="40"/>
  <c r="P36" i="40"/>
  <c r="P42" i="40"/>
  <c r="P43" i="40"/>
  <c r="Q42" i="40"/>
  <c r="Q43" i="40"/>
  <c r="O43" i="40"/>
  <c r="M53" i="40"/>
  <c r="N53" i="40"/>
  <c r="M49" i="40"/>
  <c r="N49" i="40"/>
  <c r="L48" i="40"/>
  <c r="M48" i="40"/>
  <c r="N48" i="40"/>
  <c r="M45" i="40"/>
  <c r="N52" i="40"/>
  <c r="O45" i="40"/>
  <c r="O52" i="40"/>
  <c r="P52" i="40"/>
  <c r="Q45" i="40"/>
  <c r="Q52" i="40"/>
  <c r="R45" i="40"/>
  <c r="R52" i="40"/>
  <c r="V52" i="40"/>
  <c r="W45" i="40"/>
  <c r="W52" i="40"/>
  <c r="X45" i="40"/>
  <c r="X52" i="40"/>
  <c r="Y45" i="40"/>
  <c r="Y52" i="40"/>
  <c r="Z52" i="40"/>
  <c r="AA45" i="40"/>
  <c r="AA52" i="40"/>
  <c r="AB45" i="40"/>
  <c r="AB52" i="40"/>
  <c r="AC52" i="40"/>
  <c r="AD52" i="40"/>
  <c r="AE52" i="40"/>
  <c r="AF52" i="40"/>
  <c r="AH45" i="40"/>
  <c r="AH52" i="40"/>
  <c r="AI45" i="40"/>
  <c r="AI52" i="40"/>
  <c r="AJ52" i="40"/>
  <c r="AK45" i="40"/>
  <c r="AK52" i="40"/>
  <c r="AL45" i="40"/>
  <c r="AL52" i="40"/>
  <c r="AF46" i="40"/>
  <c r="AF53" i="40"/>
  <c r="AC48" i="40"/>
  <c r="AD48" i="40"/>
  <c r="AE48" i="40"/>
  <c r="AF48" i="40"/>
  <c r="AG48" i="40"/>
  <c r="AH48" i="40"/>
  <c r="L52" i="40"/>
  <c r="M52" i="40"/>
  <c r="M54" i="40"/>
  <c r="N54" i="40"/>
  <c r="V53" i="40"/>
  <c r="V48" i="40"/>
  <c r="V54" i="40"/>
  <c r="V55" i="40"/>
  <c r="W53" i="40"/>
  <c r="W48" i="40"/>
  <c r="W54" i="40"/>
  <c r="W55" i="40"/>
  <c r="M55" i="40"/>
  <c r="N55" i="40"/>
  <c r="M58" i="40"/>
  <c r="M65" i="40"/>
  <c r="N58" i="40"/>
  <c r="N65" i="40"/>
  <c r="P58" i="40"/>
  <c r="P65" i="40"/>
  <c r="L60" i="40"/>
  <c r="M60" i="40"/>
  <c r="N60" i="40"/>
  <c r="O60" i="40"/>
  <c r="P60" i="40"/>
  <c r="Q60" i="40"/>
  <c r="Z58" i="40"/>
  <c r="Z65" i="40"/>
  <c r="AC58" i="40"/>
  <c r="AE58" i="40"/>
  <c r="AF58" i="40"/>
  <c r="AG58" i="40"/>
  <c r="AH58" i="40"/>
  <c r="AI58" i="40"/>
  <c r="AJ58" i="40"/>
  <c r="AJ65" i="40"/>
  <c r="M57" i="40"/>
  <c r="M64" i="40"/>
  <c r="N64" i="40"/>
  <c r="P57" i="40"/>
  <c r="P64" i="40"/>
  <c r="Q57" i="40"/>
  <c r="Q64" i="40"/>
  <c r="R57" i="40"/>
  <c r="R64" i="40"/>
  <c r="S57" i="40"/>
  <c r="S64" i="40"/>
  <c r="V57" i="40"/>
  <c r="V64" i="40"/>
  <c r="W57" i="40"/>
  <c r="W64" i="40"/>
  <c r="X57" i="40"/>
  <c r="X64" i="40"/>
  <c r="Y57" i="40"/>
  <c r="Y64" i="40"/>
  <c r="Z64" i="40"/>
  <c r="AA57" i="40"/>
  <c r="AA64" i="40"/>
  <c r="AB57" i="40"/>
  <c r="AB64" i="40"/>
  <c r="AC57" i="40"/>
  <c r="AC64" i="40"/>
  <c r="AD57" i="40"/>
  <c r="AD64" i="40"/>
  <c r="AE57" i="40"/>
  <c r="AE64" i="40"/>
  <c r="AF57" i="40"/>
  <c r="AF64" i="40"/>
  <c r="AG57" i="40"/>
  <c r="AG64" i="40"/>
  <c r="AH57" i="40"/>
  <c r="AH64" i="40"/>
  <c r="AI57" i="40"/>
  <c r="AI64" i="40"/>
  <c r="AJ64" i="40"/>
  <c r="AK57" i="40"/>
  <c r="AK64" i="40"/>
  <c r="AL57" i="40"/>
  <c r="AL64" i="40"/>
  <c r="V60" i="40"/>
  <c r="W60" i="40"/>
  <c r="X60" i="40"/>
  <c r="Z60" i="40"/>
  <c r="AC60" i="40"/>
  <c r="AD60" i="40"/>
  <c r="AE60" i="40"/>
  <c r="AF60" i="40"/>
  <c r="AG60" i="40"/>
  <c r="AH60" i="40"/>
  <c r="AI60" i="40"/>
  <c r="AJ60" i="40"/>
  <c r="L61" i="40"/>
  <c r="M61" i="40"/>
  <c r="N61" i="40"/>
  <c r="O61" i="40"/>
  <c r="P61" i="40"/>
  <c r="Q61" i="40"/>
  <c r="Z61" i="40"/>
  <c r="AC61" i="40"/>
  <c r="AD61" i="40"/>
  <c r="AE61" i="40"/>
  <c r="AF61" i="40"/>
  <c r="AH61" i="40"/>
  <c r="AI61" i="40"/>
  <c r="AJ61" i="40"/>
  <c r="M66" i="40"/>
  <c r="M67" i="40"/>
  <c r="N66" i="40"/>
  <c r="N67" i="40"/>
  <c r="P66" i="40"/>
  <c r="P67" i="40"/>
  <c r="Z66" i="40"/>
  <c r="Z67" i="40"/>
  <c r="AJ66" i="40"/>
  <c r="AJ67" i="40"/>
  <c r="L70" i="40"/>
  <c r="L77" i="40"/>
  <c r="L72" i="40"/>
  <c r="M72" i="40"/>
  <c r="M70" i="40"/>
  <c r="M77" i="40"/>
  <c r="M78" i="40"/>
  <c r="M79" i="40"/>
  <c r="N70" i="40"/>
  <c r="N77" i="40"/>
  <c r="N72" i="40"/>
  <c r="N78" i="40"/>
  <c r="N79" i="40"/>
  <c r="P70" i="40"/>
  <c r="P77" i="40"/>
  <c r="R72" i="40"/>
  <c r="Z72" i="40"/>
  <c r="AA72" i="40"/>
  <c r="AB72" i="40"/>
  <c r="AC72" i="40"/>
  <c r="AD72" i="40"/>
  <c r="AE72" i="40"/>
  <c r="AF72" i="40"/>
  <c r="AG72" i="40"/>
  <c r="L76" i="40"/>
  <c r="M69" i="40"/>
  <c r="M76" i="40"/>
  <c r="N69" i="40"/>
  <c r="O69" i="40"/>
  <c r="O76" i="40"/>
  <c r="P69" i="40"/>
  <c r="P76" i="40"/>
  <c r="Q69" i="40"/>
  <c r="R69" i="40"/>
  <c r="R76" i="40"/>
  <c r="V76" i="40"/>
  <c r="W69" i="40"/>
  <c r="W76" i="40"/>
  <c r="X69" i="40"/>
  <c r="X76" i="40"/>
  <c r="Y69" i="40"/>
  <c r="Y76" i="40"/>
  <c r="Z69" i="40"/>
  <c r="Z76" i="40"/>
  <c r="AA69" i="40"/>
  <c r="AA76" i="40"/>
  <c r="AB69" i="40"/>
  <c r="AB76" i="40"/>
  <c r="AC69" i="40"/>
  <c r="AC76" i="40"/>
  <c r="AD69" i="40"/>
  <c r="AD76" i="40"/>
  <c r="AE76" i="40"/>
  <c r="AF76" i="40"/>
  <c r="AH69" i="40"/>
  <c r="AH76" i="40"/>
  <c r="AI69" i="40"/>
  <c r="AI76" i="40"/>
  <c r="AJ76" i="40"/>
  <c r="AK69" i="40"/>
  <c r="AK76" i="40"/>
  <c r="AL69" i="40"/>
  <c r="AL76" i="40"/>
  <c r="AH72" i="40"/>
  <c r="X73" i="40"/>
  <c r="N76" i="40"/>
  <c r="Q76" i="40"/>
  <c r="L78" i="40"/>
  <c r="L79" i="40"/>
  <c r="L82" i="40"/>
  <c r="M82" i="40"/>
  <c r="N82" i="40"/>
  <c r="N89" i="40"/>
  <c r="O82" i="40"/>
  <c r="O89" i="40"/>
  <c r="P89" i="40"/>
  <c r="Q82" i="40"/>
  <c r="Q89" i="40"/>
  <c r="R82" i="40"/>
  <c r="R89" i="40"/>
  <c r="O84" i="40"/>
  <c r="P84" i="40"/>
  <c r="O85" i="40"/>
  <c r="P85" i="40"/>
  <c r="L81" i="40"/>
  <c r="L88" i="40"/>
  <c r="M81" i="40"/>
  <c r="N81" i="40"/>
  <c r="N88" i="40"/>
  <c r="P88" i="40"/>
  <c r="Q81" i="40"/>
  <c r="Q88" i="40"/>
  <c r="R81" i="40"/>
  <c r="R88" i="40"/>
  <c r="S81" i="40"/>
  <c r="S88" i="40"/>
  <c r="V81" i="40"/>
  <c r="V88" i="40"/>
  <c r="W81" i="40"/>
  <c r="W88" i="40"/>
  <c r="X81" i="40"/>
  <c r="X88" i="40"/>
  <c r="Y81" i="40"/>
  <c r="Y88" i="40"/>
  <c r="Z88" i="40"/>
  <c r="AA81" i="40"/>
  <c r="AA88" i="40"/>
  <c r="AB81" i="40"/>
  <c r="AB88" i="40"/>
  <c r="AC81" i="40"/>
  <c r="AC88" i="40"/>
  <c r="AD81" i="40"/>
  <c r="AD88" i="40"/>
  <c r="AE81" i="40"/>
  <c r="AE88" i="40"/>
  <c r="AF81" i="40"/>
  <c r="AF88" i="40"/>
  <c r="AG81" i="40"/>
  <c r="AG88" i="40"/>
  <c r="AH81" i="40"/>
  <c r="AH88" i="40"/>
  <c r="AI81" i="40"/>
  <c r="AI88" i="40"/>
  <c r="AJ81" i="40"/>
  <c r="AJ88" i="40"/>
  <c r="AK81" i="40"/>
  <c r="AK88" i="40"/>
  <c r="AL81" i="40"/>
  <c r="AL88" i="40"/>
  <c r="AE82" i="40"/>
  <c r="AF82" i="40"/>
  <c r="AG82" i="40"/>
  <c r="AH82" i="40"/>
  <c r="AI82" i="40"/>
  <c r="AJ82" i="40"/>
  <c r="AJ89" i="40"/>
  <c r="M88" i="40"/>
  <c r="O90" i="40"/>
  <c r="O91" i="40"/>
  <c r="P90" i="40"/>
  <c r="P91" i="40"/>
  <c r="O94" i="40"/>
  <c r="O101" i="40"/>
  <c r="Q94" i="40"/>
  <c r="Q101" i="40"/>
  <c r="O96" i="40"/>
  <c r="O97" i="40"/>
  <c r="AL94" i="40"/>
  <c r="AL101" i="40"/>
  <c r="L93" i="40"/>
  <c r="L100" i="40"/>
  <c r="M93" i="40"/>
  <c r="M100" i="40"/>
  <c r="N100" i="40"/>
  <c r="O93" i="40"/>
  <c r="O100" i="40"/>
  <c r="P100" i="40"/>
  <c r="Q93" i="40"/>
  <c r="R93" i="40"/>
  <c r="V100" i="40"/>
  <c r="W93" i="40"/>
  <c r="W100" i="40"/>
  <c r="X93" i="40"/>
  <c r="X100" i="40"/>
  <c r="Y93" i="40"/>
  <c r="Y100" i="40"/>
  <c r="Z93" i="40"/>
  <c r="Z100" i="40"/>
  <c r="AA93" i="40"/>
  <c r="AA100" i="40"/>
  <c r="AB93" i="40"/>
  <c r="AB100" i="40"/>
  <c r="AC100" i="40"/>
  <c r="AE100" i="40"/>
  <c r="AF100" i="40"/>
  <c r="AH93" i="40"/>
  <c r="AH100" i="40"/>
  <c r="AI93" i="40"/>
  <c r="AI100" i="40"/>
  <c r="AJ93" i="40"/>
  <c r="AJ100" i="40"/>
  <c r="AK93" i="40"/>
  <c r="AK100" i="40"/>
  <c r="AL93" i="40"/>
  <c r="AL100" i="40"/>
  <c r="V94" i="40"/>
  <c r="W94" i="40"/>
  <c r="X94" i="40"/>
  <c r="Y94" i="40"/>
  <c r="Y101" i="40"/>
  <c r="AL96" i="40"/>
  <c r="AI97" i="40"/>
  <c r="AJ97" i="40"/>
  <c r="Q100" i="40"/>
  <c r="R100" i="40"/>
  <c r="O102" i="40"/>
  <c r="O103" i="40"/>
  <c r="AK102" i="40"/>
  <c r="AK103" i="40"/>
  <c r="N113" i="40"/>
  <c r="L108" i="40"/>
  <c r="M108" i="40"/>
  <c r="N108" i="40"/>
  <c r="O108" i="40"/>
  <c r="L109" i="40"/>
  <c r="M109" i="40"/>
  <c r="N109" i="40"/>
  <c r="O109" i="40"/>
  <c r="M105" i="40"/>
  <c r="M112" i="40"/>
  <c r="N105" i="40"/>
  <c r="N112" i="40"/>
  <c r="Q105" i="40"/>
  <c r="Q112" i="40"/>
  <c r="R105" i="40"/>
  <c r="R112" i="40"/>
  <c r="S112" i="40"/>
  <c r="W105" i="40"/>
  <c r="W112" i="40"/>
  <c r="X105" i="40"/>
  <c r="X112" i="40"/>
  <c r="Y105" i="40"/>
  <c r="Y112" i="40"/>
  <c r="Z105" i="40"/>
  <c r="Z112" i="40"/>
  <c r="AA105" i="40"/>
  <c r="AA112" i="40"/>
  <c r="AB105" i="40"/>
  <c r="AB112" i="40"/>
  <c r="AC112" i="40"/>
  <c r="AE112" i="40"/>
  <c r="AF105" i="40"/>
  <c r="AF112" i="40"/>
  <c r="AG105" i="40"/>
  <c r="AG112" i="40"/>
  <c r="AH105" i="40"/>
  <c r="AH112" i="40"/>
  <c r="AI105" i="40"/>
  <c r="AI112" i="40"/>
  <c r="AJ105" i="40"/>
  <c r="AK105" i="40"/>
  <c r="AK112" i="40"/>
  <c r="AL105" i="40"/>
  <c r="AL112" i="40"/>
  <c r="Q106" i="40"/>
  <c r="Q113" i="40"/>
  <c r="R106" i="40"/>
  <c r="R113" i="40"/>
  <c r="AC106" i="40"/>
  <c r="AE106" i="40"/>
  <c r="AF106" i="40"/>
  <c r="AF113" i="40"/>
  <c r="AC108" i="40"/>
  <c r="AC109" i="40"/>
  <c r="AD109" i="40"/>
  <c r="AE109" i="40"/>
  <c r="AF109" i="40"/>
  <c r="P112" i="40"/>
  <c r="AJ112" i="40"/>
  <c r="N114" i="40"/>
  <c r="N115" i="40"/>
  <c r="O113" i="40"/>
  <c r="O114" i="40"/>
  <c r="O115" i="40"/>
  <c r="P106" i="40"/>
  <c r="P113" i="40"/>
  <c r="P108" i="40"/>
  <c r="P114" i="40"/>
  <c r="P115" i="40"/>
  <c r="AL114" i="40"/>
  <c r="AL115" i="40"/>
  <c r="Q9" i="39"/>
  <c r="Q16" i="39"/>
  <c r="R9" i="39"/>
  <c r="R16" i="39"/>
  <c r="W9" i="39"/>
  <c r="W16" i="39"/>
  <c r="X9" i="39"/>
  <c r="X16" i="39"/>
  <c r="Y9" i="39"/>
  <c r="Y16" i="39"/>
  <c r="Z16" i="39"/>
  <c r="AA9" i="39"/>
  <c r="AA16" i="39"/>
  <c r="AB9" i="39"/>
  <c r="AC9" i="39"/>
  <c r="AC16" i="39"/>
  <c r="AD16" i="39"/>
  <c r="AE16" i="39"/>
  <c r="AF16" i="39"/>
  <c r="AH9" i="39"/>
  <c r="AH16" i="39"/>
  <c r="AI9" i="39"/>
  <c r="AI16" i="39"/>
  <c r="AJ16" i="39"/>
  <c r="AK9" i="39"/>
  <c r="AK16" i="39"/>
  <c r="AL9" i="39"/>
  <c r="AL16" i="39"/>
  <c r="AM9" i="39"/>
  <c r="AM16" i="39"/>
  <c r="Q10" i="39"/>
  <c r="Q17" i="39"/>
  <c r="Q18" i="39"/>
  <c r="Q19" i="39"/>
  <c r="R10" i="39"/>
  <c r="R17" i="39"/>
  <c r="S17" i="39"/>
  <c r="S18" i="39"/>
  <c r="S19" i="39"/>
  <c r="V17" i="39"/>
  <c r="W10" i="39"/>
  <c r="W17" i="39"/>
  <c r="X10" i="39"/>
  <c r="X17" i="39"/>
  <c r="Y10" i="39"/>
  <c r="Y17" i="39"/>
  <c r="Z17" i="39"/>
  <c r="AA10" i="39"/>
  <c r="AA17" i="39"/>
  <c r="AB10" i="39"/>
  <c r="AB17" i="39"/>
  <c r="AC10" i="39"/>
  <c r="AC17" i="39"/>
  <c r="AD17" i="39"/>
  <c r="AE17" i="39"/>
  <c r="AF17" i="39"/>
  <c r="AH10" i="39"/>
  <c r="AH17" i="39"/>
  <c r="AI10" i="39"/>
  <c r="AI17" i="39"/>
  <c r="AJ17" i="39"/>
  <c r="AK10" i="39"/>
  <c r="AK17" i="39"/>
  <c r="AL10" i="39"/>
  <c r="AL17" i="39"/>
  <c r="AM10" i="39"/>
  <c r="AM17" i="39"/>
  <c r="M12" i="39"/>
  <c r="N12" i="39"/>
  <c r="O12" i="39"/>
  <c r="P12" i="39"/>
  <c r="Q12" i="39"/>
  <c r="R12" i="39"/>
  <c r="R18" i="39"/>
  <c r="R19" i="39"/>
  <c r="S12" i="39"/>
  <c r="V12" i="39"/>
  <c r="W12" i="39"/>
  <c r="X12" i="39"/>
  <c r="Y12" i="39"/>
  <c r="Z12" i="39"/>
  <c r="AA12" i="39"/>
  <c r="AB12" i="39"/>
  <c r="AC12" i="39"/>
  <c r="AD12" i="39"/>
  <c r="AE12" i="39"/>
  <c r="AF12" i="39"/>
  <c r="AG12" i="39"/>
  <c r="AH12" i="39"/>
  <c r="AI12" i="39"/>
  <c r="AJ12" i="39"/>
  <c r="AK12" i="39"/>
  <c r="AL12" i="39"/>
  <c r="AM12" i="39"/>
  <c r="M13" i="39"/>
  <c r="N13" i="39"/>
  <c r="O13" i="39"/>
  <c r="P13" i="39"/>
  <c r="Q13" i="39"/>
  <c r="R13" i="39"/>
  <c r="V13" i="39"/>
  <c r="W13" i="39"/>
  <c r="X13" i="39"/>
  <c r="Y13" i="39"/>
  <c r="Z13" i="39"/>
  <c r="AA13" i="39"/>
  <c r="AB13" i="39"/>
  <c r="AC13" i="39"/>
  <c r="AD13" i="39"/>
  <c r="AE13" i="39"/>
  <c r="AF13" i="39"/>
  <c r="AG13" i="39"/>
  <c r="AH13" i="39"/>
  <c r="AI13" i="39"/>
  <c r="AJ13" i="39"/>
  <c r="AK13" i="39"/>
  <c r="AL13" i="39"/>
  <c r="AM13" i="39"/>
  <c r="S16" i="39"/>
  <c r="AB16" i="39"/>
  <c r="V18" i="39"/>
  <c r="V19" i="39"/>
  <c r="W18" i="39"/>
  <c r="W19" i="39"/>
  <c r="X18" i="39"/>
  <c r="X19" i="39"/>
  <c r="Y18" i="39"/>
  <c r="Y19" i="39"/>
  <c r="Z18" i="39"/>
  <c r="Z19" i="39"/>
  <c r="AA18" i="39"/>
  <c r="AA19" i="39"/>
  <c r="AB18" i="39"/>
  <c r="AB19" i="39"/>
  <c r="AC18" i="39"/>
  <c r="AC19" i="39"/>
  <c r="AD18" i="39"/>
  <c r="AD19" i="39"/>
  <c r="AE18" i="39"/>
  <c r="AE19" i="39"/>
  <c r="AF18" i="39"/>
  <c r="AF19" i="39"/>
  <c r="AG18" i="39"/>
  <c r="AG19" i="39"/>
  <c r="AH18" i="39"/>
  <c r="AH19" i="39"/>
  <c r="AI18" i="39"/>
  <c r="AI19" i="39"/>
  <c r="AJ18" i="39"/>
  <c r="AJ19" i="39"/>
  <c r="AK18" i="39"/>
  <c r="AK19" i="39"/>
  <c r="AL18" i="39"/>
  <c r="AL19" i="39"/>
  <c r="AM18" i="39"/>
  <c r="AM19" i="39"/>
  <c r="Q21" i="39"/>
  <c r="Q28" i="39"/>
  <c r="R21" i="39"/>
  <c r="R28" i="39"/>
  <c r="S21" i="39"/>
  <c r="S28" i="39"/>
  <c r="W21" i="39"/>
  <c r="W28" i="39"/>
  <c r="X21" i="39"/>
  <c r="X28" i="39"/>
  <c r="Y21" i="39"/>
  <c r="Y28" i="39"/>
  <c r="Z28" i="39"/>
  <c r="AA21" i="39"/>
  <c r="AA28" i="39"/>
  <c r="AB21" i="39"/>
  <c r="AB28" i="39"/>
  <c r="AC28" i="39"/>
  <c r="AE28" i="39"/>
  <c r="AF28" i="39"/>
  <c r="AH21" i="39"/>
  <c r="AH28" i="39"/>
  <c r="AI21" i="39"/>
  <c r="AI28" i="39"/>
  <c r="AJ21" i="39"/>
  <c r="AJ28" i="39"/>
  <c r="AK21" i="39"/>
  <c r="AK28" i="39"/>
  <c r="AL21" i="39"/>
  <c r="AL28" i="39"/>
  <c r="AM21" i="39"/>
  <c r="AM28" i="39"/>
  <c r="Z29" i="39"/>
  <c r="Z24" i="39"/>
  <c r="V25" i="39"/>
  <c r="W25" i="39"/>
  <c r="X25" i="39"/>
  <c r="AE25" i="39"/>
  <c r="AF25" i="39"/>
  <c r="M28" i="39"/>
  <c r="Z30" i="39"/>
  <c r="Z31" i="39"/>
  <c r="M33" i="39"/>
  <c r="M40" i="39"/>
  <c r="N33" i="39"/>
  <c r="Q33" i="39"/>
  <c r="Q40" i="39"/>
  <c r="R33" i="39"/>
  <c r="R40" i="39"/>
  <c r="V40" i="39"/>
  <c r="W33" i="39"/>
  <c r="W40" i="39"/>
  <c r="X33" i="39"/>
  <c r="X40" i="39"/>
  <c r="Y33" i="39"/>
  <c r="Y40" i="39"/>
  <c r="AA33" i="39"/>
  <c r="AA40" i="39"/>
  <c r="AB33" i="39"/>
  <c r="AB40" i="39"/>
  <c r="AC40" i="39"/>
  <c r="AE33" i="39"/>
  <c r="AE40" i="39"/>
  <c r="AF33" i="39"/>
  <c r="AF40" i="39"/>
  <c r="AH33" i="39"/>
  <c r="AH40" i="39"/>
  <c r="AI33" i="39"/>
  <c r="AI40" i="39"/>
  <c r="AJ40" i="39"/>
  <c r="AK40" i="39"/>
  <c r="AL33" i="39"/>
  <c r="AL40" i="39"/>
  <c r="AM33" i="39"/>
  <c r="AM40" i="39"/>
  <c r="N34" i="39"/>
  <c r="N41" i="39"/>
  <c r="Z41" i="39"/>
  <c r="R36" i="39"/>
  <c r="S36" i="39"/>
  <c r="AC36" i="39"/>
  <c r="AL36" i="39"/>
  <c r="AM36" i="39"/>
  <c r="S37" i="39"/>
  <c r="AC37" i="39"/>
  <c r="AG40" i="39"/>
  <c r="AC41" i="39"/>
  <c r="AC42" i="39"/>
  <c r="AC43" i="39"/>
  <c r="M45" i="39"/>
  <c r="M52" i="39"/>
  <c r="N45" i="39"/>
  <c r="N52" i="39"/>
  <c r="O52" i="39"/>
  <c r="P52" i="39"/>
  <c r="Q45" i="39"/>
  <c r="Q52" i="39"/>
  <c r="R45" i="39"/>
  <c r="R52" i="39"/>
  <c r="V52" i="39"/>
  <c r="W45" i="39"/>
  <c r="W52" i="39"/>
  <c r="X45" i="39"/>
  <c r="X52" i="39"/>
  <c r="Y45" i="39"/>
  <c r="Y52" i="39"/>
  <c r="Z45" i="39"/>
  <c r="Z52" i="39"/>
  <c r="AA45" i="39"/>
  <c r="AA52" i="39"/>
  <c r="AB45" i="39"/>
  <c r="AB52" i="39"/>
  <c r="AC45" i="39"/>
  <c r="AC52" i="39"/>
  <c r="AD52" i="39"/>
  <c r="AE52" i="39"/>
  <c r="AF52" i="39"/>
  <c r="AH45" i="39"/>
  <c r="AH52" i="39"/>
  <c r="AI45" i="39"/>
  <c r="AI52" i="39"/>
  <c r="AJ52" i="39"/>
  <c r="AK45" i="39"/>
  <c r="AK52" i="39"/>
  <c r="AL45" i="39"/>
  <c r="AL52" i="39"/>
  <c r="AM45" i="39"/>
  <c r="AM52" i="39"/>
  <c r="M46" i="39"/>
  <c r="N46" i="39"/>
  <c r="V53" i="39"/>
  <c r="W46" i="39"/>
  <c r="W53" i="39"/>
  <c r="AE46" i="39"/>
  <c r="AF46" i="39"/>
  <c r="AF53" i="39"/>
  <c r="Q48" i="39"/>
  <c r="V48" i="39"/>
  <c r="W48" i="39"/>
  <c r="AE48" i="39"/>
  <c r="AF48" i="39"/>
  <c r="AG48" i="39"/>
  <c r="Q49" i="39"/>
  <c r="V49" i="39"/>
  <c r="W49" i="39"/>
  <c r="Z49" i="39"/>
  <c r="AA49" i="39"/>
  <c r="AB49" i="39"/>
  <c r="AE49" i="39"/>
  <c r="AF49" i="39"/>
  <c r="AH49" i="39"/>
  <c r="V54" i="39"/>
  <c r="V55" i="39"/>
  <c r="W54" i="39"/>
  <c r="W55" i="39"/>
  <c r="AF54" i="39"/>
  <c r="AF55" i="39"/>
  <c r="M57" i="39"/>
  <c r="M64" i="39"/>
  <c r="N57" i="39"/>
  <c r="N64" i="39"/>
  <c r="Q57" i="39"/>
  <c r="Q64" i="39"/>
  <c r="R57" i="39"/>
  <c r="R64" i="39"/>
  <c r="W57" i="39"/>
  <c r="W64" i="39"/>
  <c r="X57" i="39"/>
  <c r="X64" i="39"/>
  <c r="Y57" i="39"/>
  <c r="Y64" i="39"/>
  <c r="Z64" i="39"/>
  <c r="AA57" i="39"/>
  <c r="AA64" i="39"/>
  <c r="AB57" i="39"/>
  <c r="AB64" i="39"/>
  <c r="AC64" i="39"/>
  <c r="AE64" i="39"/>
  <c r="AF64" i="39"/>
  <c r="AH57" i="39"/>
  <c r="AH64" i="39"/>
  <c r="AI57" i="39"/>
  <c r="AI64" i="39"/>
  <c r="AJ57" i="39"/>
  <c r="AJ64" i="39"/>
  <c r="AK57" i="39"/>
  <c r="AK64" i="39"/>
  <c r="AL57" i="39"/>
  <c r="AL64" i="39"/>
  <c r="AM57" i="39"/>
  <c r="AM64" i="39"/>
  <c r="M65" i="39"/>
  <c r="AA58" i="39"/>
  <c r="AA65" i="39"/>
  <c r="AE58" i="39"/>
  <c r="AF58" i="39"/>
  <c r="AF65" i="39"/>
  <c r="AL58" i="39"/>
  <c r="AL65" i="39"/>
  <c r="AM58" i="39"/>
  <c r="AM65" i="39"/>
  <c r="V60" i="39"/>
  <c r="W60" i="39"/>
  <c r="Z60" i="39"/>
  <c r="AA60" i="39"/>
  <c r="AE60" i="39"/>
  <c r="AF60" i="39"/>
  <c r="AL60" i="39"/>
  <c r="Z61" i="39"/>
  <c r="AA61" i="39"/>
  <c r="AC61" i="39"/>
  <c r="AD61" i="39"/>
  <c r="AL61" i="39"/>
  <c r="O64" i="39"/>
  <c r="P64" i="39"/>
  <c r="V64" i="39"/>
  <c r="V66" i="39"/>
  <c r="V67" i="39"/>
  <c r="W58" i="39"/>
  <c r="W65" i="39"/>
  <c r="W66" i="39"/>
  <c r="W67" i="39"/>
  <c r="AA66" i="39"/>
  <c r="AA67" i="39"/>
  <c r="AB58" i="39"/>
  <c r="AB65" i="39"/>
  <c r="AB60" i="39"/>
  <c r="AB66" i="39"/>
  <c r="AB67" i="39"/>
  <c r="AF66" i="39"/>
  <c r="AF67" i="39"/>
  <c r="AL66" i="39"/>
  <c r="AL67" i="39"/>
  <c r="AM66" i="39"/>
  <c r="AM67" i="39"/>
  <c r="M69" i="39"/>
  <c r="N69" i="39"/>
  <c r="N76" i="39"/>
  <c r="Q69" i="39"/>
  <c r="Q76" i="39"/>
  <c r="R69" i="39"/>
  <c r="R76" i="39"/>
  <c r="V76" i="39"/>
  <c r="W69" i="39"/>
  <c r="W76" i="39"/>
  <c r="X69" i="39"/>
  <c r="X76" i="39"/>
  <c r="Y69" i="39"/>
  <c r="Y76" i="39"/>
  <c r="AA69" i="39"/>
  <c r="AA76" i="39"/>
  <c r="AB69" i="39"/>
  <c r="AB76" i="39"/>
  <c r="AC76" i="39"/>
  <c r="AE76" i="39"/>
  <c r="AF76" i="39"/>
  <c r="AH69" i="39"/>
  <c r="AH76" i="39"/>
  <c r="AI69" i="39"/>
  <c r="AI76" i="39"/>
  <c r="AJ76" i="39"/>
  <c r="AK69" i="39"/>
  <c r="AK76" i="39"/>
  <c r="AL69" i="39"/>
  <c r="AL76" i="39"/>
  <c r="AM69" i="39"/>
  <c r="AM76" i="39"/>
  <c r="M70" i="39"/>
  <c r="M77" i="39"/>
  <c r="R70" i="39"/>
  <c r="R77" i="39"/>
  <c r="R78" i="39"/>
  <c r="R79" i="39"/>
  <c r="AH70" i="39"/>
  <c r="AH77" i="39"/>
  <c r="AI70" i="39"/>
  <c r="AI77" i="39"/>
  <c r="AJ70" i="39"/>
  <c r="AJ77" i="39"/>
  <c r="AL70" i="39"/>
  <c r="AL77" i="39"/>
  <c r="R72" i="39"/>
  <c r="AE72" i="39"/>
  <c r="AF72" i="39"/>
  <c r="AG72" i="39"/>
  <c r="AH72" i="39"/>
  <c r="AI72" i="39"/>
  <c r="Q73" i="39"/>
  <c r="R73" i="39"/>
  <c r="Z73" i="39"/>
  <c r="AA73" i="39"/>
  <c r="AE73" i="39"/>
  <c r="M76" i="39"/>
  <c r="W70" i="39"/>
  <c r="W77" i="39"/>
  <c r="V72" i="39"/>
  <c r="W72" i="39"/>
  <c r="W78" i="39"/>
  <c r="W79" i="39"/>
  <c r="AA70" i="39"/>
  <c r="AA77" i="39"/>
  <c r="Z72" i="39"/>
  <c r="AA72" i="39"/>
  <c r="AA78" i="39"/>
  <c r="AA79" i="39"/>
  <c r="AH78" i="39"/>
  <c r="AH79" i="39"/>
  <c r="AI78" i="39"/>
  <c r="AI79" i="39"/>
  <c r="M81" i="39"/>
  <c r="M88" i="39"/>
  <c r="N81" i="39"/>
  <c r="Q81" i="39"/>
  <c r="Q88" i="39"/>
  <c r="R81" i="39"/>
  <c r="R88" i="39"/>
  <c r="W81" i="39"/>
  <c r="W88" i="39"/>
  <c r="X81" i="39"/>
  <c r="X88" i="39"/>
  <c r="Y81" i="39"/>
  <c r="Y88" i="39"/>
  <c r="Z88" i="39"/>
  <c r="AA81" i="39"/>
  <c r="AA88" i="39"/>
  <c r="AB81" i="39"/>
  <c r="AB88" i="39"/>
  <c r="AC88" i="39"/>
  <c r="AE88" i="39"/>
  <c r="AF88" i="39"/>
  <c r="AH81" i="39"/>
  <c r="AH88" i="39"/>
  <c r="AI81" i="39"/>
  <c r="AI88" i="39"/>
  <c r="AJ88" i="39"/>
  <c r="AK81" i="39"/>
  <c r="AK88" i="39"/>
  <c r="AL81" i="39"/>
  <c r="AL88" i="39"/>
  <c r="AM81" i="39"/>
  <c r="AM88" i="39"/>
  <c r="M82" i="39"/>
  <c r="M89" i="39"/>
  <c r="R82" i="39"/>
  <c r="R89" i="39"/>
  <c r="AA82" i="39"/>
  <c r="AA89" i="39"/>
  <c r="AE82" i="39"/>
  <c r="AF82" i="39"/>
  <c r="AF89" i="39"/>
  <c r="AH82" i="39"/>
  <c r="AI82" i="39"/>
  <c r="AJ89" i="39"/>
  <c r="R84" i="39"/>
  <c r="S84" i="39"/>
  <c r="AI84" i="39"/>
  <c r="AJ84" i="39"/>
  <c r="Q85" i="39"/>
  <c r="R85" i="39"/>
  <c r="S85" i="39"/>
  <c r="Z85" i="39"/>
  <c r="AA85" i="39"/>
  <c r="AC85" i="39"/>
  <c r="AH85" i="39"/>
  <c r="R90" i="39"/>
  <c r="R91" i="39"/>
  <c r="AA90" i="39"/>
  <c r="AA91" i="39"/>
  <c r="M93" i="39"/>
  <c r="Q93" i="39"/>
  <c r="Q100" i="39"/>
  <c r="R93" i="39"/>
  <c r="R100" i="39"/>
  <c r="W93" i="39"/>
  <c r="W100" i="39"/>
  <c r="X93" i="39"/>
  <c r="X100" i="39"/>
  <c r="Y93" i="39"/>
  <c r="Y100" i="39"/>
  <c r="AA93" i="39"/>
  <c r="AA100" i="39"/>
  <c r="AB93" i="39"/>
  <c r="AB100" i="39"/>
  <c r="AC100" i="39"/>
  <c r="AE100" i="39"/>
  <c r="AF100" i="39"/>
  <c r="AH93" i="39"/>
  <c r="AH100" i="39"/>
  <c r="AI93" i="39"/>
  <c r="AI100" i="39"/>
  <c r="AJ100" i="39"/>
  <c r="AK93" i="39"/>
  <c r="AK100" i="39"/>
  <c r="AL93" i="39"/>
  <c r="AL100" i="39"/>
  <c r="AM93" i="39"/>
  <c r="AM100" i="39"/>
  <c r="AA94" i="39"/>
  <c r="AB94" i="39"/>
  <c r="AB101" i="39"/>
  <c r="AC101" i="39"/>
  <c r="AE101" i="39"/>
  <c r="AL94" i="39"/>
  <c r="AL101" i="39"/>
  <c r="AM94" i="39"/>
  <c r="AM101" i="39"/>
  <c r="V96" i="39"/>
  <c r="W96" i="39"/>
  <c r="X96" i="39"/>
  <c r="AG96" i="39"/>
  <c r="AH96" i="39"/>
  <c r="AI96" i="39"/>
  <c r="AM96" i="39"/>
  <c r="S97" i="39"/>
  <c r="V97" i="39"/>
  <c r="W97" i="39"/>
  <c r="X97" i="39"/>
  <c r="Z97" i="39"/>
  <c r="AA97" i="39"/>
  <c r="AB97" i="39"/>
  <c r="AC97" i="39"/>
  <c r="AD97" i="39"/>
  <c r="AL97" i="39"/>
  <c r="AM97" i="39"/>
  <c r="X102" i="39"/>
  <c r="X103" i="39"/>
  <c r="AM102" i="39"/>
  <c r="AM103" i="39"/>
  <c r="M105" i="39"/>
  <c r="N105" i="39"/>
  <c r="M112" i="39"/>
  <c r="Q105" i="39"/>
  <c r="Q112" i="39"/>
  <c r="R105" i="39"/>
  <c r="R112" i="39"/>
  <c r="W105" i="39"/>
  <c r="W112" i="39"/>
  <c r="X105" i="39"/>
  <c r="X112" i="39"/>
  <c r="Y105" i="39"/>
  <c r="Y112" i="39"/>
  <c r="AA105" i="39"/>
  <c r="AA112" i="39"/>
  <c r="AB105" i="39"/>
  <c r="AB112" i="39"/>
  <c r="AC105" i="39"/>
  <c r="AC112" i="39"/>
  <c r="AD112" i="39"/>
  <c r="AE112" i="39"/>
  <c r="AF112" i="39"/>
  <c r="AH105" i="39"/>
  <c r="AH112" i="39"/>
  <c r="AI105" i="39"/>
  <c r="AI112" i="39"/>
  <c r="AJ105" i="39"/>
  <c r="AJ112" i="39"/>
  <c r="AK105" i="39"/>
  <c r="AK112" i="39"/>
  <c r="AL105" i="39"/>
  <c r="AL112" i="39"/>
  <c r="AM105" i="39"/>
  <c r="AM112" i="39"/>
  <c r="Q106" i="39"/>
  <c r="Q113" i="39"/>
  <c r="Q114" i="39"/>
  <c r="Q115" i="39"/>
  <c r="R106" i="39"/>
  <c r="R113" i="39"/>
  <c r="R114" i="39"/>
  <c r="R115" i="39"/>
  <c r="W106" i="39"/>
  <c r="X106" i="39"/>
  <c r="Y106" i="39"/>
  <c r="Y113" i="39"/>
  <c r="AA106" i="39"/>
  <c r="AA113" i="39"/>
  <c r="AB106" i="39"/>
  <c r="AB113" i="39"/>
  <c r="AH106" i="39"/>
  <c r="AI106" i="39"/>
  <c r="AI113" i="39"/>
  <c r="Q108" i="39"/>
  <c r="R108" i="39"/>
  <c r="W108" i="39"/>
  <c r="X108" i="39"/>
  <c r="Y108" i="39"/>
  <c r="Z108" i="39"/>
  <c r="AA108" i="39"/>
  <c r="AB108" i="39"/>
  <c r="AE108" i="39"/>
  <c r="AF108" i="39"/>
  <c r="AG108" i="39"/>
  <c r="AH108" i="39"/>
  <c r="AI108" i="39"/>
  <c r="AK108" i="39"/>
  <c r="AM108" i="39"/>
  <c r="Q109" i="39"/>
  <c r="R109" i="39"/>
  <c r="X109" i="39"/>
  <c r="Y109" i="39"/>
  <c r="Z109" i="39"/>
  <c r="AA109" i="39"/>
  <c r="AB109" i="39"/>
  <c r="AH109" i="39"/>
  <c r="AI109" i="39"/>
  <c r="Y114" i="39"/>
  <c r="Y115" i="39"/>
  <c r="Z113" i="39"/>
  <c r="Z114" i="39"/>
  <c r="Z115" i="39"/>
  <c r="AB114" i="39"/>
  <c r="AB115" i="39"/>
  <c r="AI114" i="39"/>
  <c r="AI115" i="39"/>
  <c r="M117" i="39"/>
  <c r="M124" i="39"/>
  <c r="Q117" i="39"/>
  <c r="Q124" i="39"/>
  <c r="R117" i="39"/>
  <c r="R124" i="39"/>
  <c r="W117" i="39"/>
  <c r="W124" i="39"/>
  <c r="X117" i="39"/>
  <c r="X124" i="39"/>
  <c r="Y117" i="39"/>
  <c r="Y124" i="39"/>
  <c r="AA117" i="39"/>
  <c r="AA124" i="39"/>
  <c r="AB117" i="39"/>
  <c r="AB124" i="39"/>
  <c r="AC124" i="39"/>
  <c r="AE124" i="39"/>
  <c r="AF124" i="39"/>
  <c r="AH117" i="39"/>
  <c r="AH124" i="39"/>
  <c r="AI117" i="39"/>
  <c r="AI124" i="39"/>
  <c r="AJ124" i="39"/>
  <c r="AK117" i="39"/>
  <c r="AK124" i="39"/>
  <c r="AL117" i="39"/>
  <c r="AL124" i="39"/>
  <c r="AM117" i="39"/>
  <c r="AM124" i="39"/>
  <c r="M118" i="39"/>
  <c r="N118" i="39"/>
  <c r="N125" i="39"/>
  <c r="Q118" i="39"/>
  <c r="Q125" i="39"/>
  <c r="Q126" i="39"/>
  <c r="Q127" i="39"/>
  <c r="AF125" i="39"/>
  <c r="AL118" i="39"/>
  <c r="AL125" i="39"/>
  <c r="V120" i="39"/>
  <c r="AE120" i="39"/>
  <c r="AF120" i="39"/>
  <c r="AG120" i="39"/>
  <c r="AK120" i="39"/>
  <c r="AL120" i="39"/>
  <c r="AM120" i="39"/>
  <c r="Q121" i="39"/>
  <c r="V121" i="39"/>
  <c r="AE121" i="39"/>
  <c r="AM121" i="39"/>
  <c r="V126" i="39"/>
  <c r="V127" i="39"/>
  <c r="AG125" i="39"/>
  <c r="AG126" i="39"/>
  <c r="AG127" i="39"/>
  <c r="AK126" i="39"/>
  <c r="AK127" i="39"/>
  <c r="M129" i="39"/>
  <c r="N129" i="39"/>
  <c r="O136" i="39"/>
  <c r="P136" i="39"/>
  <c r="Q129" i="39"/>
  <c r="Q136" i="39"/>
  <c r="R129" i="39"/>
  <c r="R136" i="39"/>
  <c r="W129" i="39"/>
  <c r="W136" i="39"/>
  <c r="X129" i="39"/>
  <c r="X136" i="39"/>
  <c r="Y129" i="39"/>
  <c r="Y136" i="39"/>
  <c r="AA129" i="39"/>
  <c r="AA136" i="39"/>
  <c r="AB129" i="39"/>
  <c r="AB136" i="39"/>
  <c r="AC136" i="39"/>
  <c r="AE136" i="39"/>
  <c r="AF136" i="39"/>
  <c r="AH129" i="39"/>
  <c r="AH136" i="39"/>
  <c r="AI129" i="39"/>
  <c r="AI136" i="39"/>
  <c r="AJ136" i="39"/>
  <c r="AK129" i="39"/>
  <c r="AK136" i="39"/>
  <c r="AL129" i="39"/>
  <c r="AL136" i="39"/>
  <c r="AM129" i="39"/>
  <c r="AM136" i="39"/>
  <c r="Q130" i="39"/>
  <c r="Q137" i="39"/>
  <c r="Q138" i="39"/>
  <c r="Q139" i="39"/>
  <c r="R130" i="39"/>
  <c r="R137" i="39"/>
  <c r="R138" i="39"/>
  <c r="R139" i="39"/>
  <c r="W130" i="39"/>
  <c r="X130" i="39"/>
  <c r="X137" i="39"/>
  <c r="Y130" i="39"/>
  <c r="Y137" i="39"/>
  <c r="AE130" i="39"/>
  <c r="AF130" i="39"/>
  <c r="AG137" i="39"/>
  <c r="AH130" i="39"/>
  <c r="AH137" i="39"/>
  <c r="AI130" i="39"/>
  <c r="AI137" i="39"/>
  <c r="AL130" i="39"/>
  <c r="AL137" i="39"/>
  <c r="Q132" i="39"/>
  <c r="R132" i="39"/>
  <c r="S132" i="39"/>
  <c r="AC132" i="39"/>
  <c r="AE132" i="39"/>
  <c r="AF132" i="39"/>
  <c r="AG132" i="39"/>
  <c r="AH132" i="39"/>
  <c r="Q133" i="39"/>
  <c r="R133" i="39"/>
  <c r="W133" i="39"/>
  <c r="X133" i="39"/>
  <c r="Y133" i="39"/>
  <c r="AE133" i="39"/>
  <c r="AF133" i="39"/>
  <c r="AG133" i="39"/>
  <c r="AH133" i="39"/>
  <c r="AK133" i="39"/>
  <c r="M136" i="39"/>
  <c r="Z136" i="39"/>
  <c r="S138" i="39"/>
  <c r="S139" i="39"/>
  <c r="V132" i="39"/>
  <c r="W132" i="39"/>
  <c r="X132" i="39"/>
  <c r="Y132" i="39"/>
  <c r="Y138" i="39"/>
  <c r="Y139" i="39"/>
  <c r="AG138" i="39"/>
  <c r="AG139" i="39"/>
  <c r="AH138" i="39"/>
  <c r="AH139" i="39"/>
  <c r="AK138" i="39"/>
  <c r="AK139" i="39"/>
  <c r="Q141" i="39"/>
  <c r="R141" i="39"/>
  <c r="W141" i="39"/>
  <c r="X141" i="39"/>
  <c r="Y141" i="39"/>
  <c r="AA141" i="39"/>
  <c r="AB141" i="39"/>
  <c r="AC141" i="39"/>
  <c r="AE141" i="39"/>
  <c r="AF141" i="39"/>
  <c r="AG141" i="39"/>
  <c r="AH141" i="39"/>
  <c r="AI141" i="39"/>
  <c r="AK141" i="39"/>
  <c r="AL141" i="39"/>
  <c r="AM141" i="39"/>
  <c r="Q142" i="39"/>
  <c r="Q149" i="39"/>
  <c r="Q150" i="39"/>
  <c r="Q151" i="39"/>
  <c r="R142" i="39"/>
  <c r="W142" i="39"/>
  <c r="X142" i="39"/>
  <c r="Y142" i="39"/>
  <c r="AA142" i="39"/>
  <c r="AB142" i="39"/>
  <c r="AC142" i="39"/>
  <c r="AE142" i="39"/>
  <c r="AF142" i="39"/>
  <c r="AG142" i="39"/>
  <c r="AH142" i="39"/>
  <c r="AI142" i="39"/>
  <c r="AK142" i="39"/>
  <c r="AL142" i="39"/>
  <c r="AM142" i="39"/>
  <c r="M144" i="39"/>
  <c r="N144" i="39"/>
  <c r="O144" i="39"/>
  <c r="P144" i="39"/>
  <c r="Q144" i="39"/>
  <c r="R144" i="39"/>
  <c r="S144" i="39"/>
  <c r="V144" i="39"/>
  <c r="W144" i="39"/>
  <c r="X144" i="39"/>
  <c r="Y144" i="39"/>
  <c r="Z144" i="39"/>
  <c r="AA144" i="39"/>
  <c r="AB144" i="39"/>
  <c r="AC144" i="39"/>
  <c r="AD144" i="39"/>
  <c r="AE144" i="39"/>
  <c r="AF144" i="39"/>
  <c r="AG144" i="39"/>
  <c r="AH144" i="39"/>
  <c r="AI144" i="39"/>
  <c r="AJ144" i="39"/>
  <c r="AK144" i="39"/>
  <c r="AL144" i="39"/>
  <c r="AM144" i="39"/>
  <c r="M145" i="39"/>
  <c r="N145" i="39"/>
  <c r="O145" i="39"/>
  <c r="P145" i="39"/>
  <c r="Q145" i="39"/>
  <c r="R145" i="39"/>
  <c r="S145" i="39"/>
  <c r="V145" i="39"/>
  <c r="W145" i="39"/>
  <c r="X145" i="39"/>
  <c r="Y145" i="39"/>
  <c r="Z145" i="39"/>
  <c r="AA145" i="39"/>
  <c r="AB145" i="39"/>
  <c r="AC145" i="39"/>
  <c r="AD145" i="39"/>
  <c r="AE145" i="39"/>
  <c r="AF145" i="39"/>
  <c r="AG145" i="39"/>
  <c r="AH145" i="39"/>
  <c r="AI145" i="39"/>
  <c r="AJ145" i="39"/>
  <c r="AK145" i="39"/>
  <c r="AL145" i="39"/>
  <c r="AM145" i="39"/>
  <c r="Q148" i="39"/>
  <c r="R148" i="39"/>
  <c r="S148" i="39"/>
  <c r="V148" i="39"/>
  <c r="W148" i="39"/>
  <c r="X148" i="39"/>
  <c r="Y148" i="39"/>
  <c r="Z148" i="39"/>
  <c r="AA148" i="39"/>
  <c r="AB148" i="39"/>
  <c r="AC148" i="39"/>
  <c r="AD148" i="39"/>
  <c r="AE148" i="39"/>
  <c r="AF148" i="39"/>
  <c r="AG148" i="39"/>
  <c r="AH148" i="39"/>
  <c r="AI148" i="39"/>
  <c r="AJ148" i="39"/>
  <c r="AK148" i="39"/>
  <c r="AL148" i="39"/>
  <c r="AM148" i="39"/>
  <c r="R149" i="39"/>
  <c r="R150" i="39"/>
  <c r="S149" i="39"/>
  <c r="V149" i="39"/>
  <c r="W149" i="39"/>
  <c r="X149" i="39"/>
  <c r="Y149" i="39"/>
  <c r="Z149" i="39"/>
  <c r="AA149" i="39"/>
  <c r="AB149" i="39"/>
  <c r="AC149" i="39"/>
  <c r="AD149" i="39"/>
  <c r="AE149" i="39"/>
  <c r="AF149" i="39"/>
  <c r="AG149" i="39"/>
  <c r="AH149" i="39"/>
  <c r="AI149" i="39"/>
  <c r="AJ149" i="39"/>
  <c r="AK149" i="39"/>
  <c r="AL149" i="39"/>
  <c r="AM149" i="39"/>
  <c r="S150" i="39"/>
  <c r="V150" i="39"/>
  <c r="W150" i="39"/>
  <c r="X150" i="39"/>
  <c r="Y150" i="39"/>
  <c r="Z150" i="39"/>
  <c r="AA150" i="39"/>
  <c r="AB150" i="39"/>
  <c r="AC150" i="39"/>
  <c r="AD150" i="39"/>
  <c r="AE150" i="39"/>
  <c r="AF150" i="39"/>
  <c r="AG150" i="39"/>
  <c r="AH150" i="39"/>
  <c r="AI150" i="39"/>
  <c r="AJ150" i="39"/>
  <c r="AK150" i="39"/>
  <c r="AL150" i="39"/>
  <c r="AM150" i="39"/>
  <c r="V151" i="39"/>
  <c r="W151" i="39"/>
  <c r="X151" i="39"/>
  <c r="Y151" i="39"/>
  <c r="Z151" i="39"/>
  <c r="AA151" i="39"/>
  <c r="AB151" i="39"/>
  <c r="AC151" i="39"/>
  <c r="AD151" i="39"/>
  <c r="AE151" i="39"/>
  <c r="AF151" i="39"/>
  <c r="AG151" i="39"/>
  <c r="AH151" i="39"/>
  <c r="AI151" i="39"/>
  <c r="AJ151" i="39"/>
  <c r="AK151" i="39"/>
  <c r="AL151" i="39"/>
  <c r="AM151" i="39"/>
  <c r="M153" i="39"/>
  <c r="Q153" i="39"/>
  <c r="Q160" i="39"/>
  <c r="R153" i="39"/>
  <c r="W153" i="39"/>
  <c r="X153" i="39"/>
  <c r="Y153" i="39"/>
  <c r="AA153" i="39"/>
  <c r="AB153" i="39"/>
  <c r="AC153" i="39"/>
  <c r="AH153" i="39"/>
  <c r="AI153" i="39"/>
  <c r="AK153" i="39"/>
  <c r="AL153" i="39"/>
  <c r="AM153" i="39"/>
  <c r="M154" i="39"/>
  <c r="N154" i="39"/>
  <c r="Q154" i="39"/>
  <c r="Q161" i="39"/>
  <c r="Q162" i="39"/>
  <c r="Q163" i="39"/>
  <c r="R154" i="39"/>
  <c r="R161" i="39"/>
  <c r="R162" i="39"/>
  <c r="R163" i="39"/>
  <c r="W154" i="39"/>
  <c r="X154" i="39"/>
  <c r="Y154" i="39"/>
  <c r="AA154" i="39"/>
  <c r="AB154" i="39"/>
  <c r="AC154" i="39"/>
  <c r="AH154" i="39"/>
  <c r="AI154" i="39"/>
  <c r="AK154" i="39"/>
  <c r="AL154" i="39"/>
  <c r="AM154" i="39"/>
  <c r="P156" i="39"/>
  <c r="Q156" i="39"/>
  <c r="R156" i="39"/>
  <c r="S156" i="39"/>
  <c r="V156" i="39"/>
  <c r="W156" i="39"/>
  <c r="X156" i="39"/>
  <c r="Y156" i="39"/>
  <c r="Z156" i="39"/>
  <c r="AA156" i="39"/>
  <c r="AB156" i="39"/>
  <c r="AC156" i="39"/>
  <c r="AD156" i="39"/>
  <c r="AE156" i="39"/>
  <c r="AF156" i="39"/>
  <c r="AG156" i="39"/>
  <c r="AH156" i="39"/>
  <c r="AI156" i="39"/>
  <c r="AJ156" i="39"/>
  <c r="AK156" i="39"/>
  <c r="AL156" i="39"/>
  <c r="AM156" i="39"/>
  <c r="Q157" i="39"/>
  <c r="R157" i="39"/>
  <c r="S157" i="39"/>
  <c r="V157" i="39"/>
  <c r="W157" i="39"/>
  <c r="X157" i="39"/>
  <c r="Y157" i="39"/>
  <c r="Z157" i="39"/>
  <c r="AA157" i="39"/>
  <c r="AB157" i="39"/>
  <c r="AC157" i="39"/>
  <c r="AD157" i="39"/>
  <c r="AE157" i="39"/>
  <c r="AF157" i="39"/>
  <c r="AG157" i="39"/>
  <c r="AH157" i="39"/>
  <c r="AI157" i="39"/>
  <c r="AJ157" i="39"/>
  <c r="AK157" i="39"/>
  <c r="AL157" i="39"/>
  <c r="AM157" i="39"/>
  <c r="R160" i="39"/>
  <c r="S160" i="39"/>
  <c r="V160" i="39"/>
  <c r="W160" i="39"/>
  <c r="X160" i="39"/>
  <c r="Y160" i="39"/>
  <c r="Z160" i="39"/>
  <c r="AA160" i="39"/>
  <c r="AB160" i="39"/>
  <c r="AC160" i="39"/>
  <c r="AD160" i="39"/>
  <c r="AE160" i="39"/>
  <c r="AF160" i="39"/>
  <c r="AG160" i="39"/>
  <c r="AH160" i="39"/>
  <c r="AI160" i="39"/>
  <c r="AJ160" i="39"/>
  <c r="AK160" i="39"/>
  <c r="AL160" i="39"/>
  <c r="AM160" i="39"/>
  <c r="M161" i="39"/>
  <c r="N161" i="39"/>
  <c r="V161" i="39"/>
  <c r="W161" i="39"/>
  <c r="X161" i="39"/>
  <c r="Y161" i="39"/>
  <c r="Z161" i="39"/>
  <c r="AA161" i="39"/>
  <c r="AB161" i="39"/>
  <c r="AC161" i="39"/>
  <c r="AD161" i="39"/>
  <c r="AE161" i="39"/>
  <c r="AF161" i="39"/>
  <c r="AG161" i="39"/>
  <c r="AH161" i="39"/>
  <c r="AI161" i="39"/>
  <c r="AJ161" i="39"/>
  <c r="AK161" i="39"/>
  <c r="AL161" i="39"/>
  <c r="AM161" i="39"/>
  <c r="V162" i="39"/>
  <c r="W162" i="39"/>
  <c r="X162" i="39"/>
  <c r="Y162" i="39"/>
  <c r="Z162" i="39"/>
  <c r="AA162" i="39"/>
  <c r="AB162" i="39"/>
  <c r="AC162" i="39"/>
  <c r="AD162" i="39"/>
  <c r="AE162" i="39"/>
  <c r="AF162" i="39"/>
  <c r="AG162" i="39"/>
  <c r="AH162" i="39"/>
  <c r="AI162" i="39"/>
  <c r="AJ162" i="39"/>
  <c r="AK162" i="39"/>
  <c r="AL162" i="39"/>
  <c r="AM162" i="39"/>
  <c r="V163" i="39"/>
  <c r="W163" i="39"/>
  <c r="X163" i="39"/>
  <c r="Y163" i="39"/>
  <c r="Z163" i="39"/>
  <c r="AA163" i="39"/>
  <c r="AB163" i="39"/>
  <c r="AC163" i="39"/>
  <c r="AD163" i="39"/>
  <c r="AE163" i="39"/>
  <c r="AF163" i="39"/>
  <c r="AG163" i="39"/>
  <c r="AH163" i="39"/>
  <c r="AI163" i="39"/>
  <c r="AJ163" i="39"/>
  <c r="AK163" i="39"/>
  <c r="AL163" i="39"/>
  <c r="AM163" i="39"/>
  <c r="M165" i="39"/>
  <c r="N165" i="39"/>
  <c r="Q165" i="39"/>
  <c r="Q172" i="39"/>
  <c r="R165" i="39"/>
  <c r="R172" i="39"/>
  <c r="S165" i="39"/>
  <c r="W165" i="39"/>
  <c r="X165" i="39"/>
  <c r="Y165" i="39"/>
  <c r="Z165" i="39"/>
  <c r="AA165" i="39"/>
  <c r="AB165" i="39"/>
  <c r="AC165" i="39"/>
  <c r="AE165" i="39"/>
  <c r="AF165" i="39"/>
  <c r="AG165" i="39"/>
  <c r="AH165" i="39"/>
  <c r="AI165" i="39"/>
  <c r="AK165" i="39"/>
  <c r="AL165" i="39"/>
  <c r="AM165" i="39"/>
  <c r="M166" i="39"/>
  <c r="N166" i="39"/>
  <c r="Q166" i="39"/>
  <c r="R166" i="39"/>
  <c r="W166" i="39"/>
  <c r="X166" i="39"/>
  <c r="Y166" i="39"/>
  <c r="Z166" i="39"/>
  <c r="AA166" i="39"/>
  <c r="AB166" i="39"/>
  <c r="AC166" i="39"/>
  <c r="AE166" i="39"/>
  <c r="AF166" i="39"/>
  <c r="AG166" i="39"/>
  <c r="AH166" i="39"/>
  <c r="AI166" i="39"/>
  <c r="AJ166" i="39"/>
  <c r="AK166" i="39"/>
  <c r="AL166" i="39"/>
  <c r="AM166" i="39"/>
  <c r="M168" i="39"/>
  <c r="N168" i="39"/>
  <c r="O168" i="39"/>
  <c r="P168" i="39"/>
  <c r="Q168" i="39"/>
  <c r="R168" i="39"/>
  <c r="S168" i="39"/>
  <c r="V168" i="39"/>
  <c r="W168" i="39"/>
  <c r="X168" i="39"/>
  <c r="Y168" i="39"/>
  <c r="Z168" i="39"/>
  <c r="AA168" i="39"/>
  <c r="AB168" i="39"/>
  <c r="AC168" i="39"/>
  <c r="AD168" i="39"/>
  <c r="AE168" i="39"/>
  <c r="AF168" i="39"/>
  <c r="AG168" i="39"/>
  <c r="AH168" i="39"/>
  <c r="AI168" i="39"/>
  <c r="AJ168" i="39"/>
  <c r="AK168" i="39"/>
  <c r="AL168" i="39"/>
  <c r="AM168" i="39"/>
  <c r="M169" i="39"/>
  <c r="N169" i="39"/>
  <c r="O169" i="39"/>
  <c r="P169" i="39"/>
  <c r="Q169" i="39"/>
  <c r="R169" i="39"/>
  <c r="S169" i="39"/>
  <c r="V169" i="39"/>
  <c r="W169" i="39"/>
  <c r="X169" i="39"/>
  <c r="Y169" i="39"/>
  <c r="Z169" i="39"/>
  <c r="AA169" i="39"/>
  <c r="AB169" i="39"/>
  <c r="AC169" i="39"/>
  <c r="AD169" i="39"/>
  <c r="AE169" i="39"/>
  <c r="AF169" i="39"/>
  <c r="AG169" i="39"/>
  <c r="AH169" i="39"/>
  <c r="AI169" i="39"/>
  <c r="AJ169" i="39"/>
  <c r="AK169" i="39"/>
  <c r="AL169" i="39"/>
  <c r="AM169" i="39"/>
  <c r="M172" i="39"/>
  <c r="S172" i="39"/>
  <c r="V172" i="39"/>
  <c r="W172" i="39"/>
  <c r="X172" i="39"/>
  <c r="Y172" i="39"/>
  <c r="Z172" i="39"/>
  <c r="AA172" i="39"/>
  <c r="AB172" i="39"/>
  <c r="AC172" i="39"/>
  <c r="AD172" i="39"/>
  <c r="AE172" i="39"/>
  <c r="AF172" i="39"/>
  <c r="AG172" i="39"/>
  <c r="AH172" i="39"/>
  <c r="AI172" i="39"/>
  <c r="AJ172" i="39"/>
  <c r="AK172" i="39"/>
  <c r="AL172" i="39"/>
  <c r="AM172" i="39"/>
  <c r="M173" i="39"/>
  <c r="M174" i="39"/>
  <c r="M175" i="39"/>
  <c r="Q173" i="39"/>
  <c r="Q174" i="39"/>
  <c r="Q175" i="39"/>
  <c r="R173" i="39"/>
  <c r="R174" i="39"/>
  <c r="R175" i="39"/>
  <c r="S173" i="39"/>
  <c r="V173" i="39"/>
  <c r="W173" i="39"/>
  <c r="X173" i="39"/>
  <c r="Y173" i="39"/>
  <c r="Z173" i="39"/>
  <c r="AA173" i="39"/>
  <c r="AB173" i="39"/>
  <c r="AC173" i="39"/>
  <c r="AD173" i="39"/>
  <c r="AE173" i="39"/>
  <c r="AF173" i="39"/>
  <c r="AG173" i="39"/>
  <c r="AH173" i="39"/>
  <c r="AI173" i="39"/>
  <c r="AJ173" i="39"/>
  <c r="AK173" i="39"/>
  <c r="AL173" i="39"/>
  <c r="AM173" i="39"/>
  <c r="V174" i="39"/>
  <c r="W174" i="39"/>
  <c r="X174" i="39"/>
  <c r="Y174" i="39"/>
  <c r="Z174" i="39"/>
  <c r="AA174" i="39"/>
  <c r="AB174" i="39"/>
  <c r="AC174" i="39"/>
  <c r="AD174" i="39"/>
  <c r="AE174" i="39"/>
  <c r="AF174" i="39"/>
  <c r="AG174" i="39"/>
  <c r="AH174" i="39"/>
  <c r="AI174" i="39"/>
  <c r="AJ174" i="39"/>
  <c r="AK174" i="39"/>
  <c r="AL174" i="39"/>
  <c r="AM174" i="39"/>
  <c r="V175" i="39"/>
  <c r="W175" i="39"/>
  <c r="X175" i="39"/>
  <c r="Y175" i="39"/>
  <c r="Z175" i="39"/>
  <c r="AA175" i="39"/>
  <c r="AB175" i="39"/>
  <c r="AC175" i="39"/>
  <c r="AD175" i="39"/>
  <c r="AE175" i="39"/>
  <c r="AF175" i="39"/>
  <c r="AG175" i="39"/>
  <c r="AH175" i="39"/>
  <c r="AI175" i="39"/>
  <c r="AJ175" i="39"/>
  <c r="AK175" i="39"/>
  <c r="AL175" i="39"/>
  <c r="AM175" i="39"/>
  <c r="M177" i="39"/>
  <c r="Q177" i="39"/>
  <c r="R177" i="39"/>
  <c r="R184" i="39"/>
  <c r="W177" i="39"/>
  <c r="X177" i="39"/>
  <c r="Y177" i="39"/>
  <c r="AA177" i="39"/>
  <c r="AB177" i="39"/>
  <c r="AE177" i="39"/>
  <c r="AF177" i="39"/>
  <c r="AH177" i="39"/>
  <c r="AI177" i="39"/>
  <c r="AJ177" i="39"/>
  <c r="AK177" i="39"/>
  <c r="AL177" i="39"/>
  <c r="AM177" i="39"/>
  <c r="P185" i="39"/>
  <c r="Q178" i="39"/>
  <c r="Q185" i="39"/>
  <c r="Q186" i="39"/>
  <c r="Q187" i="39"/>
  <c r="R178" i="39"/>
  <c r="R185" i="39"/>
  <c r="R186" i="39"/>
  <c r="R187" i="39"/>
  <c r="W178" i="39"/>
  <c r="X178" i="39"/>
  <c r="Y178" i="39"/>
  <c r="AA178" i="39"/>
  <c r="AB178" i="39"/>
  <c r="AE178" i="39"/>
  <c r="AF178" i="39"/>
  <c r="AH178" i="39"/>
  <c r="AI178" i="39"/>
  <c r="AJ178" i="39"/>
  <c r="AK178" i="39"/>
  <c r="AL178" i="39"/>
  <c r="AM178" i="39"/>
  <c r="M180" i="39"/>
  <c r="Q180" i="39"/>
  <c r="R180" i="39"/>
  <c r="S180" i="39"/>
  <c r="V180" i="39"/>
  <c r="W180" i="39"/>
  <c r="X180" i="39"/>
  <c r="Y180" i="39"/>
  <c r="Z180" i="39"/>
  <c r="AA180" i="39"/>
  <c r="AB180" i="39"/>
  <c r="AC180" i="39"/>
  <c r="AD180" i="39"/>
  <c r="AE180" i="39"/>
  <c r="AF180" i="39"/>
  <c r="AG180" i="39"/>
  <c r="AH180" i="39"/>
  <c r="AI180" i="39"/>
  <c r="AJ180" i="39"/>
  <c r="AK180" i="39"/>
  <c r="AL180" i="39"/>
  <c r="AM180" i="39"/>
  <c r="M181" i="39"/>
  <c r="N181" i="39"/>
  <c r="O181" i="39"/>
  <c r="P181" i="39"/>
  <c r="Q181" i="39"/>
  <c r="R181" i="39"/>
  <c r="S181" i="39"/>
  <c r="V181" i="39"/>
  <c r="W181" i="39"/>
  <c r="X181" i="39"/>
  <c r="Y181" i="39"/>
  <c r="Z181" i="39"/>
  <c r="AA181" i="39"/>
  <c r="AB181" i="39"/>
  <c r="AC181" i="39"/>
  <c r="AD181" i="39"/>
  <c r="AE181" i="39"/>
  <c r="AF181" i="39"/>
  <c r="AG181" i="39"/>
  <c r="AH181" i="39"/>
  <c r="AI181" i="39"/>
  <c r="AJ181" i="39"/>
  <c r="AK181" i="39"/>
  <c r="AL181" i="39"/>
  <c r="AM181" i="39"/>
  <c r="Q184" i="39"/>
  <c r="V184" i="39"/>
  <c r="W184" i="39"/>
  <c r="X184" i="39"/>
  <c r="Y184" i="39"/>
  <c r="Z184" i="39"/>
  <c r="AA184" i="39"/>
  <c r="AB184" i="39"/>
  <c r="AC184" i="39"/>
  <c r="AD184" i="39"/>
  <c r="AE184" i="39"/>
  <c r="AF184" i="39"/>
  <c r="AG184" i="39"/>
  <c r="AH184" i="39"/>
  <c r="AI184" i="39"/>
  <c r="AJ184" i="39"/>
  <c r="AK184" i="39"/>
  <c r="AL184" i="39"/>
  <c r="AM184" i="39"/>
  <c r="M185" i="39"/>
  <c r="N185" i="39"/>
  <c r="O185" i="39"/>
  <c r="V185" i="39"/>
  <c r="W185" i="39"/>
  <c r="X185" i="39"/>
  <c r="Y185" i="39"/>
  <c r="Z185" i="39"/>
  <c r="AA185" i="39"/>
  <c r="AB185" i="39"/>
  <c r="AC185" i="39"/>
  <c r="AD185" i="39"/>
  <c r="AE185" i="39"/>
  <c r="AF185" i="39"/>
  <c r="AG185" i="39"/>
  <c r="AH185" i="39"/>
  <c r="AI185" i="39"/>
  <c r="AJ185" i="39"/>
  <c r="AK185" i="39"/>
  <c r="AL185" i="39"/>
  <c r="AM185" i="39"/>
  <c r="AN185" i="39"/>
  <c r="AO185" i="39"/>
  <c r="AP185" i="39"/>
  <c r="AQ185" i="39"/>
  <c r="AR185" i="39"/>
  <c r="AS185" i="39"/>
  <c r="V186" i="39"/>
  <c r="W186" i="39"/>
  <c r="X186" i="39"/>
  <c r="Y186" i="39"/>
  <c r="Z186" i="39"/>
  <c r="AA186" i="39"/>
  <c r="AB186" i="39"/>
  <c r="AC186" i="39"/>
  <c r="AD186" i="39"/>
  <c r="AE186" i="39"/>
  <c r="AF186" i="39"/>
  <c r="AG186" i="39"/>
  <c r="AH186" i="39"/>
  <c r="AI186" i="39"/>
  <c r="AJ186" i="39"/>
  <c r="AK186" i="39"/>
  <c r="AL186" i="39"/>
  <c r="AM186" i="39"/>
  <c r="V187" i="39"/>
  <c r="W187" i="39"/>
  <c r="X187" i="39"/>
  <c r="Y187" i="39"/>
  <c r="Z187" i="39"/>
  <c r="AA187" i="39"/>
  <c r="AB187" i="39"/>
  <c r="AC187" i="39"/>
  <c r="AD187" i="39"/>
  <c r="AE187" i="39"/>
  <c r="AF187" i="39"/>
  <c r="AG187" i="39"/>
  <c r="AH187" i="39"/>
  <c r="AI187" i="39"/>
  <c r="AJ187" i="39"/>
  <c r="AK187" i="39"/>
  <c r="AL187" i="39"/>
  <c r="AM187" i="39"/>
  <c r="M189" i="39"/>
  <c r="N189" i="39"/>
  <c r="P189" i="39"/>
  <c r="P196" i="39"/>
  <c r="Q189" i="39"/>
  <c r="Q196" i="39"/>
  <c r="R189" i="39"/>
  <c r="R196" i="39"/>
  <c r="S196" i="39"/>
  <c r="W189" i="39"/>
  <c r="X189" i="39"/>
  <c r="Y189" i="39"/>
  <c r="AA189" i="39"/>
  <c r="AB189" i="39"/>
  <c r="AC189" i="39"/>
  <c r="AD189" i="39"/>
  <c r="AE189" i="39"/>
  <c r="AF189" i="39"/>
  <c r="AH189" i="39"/>
  <c r="AI189" i="39"/>
  <c r="AJ189" i="39"/>
  <c r="AK189" i="39"/>
  <c r="AL189" i="39"/>
  <c r="AM189" i="39"/>
  <c r="Q190" i="39"/>
  <c r="R190" i="39"/>
  <c r="S197" i="39"/>
  <c r="W190" i="39"/>
  <c r="X190" i="39"/>
  <c r="Y190" i="39"/>
  <c r="AA190" i="39"/>
  <c r="AB190" i="39"/>
  <c r="AE190" i="39"/>
  <c r="AF190" i="39"/>
  <c r="AH190" i="39"/>
  <c r="AI190" i="39"/>
  <c r="AJ190" i="39"/>
  <c r="AK190" i="39"/>
  <c r="AL190" i="39"/>
  <c r="AM190" i="39"/>
  <c r="M192" i="39"/>
  <c r="Q192" i="39"/>
  <c r="R192" i="39"/>
  <c r="S192" i="39"/>
  <c r="V192" i="39"/>
  <c r="W192" i="39"/>
  <c r="X192" i="39"/>
  <c r="Y192" i="39"/>
  <c r="Z192" i="39"/>
  <c r="AA192" i="39"/>
  <c r="AB192" i="39"/>
  <c r="AC192" i="39"/>
  <c r="AD192" i="39"/>
  <c r="AE192" i="39"/>
  <c r="AF192" i="39"/>
  <c r="AG192" i="39"/>
  <c r="AH192" i="39"/>
  <c r="AI192" i="39"/>
  <c r="AJ192" i="39"/>
  <c r="AK192" i="39"/>
  <c r="AL192" i="39"/>
  <c r="AM192" i="39"/>
  <c r="M193" i="39"/>
  <c r="N193" i="39"/>
  <c r="O193" i="39"/>
  <c r="P193" i="39"/>
  <c r="Q193" i="39"/>
  <c r="R193" i="39"/>
  <c r="S193" i="39"/>
  <c r="V193" i="39"/>
  <c r="W193" i="39"/>
  <c r="X193" i="39"/>
  <c r="Y193" i="39"/>
  <c r="Z193" i="39"/>
  <c r="AA193" i="39"/>
  <c r="AB193" i="39"/>
  <c r="AC193" i="39"/>
  <c r="AD193" i="39"/>
  <c r="AE193" i="39"/>
  <c r="AF193" i="39"/>
  <c r="AH193" i="39"/>
  <c r="AI193" i="39"/>
  <c r="AJ193" i="39"/>
  <c r="AK193" i="39"/>
  <c r="AL193" i="39"/>
  <c r="AM193" i="39"/>
  <c r="M196" i="39"/>
  <c r="N196" i="39"/>
  <c r="O196" i="39"/>
  <c r="V196" i="39"/>
  <c r="W196" i="39"/>
  <c r="X196" i="39"/>
  <c r="Y196" i="39"/>
  <c r="Z196" i="39"/>
  <c r="AA196" i="39"/>
  <c r="AB196" i="39"/>
  <c r="AC196" i="39"/>
  <c r="AD196" i="39"/>
  <c r="AE196" i="39"/>
  <c r="AF196" i="39"/>
  <c r="AG196" i="39"/>
  <c r="AH196" i="39"/>
  <c r="AI196" i="39"/>
  <c r="AJ196" i="39"/>
  <c r="AK196" i="39"/>
  <c r="AL196" i="39"/>
  <c r="AM196" i="39"/>
  <c r="M197" i="39"/>
  <c r="N197" i="39"/>
  <c r="Q197" i="39"/>
  <c r="Q198" i="39"/>
  <c r="Q199" i="39"/>
  <c r="R197" i="39"/>
  <c r="R198" i="39"/>
  <c r="R199" i="39"/>
  <c r="V197" i="39"/>
  <c r="W197" i="39"/>
  <c r="X197" i="39"/>
  <c r="Y197" i="39"/>
  <c r="Z197" i="39"/>
  <c r="AA197" i="39"/>
  <c r="AB197" i="39"/>
  <c r="AC197" i="39"/>
  <c r="AD197" i="39"/>
  <c r="AE197" i="39"/>
  <c r="AF197" i="39"/>
  <c r="AG197" i="39"/>
  <c r="AH197" i="39"/>
  <c r="AI197" i="39"/>
  <c r="AJ197" i="39"/>
  <c r="AK197" i="39"/>
  <c r="AL197" i="39"/>
  <c r="AM197" i="39"/>
  <c r="V198" i="39"/>
  <c r="W198" i="39"/>
  <c r="X198" i="39"/>
  <c r="Y198" i="39"/>
  <c r="Z198" i="39"/>
  <c r="AA198" i="39"/>
  <c r="AB198" i="39"/>
  <c r="AC198" i="39"/>
  <c r="AD198" i="39"/>
  <c r="AE198" i="39"/>
  <c r="AF198" i="39"/>
  <c r="AG198" i="39"/>
  <c r="AH198" i="39"/>
  <c r="AI198" i="39"/>
  <c r="AJ198" i="39"/>
  <c r="AK198" i="39"/>
  <c r="AL198" i="39"/>
  <c r="AM198" i="39"/>
  <c r="V199" i="39"/>
  <c r="W199" i="39"/>
  <c r="X199" i="39"/>
  <c r="Y199" i="39"/>
  <c r="Z199" i="39"/>
  <c r="AA199" i="39"/>
  <c r="AB199" i="39"/>
  <c r="AC199" i="39"/>
  <c r="AD199" i="39"/>
  <c r="AE199" i="39"/>
  <c r="AF199" i="39"/>
  <c r="AG199" i="39"/>
  <c r="AH199" i="39"/>
  <c r="AI199" i="39"/>
  <c r="AJ199" i="39"/>
  <c r="AK199" i="39"/>
  <c r="AL199" i="39"/>
  <c r="AM199" i="39"/>
  <c r="M201" i="39"/>
  <c r="N201" i="39"/>
  <c r="Q201" i="39"/>
  <c r="R201" i="39"/>
  <c r="R208" i="39"/>
  <c r="W201" i="39"/>
  <c r="X201" i="39"/>
  <c r="Y201" i="39"/>
  <c r="AA201" i="39"/>
  <c r="AB201" i="39"/>
  <c r="AC201" i="39"/>
  <c r="AE201" i="39"/>
  <c r="AF201" i="39"/>
  <c r="AH201" i="39"/>
  <c r="AI201" i="39"/>
  <c r="AK201" i="39"/>
  <c r="AL201" i="39"/>
  <c r="AM201" i="39"/>
  <c r="M202" i="39"/>
  <c r="N202" i="39"/>
  <c r="Q202" i="39"/>
  <c r="Q209" i="39"/>
  <c r="Q210" i="39"/>
  <c r="Q211" i="39"/>
  <c r="R202" i="39"/>
  <c r="W202" i="39"/>
  <c r="X202" i="39"/>
  <c r="Y202" i="39"/>
  <c r="AA202" i="39"/>
  <c r="AB202" i="39"/>
  <c r="AC202" i="39"/>
  <c r="AE202" i="39"/>
  <c r="AF202" i="39"/>
  <c r="AG202" i="39"/>
  <c r="AH202" i="39"/>
  <c r="AI202" i="39"/>
  <c r="AK202" i="39"/>
  <c r="AL202" i="39"/>
  <c r="AM202" i="39"/>
  <c r="M204" i="39"/>
  <c r="N204" i="39"/>
  <c r="O204" i="39"/>
  <c r="P204" i="39"/>
  <c r="Q204" i="39"/>
  <c r="R204" i="39"/>
  <c r="S204" i="39"/>
  <c r="S210" i="39"/>
  <c r="S211" i="39"/>
  <c r="V204" i="39"/>
  <c r="W204" i="39"/>
  <c r="X204" i="39"/>
  <c r="Y204" i="39"/>
  <c r="Z204" i="39"/>
  <c r="AA204" i="39"/>
  <c r="AB204" i="39"/>
  <c r="AC204" i="39"/>
  <c r="AD204" i="39"/>
  <c r="AE204" i="39"/>
  <c r="AF204" i="39"/>
  <c r="AG204" i="39"/>
  <c r="AH204" i="39"/>
  <c r="AI204" i="39"/>
  <c r="AJ204" i="39"/>
  <c r="AK204" i="39"/>
  <c r="AL204" i="39"/>
  <c r="AM204" i="39"/>
  <c r="M205" i="39"/>
  <c r="N205" i="39"/>
  <c r="O205" i="39"/>
  <c r="P205" i="39"/>
  <c r="Q205" i="39"/>
  <c r="R205" i="39"/>
  <c r="S205" i="39"/>
  <c r="W205" i="39"/>
  <c r="X205" i="39"/>
  <c r="Y205" i="39"/>
  <c r="Z205" i="39"/>
  <c r="AA205" i="39"/>
  <c r="AB205" i="39"/>
  <c r="AC205" i="39"/>
  <c r="AD205" i="39"/>
  <c r="AE205" i="39"/>
  <c r="AF205" i="39"/>
  <c r="AG205" i="39"/>
  <c r="AH205" i="39"/>
  <c r="AI205" i="39"/>
  <c r="AJ205" i="39"/>
  <c r="AK205" i="39"/>
  <c r="AL205" i="39"/>
  <c r="AM205" i="39"/>
  <c r="M208" i="39"/>
  <c r="Q208" i="39"/>
  <c r="S208" i="39"/>
  <c r="V208" i="39"/>
  <c r="W208" i="39"/>
  <c r="X208" i="39"/>
  <c r="Y208" i="39"/>
  <c r="Z208" i="39"/>
  <c r="AA208" i="39"/>
  <c r="AB208" i="39"/>
  <c r="AC208" i="39"/>
  <c r="AD208" i="39"/>
  <c r="AE208" i="39"/>
  <c r="AF208" i="39"/>
  <c r="AG208" i="39"/>
  <c r="AH208" i="39"/>
  <c r="AI208" i="39"/>
  <c r="AJ208" i="39"/>
  <c r="AK208" i="39"/>
  <c r="AL208" i="39"/>
  <c r="AM208" i="39"/>
  <c r="M209" i="39"/>
  <c r="M210" i="39"/>
  <c r="M211" i="39"/>
  <c r="R209" i="39"/>
  <c r="R210" i="39"/>
  <c r="R211" i="39"/>
  <c r="S209" i="39"/>
  <c r="V209" i="39"/>
  <c r="W209" i="39"/>
  <c r="X209" i="39"/>
  <c r="Y209" i="39"/>
  <c r="Z209" i="39"/>
  <c r="AA209" i="39"/>
  <c r="AB209" i="39"/>
  <c r="AC209" i="39"/>
  <c r="AD209" i="39"/>
  <c r="AE209" i="39"/>
  <c r="AF209" i="39"/>
  <c r="AG209" i="39"/>
  <c r="AH209" i="39"/>
  <c r="AI209" i="39"/>
  <c r="AJ209" i="39"/>
  <c r="AK209" i="39"/>
  <c r="AL209" i="39"/>
  <c r="AM209" i="39"/>
  <c r="V210" i="39"/>
  <c r="W210" i="39"/>
  <c r="X210" i="39"/>
  <c r="Y210" i="39"/>
  <c r="Z210" i="39"/>
  <c r="AA210" i="39"/>
  <c r="AB210" i="39"/>
  <c r="AC210" i="39"/>
  <c r="AD210" i="39"/>
  <c r="AE210" i="39"/>
  <c r="AF210" i="39"/>
  <c r="AG210" i="39"/>
  <c r="AH210" i="39"/>
  <c r="AI210" i="39"/>
  <c r="AJ210" i="39"/>
  <c r="AK210" i="39"/>
  <c r="AL210" i="39"/>
  <c r="AM210" i="39"/>
  <c r="V211" i="39"/>
  <c r="W211" i="39"/>
  <c r="X211" i="39"/>
  <c r="Y211" i="39"/>
  <c r="Z211" i="39"/>
  <c r="AA211" i="39"/>
  <c r="AB211" i="39"/>
  <c r="AC211" i="39"/>
  <c r="AD211" i="39"/>
  <c r="AE211" i="39"/>
  <c r="AF211" i="39"/>
  <c r="AG211" i="39"/>
  <c r="AH211" i="39"/>
  <c r="AI211" i="39"/>
  <c r="AJ211" i="39"/>
  <c r="AK211" i="39"/>
  <c r="AL211" i="39"/>
  <c r="AM211" i="39"/>
  <c r="M213" i="39"/>
  <c r="N213" i="39"/>
  <c r="P213" i="39"/>
  <c r="P220" i="39"/>
  <c r="Q213" i="39"/>
  <c r="R213" i="39"/>
  <c r="R220" i="39"/>
  <c r="S220" i="39"/>
  <c r="W213" i="39"/>
  <c r="X213" i="39"/>
  <c r="Y213" i="39"/>
  <c r="AA213" i="39"/>
  <c r="AB213" i="39"/>
  <c r="AE213" i="39"/>
  <c r="AF213" i="39"/>
  <c r="AH213" i="39"/>
  <c r="AI213" i="39"/>
  <c r="AJ213" i="39"/>
  <c r="AK213" i="39"/>
  <c r="AL213" i="39"/>
  <c r="AM213" i="39"/>
  <c r="Q214" i="39"/>
  <c r="R214" i="39"/>
  <c r="S221" i="39"/>
  <c r="S222" i="39"/>
  <c r="S223" i="39"/>
  <c r="W214" i="39"/>
  <c r="X214" i="39"/>
  <c r="Y214" i="39"/>
  <c r="AA214" i="39"/>
  <c r="AB214" i="39"/>
  <c r="AE214" i="39"/>
  <c r="AF214" i="39"/>
  <c r="AG214" i="39"/>
  <c r="AH214" i="39"/>
  <c r="AI214" i="39"/>
  <c r="AJ214" i="39"/>
  <c r="AK214" i="39"/>
  <c r="AL214" i="39"/>
  <c r="AM214" i="39"/>
  <c r="M216" i="39"/>
  <c r="N216" i="39"/>
  <c r="O216" i="39"/>
  <c r="P216" i="39"/>
  <c r="Q216" i="39"/>
  <c r="Q222" i="39"/>
  <c r="Q223" i="39"/>
  <c r="R216" i="39"/>
  <c r="S216" i="39"/>
  <c r="V216" i="39"/>
  <c r="W216" i="39"/>
  <c r="X216" i="39"/>
  <c r="Y216" i="39"/>
  <c r="Z216" i="39"/>
  <c r="AA216" i="39"/>
  <c r="AB216" i="39"/>
  <c r="AC216" i="39"/>
  <c r="AD216" i="39"/>
  <c r="AE216" i="39"/>
  <c r="AF216" i="39"/>
  <c r="AG216" i="39"/>
  <c r="AH216" i="39"/>
  <c r="AI216" i="39"/>
  <c r="AJ216" i="39"/>
  <c r="AK216" i="39"/>
  <c r="AL216" i="39"/>
  <c r="AM216" i="39"/>
  <c r="Q217" i="39"/>
  <c r="R217" i="39"/>
  <c r="S217" i="39"/>
  <c r="V217" i="39"/>
  <c r="W217" i="39"/>
  <c r="X217" i="39"/>
  <c r="Y217" i="39"/>
  <c r="Z217" i="39"/>
  <c r="AA217" i="39"/>
  <c r="AB217" i="39"/>
  <c r="AC217" i="39"/>
  <c r="AD217" i="39"/>
  <c r="AE217" i="39"/>
  <c r="AF217" i="39"/>
  <c r="AG217" i="39"/>
  <c r="AH217" i="39"/>
  <c r="AI217" i="39"/>
  <c r="AJ217" i="39"/>
  <c r="AK217" i="39"/>
  <c r="AL217" i="39"/>
  <c r="AM217" i="39"/>
  <c r="M220" i="39"/>
  <c r="N220" i="39"/>
  <c r="O220" i="39"/>
  <c r="Q220" i="39"/>
  <c r="V220" i="39"/>
  <c r="W220" i="39"/>
  <c r="X220" i="39"/>
  <c r="Y220" i="39"/>
  <c r="Z220" i="39"/>
  <c r="AA220" i="39"/>
  <c r="AB220" i="39"/>
  <c r="AC220" i="39"/>
  <c r="AD220" i="39"/>
  <c r="AE220" i="39"/>
  <c r="AF220" i="39"/>
  <c r="AG220" i="39"/>
  <c r="AH220" i="39"/>
  <c r="AI220" i="39"/>
  <c r="AJ220" i="39"/>
  <c r="AK220" i="39"/>
  <c r="AL220" i="39"/>
  <c r="AM220" i="39"/>
  <c r="Q221" i="39"/>
  <c r="R221" i="39"/>
  <c r="R222" i="39"/>
  <c r="R223" i="39"/>
  <c r="V221" i="39"/>
  <c r="W221" i="39"/>
  <c r="X221" i="39"/>
  <c r="Y221" i="39"/>
  <c r="Z221" i="39"/>
  <c r="AA221" i="39"/>
  <c r="AB221" i="39"/>
  <c r="AC221" i="39"/>
  <c r="AD221" i="39"/>
  <c r="AE221" i="39"/>
  <c r="AF221" i="39"/>
  <c r="AG221" i="39"/>
  <c r="AH221" i="39"/>
  <c r="AI221" i="39"/>
  <c r="AJ221" i="39"/>
  <c r="AK221" i="39"/>
  <c r="AL221" i="39"/>
  <c r="AM221" i="39"/>
  <c r="V222" i="39"/>
  <c r="W222" i="39"/>
  <c r="X222" i="39"/>
  <c r="Y222" i="39"/>
  <c r="Z222" i="39"/>
  <c r="AA222" i="39"/>
  <c r="AB222" i="39"/>
  <c r="AC222" i="39"/>
  <c r="AD222" i="39"/>
  <c r="AE222" i="39"/>
  <c r="AF222" i="39"/>
  <c r="AG222" i="39"/>
  <c r="AH222" i="39"/>
  <c r="AI222" i="39"/>
  <c r="AJ222" i="39"/>
  <c r="AK222" i="39"/>
  <c r="AL222" i="39"/>
  <c r="AM222" i="39"/>
  <c r="V223" i="39"/>
  <c r="W223" i="39"/>
  <c r="X223" i="39"/>
  <c r="Y223" i="39"/>
  <c r="Z223" i="39"/>
  <c r="AA223" i="39"/>
  <c r="AB223" i="39"/>
  <c r="AC223" i="39"/>
  <c r="AD223" i="39"/>
  <c r="AE223" i="39"/>
  <c r="AF223" i="39"/>
  <c r="AG223" i="39"/>
  <c r="AH223" i="39"/>
  <c r="AI223" i="39"/>
  <c r="AJ223" i="39"/>
  <c r="AK223" i="39"/>
  <c r="AL223" i="39"/>
  <c r="AM223" i="39"/>
  <c r="M225" i="39"/>
  <c r="M232" i="39"/>
  <c r="Q225" i="39"/>
  <c r="R225" i="39"/>
  <c r="W225" i="39"/>
  <c r="X225" i="39"/>
  <c r="Y225" i="39"/>
  <c r="AA225" i="39"/>
  <c r="AB225" i="39"/>
  <c r="AC225" i="39"/>
  <c r="AE225" i="39"/>
  <c r="AF225" i="39"/>
  <c r="AH225" i="39"/>
  <c r="AI225" i="39"/>
  <c r="AK225" i="39"/>
  <c r="AL225" i="39"/>
  <c r="AM225" i="39"/>
  <c r="M226" i="39"/>
  <c r="N226" i="39"/>
  <c r="N233" i="39"/>
  <c r="Q226" i="39"/>
  <c r="R226" i="39"/>
  <c r="R233" i="39"/>
  <c r="R234" i="39"/>
  <c r="R235" i="39"/>
  <c r="W226" i="39"/>
  <c r="X226" i="39"/>
  <c r="Y226" i="39"/>
  <c r="AA226" i="39"/>
  <c r="AB226" i="39"/>
  <c r="AC226" i="39"/>
  <c r="AH226" i="39"/>
  <c r="AI226" i="39"/>
  <c r="AK226" i="39"/>
  <c r="AL226" i="39"/>
  <c r="AM226" i="39"/>
  <c r="M228" i="39"/>
  <c r="Q228" i="39"/>
  <c r="Q234" i="39"/>
  <c r="Q235" i="39"/>
  <c r="R228" i="39"/>
  <c r="S228" i="39"/>
  <c r="V228" i="39"/>
  <c r="W228" i="39"/>
  <c r="X228" i="39"/>
  <c r="Y228" i="39"/>
  <c r="Z228" i="39"/>
  <c r="AA228" i="39"/>
  <c r="AB228" i="39"/>
  <c r="AC228" i="39"/>
  <c r="AD228" i="39"/>
  <c r="AE228" i="39"/>
  <c r="AF228" i="39"/>
  <c r="AG228" i="39"/>
  <c r="AH228" i="39"/>
  <c r="AI228" i="39"/>
  <c r="AJ228" i="39"/>
  <c r="AK228" i="39"/>
  <c r="AL228" i="39"/>
  <c r="AM228" i="39"/>
  <c r="M229" i="39"/>
  <c r="N229" i="39"/>
  <c r="O229" i="39"/>
  <c r="P229" i="39"/>
  <c r="Q229" i="39"/>
  <c r="R229" i="39"/>
  <c r="S229" i="39"/>
  <c r="V229" i="39"/>
  <c r="W229" i="39"/>
  <c r="X229" i="39"/>
  <c r="Y229" i="39"/>
  <c r="Z229" i="39"/>
  <c r="AA229" i="39"/>
  <c r="AB229" i="39"/>
  <c r="AC229" i="39"/>
  <c r="AD229" i="39"/>
  <c r="AE229" i="39"/>
  <c r="AF229" i="39"/>
  <c r="AG229" i="39"/>
  <c r="AH229" i="39"/>
  <c r="AI229" i="39"/>
  <c r="AJ229" i="39"/>
  <c r="AK229" i="39"/>
  <c r="AL229" i="39"/>
  <c r="AM229" i="39"/>
  <c r="Q232" i="39"/>
  <c r="R232" i="39"/>
  <c r="S232" i="39"/>
  <c r="V232" i="39"/>
  <c r="W232" i="39"/>
  <c r="X232" i="39"/>
  <c r="Y232" i="39"/>
  <c r="Z232" i="39"/>
  <c r="AA232" i="39"/>
  <c r="AB232" i="39"/>
  <c r="AC232" i="39"/>
  <c r="AD232" i="39"/>
  <c r="AE232" i="39"/>
  <c r="AF232" i="39"/>
  <c r="AG232" i="39"/>
  <c r="AH232" i="39"/>
  <c r="AI232" i="39"/>
  <c r="AJ232" i="39"/>
  <c r="AK232" i="39"/>
  <c r="AL232" i="39"/>
  <c r="AM232" i="39"/>
  <c r="M233" i="39"/>
  <c r="Q233" i="39"/>
  <c r="V233" i="39"/>
  <c r="W233" i="39"/>
  <c r="X233" i="39"/>
  <c r="Y233" i="39"/>
  <c r="Z233" i="39"/>
  <c r="AA233" i="39"/>
  <c r="AB233" i="39"/>
  <c r="AC233" i="39"/>
  <c r="AD233" i="39"/>
  <c r="AE233" i="39"/>
  <c r="AF233" i="39"/>
  <c r="AG233" i="39"/>
  <c r="AH233" i="39"/>
  <c r="AI233" i="39"/>
  <c r="AJ233" i="39"/>
  <c r="AK233" i="39"/>
  <c r="AL233" i="39"/>
  <c r="AM233" i="39"/>
  <c r="V234" i="39"/>
  <c r="W234" i="39"/>
  <c r="X234" i="39"/>
  <c r="Y234" i="39"/>
  <c r="Z234" i="39"/>
  <c r="AA234" i="39"/>
  <c r="AB234" i="39"/>
  <c r="AC234" i="39"/>
  <c r="AD234" i="39"/>
  <c r="AE234" i="39"/>
  <c r="AF234" i="39"/>
  <c r="AG234" i="39"/>
  <c r="AH234" i="39"/>
  <c r="AI234" i="39"/>
  <c r="AJ234" i="39"/>
  <c r="AK234" i="39"/>
  <c r="AL234" i="39"/>
  <c r="AM234" i="39"/>
  <c r="V235" i="39"/>
  <c r="W235" i="39"/>
  <c r="X235" i="39"/>
  <c r="Y235" i="39"/>
  <c r="Z235" i="39"/>
  <c r="AA235" i="39"/>
  <c r="AB235" i="39"/>
  <c r="AC235" i="39"/>
  <c r="AD235" i="39"/>
  <c r="AE235" i="39"/>
  <c r="AF235" i="39"/>
  <c r="AG235" i="39"/>
  <c r="AH235" i="39"/>
  <c r="AI235" i="39"/>
  <c r="AJ235" i="39"/>
  <c r="AK235" i="39"/>
  <c r="AL235" i="39"/>
  <c r="AM235" i="39"/>
  <c r="Q240" i="39"/>
  <c r="R240" i="39"/>
  <c r="W240" i="39"/>
  <c r="X240" i="39"/>
  <c r="Y240" i="39"/>
  <c r="AA240" i="39"/>
  <c r="AB240" i="39"/>
  <c r="AC240" i="39"/>
  <c r="AE240" i="39"/>
  <c r="AF240" i="39"/>
  <c r="AG240" i="39"/>
  <c r="AH240" i="39"/>
  <c r="AI240" i="39"/>
  <c r="AK240" i="39"/>
  <c r="AL240" i="39"/>
  <c r="AM240" i="39"/>
  <c r="M242" i="39"/>
  <c r="N242" i="39"/>
  <c r="O242" i="39"/>
  <c r="P242" i="39"/>
  <c r="Q242" i="39"/>
  <c r="R242" i="39"/>
  <c r="S242" i="39"/>
  <c r="V242" i="39"/>
  <c r="W242" i="39"/>
  <c r="X242" i="39"/>
  <c r="Y242" i="39"/>
  <c r="Z242" i="39"/>
  <c r="AA242" i="39"/>
  <c r="AB242" i="39"/>
  <c r="AC242" i="39"/>
  <c r="AD242" i="39"/>
  <c r="AE242" i="39"/>
  <c r="AF242" i="39"/>
  <c r="AG242" i="39"/>
  <c r="AH242" i="39"/>
  <c r="AI242" i="39"/>
  <c r="AJ242" i="39"/>
  <c r="AK242" i="39"/>
  <c r="AL242" i="39"/>
  <c r="AM242" i="39"/>
  <c r="M243" i="39"/>
  <c r="N243" i="39"/>
  <c r="O243" i="39"/>
  <c r="P243" i="39"/>
  <c r="Q243" i="39"/>
  <c r="R243" i="39"/>
  <c r="S243" i="39"/>
  <c r="V243" i="39"/>
  <c r="W243" i="39"/>
  <c r="X243" i="39"/>
  <c r="Y243" i="39"/>
  <c r="Z243" i="39"/>
  <c r="AA243" i="39"/>
  <c r="AB243" i="39"/>
  <c r="AC243" i="39"/>
  <c r="AD243" i="39"/>
  <c r="AE243" i="39"/>
  <c r="AF243" i="39"/>
  <c r="AG243" i="39"/>
  <c r="AH243" i="39"/>
  <c r="AI243" i="39"/>
  <c r="AJ243" i="39"/>
  <c r="AK243" i="39"/>
  <c r="AL243" i="39"/>
  <c r="AM243" i="39"/>
  <c r="M246" i="39"/>
  <c r="N246" i="39"/>
  <c r="O246" i="39"/>
  <c r="P246" i="39"/>
  <c r="Q246" i="39"/>
  <c r="R246" i="39"/>
  <c r="S246" i="39"/>
  <c r="V246" i="39"/>
  <c r="W246" i="39"/>
  <c r="X246" i="39"/>
  <c r="Y246" i="39"/>
  <c r="Z246" i="39"/>
  <c r="AA246" i="39"/>
  <c r="AB246" i="39"/>
  <c r="AC246" i="39"/>
  <c r="AD246" i="39"/>
  <c r="AE246" i="39"/>
  <c r="AF246" i="39"/>
  <c r="AG246" i="39"/>
  <c r="AH246" i="39"/>
  <c r="AI246" i="39"/>
  <c r="AJ246" i="39"/>
  <c r="AK246" i="39"/>
  <c r="AL246" i="39"/>
  <c r="AM246" i="39"/>
  <c r="Q247" i="39"/>
  <c r="R247" i="39"/>
  <c r="S247" i="39"/>
  <c r="S248" i="39"/>
  <c r="S249" i="39"/>
  <c r="V247" i="39"/>
  <c r="W247" i="39"/>
  <c r="X247" i="39"/>
  <c r="Y247" i="39"/>
  <c r="Z247" i="39"/>
  <c r="AA247" i="39"/>
  <c r="AB247" i="39"/>
  <c r="AC247" i="39"/>
  <c r="AD247" i="39"/>
  <c r="AE247" i="39"/>
  <c r="AF247" i="39"/>
  <c r="AG247" i="39"/>
  <c r="AH247" i="39"/>
  <c r="AI247" i="39"/>
  <c r="AJ247" i="39"/>
  <c r="AK247" i="39"/>
  <c r="AL247" i="39"/>
  <c r="AM247" i="39"/>
  <c r="Q248" i="39"/>
  <c r="Q249" i="39"/>
  <c r="R248" i="39"/>
  <c r="R249" i="39"/>
  <c r="V248" i="39"/>
  <c r="W248" i="39"/>
  <c r="X248" i="39"/>
  <c r="Y248" i="39"/>
  <c r="Z248" i="39"/>
  <c r="AA248" i="39"/>
  <c r="AB248" i="39"/>
  <c r="AC248" i="39"/>
  <c r="AD248" i="39"/>
  <c r="AE248" i="39"/>
  <c r="AF248" i="39"/>
  <c r="AG248" i="39"/>
  <c r="AH248" i="39"/>
  <c r="AI248" i="39"/>
  <c r="AJ248" i="39"/>
  <c r="AK248" i="39"/>
  <c r="AL248" i="39"/>
  <c r="AM248" i="39"/>
  <c r="V249" i="39"/>
  <c r="W249" i="39"/>
  <c r="X249" i="39"/>
  <c r="Y249" i="39"/>
  <c r="Z249" i="39"/>
  <c r="AA249" i="39"/>
  <c r="AB249" i="39"/>
  <c r="AC249" i="39"/>
  <c r="AD249" i="39"/>
  <c r="AE249" i="39"/>
  <c r="AF249" i="39"/>
  <c r="AG249" i="39"/>
  <c r="AH249" i="39"/>
  <c r="AI249" i="39"/>
  <c r="AJ249" i="39"/>
  <c r="AK249" i="39"/>
  <c r="AL249" i="39"/>
  <c r="AM249" i="39"/>
  <c r="M217" i="39"/>
  <c r="N217" i="39"/>
  <c r="O217" i="39"/>
  <c r="M157" i="39"/>
  <c r="N157" i="39"/>
  <c r="P157" i="39"/>
  <c r="M16" i="38"/>
  <c r="N9" i="38"/>
  <c r="N16" i="38"/>
  <c r="P9" i="38"/>
  <c r="P16" i="38"/>
  <c r="Q9" i="38"/>
  <c r="Q16" i="38"/>
  <c r="R9" i="38"/>
  <c r="R16" i="38"/>
  <c r="S16" i="38"/>
  <c r="V16" i="38"/>
  <c r="X9" i="38"/>
  <c r="X16" i="38"/>
  <c r="Y9" i="38"/>
  <c r="Y16" i="38"/>
  <c r="Z16" i="38"/>
  <c r="AA9" i="38"/>
  <c r="AA16" i="38"/>
  <c r="AB9" i="38"/>
  <c r="AB16" i="38"/>
  <c r="AC9" i="38"/>
  <c r="AC16" i="38"/>
  <c r="AE16" i="38"/>
  <c r="AF9" i="38"/>
  <c r="AF16" i="38"/>
  <c r="AG9" i="38"/>
  <c r="AG16" i="38"/>
  <c r="AH9" i="38"/>
  <c r="AH16" i="38"/>
  <c r="AI9" i="38"/>
  <c r="AI16" i="38"/>
  <c r="AJ9" i="38"/>
  <c r="AJ16" i="38"/>
  <c r="AK9" i="38"/>
  <c r="AK16" i="38"/>
  <c r="AL9" i="38"/>
  <c r="AL16" i="38"/>
  <c r="AM9" i="38"/>
  <c r="AM16" i="38"/>
  <c r="N10" i="38"/>
  <c r="O10" i="38"/>
  <c r="O17" i="38"/>
  <c r="P10" i="38"/>
  <c r="P17" i="38"/>
  <c r="P18" i="38"/>
  <c r="P19" i="38"/>
  <c r="Q10" i="38"/>
  <c r="Q17" i="38"/>
  <c r="R10" i="38"/>
  <c r="R17" i="38"/>
  <c r="S17" i="38"/>
  <c r="S18" i="38"/>
  <c r="S19" i="38"/>
  <c r="V17" i="38"/>
  <c r="X10" i="38"/>
  <c r="X17" i="38"/>
  <c r="Y10" i="38"/>
  <c r="Y17" i="38"/>
  <c r="Z17" i="38"/>
  <c r="AA10" i="38"/>
  <c r="AA17" i="38"/>
  <c r="AB10" i="38"/>
  <c r="AB17" i="38"/>
  <c r="AC10" i="38"/>
  <c r="AC17" i="38"/>
  <c r="AE17" i="38"/>
  <c r="AF10" i="38"/>
  <c r="AF17" i="38"/>
  <c r="AG10" i="38"/>
  <c r="AG17" i="38"/>
  <c r="AH10" i="38"/>
  <c r="AH17" i="38"/>
  <c r="AI10" i="38"/>
  <c r="AI17" i="38"/>
  <c r="AJ10" i="38"/>
  <c r="AJ17" i="38"/>
  <c r="AK10" i="38"/>
  <c r="AK17" i="38"/>
  <c r="AL10" i="38"/>
  <c r="AL17" i="38"/>
  <c r="AM10" i="38"/>
  <c r="AM17" i="38"/>
  <c r="L12" i="38"/>
  <c r="M12" i="38"/>
  <c r="N12" i="38"/>
  <c r="O12" i="38"/>
  <c r="P12" i="38"/>
  <c r="Q12" i="38"/>
  <c r="R12" i="38"/>
  <c r="S12" i="38"/>
  <c r="V12" i="38"/>
  <c r="W12" i="38"/>
  <c r="X12" i="38"/>
  <c r="Y12" i="38"/>
  <c r="Z12" i="38"/>
  <c r="AA12" i="38"/>
  <c r="AB12" i="38"/>
  <c r="AC12" i="38"/>
  <c r="AD12" i="38"/>
  <c r="AE12" i="38"/>
  <c r="AF12" i="38"/>
  <c r="AG12" i="38"/>
  <c r="AH12" i="38"/>
  <c r="AI12" i="38"/>
  <c r="AJ12" i="38"/>
  <c r="AK12" i="38"/>
  <c r="AL12" i="38"/>
  <c r="AM12" i="38"/>
  <c r="M13" i="38"/>
  <c r="N13" i="38"/>
  <c r="O13" i="38"/>
  <c r="P13" i="38"/>
  <c r="Q13" i="38"/>
  <c r="R13" i="38"/>
  <c r="S13" i="38"/>
  <c r="V13" i="38"/>
  <c r="W13" i="38"/>
  <c r="X13" i="38"/>
  <c r="Y13" i="38"/>
  <c r="Z13" i="38"/>
  <c r="AA13" i="38"/>
  <c r="AB13" i="38"/>
  <c r="AC13" i="38"/>
  <c r="AD13" i="38"/>
  <c r="AE13" i="38"/>
  <c r="AF13" i="38"/>
  <c r="AG13" i="38"/>
  <c r="AH13" i="38"/>
  <c r="AI13" i="38"/>
  <c r="AJ13" i="38"/>
  <c r="AK13" i="38"/>
  <c r="AL13" i="38"/>
  <c r="AM13" i="38"/>
  <c r="M245" i="38"/>
  <c r="P238" i="38"/>
  <c r="P245" i="38"/>
  <c r="O16" i="38"/>
  <c r="M17" i="38"/>
  <c r="N17" i="38"/>
  <c r="L18" i="38"/>
  <c r="L19" i="38"/>
  <c r="M18" i="38"/>
  <c r="N18" i="38"/>
  <c r="O18" i="38"/>
  <c r="O19" i="38"/>
  <c r="Q18" i="38"/>
  <c r="R18" i="38"/>
  <c r="R19" i="38"/>
  <c r="V18" i="38"/>
  <c r="V19" i="38"/>
  <c r="W18" i="38"/>
  <c r="W19" i="38"/>
  <c r="X18" i="38"/>
  <c r="X19" i="38"/>
  <c r="Y18" i="38"/>
  <c r="Y19" i="38"/>
  <c r="Z18" i="38"/>
  <c r="Z19" i="38"/>
  <c r="AA18" i="38"/>
  <c r="AA19" i="38"/>
  <c r="AB18" i="38"/>
  <c r="AB19" i="38"/>
  <c r="AC18" i="38"/>
  <c r="AC19" i="38"/>
  <c r="AD18" i="38"/>
  <c r="AD19" i="38"/>
  <c r="AE18" i="38"/>
  <c r="AE19" i="38"/>
  <c r="AF18" i="38"/>
  <c r="AF19" i="38"/>
  <c r="AG18" i="38"/>
  <c r="AG19" i="38"/>
  <c r="AH18" i="38"/>
  <c r="AH19" i="38"/>
  <c r="AI18" i="38"/>
  <c r="AI19" i="38"/>
  <c r="AJ18" i="38"/>
  <c r="AJ19" i="38"/>
  <c r="AK18" i="38"/>
  <c r="AK19" i="38"/>
  <c r="AL18" i="38"/>
  <c r="AL19" i="38"/>
  <c r="AM18" i="38"/>
  <c r="AM19" i="38"/>
  <c r="M19" i="38"/>
  <c r="N19" i="38"/>
  <c r="Q19" i="38"/>
  <c r="N21" i="38"/>
  <c r="N28" i="38"/>
  <c r="O28" i="38"/>
  <c r="P21" i="38"/>
  <c r="P28" i="38"/>
  <c r="Q21" i="38"/>
  <c r="Q28" i="38"/>
  <c r="R21" i="38"/>
  <c r="R28" i="38"/>
  <c r="S28" i="38"/>
  <c r="V28" i="38"/>
  <c r="W21" i="38"/>
  <c r="W28" i="38"/>
  <c r="X21" i="38"/>
  <c r="X28" i="38"/>
  <c r="Y21" i="38"/>
  <c r="Y28" i="38"/>
  <c r="Z28" i="38"/>
  <c r="AA21" i="38"/>
  <c r="AA28" i="38"/>
  <c r="AB21" i="38"/>
  <c r="AB28" i="38"/>
  <c r="AC21" i="38"/>
  <c r="AC28" i="38"/>
  <c r="AE28" i="38"/>
  <c r="AF28" i="38"/>
  <c r="AH21" i="38"/>
  <c r="AH28" i="38"/>
  <c r="AI21" i="38"/>
  <c r="AI28" i="38"/>
  <c r="AJ21" i="38"/>
  <c r="AJ28" i="38"/>
  <c r="AK21" i="38"/>
  <c r="AK28" i="38"/>
  <c r="AL21" i="38"/>
  <c r="AL28" i="38"/>
  <c r="AM21" i="38"/>
  <c r="AM28" i="38"/>
  <c r="N22" i="38"/>
  <c r="N29" i="38"/>
  <c r="O22" i="38"/>
  <c r="O29" i="38"/>
  <c r="P22" i="38"/>
  <c r="P29" i="38"/>
  <c r="W29" i="38"/>
  <c r="AF22" i="38"/>
  <c r="AF29" i="38"/>
  <c r="M24" i="38"/>
  <c r="N24" i="38"/>
  <c r="P24" i="38"/>
  <c r="AF24" i="38"/>
  <c r="AG24" i="38"/>
  <c r="P25" i="38"/>
  <c r="AF25" i="38"/>
  <c r="L28" i="38"/>
  <c r="M28" i="38"/>
  <c r="N30" i="38"/>
  <c r="N31" i="38"/>
  <c r="L33" i="38"/>
  <c r="L40" i="38"/>
  <c r="M40" i="38"/>
  <c r="N33" i="38"/>
  <c r="N40" i="38"/>
  <c r="P33" i="38"/>
  <c r="P40" i="38"/>
  <c r="Q33" i="38"/>
  <c r="Q40" i="38"/>
  <c r="R33" i="38"/>
  <c r="R40" i="38"/>
  <c r="S40" i="38"/>
  <c r="V40" i="38"/>
  <c r="X33" i="38"/>
  <c r="X40" i="38"/>
  <c r="Y33" i="38"/>
  <c r="Y40" i="38"/>
  <c r="Z40" i="38"/>
  <c r="AA33" i="38"/>
  <c r="AA40" i="38"/>
  <c r="AB33" i="38"/>
  <c r="AB40" i="38"/>
  <c r="AC33" i="38"/>
  <c r="AC40" i="38"/>
  <c r="AD33" i="38"/>
  <c r="AD40" i="38"/>
  <c r="AE33" i="38"/>
  <c r="AE40" i="38"/>
  <c r="AF33" i="38"/>
  <c r="AF40" i="38"/>
  <c r="AG40" i="38"/>
  <c r="AH33" i="38"/>
  <c r="AH40" i="38"/>
  <c r="AI33" i="38"/>
  <c r="AI40" i="38"/>
  <c r="AJ33" i="38"/>
  <c r="AJ40" i="38"/>
  <c r="AK33" i="38"/>
  <c r="AK40" i="38"/>
  <c r="AL33" i="38"/>
  <c r="AL40" i="38"/>
  <c r="AM33" i="38"/>
  <c r="AM40" i="38"/>
  <c r="L41" i="38"/>
  <c r="Q34" i="38"/>
  <c r="Q41" i="38"/>
  <c r="L36" i="38"/>
  <c r="Q36" i="38"/>
  <c r="AD36" i="38"/>
  <c r="AE36" i="38"/>
  <c r="L37" i="38"/>
  <c r="P37" i="38"/>
  <c r="V37" i="38"/>
  <c r="W37" i="38"/>
  <c r="X37" i="38"/>
  <c r="AF37" i="38"/>
  <c r="AG37" i="38"/>
  <c r="AH37" i="38"/>
  <c r="O40" i="38"/>
  <c r="L42" i="38"/>
  <c r="L43" i="38"/>
  <c r="M36" i="38"/>
  <c r="N36" i="38"/>
  <c r="N42" i="38"/>
  <c r="N43" i="38"/>
  <c r="M52" i="38"/>
  <c r="N45" i="38"/>
  <c r="N52" i="38"/>
  <c r="P45" i="38"/>
  <c r="P52" i="38"/>
  <c r="Q45" i="38"/>
  <c r="Q52" i="38"/>
  <c r="R45" i="38"/>
  <c r="R52" i="38"/>
  <c r="S52" i="38"/>
  <c r="V45" i="38"/>
  <c r="V52" i="38"/>
  <c r="W45" i="38"/>
  <c r="W52" i="38"/>
  <c r="X45" i="38"/>
  <c r="X52" i="38"/>
  <c r="Y45" i="38"/>
  <c r="Y52" i="38"/>
  <c r="AA45" i="38"/>
  <c r="AA52" i="38"/>
  <c r="AB45" i="38"/>
  <c r="AB52" i="38"/>
  <c r="AC45" i="38"/>
  <c r="AC52" i="38"/>
  <c r="AD45" i="38"/>
  <c r="AD52" i="38"/>
  <c r="AE52" i="38"/>
  <c r="AF45" i="38"/>
  <c r="AF52" i="38"/>
  <c r="AG52" i="38"/>
  <c r="AH45" i="38"/>
  <c r="AH52" i="38"/>
  <c r="AI45" i="38"/>
  <c r="AI52" i="38"/>
  <c r="AJ45" i="38"/>
  <c r="AJ52" i="38"/>
  <c r="AK45" i="38"/>
  <c r="AK52" i="38"/>
  <c r="AL45" i="38"/>
  <c r="AM45" i="38"/>
  <c r="AM52" i="38"/>
  <c r="M53" i="38"/>
  <c r="N46" i="38"/>
  <c r="N53" i="38"/>
  <c r="P46" i="38"/>
  <c r="P53" i="38"/>
  <c r="AG53" i="38"/>
  <c r="L48" i="38"/>
  <c r="M48" i="38"/>
  <c r="N48" i="38"/>
  <c r="P48" i="38"/>
  <c r="P49" i="38"/>
  <c r="Q49" i="38"/>
  <c r="R49" i="38"/>
  <c r="S49" i="38"/>
  <c r="AL52" i="38"/>
  <c r="M54" i="38"/>
  <c r="M55" i="38"/>
  <c r="AG54" i="38"/>
  <c r="AG55" i="38"/>
  <c r="M64" i="38"/>
  <c r="N57" i="38"/>
  <c r="N64" i="38"/>
  <c r="P57" i="38"/>
  <c r="P64" i="38"/>
  <c r="Q57" i="38"/>
  <c r="Q64" i="38"/>
  <c r="R57" i="38"/>
  <c r="R64" i="38"/>
  <c r="S64" i="38"/>
  <c r="V64" i="38"/>
  <c r="W57" i="38"/>
  <c r="W64" i="38"/>
  <c r="X57" i="38"/>
  <c r="X64" i="38"/>
  <c r="Y57" i="38"/>
  <c r="Y64" i="38"/>
  <c r="Z57" i="38"/>
  <c r="Z64" i="38"/>
  <c r="AA57" i="38"/>
  <c r="AA64" i="38"/>
  <c r="AB57" i="38"/>
  <c r="AB64" i="38"/>
  <c r="AC57" i="38"/>
  <c r="AC64" i="38"/>
  <c r="AD57" i="38"/>
  <c r="AD64" i="38"/>
  <c r="AE64" i="38"/>
  <c r="AF57" i="38"/>
  <c r="AF64" i="38"/>
  <c r="AG57" i="38"/>
  <c r="AG64" i="38"/>
  <c r="AH57" i="38"/>
  <c r="AH64" i="38"/>
  <c r="AI57" i="38"/>
  <c r="AI64" i="38"/>
  <c r="AJ64" i="38"/>
  <c r="AK57" i="38"/>
  <c r="AK64" i="38"/>
  <c r="AL57" i="38"/>
  <c r="AL64" i="38"/>
  <c r="AM57" i="38"/>
  <c r="AM64" i="38"/>
  <c r="N58" i="38"/>
  <c r="N65" i="38"/>
  <c r="P58" i="38"/>
  <c r="P65" i="38"/>
  <c r="P66" i="38"/>
  <c r="W58" i="38"/>
  <c r="W65" i="38"/>
  <c r="L60" i="38"/>
  <c r="M60" i="38"/>
  <c r="N60" i="38"/>
  <c r="P60" i="38"/>
  <c r="AB60" i="38"/>
  <c r="L61" i="38"/>
  <c r="M61" i="38"/>
  <c r="N61" i="38"/>
  <c r="P61" i="38"/>
  <c r="N66" i="38"/>
  <c r="N67" i="38"/>
  <c r="P67" i="38"/>
  <c r="M69" i="38"/>
  <c r="M76" i="38"/>
  <c r="N69" i="38"/>
  <c r="N76" i="38"/>
  <c r="P69" i="38"/>
  <c r="P76" i="38"/>
  <c r="Q69" i="38"/>
  <c r="Q76" i="38"/>
  <c r="R69" i="38"/>
  <c r="R76" i="38"/>
  <c r="S69" i="38"/>
  <c r="S76" i="38"/>
  <c r="V76" i="38"/>
  <c r="W69" i="38"/>
  <c r="W76" i="38"/>
  <c r="X69" i="38"/>
  <c r="X76" i="38"/>
  <c r="Y69" i="38"/>
  <c r="Y76" i="38"/>
  <c r="Z76" i="38"/>
  <c r="AA69" i="38"/>
  <c r="AA76" i="38"/>
  <c r="AB69" i="38"/>
  <c r="AB76" i="38"/>
  <c r="AC69" i="38"/>
  <c r="AC76" i="38"/>
  <c r="AE76" i="38"/>
  <c r="AF69" i="38"/>
  <c r="AF76" i="38"/>
  <c r="AG69" i="38"/>
  <c r="AG76" i="38"/>
  <c r="AH69" i="38"/>
  <c r="AH76" i="38"/>
  <c r="AI69" i="38"/>
  <c r="AI76" i="38"/>
  <c r="AJ76" i="38"/>
  <c r="AK69" i="38"/>
  <c r="AK76" i="38"/>
  <c r="AL69" i="38"/>
  <c r="AL76" i="38"/>
  <c r="AM69" i="38"/>
  <c r="AM76" i="38"/>
  <c r="P70" i="38"/>
  <c r="P77" i="38"/>
  <c r="P78" i="38"/>
  <c r="P79" i="38"/>
  <c r="R70" i="38"/>
  <c r="R77" i="38"/>
  <c r="AE70" i="38"/>
  <c r="AE77" i="38"/>
  <c r="AH70" i="38"/>
  <c r="AH77" i="38"/>
  <c r="P72" i="38"/>
  <c r="Q72" i="38"/>
  <c r="R72" i="38"/>
  <c r="M73" i="38"/>
  <c r="N73" i="38"/>
  <c r="P73" i="38"/>
  <c r="Q73" i="38"/>
  <c r="R73" i="38"/>
  <c r="L76" i="38"/>
  <c r="L77" i="38"/>
  <c r="L72" i="38"/>
  <c r="L78" i="38"/>
  <c r="L79" i="38"/>
  <c r="M70" i="38"/>
  <c r="M77" i="38"/>
  <c r="M72" i="38"/>
  <c r="M78" i="38"/>
  <c r="M79" i="38"/>
  <c r="O72" i="38"/>
  <c r="O78" i="38"/>
  <c r="R78" i="38"/>
  <c r="R79" i="38"/>
  <c r="O79" i="38"/>
  <c r="M88" i="38"/>
  <c r="N81" i="38"/>
  <c r="P81" i="38"/>
  <c r="P88" i="38"/>
  <c r="Q81" i="38"/>
  <c r="Q88" i="38"/>
  <c r="R81" i="38"/>
  <c r="R88" i="38"/>
  <c r="S88" i="38"/>
  <c r="V88" i="38"/>
  <c r="W81" i="38"/>
  <c r="W88" i="38"/>
  <c r="X81" i="38"/>
  <c r="X88" i="38"/>
  <c r="Y81" i="38"/>
  <c r="Y88" i="38"/>
  <c r="AA81" i="38"/>
  <c r="AA88" i="38"/>
  <c r="AB81" i="38"/>
  <c r="AB88" i="38"/>
  <c r="AC81" i="38"/>
  <c r="AC88" i="38"/>
  <c r="AE88" i="38"/>
  <c r="AF88" i="38"/>
  <c r="AH81" i="38"/>
  <c r="AH88" i="38"/>
  <c r="AI81" i="38"/>
  <c r="AI88" i="38"/>
  <c r="AJ88" i="38"/>
  <c r="AK81" i="38"/>
  <c r="AK88" i="38"/>
  <c r="AL81" i="38"/>
  <c r="AL88" i="38"/>
  <c r="AM81" i="38"/>
  <c r="AM88" i="38"/>
  <c r="M89" i="38"/>
  <c r="N82" i="38"/>
  <c r="N89" i="38"/>
  <c r="P82" i="38"/>
  <c r="P89" i="38"/>
  <c r="Q82" i="38"/>
  <c r="Q89" i="38"/>
  <c r="Q90" i="38"/>
  <c r="Q91" i="38"/>
  <c r="V89" i="38"/>
  <c r="AA82" i="38"/>
  <c r="AB82" i="38"/>
  <c r="AB89" i="38"/>
  <c r="L84" i="38"/>
  <c r="M84" i="38"/>
  <c r="N84" i="38"/>
  <c r="R84" i="38"/>
  <c r="S84" i="38"/>
  <c r="V84" i="38"/>
  <c r="Z84" i="38"/>
  <c r="AA84" i="38"/>
  <c r="AB84" i="38"/>
  <c r="AD84" i="38"/>
  <c r="M85" i="38"/>
  <c r="N85" i="38"/>
  <c r="O85" i="38"/>
  <c r="P85" i="38"/>
  <c r="V85" i="38"/>
  <c r="Z85" i="38"/>
  <c r="AA85" i="38"/>
  <c r="AB85" i="38"/>
  <c r="N88" i="38"/>
  <c r="M90" i="38"/>
  <c r="M91" i="38"/>
  <c r="N90" i="38"/>
  <c r="N91" i="38"/>
  <c r="O84" i="38"/>
  <c r="O90" i="38"/>
  <c r="O91" i="38"/>
  <c r="V90" i="38"/>
  <c r="V91" i="38"/>
  <c r="AD89" i="38"/>
  <c r="AD90" i="38"/>
  <c r="AD91" i="38"/>
  <c r="M100" i="38"/>
  <c r="N93" i="38"/>
  <c r="N100" i="38"/>
  <c r="O100" i="38"/>
  <c r="P93" i="38"/>
  <c r="P100" i="38"/>
  <c r="Q93" i="38"/>
  <c r="Q100" i="38"/>
  <c r="R93" i="38"/>
  <c r="R100" i="38"/>
  <c r="S100" i="38"/>
  <c r="V100" i="38"/>
  <c r="W93" i="38"/>
  <c r="W100" i="38"/>
  <c r="X93" i="38"/>
  <c r="X100" i="38"/>
  <c r="Y93" i="38"/>
  <c r="Y100" i="38"/>
  <c r="AA93" i="38"/>
  <c r="AA100" i="38"/>
  <c r="AB93" i="38"/>
  <c r="AB100" i="38"/>
  <c r="AC93" i="38"/>
  <c r="AC100" i="38"/>
  <c r="AD93" i="38"/>
  <c r="AD100" i="38"/>
  <c r="AE93" i="38"/>
  <c r="AE100" i="38"/>
  <c r="AF93" i="38"/>
  <c r="AF100" i="38"/>
  <c r="AG100" i="38"/>
  <c r="AH93" i="38"/>
  <c r="AH100" i="38"/>
  <c r="AI93" i="38"/>
  <c r="AI100" i="38"/>
  <c r="AJ100" i="38"/>
  <c r="AK93" i="38"/>
  <c r="AK100" i="38"/>
  <c r="AL93" i="38"/>
  <c r="AL100" i="38"/>
  <c r="AM93" i="38"/>
  <c r="AM100" i="38"/>
  <c r="M101" i="38"/>
  <c r="N94" i="38"/>
  <c r="N101" i="38"/>
  <c r="Q94" i="38"/>
  <c r="Q101" i="38"/>
  <c r="R94" i="38"/>
  <c r="R101" i="38"/>
  <c r="AG94" i="38"/>
  <c r="AH94" i="38"/>
  <c r="AI94" i="38"/>
  <c r="AI101" i="38"/>
  <c r="L96" i="38"/>
  <c r="M96" i="38"/>
  <c r="N96" i="38"/>
  <c r="O96" i="38"/>
  <c r="AG96" i="38"/>
  <c r="L97" i="38"/>
  <c r="M97" i="38"/>
  <c r="N97" i="38"/>
  <c r="O97" i="38"/>
  <c r="Q97" i="38"/>
  <c r="M102" i="38"/>
  <c r="M103" i="38"/>
  <c r="N102" i="38"/>
  <c r="Z101" i="38"/>
  <c r="Z102" i="38"/>
  <c r="Z103" i="38"/>
  <c r="AA101" i="38"/>
  <c r="AA96" i="38"/>
  <c r="AA102" i="38"/>
  <c r="AA103" i="38"/>
  <c r="N103" i="38"/>
  <c r="M112" i="38"/>
  <c r="N105" i="38"/>
  <c r="N112" i="38"/>
  <c r="O112" i="38"/>
  <c r="P105" i="38"/>
  <c r="P112" i="38"/>
  <c r="Q105" i="38"/>
  <c r="Q112" i="38"/>
  <c r="R105" i="38"/>
  <c r="R112" i="38"/>
  <c r="S112" i="38"/>
  <c r="V112" i="38"/>
  <c r="X105" i="38"/>
  <c r="X112" i="38"/>
  <c r="Y105" i="38"/>
  <c r="Y112" i="38"/>
  <c r="Z105" i="38"/>
  <c r="Z112" i="38"/>
  <c r="AA105" i="38"/>
  <c r="AA112" i="38"/>
  <c r="AB105" i="38"/>
  <c r="AB112" i="38"/>
  <c r="AC105" i="38"/>
  <c r="AC112" i="38"/>
  <c r="AE105" i="38"/>
  <c r="AE112" i="38"/>
  <c r="AF105" i="38"/>
  <c r="AF112" i="38"/>
  <c r="AG112" i="38"/>
  <c r="AH105" i="38"/>
  <c r="AH112" i="38"/>
  <c r="AI105" i="38"/>
  <c r="AI112" i="38"/>
  <c r="AJ112" i="38"/>
  <c r="AK105" i="38"/>
  <c r="AK112" i="38"/>
  <c r="AL105" i="38"/>
  <c r="AL112" i="38"/>
  <c r="AM105" i="38"/>
  <c r="AM112" i="38"/>
  <c r="P106" i="38"/>
  <c r="P113" i="38"/>
  <c r="Q106" i="38"/>
  <c r="Q113" i="38"/>
  <c r="O108" i="38"/>
  <c r="P108" i="38"/>
  <c r="R108" i="38"/>
  <c r="AF108" i="38"/>
  <c r="AG108" i="38"/>
  <c r="P109" i="38"/>
  <c r="Q109" i="38"/>
  <c r="R109" i="38"/>
  <c r="O113" i="38"/>
  <c r="O114" i="38"/>
  <c r="O115" i="38"/>
  <c r="P114" i="38"/>
  <c r="P115" i="38"/>
  <c r="M124" i="38"/>
  <c r="N117" i="38"/>
  <c r="N124" i="38"/>
  <c r="O117" i="38"/>
  <c r="P117" i="38"/>
  <c r="P124" i="38"/>
  <c r="Q117" i="38"/>
  <c r="Q124" i="38"/>
  <c r="R117" i="38"/>
  <c r="R124" i="38"/>
  <c r="S124" i="38"/>
  <c r="V124" i="38"/>
  <c r="W117" i="38"/>
  <c r="W124" i="38"/>
  <c r="X117" i="38"/>
  <c r="X124" i="38"/>
  <c r="Y117" i="38"/>
  <c r="Y124" i="38"/>
  <c r="AA117" i="38"/>
  <c r="AA124" i="38"/>
  <c r="AB117" i="38"/>
  <c r="AB124" i="38"/>
  <c r="AC117" i="38"/>
  <c r="AC124" i="38"/>
  <c r="AD117" i="38"/>
  <c r="AD124" i="38"/>
  <c r="AE117" i="38"/>
  <c r="AE124" i="38"/>
  <c r="AF124" i="38"/>
  <c r="AH117" i="38"/>
  <c r="AH124" i="38"/>
  <c r="AI117" i="38"/>
  <c r="AI124" i="38"/>
  <c r="AJ117" i="38"/>
  <c r="AJ124" i="38"/>
  <c r="AK117" i="38"/>
  <c r="AK124" i="38"/>
  <c r="AL117" i="38"/>
  <c r="AL124" i="38"/>
  <c r="AM117" i="38"/>
  <c r="AM124" i="38"/>
  <c r="P118" i="38"/>
  <c r="P125" i="38"/>
  <c r="P126" i="38"/>
  <c r="P127" i="38"/>
  <c r="AH118" i="38"/>
  <c r="AH125" i="38"/>
  <c r="P120" i="38"/>
  <c r="P121" i="38"/>
  <c r="O124" i="38"/>
  <c r="AG120" i="38"/>
  <c r="AH120" i="38"/>
  <c r="AH126" i="38"/>
  <c r="AH127" i="38"/>
  <c r="AI118" i="38"/>
  <c r="AI125" i="38"/>
  <c r="AI120" i="38"/>
  <c r="AI126" i="38"/>
  <c r="AI127" i="38"/>
  <c r="M129" i="38"/>
  <c r="N129" i="38"/>
  <c r="N136" i="38"/>
  <c r="O136" i="38"/>
  <c r="P129" i="38"/>
  <c r="P136" i="38"/>
  <c r="Q129" i="38"/>
  <c r="Q136" i="38"/>
  <c r="R129" i="38"/>
  <c r="R136" i="38"/>
  <c r="S136" i="38"/>
  <c r="V136" i="38"/>
  <c r="X129" i="38"/>
  <c r="X136" i="38"/>
  <c r="Y129" i="38"/>
  <c r="Y136" i="38"/>
  <c r="Z129" i="38"/>
  <c r="Z136" i="38"/>
  <c r="AA129" i="38"/>
  <c r="AA136" i="38"/>
  <c r="AB129" i="38"/>
  <c r="AB136" i="38"/>
  <c r="AC129" i="38"/>
  <c r="AC136" i="38"/>
  <c r="AD129" i="38"/>
  <c r="AD136" i="38"/>
  <c r="AE136" i="38"/>
  <c r="AF129" i="38"/>
  <c r="AF136" i="38"/>
  <c r="AG136" i="38"/>
  <c r="AH129" i="38"/>
  <c r="AH136" i="38"/>
  <c r="AI129" i="38"/>
  <c r="AI136" i="38"/>
  <c r="AJ136" i="38"/>
  <c r="AK129" i="38"/>
  <c r="AK136" i="38"/>
  <c r="AL129" i="38"/>
  <c r="AL136" i="38"/>
  <c r="AM129" i="38"/>
  <c r="AM136" i="38"/>
  <c r="M137" i="38"/>
  <c r="AD130" i="38"/>
  <c r="AE137" i="38"/>
  <c r="L132" i="38"/>
  <c r="M132" i="38"/>
  <c r="N132" i="38"/>
  <c r="Q132" i="38"/>
  <c r="AD132" i="38"/>
  <c r="AE132" i="38"/>
  <c r="L133" i="38"/>
  <c r="N133" i="38"/>
  <c r="Q133" i="38"/>
  <c r="V133" i="38"/>
  <c r="AF133" i="38"/>
  <c r="M136" i="38"/>
  <c r="L138" i="38"/>
  <c r="L139" i="38"/>
  <c r="M138" i="38"/>
  <c r="M139" i="38"/>
  <c r="N130" i="38"/>
  <c r="N137" i="38"/>
  <c r="N138" i="38"/>
  <c r="N139" i="38"/>
  <c r="M141" i="38"/>
  <c r="M148" i="38"/>
  <c r="N141" i="38"/>
  <c r="N148" i="38"/>
  <c r="P141" i="38"/>
  <c r="P148" i="38"/>
  <c r="Q141" i="38"/>
  <c r="Q148" i="38"/>
  <c r="R141" i="38"/>
  <c r="R148" i="38"/>
  <c r="S148" i="38"/>
  <c r="V148" i="38"/>
  <c r="X141" i="38"/>
  <c r="X148" i="38"/>
  <c r="Y141" i="38"/>
  <c r="Y148" i="38"/>
  <c r="Z148" i="38"/>
  <c r="AA141" i="38"/>
  <c r="AA148" i="38"/>
  <c r="AB141" i="38"/>
  <c r="AB148" i="38"/>
  <c r="AC141" i="38"/>
  <c r="AC148" i="38"/>
  <c r="AD141" i="38"/>
  <c r="AD148" i="38"/>
  <c r="AE148" i="38"/>
  <c r="AF148" i="38"/>
  <c r="AH141" i="38"/>
  <c r="AH148" i="38"/>
  <c r="AI141" i="38"/>
  <c r="AI148" i="38"/>
  <c r="AJ148" i="38"/>
  <c r="AK141" i="38"/>
  <c r="AK148" i="38"/>
  <c r="AL141" i="38"/>
  <c r="AL148" i="38"/>
  <c r="AM141" i="38"/>
  <c r="AM148" i="38"/>
  <c r="M142" i="38"/>
  <c r="M149" i="38"/>
  <c r="N142" i="38"/>
  <c r="N149" i="38"/>
  <c r="S149" i="38"/>
  <c r="Y144" i="38"/>
  <c r="L145" i="38"/>
  <c r="M145" i="38"/>
  <c r="Q145" i="38"/>
  <c r="AE145" i="38"/>
  <c r="AL145" i="38"/>
  <c r="W148" i="38"/>
  <c r="L150" i="38"/>
  <c r="L151" i="38"/>
  <c r="M150" i="38"/>
  <c r="M151" i="38"/>
  <c r="N150" i="38"/>
  <c r="N151" i="38"/>
  <c r="M160" i="38"/>
  <c r="N153" i="38"/>
  <c r="N160" i="38"/>
  <c r="P153" i="38"/>
  <c r="P160" i="38"/>
  <c r="Q153" i="38"/>
  <c r="Q160" i="38"/>
  <c r="R153" i="38"/>
  <c r="R160" i="38"/>
  <c r="S160" i="38"/>
  <c r="V160" i="38"/>
  <c r="X153" i="38"/>
  <c r="X160" i="38"/>
  <c r="Y153" i="38"/>
  <c r="Y160" i="38"/>
  <c r="AA153" i="38"/>
  <c r="AA160" i="38"/>
  <c r="AB153" i="38"/>
  <c r="AB160" i="38"/>
  <c r="AC153" i="38"/>
  <c r="AC160" i="38"/>
  <c r="AE160" i="38"/>
  <c r="AF160" i="38"/>
  <c r="AH153" i="38"/>
  <c r="AH160" i="38"/>
  <c r="AI153" i="38"/>
  <c r="AI160" i="38"/>
  <c r="AJ160" i="38"/>
  <c r="AK153" i="38"/>
  <c r="AK160" i="38"/>
  <c r="AL153" i="38"/>
  <c r="AL160" i="38"/>
  <c r="AM153" i="38"/>
  <c r="AM160" i="38"/>
  <c r="L154" i="38"/>
  <c r="L161" i="38"/>
  <c r="M154" i="38"/>
  <c r="M161" i="38"/>
  <c r="S154" i="38"/>
  <c r="S161" i="38"/>
  <c r="L156" i="38"/>
  <c r="M156" i="38"/>
  <c r="O156" i="38"/>
  <c r="P156" i="38"/>
  <c r="R156" i="38"/>
  <c r="S156" i="38"/>
  <c r="S162" i="38"/>
  <c r="S163" i="38"/>
  <c r="L157" i="38"/>
  <c r="M157" i="38"/>
  <c r="O157" i="38"/>
  <c r="R157" i="38"/>
  <c r="Z157" i="38"/>
  <c r="AA157" i="38"/>
  <c r="AB157" i="38"/>
  <c r="O161" i="38"/>
  <c r="L162" i="38"/>
  <c r="M162" i="38"/>
  <c r="M163" i="38"/>
  <c r="O162" i="38"/>
  <c r="O163" i="38"/>
  <c r="W161" i="38"/>
  <c r="W156" i="38"/>
  <c r="W162" i="38"/>
  <c r="W163" i="38"/>
  <c r="AB161" i="38"/>
  <c r="AB162" i="38"/>
  <c r="AB163" i="38"/>
  <c r="L163" i="38"/>
  <c r="M172" i="38"/>
  <c r="N165" i="38"/>
  <c r="N172" i="38"/>
  <c r="P165" i="38"/>
  <c r="P172" i="38"/>
  <c r="Q165" i="38"/>
  <c r="Q172" i="38"/>
  <c r="R165" i="38"/>
  <c r="R172" i="38"/>
  <c r="S172" i="38"/>
  <c r="V172" i="38"/>
  <c r="X165" i="38"/>
  <c r="X172" i="38"/>
  <c r="Y165" i="38"/>
  <c r="Y172" i="38"/>
  <c r="AA165" i="38"/>
  <c r="AA172" i="38"/>
  <c r="AB165" i="38"/>
  <c r="AB172" i="38"/>
  <c r="AC165" i="38"/>
  <c r="AC172" i="38"/>
  <c r="AE172" i="38"/>
  <c r="AF172" i="38"/>
  <c r="AH165" i="38"/>
  <c r="AH172" i="38"/>
  <c r="AI165" i="38"/>
  <c r="AI172" i="38"/>
  <c r="AJ165" i="38"/>
  <c r="AJ172" i="38"/>
  <c r="AK165" i="38"/>
  <c r="AK172" i="38"/>
  <c r="AL165" i="38"/>
  <c r="AL172" i="38"/>
  <c r="AM165" i="38"/>
  <c r="AM172" i="38"/>
  <c r="M173" i="38"/>
  <c r="N166" i="38"/>
  <c r="N173" i="38"/>
  <c r="P166" i="38"/>
  <c r="P173" i="38"/>
  <c r="L168" i="38"/>
  <c r="M168" i="38"/>
  <c r="N168" i="38"/>
  <c r="P168" i="38"/>
  <c r="O169" i="38"/>
  <c r="P169" i="38"/>
  <c r="O172" i="38"/>
  <c r="Z174" i="38"/>
  <c r="Z175" i="38"/>
  <c r="AA166" i="38"/>
  <c r="AB166" i="38"/>
  <c r="AB173" i="38"/>
  <c r="AB174" i="38"/>
  <c r="AB175" i="38"/>
  <c r="N177" i="38"/>
  <c r="N184" i="38"/>
  <c r="O184" i="38"/>
  <c r="P177" i="38"/>
  <c r="Q177" i="38"/>
  <c r="Q184" i="38"/>
  <c r="R177" i="38"/>
  <c r="S177" i="38"/>
  <c r="S184" i="38"/>
  <c r="V184" i="38"/>
  <c r="X177" i="38"/>
  <c r="X184" i="38"/>
  <c r="Y177" i="38"/>
  <c r="Y184" i="38"/>
  <c r="Z184" i="38"/>
  <c r="AA177" i="38"/>
  <c r="AA184" i="38"/>
  <c r="AB177" i="38"/>
  <c r="AB184" i="38"/>
  <c r="AC177" i="38"/>
  <c r="AC184" i="38"/>
  <c r="AE184" i="38"/>
  <c r="AF177" i="38"/>
  <c r="AF184" i="38"/>
  <c r="AG184" i="38"/>
  <c r="AH177" i="38"/>
  <c r="AH184" i="38"/>
  <c r="AI177" i="38"/>
  <c r="AI184" i="38"/>
  <c r="AJ184" i="38"/>
  <c r="AK177" i="38"/>
  <c r="AK184" i="38"/>
  <c r="AL177" i="38"/>
  <c r="AL184" i="38"/>
  <c r="AM177" i="38"/>
  <c r="AM184" i="38"/>
  <c r="O185" i="38"/>
  <c r="Q178" i="38"/>
  <c r="Q185" i="38"/>
  <c r="O180" i="38"/>
  <c r="Q180" i="38"/>
  <c r="AH180" i="38"/>
  <c r="L181" i="38"/>
  <c r="M181" i="38"/>
  <c r="O181" i="38"/>
  <c r="M184" i="38"/>
  <c r="P184" i="38"/>
  <c r="R184" i="38"/>
  <c r="L185" i="38"/>
  <c r="L180" i="38"/>
  <c r="L186" i="38"/>
  <c r="L187" i="38"/>
  <c r="M180" i="38"/>
  <c r="M186" i="38"/>
  <c r="M187" i="38"/>
  <c r="O186" i="38"/>
  <c r="O187" i="38"/>
  <c r="M196" i="38"/>
  <c r="N189" i="38"/>
  <c r="N196" i="38"/>
  <c r="O196" i="38"/>
  <c r="P189" i="38"/>
  <c r="P196" i="38"/>
  <c r="Q189" i="38"/>
  <c r="Q196" i="38"/>
  <c r="R189" i="38"/>
  <c r="R196" i="38"/>
  <c r="S196" i="38"/>
  <c r="V196" i="38"/>
  <c r="X189" i="38"/>
  <c r="X196" i="38"/>
  <c r="Y189" i="38"/>
  <c r="Y196" i="38"/>
  <c r="AA189" i="38"/>
  <c r="AA196" i="38"/>
  <c r="AB189" i="38"/>
  <c r="AB196" i="38"/>
  <c r="AC189" i="38"/>
  <c r="AC196" i="38"/>
  <c r="AD189" i="38"/>
  <c r="AD196" i="38"/>
  <c r="AE196" i="38"/>
  <c r="AF196" i="38"/>
  <c r="AH189" i="38"/>
  <c r="AH196" i="38"/>
  <c r="AI189" i="38"/>
  <c r="AI196" i="38"/>
  <c r="AJ196" i="38"/>
  <c r="AK189" i="38"/>
  <c r="AK196" i="38"/>
  <c r="AL189" i="38"/>
  <c r="AL196" i="38"/>
  <c r="AM189" i="38"/>
  <c r="AM196" i="38"/>
  <c r="L197" i="38"/>
  <c r="P190" i="38"/>
  <c r="P197" i="38"/>
  <c r="AD190" i="38"/>
  <c r="AD197" i="38"/>
  <c r="L192" i="38"/>
  <c r="L193" i="38"/>
  <c r="M193" i="38"/>
  <c r="N193" i="38"/>
  <c r="O193" i="38"/>
  <c r="L196" i="38"/>
  <c r="L198" i="38"/>
  <c r="L199" i="38"/>
  <c r="M208" i="38"/>
  <c r="N201" i="38"/>
  <c r="N208" i="38"/>
  <c r="P201" i="38"/>
  <c r="P208" i="38"/>
  <c r="Q201" i="38"/>
  <c r="Q208" i="38"/>
  <c r="R201" i="38"/>
  <c r="R208" i="38"/>
  <c r="S208" i="38"/>
  <c r="V208" i="38"/>
  <c r="X201" i="38"/>
  <c r="X208" i="38"/>
  <c r="Y201" i="38"/>
  <c r="Y208" i="38"/>
  <c r="Z208" i="38"/>
  <c r="AA201" i="38"/>
  <c r="AA208" i="38"/>
  <c r="AB201" i="38"/>
  <c r="AB208" i="38"/>
  <c r="AC201" i="38"/>
  <c r="AC208" i="38"/>
  <c r="AE201" i="38"/>
  <c r="AE208" i="38"/>
  <c r="AF201" i="38"/>
  <c r="AF208" i="38"/>
  <c r="AG208" i="38"/>
  <c r="AH201" i="38"/>
  <c r="AH208" i="38"/>
  <c r="AI201" i="38"/>
  <c r="AI208" i="38"/>
  <c r="AJ208" i="38"/>
  <c r="AK201" i="38"/>
  <c r="AK208" i="38"/>
  <c r="AL201" i="38"/>
  <c r="AL208" i="38"/>
  <c r="AM201" i="38"/>
  <c r="AM208" i="38"/>
  <c r="O209" i="38"/>
  <c r="R202" i="38"/>
  <c r="R209" i="38"/>
  <c r="L204" i="38"/>
  <c r="M204" i="38"/>
  <c r="O204" i="38"/>
  <c r="P204" i="38"/>
  <c r="AK204" i="38"/>
  <c r="L205" i="38"/>
  <c r="M205" i="38"/>
  <c r="N205" i="38"/>
  <c r="O205" i="38"/>
  <c r="AM205" i="38"/>
  <c r="O208" i="38"/>
  <c r="N202" i="38"/>
  <c r="N209" i="38"/>
  <c r="N204" i="38"/>
  <c r="N210" i="38"/>
  <c r="N211" i="38"/>
  <c r="O210" i="38"/>
  <c r="O211" i="38"/>
  <c r="AH209" i="38"/>
  <c r="AH210" i="38"/>
  <c r="AH211" i="38"/>
  <c r="AM210" i="38"/>
  <c r="AM211" i="38"/>
  <c r="M213" i="38"/>
  <c r="M220" i="38"/>
  <c r="N213" i="38"/>
  <c r="P213" i="38"/>
  <c r="P220" i="38"/>
  <c r="Q213" i="38"/>
  <c r="Q220" i="38"/>
  <c r="R213" i="38"/>
  <c r="R220" i="38"/>
  <c r="S213" i="38"/>
  <c r="S220" i="38"/>
  <c r="V213" i="38"/>
  <c r="V220" i="38"/>
  <c r="W213" i="38"/>
  <c r="W220" i="38"/>
  <c r="X213" i="38"/>
  <c r="X220" i="38"/>
  <c r="Y213" i="38"/>
  <c r="Y220" i="38"/>
  <c r="Z213" i="38"/>
  <c r="Z220" i="38"/>
  <c r="AA213" i="38"/>
  <c r="AA220" i="38"/>
  <c r="AB213" i="38"/>
  <c r="AB220" i="38"/>
  <c r="AC213" i="38"/>
  <c r="AC220" i="38"/>
  <c r="AD213" i="38"/>
  <c r="AD220" i="38"/>
  <c r="AE213" i="38"/>
  <c r="AE220" i="38"/>
  <c r="AF213" i="38"/>
  <c r="AF220" i="38"/>
  <c r="AG220" i="38"/>
  <c r="AH213" i="38"/>
  <c r="AH220" i="38"/>
  <c r="AI213" i="38"/>
  <c r="AI220" i="38"/>
  <c r="AJ213" i="38"/>
  <c r="AJ220" i="38"/>
  <c r="AK213" i="38"/>
  <c r="AK220" i="38"/>
  <c r="AL213" i="38"/>
  <c r="AL220" i="38"/>
  <c r="AM213" i="38"/>
  <c r="AM220" i="38"/>
  <c r="M214" i="38"/>
  <c r="N214" i="38"/>
  <c r="N221" i="38"/>
  <c r="P214" i="38"/>
  <c r="P221" i="38"/>
  <c r="P222" i="38"/>
  <c r="P223" i="38"/>
  <c r="S214" i="38"/>
  <c r="S221" i="38"/>
  <c r="Z214" i="38"/>
  <c r="AA214" i="38"/>
  <c r="AB214" i="38"/>
  <c r="AB221" i="38"/>
  <c r="AG214" i="38"/>
  <c r="AH214" i="38"/>
  <c r="AI214" i="38"/>
  <c r="AI221" i="38"/>
  <c r="L216" i="38"/>
  <c r="M216" i="38"/>
  <c r="N216" i="38"/>
  <c r="P216" i="38"/>
  <c r="Z216" i="38"/>
  <c r="AA216" i="38"/>
  <c r="AB216" i="38"/>
  <c r="AD216" i="38"/>
  <c r="AE216" i="38"/>
  <c r="AF216" i="38"/>
  <c r="AG216" i="38"/>
  <c r="AH216" i="38"/>
  <c r="AI216" i="38"/>
  <c r="AJ216" i="38"/>
  <c r="AK216" i="38"/>
  <c r="L217" i="38"/>
  <c r="M217" i="38"/>
  <c r="N217" i="38"/>
  <c r="P217" i="38"/>
  <c r="V217" i="38"/>
  <c r="W217" i="38"/>
  <c r="X217" i="38"/>
  <c r="N220" i="38"/>
  <c r="O220" i="38"/>
  <c r="M221" i="38"/>
  <c r="M222" i="38"/>
  <c r="M223" i="38"/>
  <c r="N222" i="38"/>
  <c r="N223" i="38"/>
  <c r="AB222" i="38"/>
  <c r="AB223" i="38"/>
  <c r="M232" i="38"/>
  <c r="N225" i="38"/>
  <c r="N232" i="38"/>
  <c r="P225" i="38"/>
  <c r="Q225" i="38"/>
  <c r="Q232" i="38"/>
  <c r="R225" i="38"/>
  <c r="R232" i="38"/>
  <c r="S232" i="38"/>
  <c r="V232" i="38"/>
  <c r="X225" i="38"/>
  <c r="X232" i="38"/>
  <c r="Y225" i="38"/>
  <c r="Y232" i="38"/>
  <c r="AA225" i="38"/>
  <c r="AA232" i="38"/>
  <c r="AB225" i="38"/>
  <c r="AB232" i="38"/>
  <c r="AC225" i="38"/>
  <c r="AC232" i="38"/>
  <c r="AE232" i="38"/>
  <c r="AF232" i="38"/>
  <c r="AH225" i="38"/>
  <c r="AH232" i="38"/>
  <c r="AI225" i="38"/>
  <c r="AI232" i="38"/>
  <c r="AJ225" i="38"/>
  <c r="AJ232" i="38"/>
  <c r="AK225" i="38"/>
  <c r="AK232" i="38"/>
  <c r="AL225" i="38"/>
  <c r="AL232" i="38"/>
  <c r="AM225" i="38"/>
  <c r="AM232" i="38"/>
  <c r="M233" i="38"/>
  <c r="N226" i="38"/>
  <c r="P226" i="38"/>
  <c r="P233" i="38"/>
  <c r="P234" i="38"/>
  <c r="Q226" i="38"/>
  <c r="Q233" i="38"/>
  <c r="Q234" i="38"/>
  <c r="Q235" i="38"/>
  <c r="AH226" i="38"/>
  <c r="AI226" i="38"/>
  <c r="AI233" i="38"/>
  <c r="L228" i="38"/>
  <c r="M228" i="38"/>
  <c r="N228" i="38"/>
  <c r="P228" i="38"/>
  <c r="Q228" i="38"/>
  <c r="S228" i="38"/>
  <c r="AK228" i="38"/>
  <c r="L229" i="38"/>
  <c r="M229" i="38"/>
  <c r="N229" i="38"/>
  <c r="O229" i="38"/>
  <c r="P229" i="38"/>
  <c r="Q229" i="38"/>
  <c r="R229" i="38"/>
  <c r="Z229" i="38"/>
  <c r="AA229" i="38"/>
  <c r="AF229" i="38"/>
  <c r="AG229" i="38"/>
  <c r="AH229" i="38"/>
  <c r="AI229" i="38"/>
  <c r="AJ229" i="38"/>
  <c r="L232" i="38"/>
  <c r="P232" i="38"/>
  <c r="N233" i="38"/>
  <c r="L234" i="38"/>
  <c r="N234" i="38"/>
  <c r="L235" i="38"/>
  <c r="N235" i="38"/>
  <c r="P235" i="38"/>
  <c r="M244" i="38"/>
  <c r="N237" i="38"/>
  <c r="N244" i="38"/>
  <c r="P237" i="38"/>
  <c r="P244" i="38"/>
  <c r="Q237" i="38"/>
  <c r="Q244" i="38"/>
  <c r="R237" i="38"/>
  <c r="S237" i="38"/>
  <c r="S244" i="38"/>
  <c r="V244" i="38"/>
  <c r="W237" i="38"/>
  <c r="W244" i="38"/>
  <c r="X237" i="38"/>
  <c r="X244" i="38"/>
  <c r="Y237" i="38"/>
  <c r="Y244" i="38"/>
  <c r="AA237" i="38"/>
  <c r="AA244" i="38"/>
  <c r="AB237" i="38"/>
  <c r="AB244" i="38"/>
  <c r="AC237" i="38"/>
  <c r="AC244" i="38"/>
  <c r="AD237" i="38"/>
  <c r="AD244" i="38"/>
  <c r="AE237" i="38"/>
  <c r="AE244" i="38"/>
  <c r="AF237" i="38"/>
  <c r="AF244" i="38"/>
  <c r="AH237" i="38"/>
  <c r="AH244" i="38"/>
  <c r="AI237" i="38"/>
  <c r="AI244" i="38"/>
  <c r="AJ237" i="38"/>
  <c r="AK237" i="38"/>
  <c r="AK244" i="38"/>
  <c r="AL237" i="38"/>
  <c r="AL244" i="38"/>
  <c r="AM237" i="38"/>
  <c r="AM244" i="38"/>
  <c r="M240" i="38"/>
  <c r="L241" i="38"/>
  <c r="M241" i="38"/>
  <c r="N241" i="38"/>
  <c r="O241" i="38"/>
  <c r="P241" i="38"/>
  <c r="Q241" i="38"/>
  <c r="R244" i="38"/>
  <c r="AG244" i="38"/>
  <c r="AJ244" i="38"/>
  <c r="M246" i="38"/>
  <c r="AI245" i="38"/>
  <c r="AI246" i="38"/>
  <c r="AI247" i="38"/>
  <c r="M247" i="38"/>
  <c r="N249" i="38"/>
  <c r="P249" i="38"/>
  <c r="Q249" i="38"/>
  <c r="Q256" i="38"/>
  <c r="R249" i="38"/>
  <c r="R256" i="38"/>
  <c r="S256" i="38"/>
  <c r="V256" i="38"/>
  <c r="X249" i="38"/>
  <c r="X256" i="38"/>
  <c r="Y249" i="38"/>
  <c r="Y256" i="38"/>
  <c r="AA249" i="38"/>
  <c r="AA256" i="38"/>
  <c r="AB249" i="38"/>
  <c r="AB256" i="38"/>
  <c r="AC249" i="38"/>
  <c r="AC256" i="38"/>
  <c r="AE249" i="38"/>
  <c r="AE256" i="38"/>
  <c r="AF256" i="38"/>
  <c r="AH249" i="38"/>
  <c r="AH256" i="38"/>
  <c r="AI249" i="38"/>
  <c r="AI256" i="38"/>
  <c r="AJ256" i="38"/>
  <c r="AK249" i="38"/>
  <c r="AK256" i="38"/>
  <c r="AL249" i="38"/>
  <c r="AL256" i="38"/>
  <c r="AM249" i="38"/>
  <c r="AM256" i="38"/>
  <c r="P250" i="38"/>
  <c r="P257" i="38"/>
  <c r="P258" i="38"/>
  <c r="P259" i="38"/>
  <c r="R250" i="38"/>
  <c r="R257" i="38"/>
  <c r="L252" i="38"/>
  <c r="M252" i="38"/>
  <c r="N252" i="38"/>
  <c r="P252" i="38"/>
  <c r="R252" i="38"/>
  <c r="Z252" i="38"/>
  <c r="L253" i="38"/>
  <c r="P253" i="38"/>
  <c r="R253" i="38"/>
  <c r="AF253" i="38"/>
  <c r="L256" i="38"/>
  <c r="M256" i="38"/>
  <c r="N256" i="38"/>
  <c r="O256" i="38"/>
  <c r="P256" i="38"/>
  <c r="L257" i="38"/>
  <c r="L258" i="38"/>
  <c r="L259" i="38"/>
  <c r="R258" i="38"/>
  <c r="R259" i="38"/>
  <c r="AM258" i="38"/>
  <c r="AM259" i="38"/>
  <c r="M267" i="38"/>
  <c r="L264" i="38"/>
  <c r="M264" i="38"/>
  <c r="N264" i="38"/>
  <c r="P262" i="38"/>
  <c r="P269" i="38"/>
  <c r="P270" i="38"/>
  <c r="P271" i="38"/>
  <c r="V265" i="38"/>
  <c r="W265" i="38"/>
  <c r="X265" i="38"/>
  <c r="W262" i="38"/>
  <c r="X262" i="38"/>
  <c r="Y262" i="38"/>
  <c r="Y269" i="38"/>
  <c r="Z265" i="38"/>
  <c r="AA265" i="38"/>
  <c r="AA262" i="38"/>
  <c r="AB262" i="38"/>
  <c r="AB269" i="38"/>
  <c r="Z264" i="38"/>
  <c r="AA264" i="38"/>
  <c r="AB264" i="38"/>
  <c r="AB270" i="38"/>
  <c r="AB271" i="38"/>
  <c r="AE262" i="38"/>
  <c r="AE269" i="38"/>
  <c r="AF265" i="38"/>
  <c r="AG265" i="38"/>
  <c r="AH265" i="38"/>
  <c r="AH262" i="38"/>
  <c r="AI262" i="38"/>
  <c r="AI269" i="38"/>
  <c r="AI265" i="38"/>
  <c r="AJ265" i="38"/>
  <c r="AK262" i="38"/>
  <c r="AK269" i="38"/>
  <c r="AL264" i="38"/>
  <c r="AM265" i="38"/>
  <c r="N261" i="38"/>
  <c r="N268" i="38"/>
  <c r="O268" i="38"/>
  <c r="P261" i="38"/>
  <c r="P268" i="38"/>
  <c r="Q261" i="38"/>
  <c r="Q268" i="38"/>
  <c r="R261" i="38"/>
  <c r="R268" i="38"/>
  <c r="S268" i="38"/>
  <c r="V268" i="38"/>
  <c r="W261" i="38"/>
  <c r="W268" i="38"/>
  <c r="X261" i="38"/>
  <c r="X268" i="38"/>
  <c r="Y261" i="38"/>
  <c r="Y268" i="38"/>
  <c r="AA261" i="38"/>
  <c r="AA268" i="38"/>
  <c r="AB261" i="38"/>
  <c r="AB268" i="38"/>
  <c r="AC261" i="38"/>
  <c r="AC268" i="38"/>
  <c r="AE261" i="38"/>
  <c r="AE268" i="38"/>
  <c r="AF268" i="38"/>
  <c r="AH261" i="38"/>
  <c r="AH268" i="38"/>
  <c r="AI261" i="38"/>
  <c r="AI268" i="38"/>
  <c r="AJ268" i="38"/>
  <c r="AK261" i="38"/>
  <c r="AK268" i="38"/>
  <c r="AL261" i="38"/>
  <c r="AL268" i="38"/>
  <c r="AM261" i="38"/>
  <c r="AM268" i="38"/>
  <c r="L269" i="38"/>
  <c r="O269" i="38"/>
  <c r="O264" i="38"/>
  <c r="M265" i="38"/>
  <c r="N265" i="38"/>
  <c r="O265" i="38"/>
  <c r="O267" i="38"/>
  <c r="L268" i="38"/>
  <c r="M268" i="38"/>
  <c r="L270" i="38"/>
  <c r="L271" i="38"/>
  <c r="O270" i="38"/>
  <c r="AF264" i="38"/>
  <c r="AG264" i="38"/>
  <c r="AG270" i="38"/>
  <c r="AG271" i="38"/>
  <c r="O271" i="38"/>
  <c r="K16" i="36"/>
  <c r="L16" i="36"/>
  <c r="N9" i="36"/>
  <c r="N16" i="36"/>
  <c r="U16" i="36"/>
  <c r="V16" i="36"/>
  <c r="W16" i="36"/>
  <c r="Y9" i="36"/>
  <c r="Y16" i="36"/>
  <c r="Z9" i="36"/>
  <c r="Z16" i="36"/>
  <c r="AA16" i="36"/>
  <c r="AB9" i="36"/>
  <c r="AB16" i="36"/>
  <c r="AC9" i="36"/>
  <c r="AC16" i="36"/>
  <c r="AD16" i="36"/>
  <c r="AE9" i="36"/>
  <c r="AE16" i="36"/>
  <c r="AF9" i="36"/>
  <c r="AF16" i="36"/>
  <c r="AG9" i="36"/>
  <c r="AG16" i="36"/>
  <c r="AH9" i="36"/>
  <c r="AH16" i="36"/>
  <c r="AI9" i="36"/>
  <c r="AI16" i="36"/>
  <c r="AJ9" i="36"/>
  <c r="AJ16" i="36"/>
  <c r="AK9" i="36"/>
  <c r="AK16" i="36"/>
  <c r="AL16" i="36"/>
  <c r="AM9" i="36"/>
  <c r="AM16" i="36"/>
  <c r="AN9" i="36"/>
  <c r="AN16" i="36"/>
  <c r="AO9" i="36"/>
  <c r="AO16" i="36"/>
  <c r="K10" i="36"/>
  <c r="K17" i="36"/>
  <c r="L10" i="36"/>
  <c r="L17" i="36"/>
  <c r="M17" i="36"/>
  <c r="N10" i="36"/>
  <c r="N17" i="36"/>
  <c r="O10" i="36"/>
  <c r="P10" i="36"/>
  <c r="U17" i="36"/>
  <c r="W17" i="36"/>
  <c r="Y10" i="36"/>
  <c r="Y17" i="36"/>
  <c r="Z10" i="36"/>
  <c r="Z17" i="36"/>
  <c r="AA17" i="36"/>
  <c r="AB10" i="36"/>
  <c r="AB17" i="36"/>
  <c r="AC10" i="36"/>
  <c r="AC17" i="36"/>
  <c r="AD17" i="36"/>
  <c r="AE10" i="36"/>
  <c r="AE17" i="36"/>
  <c r="AF10" i="36"/>
  <c r="AF17" i="36"/>
  <c r="AG10" i="36"/>
  <c r="AG17" i="36"/>
  <c r="AH10" i="36"/>
  <c r="AH17" i="36"/>
  <c r="AI10" i="36"/>
  <c r="AI17" i="36"/>
  <c r="AJ10" i="36"/>
  <c r="AJ17" i="36"/>
  <c r="AK10" i="36"/>
  <c r="AK17" i="36"/>
  <c r="AL17" i="36"/>
  <c r="AM17" i="36"/>
  <c r="AN10" i="36"/>
  <c r="AN17" i="36"/>
  <c r="AO10" i="36"/>
  <c r="AO17" i="36"/>
  <c r="K12" i="36"/>
  <c r="L12" i="36"/>
  <c r="M12" i="36"/>
  <c r="N12" i="36"/>
  <c r="O12" i="36"/>
  <c r="P12" i="36"/>
  <c r="Q12" i="36"/>
  <c r="T12" i="36"/>
  <c r="U12" i="36"/>
  <c r="V12" i="36"/>
  <c r="W12" i="36"/>
  <c r="X12" i="36"/>
  <c r="Y12" i="36"/>
  <c r="Z12" i="36"/>
  <c r="AA12" i="36"/>
  <c r="AB12" i="36"/>
  <c r="AC12" i="36"/>
  <c r="AD12" i="36"/>
  <c r="AE12" i="36"/>
  <c r="AF12" i="36"/>
  <c r="AG12" i="36"/>
  <c r="AH12" i="36"/>
  <c r="AI12" i="36"/>
  <c r="AJ12" i="36"/>
  <c r="AK12" i="36"/>
  <c r="AL12" i="36"/>
  <c r="AM12" i="36"/>
  <c r="AN12" i="36"/>
  <c r="AO12" i="36"/>
  <c r="K13" i="36"/>
  <c r="L13" i="36"/>
  <c r="M13" i="36"/>
  <c r="N13" i="36"/>
  <c r="O13" i="36"/>
  <c r="P13" i="36"/>
  <c r="Q13" i="36"/>
  <c r="T13" i="36"/>
  <c r="U13" i="36"/>
  <c r="V13" i="36"/>
  <c r="W13" i="36"/>
  <c r="X13" i="36"/>
  <c r="Y13" i="36"/>
  <c r="Z13" i="36"/>
  <c r="AA13" i="36"/>
  <c r="AB13" i="36"/>
  <c r="AC13" i="36"/>
  <c r="AD13" i="36"/>
  <c r="AE13" i="36"/>
  <c r="AF13" i="36"/>
  <c r="AG13" i="36"/>
  <c r="AH13" i="36"/>
  <c r="AI13" i="36"/>
  <c r="AJ13" i="36"/>
  <c r="AK13" i="36"/>
  <c r="AL13" i="36"/>
  <c r="AM13" i="36"/>
  <c r="AN13" i="36"/>
  <c r="AO13" i="36"/>
  <c r="X16" i="36"/>
  <c r="V17" i="36"/>
  <c r="K18" i="36"/>
  <c r="K19" i="36"/>
  <c r="L18" i="36"/>
  <c r="L19" i="36"/>
  <c r="M18" i="36"/>
  <c r="M19" i="36"/>
  <c r="T18" i="36"/>
  <c r="T19" i="36"/>
  <c r="U18" i="36"/>
  <c r="U19" i="36"/>
  <c r="V18" i="36"/>
  <c r="V19" i="36"/>
  <c r="W18" i="36"/>
  <c r="W19" i="36"/>
  <c r="X18" i="36"/>
  <c r="X19" i="36"/>
  <c r="Y18" i="36"/>
  <c r="Y19" i="36"/>
  <c r="Z18" i="36"/>
  <c r="Z19" i="36"/>
  <c r="AA18" i="36"/>
  <c r="AA19" i="36"/>
  <c r="AB18" i="36"/>
  <c r="AB19" i="36"/>
  <c r="AC18" i="36"/>
  <c r="AC19" i="36"/>
  <c r="AD18" i="36"/>
  <c r="AD19" i="36"/>
  <c r="AE18" i="36"/>
  <c r="AE19" i="36"/>
  <c r="AF18" i="36"/>
  <c r="AF19" i="36"/>
  <c r="AG18" i="36"/>
  <c r="AG19" i="36"/>
  <c r="AH18" i="36"/>
  <c r="AH19" i="36"/>
  <c r="AI18" i="36"/>
  <c r="AI19" i="36"/>
  <c r="AJ18" i="36"/>
  <c r="AJ19" i="36"/>
  <c r="AK18" i="36"/>
  <c r="AK19" i="36"/>
  <c r="AL18" i="36"/>
  <c r="AL19" i="36"/>
  <c r="AM18" i="36"/>
  <c r="AM19" i="36"/>
  <c r="AN18" i="36"/>
  <c r="AN19" i="36"/>
  <c r="AO18" i="36"/>
  <c r="AO19" i="36"/>
  <c r="N22" i="36"/>
  <c r="N29" i="36"/>
  <c r="N30" i="36"/>
  <c r="N31" i="36"/>
  <c r="K24" i="36"/>
  <c r="L24" i="36"/>
  <c r="M24" i="36"/>
  <c r="N24" i="36"/>
  <c r="U24" i="36"/>
  <c r="V24" i="36"/>
  <c r="W24" i="36"/>
  <c r="K28" i="36"/>
  <c r="L28" i="36"/>
  <c r="N21" i="36"/>
  <c r="N28" i="36"/>
  <c r="U28" i="36"/>
  <c r="V28" i="36"/>
  <c r="W28" i="36"/>
  <c r="Y21" i="36"/>
  <c r="Y28" i="36"/>
  <c r="Z21" i="36"/>
  <c r="Z28" i="36"/>
  <c r="AB28" i="36"/>
  <c r="AC28" i="36"/>
  <c r="AE21" i="36"/>
  <c r="AE28" i="36"/>
  <c r="AF21" i="36"/>
  <c r="AF28" i="36"/>
  <c r="AG21" i="36"/>
  <c r="AG28" i="36"/>
  <c r="AH21" i="36"/>
  <c r="AH28" i="36"/>
  <c r="AI21" i="36"/>
  <c r="AI28" i="36"/>
  <c r="AJ21" i="36"/>
  <c r="AJ28" i="36"/>
  <c r="AK21" i="36"/>
  <c r="AK28" i="36"/>
  <c r="AL28" i="36"/>
  <c r="AM21" i="36"/>
  <c r="AM28" i="36"/>
  <c r="AN21" i="36"/>
  <c r="AN28" i="36"/>
  <c r="AO21" i="36"/>
  <c r="AO28" i="36"/>
  <c r="AB22" i="36"/>
  <c r="AB29" i="36"/>
  <c r="AK22" i="36"/>
  <c r="AK29" i="36"/>
  <c r="X24" i="36"/>
  <c r="L25" i="36"/>
  <c r="M25" i="36"/>
  <c r="N25" i="36"/>
  <c r="AB25" i="36"/>
  <c r="Z24" i="36"/>
  <c r="K34" i="36"/>
  <c r="L34" i="36"/>
  <c r="L41" i="36"/>
  <c r="K36" i="36"/>
  <c r="L36" i="36"/>
  <c r="M36" i="36"/>
  <c r="K33" i="36"/>
  <c r="K40" i="36"/>
  <c r="L33" i="36"/>
  <c r="L40" i="36"/>
  <c r="M40" i="36"/>
  <c r="N33" i="36"/>
  <c r="N40" i="36"/>
  <c r="U40" i="36"/>
  <c r="V40" i="36"/>
  <c r="W40" i="36"/>
  <c r="Y33" i="36"/>
  <c r="Y40" i="36"/>
  <c r="Z33" i="36"/>
  <c r="Z40" i="36"/>
  <c r="AB33" i="36"/>
  <c r="AB40" i="36"/>
  <c r="AC33" i="36"/>
  <c r="AC40" i="36"/>
  <c r="AD33" i="36"/>
  <c r="AD40" i="36"/>
  <c r="AE33" i="36"/>
  <c r="AE40" i="36"/>
  <c r="AF33" i="36"/>
  <c r="AF40" i="36"/>
  <c r="AG33" i="36"/>
  <c r="AG40" i="36"/>
  <c r="AH40" i="36"/>
  <c r="AI33" i="36"/>
  <c r="AI40" i="36"/>
  <c r="AJ33" i="36"/>
  <c r="AJ40" i="36"/>
  <c r="AK33" i="36"/>
  <c r="AK40" i="36"/>
  <c r="AL40" i="36"/>
  <c r="AM33" i="36"/>
  <c r="AM40" i="36"/>
  <c r="AN33" i="36"/>
  <c r="AN40" i="36"/>
  <c r="AO33" i="36"/>
  <c r="AO40" i="36"/>
  <c r="Y36" i="36"/>
  <c r="K37" i="36"/>
  <c r="L37" i="36"/>
  <c r="M37" i="36"/>
  <c r="L42" i="36"/>
  <c r="L43" i="36"/>
  <c r="K48" i="36"/>
  <c r="L48" i="36"/>
  <c r="K46" i="36"/>
  <c r="L46" i="36"/>
  <c r="L53" i="36"/>
  <c r="L54" i="36"/>
  <c r="L55" i="36"/>
  <c r="M48" i="36"/>
  <c r="N48" i="36"/>
  <c r="U48" i="36"/>
  <c r="V48" i="36"/>
  <c r="W48" i="36"/>
  <c r="W54" i="36"/>
  <c r="W55" i="36"/>
  <c r="K45" i="36"/>
  <c r="K52" i="36"/>
  <c r="L45" i="36"/>
  <c r="L52" i="36"/>
  <c r="M45" i="36"/>
  <c r="M52" i="36"/>
  <c r="N45" i="36"/>
  <c r="N52" i="36"/>
  <c r="T45" i="36"/>
  <c r="T52" i="36"/>
  <c r="U52" i="36"/>
  <c r="V52" i="36"/>
  <c r="W52" i="36"/>
  <c r="Y45" i="36"/>
  <c r="Y52" i="36"/>
  <c r="Z45" i="36"/>
  <c r="Z52" i="36"/>
  <c r="AA52" i="36"/>
  <c r="AB45" i="36"/>
  <c r="AB52" i="36"/>
  <c r="AC45" i="36"/>
  <c r="AC52" i="36"/>
  <c r="AD45" i="36"/>
  <c r="AD52" i="36"/>
  <c r="AE45" i="36"/>
  <c r="AE52" i="36"/>
  <c r="AF45" i="36"/>
  <c r="AF52" i="36"/>
  <c r="AG45" i="36"/>
  <c r="AG52" i="36"/>
  <c r="AH52" i="36"/>
  <c r="AI45" i="36"/>
  <c r="AI52" i="36"/>
  <c r="AJ45" i="36"/>
  <c r="AJ52" i="36"/>
  <c r="AK45" i="36"/>
  <c r="AK52" i="36"/>
  <c r="AL45" i="36"/>
  <c r="AL52" i="36"/>
  <c r="AM45" i="36"/>
  <c r="AM52" i="36"/>
  <c r="AN45" i="36"/>
  <c r="AN52" i="36"/>
  <c r="AO45" i="36"/>
  <c r="AO52" i="36"/>
  <c r="AB46" i="36"/>
  <c r="AB53" i="36"/>
  <c r="AF46" i="36"/>
  <c r="AG46" i="36"/>
  <c r="AG53" i="36"/>
  <c r="K49" i="36"/>
  <c r="L49" i="36"/>
  <c r="M49" i="36"/>
  <c r="N49" i="36"/>
  <c r="AA49" i="36"/>
  <c r="AB49" i="36"/>
  <c r="AO49" i="36"/>
  <c r="M46" i="36"/>
  <c r="M53" i="36"/>
  <c r="N46" i="36"/>
  <c r="N53" i="36"/>
  <c r="N54" i="36"/>
  <c r="N55" i="36"/>
  <c r="K53" i="36"/>
  <c r="K54" i="36"/>
  <c r="K55" i="36"/>
  <c r="M54" i="36"/>
  <c r="M55" i="36"/>
  <c r="AH53" i="36"/>
  <c r="AE48" i="36"/>
  <c r="AF48" i="36"/>
  <c r="AG48" i="36"/>
  <c r="AH48" i="36"/>
  <c r="AH54" i="36"/>
  <c r="AH55" i="36"/>
  <c r="K60" i="36"/>
  <c r="L60" i="36"/>
  <c r="M60" i="36"/>
  <c r="K64" i="36"/>
  <c r="L64" i="36"/>
  <c r="N57" i="36"/>
  <c r="O57" i="36"/>
  <c r="N64" i="36"/>
  <c r="T64" i="36"/>
  <c r="U64" i="36"/>
  <c r="V64" i="36"/>
  <c r="W64" i="36"/>
  <c r="Y57" i="36"/>
  <c r="Y64" i="36"/>
  <c r="Z57" i="36"/>
  <c r="Z64" i="36"/>
  <c r="AB57" i="36"/>
  <c r="AB64" i="36"/>
  <c r="AC57" i="36"/>
  <c r="AC64" i="36"/>
  <c r="AD57" i="36"/>
  <c r="AD64" i="36"/>
  <c r="AE57" i="36"/>
  <c r="AE64" i="36"/>
  <c r="AF57" i="36"/>
  <c r="AF64" i="36"/>
  <c r="AG57" i="36"/>
  <c r="AG64" i="36"/>
  <c r="AH64" i="36"/>
  <c r="AI57" i="36"/>
  <c r="AI64" i="36"/>
  <c r="AJ57" i="36"/>
  <c r="AJ64" i="36"/>
  <c r="AK57" i="36"/>
  <c r="AK64" i="36"/>
  <c r="AL64" i="36"/>
  <c r="AM57" i="36"/>
  <c r="AM64" i="36"/>
  <c r="AN57" i="36"/>
  <c r="AN64" i="36"/>
  <c r="AO57" i="36"/>
  <c r="AO64" i="36"/>
  <c r="U58" i="36"/>
  <c r="V58" i="36"/>
  <c r="V65" i="36"/>
  <c r="AI60" i="36"/>
  <c r="K61" i="36"/>
  <c r="L61" i="36"/>
  <c r="M61" i="36"/>
  <c r="U61" i="36"/>
  <c r="V61" i="36"/>
  <c r="AE61" i="36"/>
  <c r="AF61" i="36"/>
  <c r="AG61" i="36"/>
  <c r="AH61" i="36"/>
  <c r="AI61" i="36"/>
  <c r="L65" i="36"/>
  <c r="L66" i="36"/>
  <c r="L67" i="36"/>
  <c r="AA60" i="36"/>
  <c r="AA65" i="36"/>
  <c r="AA66" i="36"/>
  <c r="AA67" i="36"/>
  <c r="AI66" i="36"/>
  <c r="AI67" i="36"/>
  <c r="AO66" i="36"/>
  <c r="AO67" i="36"/>
  <c r="K72" i="36"/>
  <c r="L72" i="36"/>
  <c r="M72" i="36"/>
  <c r="N72" i="36"/>
  <c r="Y70" i="36"/>
  <c r="Y77" i="36"/>
  <c r="Y72" i="36"/>
  <c r="Y78" i="36"/>
  <c r="Y79" i="36"/>
  <c r="K69" i="36"/>
  <c r="L69" i="36"/>
  <c r="L76" i="36"/>
  <c r="M76" i="36"/>
  <c r="N69" i="36"/>
  <c r="N76" i="36"/>
  <c r="U76" i="36"/>
  <c r="V76" i="36"/>
  <c r="W76" i="36"/>
  <c r="Y69" i="36"/>
  <c r="Y76" i="36"/>
  <c r="Z69" i="36"/>
  <c r="Z76" i="36"/>
  <c r="AB69" i="36"/>
  <c r="AB76" i="36"/>
  <c r="AC69" i="36"/>
  <c r="AC76" i="36"/>
  <c r="AD69" i="36"/>
  <c r="AD76" i="36"/>
  <c r="AE69" i="36"/>
  <c r="AE76" i="36"/>
  <c r="AF69" i="36"/>
  <c r="AF76" i="36"/>
  <c r="AG69" i="36"/>
  <c r="AG76" i="36"/>
  <c r="AH69" i="36"/>
  <c r="AH76" i="36"/>
  <c r="AI69" i="36"/>
  <c r="AI76" i="36"/>
  <c r="AJ69" i="36"/>
  <c r="AJ76" i="36"/>
  <c r="AK69" i="36"/>
  <c r="AK76" i="36"/>
  <c r="AL76" i="36"/>
  <c r="AM69" i="36"/>
  <c r="AM76" i="36"/>
  <c r="AN69" i="36"/>
  <c r="AN76" i="36"/>
  <c r="AO69" i="36"/>
  <c r="AO76" i="36"/>
  <c r="AB70" i="36"/>
  <c r="AC70" i="36"/>
  <c r="AC77" i="36"/>
  <c r="AF70" i="36"/>
  <c r="AG70" i="36"/>
  <c r="AH70" i="36"/>
  <c r="AH77" i="36"/>
  <c r="AL77" i="36"/>
  <c r="AO70" i="36"/>
  <c r="AO77" i="36"/>
  <c r="AB72" i="36"/>
  <c r="AF72" i="36"/>
  <c r="AG72" i="36"/>
  <c r="AH72" i="36"/>
  <c r="AI72" i="36"/>
  <c r="AJ72" i="36"/>
  <c r="N73" i="36"/>
  <c r="U73" i="36"/>
  <c r="V73" i="36"/>
  <c r="W73" i="36"/>
  <c r="AA73" i="36"/>
  <c r="AB73" i="36"/>
  <c r="AC73" i="36"/>
  <c r="AE73" i="36"/>
  <c r="AF73" i="36"/>
  <c r="AG73" i="36"/>
  <c r="AH73" i="36"/>
  <c r="K76" i="36"/>
  <c r="U72" i="36"/>
  <c r="V77" i="36"/>
  <c r="V72" i="36"/>
  <c r="V78" i="36"/>
  <c r="V79" i="36"/>
  <c r="AB77" i="36"/>
  <c r="AB78" i="36"/>
  <c r="AB79" i="36"/>
  <c r="AC72" i="36"/>
  <c r="AC78" i="36"/>
  <c r="AC79" i="36"/>
  <c r="AJ78" i="36"/>
  <c r="AJ79" i="36"/>
  <c r="N82" i="36"/>
  <c r="N89" i="36"/>
  <c r="N90" i="36"/>
  <c r="N91" i="36"/>
  <c r="K85" i="36"/>
  <c r="L85" i="36"/>
  <c r="M85" i="36"/>
  <c r="U82" i="36"/>
  <c r="U89" i="36"/>
  <c r="K88" i="36"/>
  <c r="L88" i="36"/>
  <c r="N81" i="36"/>
  <c r="N88" i="36"/>
  <c r="O81" i="36"/>
  <c r="O88" i="36"/>
  <c r="P81" i="36"/>
  <c r="P88" i="36"/>
  <c r="T88" i="36"/>
  <c r="U88" i="36"/>
  <c r="V88" i="36"/>
  <c r="W88" i="36"/>
  <c r="Y81" i="36"/>
  <c r="Y88" i="36"/>
  <c r="Z81" i="36"/>
  <c r="Z88" i="36"/>
  <c r="AB81" i="36"/>
  <c r="AB88" i="36"/>
  <c r="AC81" i="36"/>
  <c r="AC88" i="36"/>
  <c r="AD88" i="36"/>
  <c r="AE81" i="36"/>
  <c r="AE88" i="36"/>
  <c r="AF81" i="36"/>
  <c r="AF88" i="36"/>
  <c r="AG81" i="36"/>
  <c r="AG88" i="36"/>
  <c r="AH88" i="36"/>
  <c r="AI81" i="36"/>
  <c r="AI88" i="36"/>
  <c r="AJ81" i="36"/>
  <c r="AJ88" i="36"/>
  <c r="AK81" i="36"/>
  <c r="AK88" i="36"/>
  <c r="AL88" i="36"/>
  <c r="AM81" i="36"/>
  <c r="AM88" i="36"/>
  <c r="AN81" i="36"/>
  <c r="AN88" i="36"/>
  <c r="AO81" i="36"/>
  <c r="AO88" i="36"/>
  <c r="L89" i="36"/>
  <c r="K84" i="36"/>
  <c r="L84" i="36"/>
  <c r="M84" i="36"/>
  <c r="N84" i="36"/>
  <c r="AE84" i="36"/>
  <c r="AO84" i="36"/>
  <c r="U85" i="36"/>
  <c r="AE85" i="36"/>
  <c r="AF85" i="36"/>
  <c r="AG85" i="36"/>
  <c r="AH85" i="36"/>
  <c r="AJ85" i="36"/>
  <c r="AM85" i="36"/>
  <c r="AO85" i="36"/>
  <c r="U90" i="36"/>
  <c r="U91" i="36"/>
  <c r="AE82" i="36"/>
  <c r="AE89" i="36"/>
  <c r="AE90" i="36"/>
  <c r="AE91" i="36"/>
  <c r="AJ90" i="36"/>
  <c r="AJ91" i="36"/>
  <c r="K94" i="36"/>
  <c r="K101" i="36"/>
  <c r="K96" i="36"/>
  <c r="V101" i="36"/>
  <c r="Y101" i="36"/>
  <c r="Y96" i="36"/>
  <c r="Y102" i="36"/>
  <c r="Y103" i="36"/>
  <c r="AE94" i="36"/>
  <c r="AE101" i="36"/>
  <c r="AL97" i="36"/>
  <c r="K93" i="36"/>
  <c r="K100" i="36"/>
  <c r="L93" i="36"/>
  <c r="L100" i="36"/>
  <c r="M100" i="36"/>
  <c r="N93" i="36"/>
  <c r="N100" i="36"/>
  <c r="T93" i="36"/>
  <c r="T100" i="36"/>
  <c r="U100" i="36"/>
  <c r="V100" i="36"/>
  <c r="W100" i="36"/>
  <c r="Y93" i="36"/>
  <c r="Y100" i="36"/>
  <c r="Z93" i="36"/>
  <c r="Z100" i="36"/>
  <c r="AA100" i="36"/>
  <c r="AB100" i="36"/>
  <c r="AC100" i="36"/>
  <c r="AE93" i="36"/>
  <c r="AE100" i="36"/>
  <c r="AF93" i="36"/>
  <c r="AF100" i="36"/>
  <c r="AG93" i="36"/>
  <c r="AG100" i="36"/>
  <c r="AH100" i="36"/>
  <c r="AI93" i="36"/>
  <c r="AI100" i="36"/>
  <c r="AJ93" i="36"/>
  <c r="AJ100" i="36"/>
  <c r="AK93" i="36"/>
  <c r="AK100" i="36"/>
  <c r="AL93" i="36"/>
  <c r="AL100" i="36"/>
  <c r="AM93" i="36"/>
  <c r="AM100" i="36"/>
  <c r="AN93" i="36"/>
  <c r="AN100" i="36"/>
  <c r="AO93" i="36"/>
  <c r="AO100" i="36"/>
  <c r="L94" i="36"/>
  <c r="L101" i="36"/>
  <c r="AK94" i="36"/>
  <c r="AK101" i="36"/>
  <c r="AM94" i="36"/>
  <c r="AM101" i="36"/>
  <c r="AB96" i="36"/>
  <c r="AC96" i="36"/>
  <c r="AE96" i="36"/>
  <c r="AK96" i="36"/>
  <c r="AM96" i="36"/>
  <c r="V97" i="36"/>
  <c r="Y97" i="36"/>
  <c r="AB97" i="36"/>
  <c r="AC97" i="36"/>
  <c r="AE97" i="36"/>
  <c r="AF97" i="36"/>
  <c r="AM97" i="36"/>
  <c r="L96" i="36"/>
  <c r="L102" i="36"/>
  <c r="L103" i="36"/>
  <c r="V102" i="36"/>
  <c r="V103" i="36"/>
  <c r="AB94" i="36"/>
  <c r="AC94" i="36"/>
  <c r="AC101" i="36"/>
  <c r="AC102" i="36"/>
  <c r="AC103" i="36"/>
  <c r="AF94" i="36"/>
  <c r="AG94" i="36"/>
  <c r="AH101" i="36"/>
  <c r="AF96" i="36"/>
  <c r="AG96" i="36"/>
  <c r="AH96" i="36"/>
  <c r="AH102" i="36"/>
  <c r="AH103" i="36"/>
  <c r="AK102" i="36"/>
  <c r="AK103" i="36"/>
  <c r="AM102" i="36"/>
  <c r="AM103" i="36"/>
  <c r="K106" i="36"/>
  <c r="L106" i="36"/>
  <c r="M113" i="36"/>
  <c r="K108" i="36"/>
  <c r="L108" i="36"/>
  <c r="M108" i="36"/>
  <c r="K109" i="36"/>
  <c r="L109" i="36"/>
  <c r="M109" i="36"/>
  <c r="T108" i="36"/>
  <c r="Y106" i="36"/>
  <c r="Y113" i="36"/>
  <c r="Y108" i="36"/>
  <c r="AN114" i="36"/>
  <c r="AN115" i="36"/>
  <c r="K105" i="36"/>
  <c r="K112" i="36"/>
  <c r="L105" i="36"/>
  <c r="L112" i="36"/>
  <c r="M112" i="36"/>
  <c r="N105" i="36"/>
  <c r="N112" i="36"/>
  <c r="U105" i="36"/>
  <c r="U112" i="36"/>
  <c r="V105" i="36"/>
  <c r="V112" i="36"/>
  <c r="W105" i="36"/>
  <c r="W112" i="36"/>
  <c r="X105" i="36"/>
  <c r="X112" i="36"/>
  <c r="Y105" i="36"/>
  <c r="Y112" i="36"/>
  <c r="Z105" i="36"/>
  <c r="Z112" i="36"/>
  <c r="AA105" i="36"/>
  <c r="AA112" i="36"/>
  <c r="AB112" i="36"/>
  <c r="AC112" i="36"/>
  <c r="AE105" i="36"/>
  <c r="AE112" i="36"/>
  <c r="AF105" i="36"/>
  <c r="AF112" i="36"/>
  <c r="AG105" i="36"/>
  <c r="AG112" i="36"/>
  <c r="AH105" i="36"/>
  <c r="AH112" i="36"/>
  <c r="AI105" i="36"/>
  <c r="AI112" i="36"/>
  <c r="AJ105" i="36"/>
  <c r="AJ112" i="36"/>
  <c r="AK105" i="36"/>
  <c r="AK112" i="36"/>
  <c r="AL105" i="36"/>
  <c r="AL112" i="36"/>
  <c r="AM105" i="36"/>
  <c r="AM112" i="36"/>
  <c r="AN105" i="36"/>
  <c r="AN112" i="36"/>
  <c r="AO105" i="36"/>
  <c r="AO112" i="36"/>
  <c r="AC113" i="36"/>
  <c r="AD113" i="36"/>
  <c r="AJ106" i="36"/>
  <c r="AJ113" i="36"/>
  <c r="AM106" i="36"/>
  <c r="AM113" i="36"/>
  <c r="AB108" i="36"/>
  <c r="AC108" i="36"/>
  <c r="AM108" i="36"/>
  <c r="T109" i="36"/>
  <c r="AB109" i="36"/>
  <c r="AC109" i="36"/>
  <c r="AE109" i="36"/>
  <c r="AF109" i="36"/>
  <c r="AG109" i="36"/>
  <c r="AH109" i="36"/>
  <c r="AJ109" i="36"/>
  <c r="AM109" i="36"/>
  <c r="AN109" i="36"/>
  <c r="K113" i="36"/>
  <c r="K114" i="36"/>
  <c r="K115" i="36"/>
  <c r="M114" i="36"/>
  <c r="M115" i="36"/>
  <c r="U113" i="36"/>
  <c r="U108" i="36"/>
  <c r="U114" i="36"/>
  <c r="U115" i="36"/>
  <c r="AC114" i="36"/>
  <c r="AC115" i="36"/>
  <c r="AG113" i="36"/>
  <c r="AG114" i="36"/>
  <c r="AG115" i="36"/>
  <c r="AM114" i="36"/>
  <c r="AM115" i="36"/>
  <c r="K120" i="36"/>
  <c r="L120" i="36"/>
  <c r="K121" i="36"/>
  <c r="AM118" i="36"/>
  <c r="AM125" i="36"/>
  <c r="K124" i="36"/>
  <c r="L124" i="36"/>
  <c r="N117" i="36"/>
  <c r="N124" i="36"/>
  <c r="T117" i="36"/>
  <c r="T124" i="36"/>
  <c r="U117" i="36"/>
  <c r="U124" i="36"/>
  <c r="V117" i="36"/>
  <c r="V124" i="36"/>
  <c r="W117" i="36"/>
  <c r="W124" i="36"/>
  <c r="X117" i="36"/>
  <c r="X124" i="36"/>
  <c r="Y117" i="36"/>
  <c r="Y124" i="36"/>
  <c r="Z117" i="36"/>
  <c r="Z124" i="36"/>
  <c r="AB117" i="36"/>
  <c r="AB124" i="36"/>
  <c r="AC117" i="36"/>
  <c r="AC124" i="36"/>
  <c r="AD117" i="36"/>
  <c r="AD124" i="36"/>
  <c r="AE117" i="36"/>
  <c r="AE124" i="36"/>
  <c r="AF117" i="36"/>
  <c r="AF124" i="36"/>
  <c r="AG117" i="36"/>
  <c r="AG124" i="36"/>
  <c r="AH117" i="36"/>
  <c r="AH124" i="36"/>
  <c r="AI117" i="36"/>
  <c r="AI124" i="36"/>
  <c r="AJ117" i="36"/>
  <c r="AJ124" i="36"/>
  <c r="AK117" i="36"/>
  <c r="AK124" i="36"/>
  <c r="AL124" i="36"/>
  <c r="AM117" i="36"/>
  <c r="AM124" i="36"/>
  <c r="AN117" i="36"/>
  <c r="AN124" i="36"/>
  <c r="AO117" i="36"/>
  <c r="AO124" i="36"/>
  <c r="K118" i="36"/>
  <c r="K125" i="36"/>
  <c r="AB118" i="36"/>
  <c r="AC118" i="36"/>
  <c r="AD118" i="36"/>
  <c r="AD125" i="36"/>
  <c r="AE125" i="36"/>
  <c r="AL125" i="36"/>
  <c r="AM120" i="36"/>
  <c r="AM121" i="36"/>
  <c r="AA124" i="36"/>
  <c r="K126" i="36"/>
  <c r="K127" i="36"/>
  <c r="L118" i="36"/>
  <c r="L125" i="36"/>
  <c r="U118" i="36"/>
  <c r="V118" i="36"/>
  <c r="W118" i="36"/>
  <c r="W125" i="36"/>
  <c r="U120" i="36"/>
  <c r="V120" i="36"/>
  <c r="W120" i="36"/>
  <c r="W126" i="36"/>
  <c r="W127" i="36"/>
  <c r="K132" i="36"/>
  <c r="U130" i="36"/>
  <c r="V130" i="36"/>
  <c r="V137" i="36"/>
  <c r="AK138" i="36"/>
  <c r="AK139" i="36"/>
  <c r="K136" i="36"/>
  <c r="L136" i="36"/>
  <c r="N129" i="36"/>
  <c r="N136" i="36"/>
  <c r="O129" i="36"/>
  <c r="O136" i="36"/>
  <c r="P129" i="36"/>
  <c r="P136" i="36"/>
  <c r="U136" i="36"/>
  <c r="V136" i="36"/>
  <c r="W136" i="36"/>
  <c r="Y129" i="36"/>
  <c r="Y136" i="36"/>
  <c r="Z129" i="36"/>
  <c r="Z136" i="36"/>
  <c r="AB136" i="36"/>
  <c r="AC136" i="36"/>
  <c r="AE129" i="36"/>
  <c r="AE136" i="36"/>
  <c r="AF129" i="36"/>
  <c r="AF136" i="36"/>
  <c r="AG129" i="36"/>
  <c r="AG136" i="36"/>
  <c r="AH136" i="36"/>
  <c r="AI129" i="36"/>
  <c r="AI136" i="36"/>
  <c r="AJ129" i="36"/>
  <c r="AJ136" i="36"/>
  <c r="AK129" i="36"/>
  <c r="AK136" i="36"/>
  <c r="AL136" i="36"/>
  <c r="AM129" i="36"/>
  <c r="AM136" i="36"/>
  <c r="AN129" i="36"/>
  <c r="AN136" i="36"/>
  <c r="AO129" i="36"/>
  <c r="AO136" i="36"/>
  <c r="AJ130" i="36"/>
  <c r="AJ137" i="36"/>
  <c r="AK130" i="36"/>
  <c r="AK137" i="36"/>
  <c r="AL137" i="36"/>
  <c r="T132" i="36"/>
  <c r="U132" i="36"/>
  <c r="V132" i="36"/>
  <c r="AB132" i="36"/>
  <c r="AC132" i="36"/>
  <c r="AD132" i="36"/>
  <c r="K133" i="36"/>
  <c r="L133" i="36"/>
  <c r="T133" i="36"/>
  <c r="U133" i="36"/>
  <c r="V133" i="36"/>
  <c r="W133" i="36"/>
  <c r="X133" i="36"/>
  <c r="Y133" i="36"/>
  <c r="AB133" i="36"/>
  <c r="AC133" i="36"/>
  <c r="AD133" i="36"/>
  <c r="K130" i="36"/>
  <c r="L130" i="36"/>
  <c r="L137" i="36"/>
  <c r="T137" i="36"/>
  <c r="T138" i="36"/>
  <c r="T139" i="36"/>
  <c r="W132" i="36"/>
  <c r="X132" i="36"/>
  <c r="W130" i="36"/>
  <c r="X137" i="36"/>
  <c r="X138" i="36"/>
  <c r="X139" i="36"/>
  <c r="AA137" i="36"/>
  <c r="AA132" i="36"/>
  <c r="AA138" i="36"/>
  <c r="AA139" i="36"/>
  <c r="AB130" i="36"/>
  <c r="AC130" i="36"/>
  <c r="AD137" i="36"/>
  <c r="AD138" i="36"/>
  <c r="AD139" i="36"/>
  <c r="K145" i="36"/>
  <c r="L145" i="36"/>
  <c r="O145" i="36"/>
  <c r="O144" i="36"/>
  <c r="U144" i="36"/>
  <c r="V144" i="36"/>
  <c r="AE145" i="36"/>
  <c r="AL145" i="36"/>
  <c r="K141" i="36"/>
  <c r="K148" i="36"/>
  <c r="L141" i="36"/>
  <c r="L148" i="36"/>
  <c r="M148" i="36"/>
  <c r="N141" i="36"/>
  <c r="N148" i="36"/>
  <c r="U148" i="36"/>
  <c r="V148" i="36"/>
  <c r="W148" i="36"/>
  <c r="Y141" i="36"/>
  <c r="Y148" i="36"/>
  <c r="Z141" i="36"/>
  <c r="Z148" i="36"/>
  <c r="AA148" i="36"/>
  <c r="AB148" i="36"/>
  <c r="AC148" i="36"/>
  <c r="AE141" i="36"/>
  <c r="AE148" i="36"/>
  <c r="AF141" i="36"/>
  <c r="AF148" i="36"/>
  <c r="AG141" i="36"/>
  <c r="AG148" i="36"/>
  <c r="AH148" i="36"/>
  <c r="AI141" i="36"/>
  <c r="AI148" i="36"/>
  <c r="AJ141" i="36"/>
  <c r="AJ148" i="36"/>
  <c r="AK141" i="36"/>
  <c r="AK148" i="36"/>
  <c r="AL141" i="36"/>
  <c r="AL148" i="36"/>
  <c r="AM141" i="36"/>
  <c r="AM148" i="36"/>
  <c r="AN141" i="36"/>
  <c r="AN148" i="36"/>
  <c r="AO141" i="36"/>
  <c r="AO148" i="36"/>
  <c r="AE142" i="36"/>
  <c r="AE149" i="36"/>
  <c r="AF142" i="36"/>
  <c r="AF149" i="36"/>
  <c r="AE144" i="36"/>
  <c r="AO144" i="36"/>
  <c r="T145" i="36"/>
  <c r="AA145" i="36"/>
  <c r="AO145" i="36"/>
  <c r="U142" i="36"/>
  <c r="V142" i="36"/>
  <c r="V149" i="36"/>
  <c r="W142" i="36"/>
  <c r="W149" i="36"/>
  <c r="W144" i="36"/>
  <c r="W150" i="36"/>
  <c r="W151" i="36"/>
  <c r="AK150" i="36"/>
  <c r="AK151" i="36"/>
  <c r="K157" i="36"/>
  <c r="L157" i="36"/>
  <c r="M157" i="36"/>
  <c r="M156" i="36"/>
  <c r="T156" i="36"/>
  <c r="U156" i="36"/>
  <c r="V156" i="36"/>
  <c r="AE154" i="36"/>
  <c r="AE161" i="36"/>
  <c r="AF154" i="36"/>
  <c r="AF161" i="36"/>
  <c r="AG154" i="36"/>
  <c r="AH161" i="36"/>
  <c r="AE156" i="36"/>
  <c r="AF156" i="36"/>
  <c r="AG156" i="36"/>
  <c r="AH156" i="36"/>
  <c r="AH162" i="36"/>
  <c r="AH163" i="36"/>
  <c r="AN157" i="36"/>
  <c r="K153" i="36"/>
  <c r="K160" i="36"/>
  <c r="L153" i="36"/>
  <c r="L160" i="36"/>
  <c r="M160" i="36"/>
  <c r="N153" i="36"/>
  <c r="N160" i="36"/>
  <c r="O153" i="36"/>
  <c r="O160" i="36"/>
  <c r="T153" i="36"/>
  <c r="T160" i="36"/>
  <c r="U153" i="36"/>
  <c r="U160" i="36"/>
  <c r="V153" i="36"/>
  <c r="V160" i="36"/>
  <c r="W153" i="36"/>
  <c r="W160" i="36"/>
  <c r="X153" i="36"/>
  <c r="X160" i="36"/>
  <c r="Y153" i="36"/>
  <c r="Y160" i="36"/>
  <c r="Z153" i="36"/>
  <c r="Z160" i="36"/>
  <c r="AA160" i="36"/>
  <c r="AB160" i="36"/>
  <c r="AC160" i="36"/>
  <c r="AE153" i="36"/>
  <c r="AE160" i="36"/>
  <c r="AF153" i="36"/>
  <c r="AF160" i="36"/>
  <c r="AG153" i="36"/>
  <c r="AG160" i="36"/>
  <c r="AH160" i="36"/>
  <c r="AI153" i="36"/>
  <c r="AI160" i="36"/>
  <c r="AJ153" i="36"/>
  <c r="AJ160" i="36"/>
  <c r="AK153" i="36"/>
  <c r="AK160" i="36"/>
  <c r="AL160" i="36"/>
  <c r="AM153" i="36"/>
  <c r="AM160" i="36"/>
  <c r="AN153" i="36"/>
  <c r="AN160" i="36"/>
  <c r="AO153" i="36"/>
  <c r="AO160" i="36"/>
  <c r="M161" i="36"/>
  <c r="N154" i="36"/>
  <c r="N161" i="36"/>
  <c r="N162" i="36"/>
  <c r="N163" i="36"/>
  <c r="AL161" i="36"/>
  <c r="AA156" i="36"/>
  <c r="AE157" i="36"/>
  <c r="AF157" i="36"/>
  <c r="AG157" i="36"/>
  <c r="AH157" i="36"/>
  <c r="AL162" i="36"/>
  <c r="AL163" i="36"/>
  <c r="K168" i="36"/>
  <c r="L168" i="36"/>
  <c r="K166" i="36"/>
  <c r="L166" i="36"/>
  <c r="L173" i="36"/>
  <c r="L174" i="36"/>
  <c r="L175" i="36"/>
  <c r="K169" i="36"/>
  <c r="L169" i="36"/>
  <c r="M169" i="36"/>
  <c r="AA168" i="36"/>
  <c r="AJ168" i="36"/>
  <c r="K165" i="36"/>
  <c r="K172" i="36"/>
  <c r="L165" i="36"/>
  <c r="L172" i="36"/>
  <c r="M172" i="36"/>
  <c r="N165" i="36"/>
  <c r="N172" i="36"/>
  <c r="T172" i="36"/>
  <c r="U165" i="36"/>
  <c r="U172" i="36"/>
  <c r="V165" i="36"/>
  <c r="V172" i="36"/>
  <c r="W165" i="36"/>
  <c r="W172" i="36"/>
  <c r="X165" i="36"/>
  <c r="X172" i="36"/>
  <c r="Y165" i="36"/>
  <c r="Y172" i="36"/>
  <c r="Z165" i="36"/>
  <c r="Z172" i="36"/>
  <c r="AA172" i="36"/>
  <c r="AB165" i="36"/>
  <c r="AB172" i="36"/>
  <c r="AC165" i="36"/>
  <c r="AC172" i="36"/>
  <c r="AD165" i="36"/>
  <c r="AD172" i="36"/>
  <c r="AE165" i="36"/>
  <c r="AE172" i="36"/>
  <c r="AF165" i="36"/>
  <c r="AF172" i="36"/>
  <c r="AG165" i="36"/>
  <c r="AG172" i="36"/>
  <c r="AH172" i="36"/>
  <c r="AI165" i="36"/>
  <c r="AI172" i="36"/>
  <c r="AJ165" i="36"/>
  <c r="AJ172" i="36"/>
  <c r="AK165" i="36"/>
  <c r="AK172" i="36"/>
  <c r="AL172" i="36"/>
  <c r="AM165" i="36"/>
  <c r="AM172" i="36"/>
  <c r="AN165" i="36"/>
  <c r="AN172" i="36"/>
  <c r="AO165" i="36"/>
  <c r="AO172" i="36"/>
  <c r="N166" i="36"/>
  <c r="N173" i="36"/>
  <c r="V173" i="36"/>
  <c r="W173" i="36"/>
  <c r="AJ166" i="36"/>
  <c r="AJ173" i="36"/>
  <c r="M168" i="36"/>
  <c r="U168" i="36"/>
  <c r="V168" i="36"/>
  <c r="W168" i="36"/>
  <c r="AK168" i="36"/>
  <c r="AO168" i="36"/>
  <c r="AE169" i="36"/>
  <c r="AF169" i="36"/>
  <c r="AG169" i="36"/>
  <c r="AH169" i="36"/>
  <c r="AJ169" i="36"/>
  <c r="AE166" i="36"/>
  <c r="AF166" i="36"/>
  <c r="AG166" i="36"/>
  <c r="AG173" i="36"/>
  <c r="AE168" i="36"/>
  <c r="AF168" i="36"/>
  <c r="AG168" i="36"/>
  <c r="AG174" i="36"/>
  <c r="AG175" i="36"/>
  <c r="AH173" i="36"/>
  <c r="AH168" i="36"/>
  <c r="AH174" i="36"/>
  <c r="AH175" i="36"/>
  <c r="AJ174" i="36"/>
  <c r="AJ175" i="36"/>
  <c r="K180" i="36"/>
  <c r="L180" i="36"/>
  <c r="K181" i="36"/>
  <c r="L181" i="36"/>
  <c r="N181" i="36"/>
  <c r="N180" i="36"/>
  <c r="U180" i="36"/>
  <c r="V180" i="36"/>
  <c r="Y180" i="36"/>
  <c r="K177" i="36"/>
  <c r="K184" i="36"/>
  <c r="L177" i="36"/>
  <c r="L184" i="36"/>
  <c r="N177" i="36"/>
  <c r="N184" i="36"/>
  <c r="O177" i="36"/>
  <c r="O184" i="36"/>
  <c r="P177" i="36"/>
  <c r="P184" i="36"/>
  <c r="U177" i="36"/>
  <c r="U184" i="36"/>
  <c r="V177" i="36"/>
  <c r="V184" i="36"/>
  <c r="W177" i="36"/>
  <c r="W184" i="36"/>
  <c r="X184" i="36"/>
  <c r="Y177" i="36"/>
  <c r="Y184" i="36"/>
  <c r="Z177" i="36"/>
  <c r="Z184" i="36"/>
  <c r="AB184" i="36"/>
  <c r="AC184" i="36"/>
  <c r="AE177" i="36"/>
  <c r="AE184" i="36"/>
  <c r="AF177" i="36"/>
  <c r="AF184" i="36"/>
  <c r="AG177" i="36"/>
  <c r="AG184" i="36"/>
  <c r="AH184" i="36"/>
  <c r="AI177" i="36"/>
  <c r="AI184" i="36"/>
  <c r="AJ177" i="36"/>
  <c r="AJ184" i="36"/>
  <c r="AK177" i="36"/>
  <c r="AK184" i="36"/>
  <c r="AL177" i="36"/>
  <c r="AL184" i="36"/>
  <c r="AM177" i="36"/>
  <c r="AM184" i="36"/>
  <c r="AN177" i="36"/>
  <c r="AN184" i="36"/>
  <c r="AO177" i="36"/>
  <c r="AO184" i="36"/>
  <c r="K178" i="36"/>
  <c r="L178" i="36"/>
  <c r="L185" i="36"/>
  <c r="U178" i="36"/>
  <c r="U185" i="36"/>
  <c r="V178" i="36"/>
  <c r="V185" i="36"/>
  <c r="W178" i="36"/>
  <c r="X178" i="36"/>
  <c r="X185" i="36"/>
  <c r="Y178" i="36"/>
  <c r="Y185" i="36"/>
  <c r="AE178" i="36"/>
  <c r="AE185" i="36"/>
  <c r="AF178" i="36"/>
  <c r="AG178" i="36"/>
  <c r="AH185" i="36"/>
  <c r="AI178" i="36"/>
  <c r="AI185" i="36"/>
  <c r="W180" i="36"/>
  <c r="X180" i="36"/>
  <c r="AE180" i="36"/>
  <c r="AM180" i="36"/>
  <c r="AO180" i="36"/>
  <c r="U181" i="36"/>
  <c r="V181" i="36"/>
  <c r="W181" i="36"/>
  <c r="X181" i="36"/>
  <c r="Y181" i="36"/>
  <c r="AC181" i="36"/>
  <c r="AE181" i="36"/>
  <c r="M184" i="36"/>
  <c r="L186" i="36"/>
  <c r="L187" i="36"/>
  <c r="U186" i="36"/>
  <c r="U187" i="36"/>
  <c r="Y186" i="36"/>
  <c r="Y187" i="36"/>
  <c r="AE186" i="36"/>
  <c r="AE187" i="36"/>
  <c r="K190" i="36"/>
  <c r="K197" i="36"/>
  <c r="L190" i="36"/>
  <c r="L197" i="36"/>
  <c r="M197" i="36"/>
  <c r="K192" i="36"/>
  <c r="L192" i="36"/>
  <c r="M192" i="36"/>
  <c r="T192" i="36"/>
  <c r="K193" i="36"/>
  <c r="L193" i="36"/>
  <c r="M193" i="36"/>
  <c r="U190" i="36"/>
  <c r="V190" i="36"/>
  <c r="V197" i="36"/>
  <c r="U192" i="36"/>
  <c r="V192" i="36"/>
  <c r="V198" i="36"/>
  <c r="V199" i="36"/>
  <c r="AN190" i="36"/>
  <c r="AN197" i="36"/>
  <c r="K196" i="36"/>
  <c r="L196" i="36"/>
  <c r="N189" i="36"/>
  <c r="N196" i="36"/>
  <c r="U196" i="36"/>
  <c r="V196" i="36"/>
  <c r="W196" i="36"/>
  <c r="Y189" i="36"/>
  <c r="Y196" i="36"/>
  <c r="Z189" i="36"/>
  <c r="Z196" i="36"/>
  <c r="AB189" i="36"/>
  <c r="AB196" i="36"/>
  <c r="AC189" i="36"/>
  <c r="AC196" i="36"/>
  <c r="AD196" i="36"/>
  <c r="AE189" i="36"/>
  <c r="AE196" i="36"/>
  <c r="AF189" i="36"/>
  <c r="AF196" i="36"/>
  <c r="AG189" i="36"/>
  <c r="AG196" i="36"/>
  <c r="AH189" i="36"/>
  <c r="AH196" i="36"/>
  <c r="AI189" i="36"/>
  <c r="AI196" i="36"/>
  <c r="AJ189" i="36"/>
  <c r="AJ196" i="36"/>
  <c r="AK189" i="36"/>
  <c r="AK196" i="36"/>
  <c r="AL196" i="36"/>
  <c r="AM189" i="36"/>
  <c r="AM196" i="36"/>
  <c r="AN189" i="36"/>
  <c r="AN196" i="36"/>
  <c r="AO189" i="36"/>
  <c r="AO196" i="36"/>
  <c r="AB190" i="36"/>
  <c r="AC190" i="36"/>
  <c r="AD197" i="36"/>
  <c r="U193" i="36"/>
  <c r="V193" i="36"/>
  <c r="Y193" i="36"/>
  <c r="Z193" i="36"/>
  <c r="AA196" i="36"/>
  <c r="K198" i="36"/>
  <c r="K199" i="36"/>
  <c r="L198" i="36"/>
  <c r="L199" i="36"/>
  <c r="AB192" i="36"/>
  <c r="AC192" i="36"/>
  <c r="AC197" i="36"/>
  <c r="AC198" i="36"/>
  <c r="AC199" i="36"/>
  <c r="AO198" i="36"/>
  <c r="AO199" i="36"/>
  <c r="K205" i="36"/>
  <c r="L205" i="36"/>
  <c r="Y202" i="36"/>
  <c r="Y209" i="36"/>
  <c r="Y204" i="36"/>
  <c r="Y210" i="36"/>
  <c r="Y211" i="36"/>
  <c r="AB202" i="36"/>
  <c r="AC202" i="36"/>
  <c r="AD202" i="36"/>
  <c r="AD209" i="36"/>
  <c r="AB204" i="36"/>
  <c r="AC204" i="36"/>
  <c r="AD204" i="36"/>
  <c r="AD210" i="36"/>
  <c r="AD211" i="36"/>
  <c r="AN210" i="36"/>
  <c r="AN211" i="36"/>
  <c r="K208" i="36"/>
  <c r="L208" i="36"/>
  <c r="M208" i="36"/>
  <c r="N201" i="36"/>
  <c r="N208" i="36"/>
  <c r="U208" i="36"/>
  <c r="V208" i="36"/>
  <c r="W208" i="36"/>
  <c r="Y201" i="36"/>
  <c r="Y208" i="36"/>
  <c r="Z201" i="36"/>
  <c r="Z208" i="36"/>
  <c r="AA208" i="36"/>
  <c r="AB201" i="36"/>
  <c r="AB208" i="36"/>
  <c r="AC201" i="36"/>
  <c r="AC208" i="36"/>
  <c r="AD201" i="36"/>
  <c r="AD208" i="36"/>
  <c r="AE201" i="36"/>
  <c r="AE208" i="36"/>
  <c r="AF201" i="36"/>
  <c r="AF208" i="36"/>
  <c r="AG201" i="36"/>
  <c r="AG208" i="36"/>
  <c r="AH208" i="36"/>
  <c r="AI201" i="36"/>
  <c r="AI208" i="36"/>
  <c r="AJ201" i="36"/>
  <c r="AJ208" i="36"/>
  <c r="AK201" i="36"/>
  <c r="AK208" i="36"/>
  <c r="AL201" i="36"/>
  <c r="AL208" i="36"/>
  <c r="AM201" i="36"/>
  <c r="AM208" i="36"/>
  <c r="AN201" i="36"/>
  <c r="AN208" i="36"/>
  <c r="AO201" i="36"/>
  <c r="AO208" i="36"/>
  <c r="K209" i="36"/>
  <c r="T202" i="36"/>
  <c r="T209" i="36"/>
  <c r="AC209" i="36"/>
  <c r="AK202" i="36"/>
  <c r="AK209" i="36"/>
  <c r="AN202" i="36"/>
  <c r="AN209" i="36"/>
  <c r="K204" i="36"/>
  <c r="L204" i="36"/>
  <c r="M204" i="36"/>
  <c r="AN204" i="36"/>
  <c r="T205" i="36"/>
  <c r="AB205" i="36"/>
  <c r="AC205" i="36"/>
  <c r="L209" i="36"/>
  <c r="L210" i="36"/>
  <c r="L211" i="36"/>
  <c r="AC210" i="36"/>
  <c r="AC211" i="36"/>
  <c r="AK210" i="36"/>
  <c r="AK211" i="36"/>
  <c r="M221" i="36"/>
  <c r="M216" i="36"/>
  <c r="N216" i="36"/>
  <c r="O216" i="36"/>
  <c r="Y216" i="36"/>
  <c r="Y221" i="36"/>
  <c r="AA221" i="36"/>
  <c r="AE214" i="36"/>
  <c r="AF214" i="36"/>
  <c r="AF221" i="36"/>
  <c r="AE216" i="36"/>
  <c r="AF216" i="36"/>
  <c r="AI216" i="36"/>
  <c r="K213" i="36"/>
  <c r="K220" i="36"/>
  <c r="L213" i="36"/>
  <c r="L220" i="36"/>
  <c r="M220" i="36"/>
  <c r="N213" i="36"/>
  <c r="N220" i="36"/>
  <c r="T220" i="36"/>
  <c r="U213" i="36"/>
  <c r="U220" i="36"/>
  <c r="V213" i="36"/>
  <c r="V220" i="36"/>
  <c r="W213" i="36"/>
  <c r="W220" i="36"/>
  <c r="X213" i="36"/>
  <c r="X220" i="36"/>
  <c r="Y213" i="36"/>
  <c r="Y220" i="36"/>
  <c r="Z213" i="36"/>
  <c r="Z220" i="36"/>
  <c r="AA220" i="36"/>
  <c r="AB213" i="36"/>
  <c r="AB220" i="36"/>
  <c r="AC213" i="36"/>
  <c r="AC220" i="36"/>
  <c r="AD213" i="36"/>
  <c r="AD220" i="36"/>
  <c r="AE213" i="36"/>
  <c r="AE220" i="36"/>
  <c r="AF213" i="36"/>
  <c r="AF220" i="36"/>
  <c r="AG213" i="36"/>
  <c r="AG220" i="36"/>
  <c r="AH213" i="36"/>
  <c r="AH220" i="36"/>
  <c r="AI213" i="36"/>
  <c r="AI220" i="36"/>
  <c r="AJ213" i="36"/>
  <c r="AJ220" i="36"/>
  <c r="AK213" i="36"/>
  <c r="AK220" i="36"/>
  <c r="AL220" i="36"/>
  <c r="AM213" i="36"/>
  <c r="AM220" i="36"/>
  <c r="AN213" i="36"/>
  <c r="AN220" i="36"/>
  <c r="AO213" i="36"/>
  <c r="AO220" i="36"/>
  <c r="U214" i="36"/>
  <c r="V214" i="36"/>
  <c r="W214" i="36"/>
  <c r="X214" i="36"/>
  <c r="X221" i="36"/>
  <c r="AC214" i="36"/>
  <c r="AD214" i="36"/>
  <c r="AD221" i="36"/>
  <c r="AG214" i="36"/>
  <c r="AH214" i="36"/>
  <c r="AH221" i="36"/>
  <c r="AI214" i="36"/>
  <c r="AI221" i="36"/>
  <c r="U216" i="36"/>
  <c r="V216" i="36"/>
  <c r="W216" i="36"/>
  <c r="X216" i="36"/>
  <c r="Z216" i="36"/>
  <c r="AG216" i="36"/>
  <c r="AH216" i="36"/>
  <c r="N217" i="36"/>
  <c r="O217" i="36"/>
  <c r="U217" i="36"/>
  <c r="V217" i="36"/>
  <c r="W217" i="36"/>
  <c r="X217" i="36"/>
  <c r="AE217" i="36"/>
  <c r="AF217" i="36"/>
  <c r="AG217" i="36"/>
  <c r="AH217" i="36"/>
  <c r="AI217" i="36"/>
  <c r="M222" i="36"/>
  <c r="M223" i="36"/>
  <c r="X222" i="36"/>
  <c r="X223" i="36"/>
  <c r="Y222" i="36"/>
  <c r="Y223" i="36"/>
  <c r="Z222" i="36"/>
  <c r="Z223" i="36"/>
  <c r="AH222" i="36"/>
  <c r="AH223" i="36"/>
  <c r="AI222" i="36"/>
  <c r="AI223" i="36"/>
  <c r="K229" i="36"/>
  <c r="L229" i="36"/>
  <c r="K228" i="36"/>
  <c r="L228" i="36"/>
  <c r="M228" i="36"/>
  <c r="N228" i="36"/>
  <c r="M229" i="36"/>
  <c r="Y226" i="36"/>
  <c r="Z226" i="36"/>
  <c r="Z233" i="36"/>
  <c r="AA228" i="36"/>
  <c r="AA233" i="36"/>
  <c r="AA234" i="36"/>
  <c r="AA235" i="36"/>
  <c r="K232" i="36"/>
  <c r="L232" i="36"/>
  <c r="N225" i="36"/>
  <c r="N232" i="36"/>
  <c r="U232" i="36"/>
  <c r="V232" i="36"/>
  <c r="W232" i="36"/>
  <c r="Y225" i="36"/>
  <c r="Y232" i="36"/>
  <c r="Z225" i="36"/>
  <c r="Z232" i="36"/>
  <c r="AA232" i="36"/>
  <c r="AB225" i="36"/>
  <c r="AB232" i="36"/>
  <c r="AC225" i="36"/>
  <c r="AC232" i="36"/>
  <c r="AD225" i="36"/>
  <c r="AD232" i="36"/>
  <c r="AE225" i="36"/>
  <c r="AE232" i="36"/>
  <c r="AF225" i="36"/>
  <c r="AF232" i="36"/>
  <c r="AG225" i="36"/>
  <c r="AG232" i="36"/>
  <c r="AH232" i="36"/>
  <c r="AI225" i="36"/>
  <c r="AI232" i="36"/>
  <c r="AJ225" i="36"/>
  <c r="AJ232" i="36"/>
  <c r="AK225" i="36"/>
  <c r="AK232" i="36"/>
  <c r="AL225" i="36"/>
  <c r="AL232" i="36"/>
  <c r="AM225" i="36"/>
  <c r="AM232" i="36"/>
  <c r="AN225" i="36"/>
  <c r="AN232" i="36"/>
  <c r="AO225" i="36"/>
  <c r="AO232" i="36"/>
  <c r="K226" i="36"/>
  <c r="K233" i="36"/>
  <c r="L226" i="36"/>
  <c r="L233" i="36"/>
  <c r="M233" i="36"/>
  <c r="W233" i="36"/>
  <c r="AB226" i="36"/>
  <c r="AC226" i="36"/>
  <c r="AC233" i="36"/>
  <c r="AG226" i="36"/>
  <c r="AH233" i="36"/>
  <c r="U228" i="36"/>
  <c r="V228" i="36"/>
  <c r="W228" i="36"/>
  <c r="Y228" i="36"/>
  <c r="Z228" i="36"/>
  <c r="AG228" i="36"/>
  <c r="AH228" i="36"/>
  <c r="U229" i="36"/>
  <c r="V229" i="36"/>
  <c r="W229" i="36"/>
  <c r="AB229" i="36"/>
  <c r="AC229" i="36"/>
  <c r="AE229" i="36"/>
  <c r="AF229" i="36"/>
  <c r="AG229" i="36"/>
  <c r="AH229" i="36"/>
  <c r="L234" i="36"/>
  <c r="L235" i="36"/>
  <c r="M234" i="36"/>
  <c r="M235" i="36"/>
  <c r="W234" i="36"/>
  <c r="W235" i="36"/>
  <c r="Z234" i="36"/>
  <c r="Z235" i="36"/>
  <c r="AB228" i="36"/>
  <c r="AC228" i="36"/>
  <c r="AC234" i="36"/>
  <c r="AC235" i="36"/>
  <c r="AH234" i="36"/>
  <c r="AH235" i="36"/>
  <c r="AJ234" i="36"/>
  <c r="AJ235" i="36"/>
  <c r="K241" i="36"/>
  <c r="L241" i="36"/>
  <c r="M241" i="36"/>
  <c r="K240" i="36"/>
  <c r="L240" i="36"/>
  <c r="M240" i="36"/>
  <c r="N240" i="36"/>
  <c r="O240" i="36"/>
  <c r="P240" i="36"/>
  <c r="Q240" i="36"/>
  <c r="K237" i="36"/>
  <c r="K238" i="36"/>
  <c r="K239" i="36"/>
  <c r="K244" i="36"/>
  <c r="K245" i="36"/>
  <c r="L237" i="36"/>
  <c r="M237" i="36"/>
  <c r="N237" i="36"/>
  <c r="O237" i="36"/>
  <c r="P237" i="36"/>
  <c r="L238" i="36"/>
  <c r="M238" i="36"/>
  <c r="N238" i="36"/>
  <c r="O238" i="36"/>
  <c r="P238" i="36"/>
  <c r="Q238" i="36"/>
  <c r="L239" i="36"/>
  <c r="M239" i="36"/>
  <c r="N239" i="36"/>
  <c r="O239" i="36"/>
  <c r="P239" i="36"/>
  <c r="Q239" i="36"/>
  <c r="T237" i="36"/>
  <c r="T238" i="36"/>
  <c r="T239" i="36"/>
  <c r="T244" i="36"/>
  <c r="T245" i="36"/>
  <c r="T240" i="36"/>
  <c r="T246" i="36"/>
  <c r="T247" i="36"/>
  <c r="T241" i="36"/>
  <c r="U241" i="36"/>
  <c r="AA240" i="36"/>
  <c r="AB240" i="36"/>
  <c r="AB237" i="36"/>
  <c r="AC237" i="36"/>
  <c r="AB238" i="36"/>
  <c r="AC238" i="36"/>
  <c r="AB239" i="36"/>
  <c r="AC239" i="36"/>
  <c r="AC244" i="36"/>
  <c r="AC245" i="36"/>
  <c r="AD237" i="36"/>
  <c r="AD238" i="36"/>
  <c r="AD239" i="36"/>
  <c r="AD244" i="36"/>
  <c r="AD245" i="36"/>
  <c r="AC240" i="36"/>
  <c r="AD240" i="36"/>
  <c r="AD246" i="36"/>
  <c r="AD247" i="36"/>
  <c r="AE241" i="36"/>
  <c r="AF241" i="36"/>
  <c r="AG241" i="36"/>
  <c r="AL240" i="36"/>
  <c r="U237" i="36"/>
  <c r="U238" i="36"/>
  <c r="U239" i="36"/>
  <c r="U244" i="36"/>
  <c r="U245" i="36"/>
  <c r="V237" i="36"/>
  <c r="V238" i="36"/>
  <c r="V239" i="36"/>
  <c r="V244" i="36"/>
  <c r="V245" i="36"/>
  <c r="W237" i="36"/>
  <c r="W238" i="36"/>
  <c r="W239" i="36"/>
  <c r="W244" i="36"/>
  <c r="W245" i="36"/>
  <c r="X237" i="36"/>
  <c r="X238" i="36"/>
  <c r="X239" i="36"/>
  <c r="X244" i="36"/>
  <c r="X245" i="36"/>
  <c r="Y237" i="36"/>
  <c r="Y238" i="36"/>
  <c r="Y239" i="36"/>
  <c r="Y244" i="36"/>
  <c r="Y245" i="36"/>
  <c r="Z237" i="36"/>
  <c r="Z238" i="36"/>
  <c r="Z239" i="36"/>
  <c r="Z244" i="36"/>
  <c r="Z245" i="36"/>
  <c r="AA237" i="36"/>
  <c r="AA238" i="36"/>
  <c r="AA239" i="36"/>
  <c r="AA244" i="36"/>
  <c r="AA245" i="36"/>
  <c r="AB244" i="36"/>
  <c r="AB245" i="36"/>
  <c r="AE237" i="36"/>
  <c r="AE238" i="36"/>
  <c r="AE239" i="36"/>
  <c r="AE244" i="36"/>
  <c r="AE245" i="36"/>
  <c r="AF237" i="36"/>
  <c r="AF238" i="36"/>
  <c r="AF239" i="36"/>
  <c r="AF244" i="36"/>
  <c r="AF245" i="36"/>
  <c r="AG237" i="36"/>
  <c r="AG238" i="36"/>
  <c r="AG239" i="36"/>
  <c r="AG244" i="36"/>
  <c r="AG245" i="36"/>
  <c r="AH237" i="36"/>
  <c r="AH238" i="36"/>
  <c r="AH239" i="36"/>
  <c r="AH244" i="36"/>
  <c r="AH245" i="36"/>
  <c r="AI237" i="36"/>
  <c r="AI244" i="36"/>
  <c r="AI245" i="36"/>
  <c r="AJ237" i="36"/>
  <c r="AJ244" i="36"/>
  <c r="AJ245" i="36"/>
  <c r="AK237" i="36"/>
  <c r="AK244" i="36"/>
  <c r="AK245" i="36"/>
  <c r="AL237" i="36"/>
  <c r="AL244" i="36"/>
  <c r="AL245" i="36"/>
  <c r="AM237" i="36"/>
  <c r="AM244" i="36"/>
  <c r="AM245" i="36"/>
  <c r="AN237" i="36"/>
  <c r="AN244" i="36"/>
  <c r="AN245" i="36"/>
  <c r="AO237" i="36"/>
  <c r="AO244" i="36"/>
  <c r="AO245" i="36"/>
  <c r="AI238" i="36"/>
  <c r="AJ238" i="36"/>
  <c r="AK238" i="36"/>
  <c r="AL238" i="36"/>
  <c r="AM238" i="36"/>
  <c r="AN238" i="36"/>
  <c r="AO238" i="36"/>
  <c r="AI239" i="36"/>
  <c r="AJ239" i="36"/>
  <c r="AK239" i="36"/>
  <c r="AL239" i="36"/>
  <c r="AM239" i="36"/>
  <c r="AN239" i="36"/>
  <c r="AO239" i="36"/>
  <c r="U240" i="36"/>
  <c r="AJ240" i="36"/>
  <c r="AK240" i="36"/>
  <c r="AK241" i="36"/>
  <c r="AL241" i="36"/>
  <c r="L244" i="36"/>
  <c r="L245" i="36"/>
  <c r="M244" i="36"/>
  <c r="M245" i="36"/>
  <c r="M246" i="36"/>
  <c r="M247" i="36"/>
  <c r="V240" i="36"/>
  <c r="W240" i="36"/>
  <c r="X240" i="36"/>
  <c r="X246" i="36"/>
  <c r="X247" i="36"/>
  <c r="AA246" i="36"/>
  <c r="AA247" i="36"/>
  <c r="AB246" i="36"/>
  <c r="AB247" i="36"/>
  <c r="AE240" i="36"/>
  <c r="AF240" i="36"/>
  <c r="AG240" i="36"/>
  <c r="AG246" i="36"/>
  <c r="AG247" i="36"/>
  <c r="AK246" i="36"/>
  <c r="AK247" i="36"/>
  <c r="AL246" i="36"/>
  <c r="AL247" i="36"/>
  <c r="K252" i="36"/>
  <c r="K249" i="36"/>
  <c r="K250" i="36"/>
  <c r="K256" i="36"/>
  <c r="K257" i="36"/>
  <c r="L249" i="36"/>
  <c r="L250" i="36"/>
  <c r="L256" i="36"/>
  <c r="L257" i="36"/>
  <c r="M249" i="36"/>
  <c r="M250" i="36"/>
  <c r="M256" i="36"/>
  <c r="M257" i="36"/>
  <c r="N249" i="36"/>
  <c r="O249" i="36"/>
  <c r="O256" i="36"/>
  <c r="O257" i="36"/>
  <c r="P249" i="36"/>
  <c r="Q249" i="36"/>
  <c r="N250" i="36"/>
  <c r="O250" i="36"/>
  <c r="P250" i="36"/>
  <c r="Q250" i="36"/>
  <c r="N251" i="36"/>
  <c r="O251" i="36"/>
  <c r="P251" i="36"/>
  <c r="L252" i="36"/>
  <c r="M252" i="36"/>
  <c r="N252" i="36"/>
  <c r="K253" i="36"/>
  <c r="L253" i="36"/>
  <c r="M253" i="36"/>
  <c r="N253" i="36"/>
  <c r="T253" i="36"/>
  <c r="Y249" i="36"/>
  <c r="Y250" i="36"/>
  <c r="Y251" i="36"/>
  <c r="Y256" i="36"/>
  <c r="Y257" i="36"/>
  <c r="Z249" i="36"/>
  <c r="Z250" i="36"/>
  <c r="Z251" i="36"/>
  <c r="Z256" i="36"/>
  <c r="Z257" i="36"/>
  <c r="AA249" i="36"/>
  <c r="AA250" i="36"/>
  <c r="AA256" i="36"/>
  <c r="AA257" i="36"/>
  <c r="AA252" i="36"/>
  <c r="AA258" i="36"/>
  <c r="AA259" i="36"/>
  <c r="AB253" i="36"/>
  <c r="AC253" i="36"/>
  <c r="AD253" i="36"/>
  <c r="AL253" i="36"/>
  <c r="AN253" i="36"/>
  <c r="AO252" i="36"/>
  <c r="T249" i="36"/>
  <c r="T250" i="36"/>
  <c r="T251" i="36"/>
  <c r="T256" i="36"/>
  <c r="T257" i="36"/>
  <c r="U249" i="36"/>
  <c r="U250" i="36"/>
  <c r="U251" i="36"/>
  <c r="U256" i="36"/>
  <c r="U257" i="36"/>
  <c r="V249" i="36"/>
  <c r="V250" i="36"/>
  <c r="V251" i="36"/>
  <c r="V256" i="36"/>
  <c r="V257" i="36"/>
  <c r="W249" i="36"/>
  <c r="W250" i="36"/>
  <c r="W251" i="36"/>
  <c r="W256" i="36"/>
  <c r="W257" i="36"/>
  <c r="X250" i="36"/>
  <c r="X251" i="36"/>
  <c r="X256" i="36"/>
  <c r="X257" i="36"/>
  <c r="AB249" i="36"/>
  <c r="AB250" i="36"/>
  <c r="AB251" i="36"/>
  <c r="AB256" i="36"/>
  <c r="AB257" i="36"/>
  <c r="AC249" i="36"/>
  <c r="AC250" i="36"/>
  <c r="AC251" i="36"/>
  <c r="AC256" i="36"/>
  <c r="AC257" i="36"/>
  <c r="AD249" i="36"/>
  <c r="AD250" i="36"/>
  <c r="AD251" i="36"/>
  <c r="AD256" i="36"/>
  <c r="AD257" i="36"/>
  <c r="AE256" i="36"/>
  <c r="AE257" i="36"/>
  <c r="AF256" i="36"/>
  <c r="AF257" i="36"/>
  <c r="AG256" i="36"/>
  <c r="AG257" i="36"/>
  <c r="AI249" i="36"/>
  <c r="AI256" i="36"/>
  <c r="AI257" i="36"/>
  <c r="AJ249" i="36"/>
  <c r="AJ256" i="36"/>
  <c r="AJ257" i="36"/>
  <c r="AK249" i="36"/>
  <c r="AK256" i="36"/>
  <c r="AK257" i="36"/>
  <c r="AM249" i="36"/>
  <c r="AM256" i="36"/>
  <c r="AM257" i="36"/>
  <c r="AN249" i="36"/>
  <c r="AN256" i="36"/>
  <c r="AN257" i="36"/>
  <c r="AO249" i="36"/>
  <c r="AO256" i="36"/>
  <c r="AO257" i="36"/>
  <c r="AI250" i="36"/>
  <c r="AJ250" i="36"/>
  <c r="AK250" i="36"/>
  <c r="AL250" i="36"/>
  <c r="AM250" i="36"/>
  <c r="AN250" i="36"/>
  <c r="AO250" i="36"/>
  <c r="AI251" i="36"/>
  <c r="AJ251" i="36"/>
  <c r="AK251" i="36"/>
  <c r="AM251" i="36"/>
  <c r="AN251" i="36"/>
  <c r="AO251" i="36"/>
  <c r="AB252" i="36"/>
  <c r="AC252" i="36"/>
  <c r="U253" i="36"/>
  <c r="V253" i="36"/>
  <c r="W253" i="36"/>
  <c r="AJ253" i="36"/>
  <c r="K258" i="36"/>
  <c r="L258" i="36"/>
  <c r="L259" i="36"/>
  <c r="M258" i="36"/>
  <c r="M259" i="36"/>
  <c r="T252" i="36"/>
  <c r="T258" i="36"/>
  <c r="T259" i="36"/>
  <c r="U258" i="36"/>
  <c r="U259" i="36"/>
  <c r="V258" i="36"/>
  <c r="V259" i="36"/>
  <c r="AN258" i="36"/>
  <c r="AN259" i="36"/>
  <c r="AO258" i="36"/>
  <c r="AO259" i="36"/>
  <c r="K259" i="36"/>
  <c r="K16" i="37"/>
  <c r="L16" i="37"/>
  <c r="M9" i="37"/>
  <c r="N9" i="37"/>
  <c r="O9" i="37"/>
  <c r="O16" i="37"/>
  <c r="P16" i="37"/>
  <c r="S16" i="37"/>
  <c r="T16" i="37"/>
  <c r="V9" i="37"/>
  <c r="V16" i="37"/>
  <c r="W16" i="37"/>
  <c r="X16" i="37"/>
  <c r="Y16" i="37"/>
  <c r="AA16" i="37"/>
  <c r="AB16" i="37"/>
  <c r="AC16" i="37"/>
  <c r="AE9" i="37"/>
  <c r="AE16" i="37"/>
  <c r="AF9" i="37"/>
  <c r="AF16" i="37"/>
  <c r="AG9" i="37"/>
  <c r="AG16" i="37"/>
  <c r="AH9" i="37"/>
  <c r="AH16" i="37"/>
  <c r="AI9" i="37"/>
  <c r="AI16" i="37"/>
  <c r="AJ9" i="37"/>
  <c r="AJ16" i="37"/>
  <c r="AL9" i="37"/>
  <c r="AL16" i="37"/>
  <c r="AM9" i="37"/>
  <c r="AM16" i="37"/>
  <c r="AN9" i="37"/>
  <c r="AN16" i="37"/>
  <c r="J10" i="37"/>
  <c r="J17" i="37"/>
  <c r="K10" i="37"/>
  <c r="L17" i="37"/>
  <c r="M10" i="37"/>
  <c r="N10" i="37"/>
  <c r="N17" i="37"/>
  <c r="N18" i="37"/>
  <c r="N19" i="37"/>
  <c r="O10" i="37"/>
  <c r="O17" i="37"/>
  <c r="P17" i="37"/>
  <c r="P18" i="37"/>
  <c r="P19" i="37"/>
  <c r="S17" i="37"/>
  <c r="T17" i="37"/>
  <c r="V10" i="37"/>
  <c r="V17" i="37"/>
  <c r="X17" i="37"/>
  <c r="Y17" i="37"/>
  <c r="AA17" i="37"/>
  <c r="AB17" i="37"/>
  <c r="AC17" i="37"/>
  <c r="AE10" i="37"/>
  <c r="AE17" i="37"/>
  <c r="AF10" i="37"/>
  <c r="AF17" i="37"/>
  <c r="AG10" i="37"/>
  <c r="AG17" i="37"/>
  <c r="AH10" i="37"/>
  <c r="AH17" i="37"/>
  <c r="AI10" i="37"/>
  <c r="AI17" i="37"/>
  <c r="AJ10" i="37"/>
  <c r="AJ17" i="37"/>
  <c r="AL10" i="37"/>
  <c r="AL17" i="37"/>
  <c r="AM10" i="37"/>
  <c r="AM17" i="37"/>
  <c r="AN10" i="37"/>
  <c r="AN17" i="37"/>
  <c r="J12" i="37"/>
  <c r="K12" i="37"/>
  <c r="L12" i="37"/>
  <c r="M12" i="37"/>
  <c r="M18" i="37"/>
  <c r="N12" i="37"/>
  <c r="O12" i="37"/>
  <c r="O18" i="37"/>
  <c r="O19" i="37"/>
  <c r="P12" i="37"/>
  <c r="S12" i="37"/>
  <c r="T12" i="37"/>
  <c r="U12" i="37"/>
  <c r="V12" i="37"/>
  <c r="W12" i="37"/>
  <c r="X12" i="37"/>
  <c r="Y12" i="37"/>
  <c r="Z12" i="37"/>
  <c r="AA12" i="37"/>
  <c r="AB12" i="37"/>
  <c r="AC12" i="37"/>
  <c r="AD12" i="37"/>
  <c r="AE12" i="37"/>
  <c r="AF12" i="37"/>
  <c r="AG12" i="37"/>
  <c r="AH12" i="37"/>
  <c r="AI12" i="37"/>
  <c r="AJ12" i="37"/>
  <c r="AK12" i="37"/>
  <c r="AL12" i="37"/>
  <c r="AM12" i="37"/>
  <c r="AN12" i="37"/>
  <c r="J13" i="37"/>
  <c r="K13" i="37"/>
  <c r="L13" i="37"/>
  <c r="M13" i="37"/>
  <c r="N13" i="37"/>
  <c r="O13" i="37"/>
  <c r="P13" i="37"/>
  <c r="T13" i="37"/>
  <c r="U13" i="37"/>
  <c r="V13" i="37"/>
  <c r="W13" i="37"/>
  <c r="X13" i="37"/>
  <c r="Y13" i="37"/>
  <c r="Z13" i="37"/>
  <c r="AA13" i="37"/>
  <c r="AB13" i="37"/>
  <c r="AC13" i="37"/>
  <c r="AD13" i="37"/>
  <c r="AE13" i="37"/>
  <c r="AF13" i="37"/>
  <c r="AG13" i="37"/>
  <c r="AH13" i="37"/>
  <c r="AI13" i="37"/>
  <c r="AJ13" i="37"/>
  <c r="AK13" i="37"/>
  <c r="AL13" i="37"/>
  <c r="AM13" i="37"/>
  <c r="AN13" i="37"/>
  <c r="M16" i="37"/>
  <c r="N16" i="37"/>
  <c r="AD16" i="37"/>
  <c r="M17" i="37"/>
  <c r="W17" i="37"/>
  <c r="S18" i="37"/>
  <c r="S19" i="37"/>
  <c r="T18" i="37"/>
  <c r="T19" i="37"/>
  <c r="U18" i="37"/>
  <c r="U19" i="37"/>
  <c r="V18" i="37"/>
  <c r="V19" i="37"/>
  <c r="W18" i="37"/>
  <c r="W19" i="37"/>
  <c r="X18" i="37"/>
  <c r="X19" i="37"/>
  <c r="Y18" i="37"/>
  <c r="Y19" i="37"/>
  <c r="Z18" i="37"/>
  <c r="Z19" i="37"/>
  <c r="AA18" i="37"/>
  <c r="AA19" i="37"/>
  <c r="AB18" i="37"/>
  <c r="AB19" i="37"/>
  <c r="AC18" i="37"/>
  <c r="AC19" i="37"/>
  <c r="AD18" i="37"/>
  <c r="AD19" i="37"/>
  <c r="AE18" i="37"/>
  <c r="AE19" i="37"/>
  <c r="AF18" i="37"/>
  <c r="AF19" i="37"/>
  <c r="AG18" i="37"/>
  <c r="AG19" i="37"/>
  <c r="AH18" i="37"/>
  <c r="AH19" i="37"/>
  <c r="AI18" i="37"/>
  <c r="AI19" i="37"/>
  <c r="AJ18" i="37"/>
  <c r="AJ19" i="37"/>
  <c r="AK18" i="37"/>
  <c r="AK19" i="37"/>
  <c r="AL18" i="37"/>
  <c r="AL19" i="37"/>
  <c r="AM18" i="37"/>
  <c r="AM19" i="37"/>
  <c r="AN18" i="37"/>
  <c r="AN19" i="37"/>
  <c r="M25" i="37"/>
  <c r="N25" i="37"/>
  <c r="J24" i="37"/>
  <c r="K24" i="37"/>
  <c r="L24" i="37"/>
  <c r="W25" i="37"/>
  <c r="M21" i="37"/>
  <c r="M28" i="37"/>
  <c r="N21" i="37"/>
  <c r="N28" i="37"/>
  <c r="O21" i="37"/>
  <c r="P28" i="37"/>
  <c r="T21" i="37"/>
  <c r="T28" i="37"/>
  <c r="U21" i="37"/>
  <c r="U28" i="37"/>
  <c r="V21" i="37"/>
  <c r="V28" i="37"/>
  <c r="X21" i="37"/>
  <c r="X28" i="37"/>
  <c r="Y21" i="37"/>
  <c r="Y28" i="37"/>
  <c r="Z28" i="37"/>
  <c r="AA21" i="37"/>
  <c r="AA28" i="37"/>
  <c r="AB21" i="37"/>
  <c r="AB28" i="37"/>
  <c r="AC21" i="37"/>
  <c r="AC28" i="37"/>
  <c r="AD28" i="37"/>
  <c r="AE28" i="37"/>
  <c r="AF28" i="37"/>
  <c r="AH21" i="37"/>
  <c r="AH28" i="37"/>
  <c r="AI21" i="37"/>
  <c r="AI28" i="37"/>
  <c r="AJ21" i="37"/>
  <c r="AJ28" i="37"/>
  <c r="AK28" i="37"/>
  <c r="AL21" i="37"/>
  <c r="AL28" i="37"/>
  <c r="AM21" i="37"/>
  <c r="AM28" i="37"/>
  <c r="AN21" i="37"/>
  <c r="AN28" i="37"/>
  <c r="AI24" i="37"/>
  <c r="AI25" i="37"/>
  <c r="O28" i="37"/>
  <c r="S28" i="37"/>
  <c r="AI30" i="37"/>
  <c r="AI31" i="37"/>
  <c r="J37" i="37"/>
  <c r="M37" i="37"/>
  <c r="N34" i="37"/>
  <c r="N41" i="37"/>
  <c r="N42" i="37"/>
  <c r="N43" i="37"/>
  <c r="J36" i="37"/>
  <c r="N36" i="37"/>
  <c r="O36" i="37"/>
  <c r="S36" i="37"/>
  <c r="S37" i="37"/>
  <c r="T37" i="37"/>
  <c r="AC37" i="37"/>
  <c r="AD37" i="37"/>
  <c r="AE37" i="37"/>
  <c r="AF37" i="37"/>
  <c r="AG37" i="37"/>
  <c r="J33" i="37"/>
  <c r="K33" i="37"/>
  <c r="K40" i="37"/>
  <c r="M33" i="37"/>
  <c r="N33" i="37"/>
  <c r="N40" i="37"/>
  <c r="O33" i="37"/>
  <c r="T33" i="37"/>
  <c r="T40" i="37"/>
  <c r="U33" i="37"/>
  <c r="U40" i="37"/>
  <c r="V33" i="37"/>
  <c r="V40" i="37"/>
  <c r="X40" i="37"/>
  <c r="Y40" i="37"/>
  <c r="AA40" i="37"/>
  <c r="AB40" i="37"/>
  <c r="AC40" i="37"/>
  <c r="AD40" i="37"/>
  <c r="AE40" i="37"/>
  <c r="AF40" i="37"/>
  <c r="AH33" i="37"/>
  <c r="AH40" i="37"/>
  <c r="AI33" i="37"/>
  <c r="AI40" i="37"/>
  <c r="AJ33" i="37"/>
  <c r="AJ40" i="37"/>
  <c r="AL33" i="37"/>
  <c r="AL40" i="37"/>
  <c r="AM33" i="37"/>
  <c r="AM40" i="37"/>
  <c r="AN33" i="37"/>
  <c r="AN40" i="37"/>
  <c r="AJ36" i="37"/>
  <c r="X37" i="37"/>
  <c r="M40" i="37"/>
  <c r="O40" i="37"/>
  <c r="S40" i="37"/>
  <c r="AG40" i="37"/>
  <c r="AK40" i="37"/>
  <c r="S34" i="37"/>
  <c r="S41" i="37"/>
  <c r="S42" i="37"/>
  <c r="S43" i="37"/>
  <c r="X34" i="37"/>
  <c r="X41" i="37"/>
  <c r="X42" i="37"/>
  <c r="X43" i="37"/>
  <c r="J49" i="37"/>
  <c r="K49" i="37"/>
  <c r="L49" i="37"/>
  <c r="M48" i="37"/>
  <c r="P48" i="37"/>
  <c r="AA53" i="37"/>
  <c r="AB53" i="37"/>
  <c r="AN46" i="37"/>
  <c r="AN53" i="37"/>
  <c r="M45" i="37"/>
  <c r="M52" i="37"/>
  <c r="N45" i="37"/>
  <c r="N52" i="37"/>
  <c r="O45" i="37"/>
  <c r="O52" i="37"/>
  <c r="S52" i="37"/>
  <c r="T45" i="37"/>
  <c r="T52" i="37"/>
  <c r="U45" i="37"/>
  <c r="U52" i="37"/>
  <c r="V45" i="37"/>
  <c r="V52" i="37"/>
  <c r="X52" i="37"/>
  <c r="Y52" i="37"/>
  <c r="AA52" i="37"/>
  <c r="AB52" i="37"/>
  <c r="AC52" i="37"/>
  <c r="AE45" i="37"/>
  <c r="AE52" i="37"/>
  <c r="AF45" i="37"/>
  <c r="AF52" i="37"/>
  <c r="AH45" i="37"/>
  <c r="AH52" i="37"/>
  <c r="AI45" i="37"/>
  <c r="AI52" i="37"/>
  <c r="AJ45" i="37"/>
  <c r="AJ52" i="37"/>
  <c r="AL45" i="37"/>
  <c r="AL52" i="37"/>
  <c r="AM45" i="37"/>
  <c r="AM52" i="37"/>
  <c r="AN45" i="37"/>
  <c r="AN52" i="37"/>
  <c r="M46" i="37"/>
  <c r="M53" i="37"/>
  <c r="AA49" i="37"/>
  <c r="AB49" i="37"/>
  <c r="AC49" i="37"/>
  <c r="AD49" i="37"/>
  <c r="AH49" i="37"/>
  <c r="AG52" i="37"/>
  <c r="AB54" i="37"/>
  <c r="AB55" i="37"/>
  <c r="AL54" i="37"/>
  <c r="AL55" i="37"/>
  <c r="M57" i="37"/>
  <c r="N57" i="37"/>
  <c r="O57" i="37"/>
  <c r="T57" i="37"/>
  <c r="U57" i="37"/>
  <c r="V57" i="37"/>
  <c r="X57" i="37"/>
  <c r="Y57" i="37"/>
  <c r="AA57" i="37"/>
  <c r="AB57" i="37"/>
  <c r="AC57" i="37"/>
  <c r="AE57" i="37"/>
  <c r="AF57" i="37"/>
  <c r="AH57" i="37"/>
  <c r="AI57" i="37"/>
  <c r="AJ57" i="37"/>
  <c r="AL57" i="37"/>
  <c r="AM57" i="37"/>
  <c r="AN57" i="37"/>
  <c r="M58" i="37"/>
  <c r="N58" i="37"/>
  <c r="O58" i="37"/>
  <c r="T58" i="37"/>
  <c r="U58" i="37"/>
  <c r="V58" i="37"/>
  <c r="X58" i="37"/>
  <c r="Y58" i="37"/>
  <c r="AA58" i="37"/>
  <c r="AB58" i="37"/>
  <c r="AC58" i="37"/>
  <c r="AH58" i="37"/>
  <c r="AI58" i="37"/>
  <c r="AJ58" i="37"/>
  <c r="AL58" i="37"/>
  <c r="AM58" i="37"/>
  <c r="AN58" i="37"/>
  <c r="J60" i="37"/>
  <c r="K60" i="37"/>
  <c r="L60" i="37"/>
  <c r="M60" i="37"/>
  <c r="N60" i="37"/>
  <c r="O60" i="37"/>
  <c r="P60" i="37"/>
  <c r="S60" i="37"/>
  <c r="T60" i="37"/>
  <c r="U60" i="37"/>
  <c r="V60" i="37"/>
  <c r="W60" i="37"/>
  <c r="X60" i="37"/>
  <c r="Y60" i="37"/>
  <c r="Z60" i="37"/>
  <c r="AA60" i="37"/>
  <c r="AB60" i="37"/>
  <c r="AC60" i="37"/>
  <c r="AD60" i="37"/>
  <c r="AE60" i="37"/>
  <c r="AF60" i="37"/>
  <c r="AG60" i="37"/>
  <c r="AH60" i="37"/>
  <c r="AI60" i="37"/>
  <c r="AJ60" i="37"/>
  <c r="AK60" i="37"/>
  <c r="AL60" i="37"/>
  <c r="AM60" i="37"/>
  <c r="AN60" i="37"/>
  <c r="J61" i="37"/>
  <c r="K61" i="37"/>
  <c r="L61" i="37"/>
  <c r="M61" i="37"/>
  <c r="N61" i="37"/>
  <c r="O61" i="37"/>
  <c r="P61" i="37"/>
  <c r="S61" i="37"/>
  <c r="T61" i="37"/>
  <c r="U61" i="37"/>
  <c r="V61" i="37"/>
  <c r="W61" i="37"/>
  <c r="X61" i="37"/>
  <c r="Y61" i="37"/>
  <c r="Z61" i="37"/>
  <c r="AA61" i="37"/>
  <c r="AB61" i="37"/>
  <c r="AC61" i="37"/>
  <c r="AD61" i="37"/>
  <c r="AE61" i="37"/>
  <c r="AF61" i="37"/>
  <c r="AG61" i="37"/>
  <c r="AH61" i="37"/>
  <c r="AI61" i="37"/>
  <c r="AJ61" i="37"/>
  <c r="AK61" i="37"/>
  <c r="AL61" i="37"/>
  <c r="AM61" i="37"/>
  <c r="AN61" i="37"/>
  <c r="M64" i="37"/>
  <c r="N64" i="37"/>
  <c r="O64" i="37"/>
  <c r="P64" i="37"/>
  <c r="S64" i="37"/>
  <c r="T64" i="37"/>
  <c r="U64" i="37"/>
  <c r="V64" i="37"/>
  <c r="W64" i="37"/>
  <c r="X64" i="37"/>
  <c r="Y64" i="37"/>
  <c r="Z64" i="37"/>
  <c r="AA64" i="37"/>
  <c r="AB64" i="37"/>
  <c r="AC64" i="37"/>
  <c r="AD64" i="37"/>
  <c r="AE64" i="37"/>
  <c r="AF64" i="37"/>
  <c r="AG64" i="37"/>
  <c r="AH64" i="37"/>
  <c r="AI64" i="37"/>
  <c r="AJ64" i="37"/>
  <c r="AK64" i="37"/>
  <c r="AL64" i="37"/>
  <c r="AM64" i="37"/>
  <c r="AN64" i="37"/>
  <c r="M65" i="37"/>
  <c r="M66" i="37"/>
  <c r="N65" i="37"/>
  <c r="N66" i="37"/>
  <c r="N67" i="37"/>
  <c r="O65" i="37"/>
  <c r="O66" i="37"/>
  <c r="O67" i="37"/>
  <c r="S65" i="37"/>
  <c r="T65" i="37"/>
  <c r="U65" i="37"/>
  <c r="V65" i="37"/>
  <c r="W65" i="37"/>
  <c r="X65" i="37"/>
  <c r="Y65" i="37"/>
  <c r="Z65" i="37"/>
  <c r="AA65" i="37"/>
  <c r="AB65" i="37"/>
  <c r="AC65" i="37"/>
  <c r="AD65" i="37"/>
  <c r="AE65" i="37"/>
  <c r="AF65" i="37"/>
  <c r="AG65" i="37"/>
  <c r="AH65" i="37"/>
  <c r="AI65" i="37"/>
  <c r="AJ65" i="37"/>
  <c r="AK65" i="37"/>
  <c r="AL65" i="37"/>
  <c r="AM65" i="37"/>
  <c r="AN65" i="37"/>
  <c r="S66" i="37"/>
  <c r="T66" i="37"/>
  <c r="U66" i="37"/>
  <c r="V66" i="37"/>
  <c r="W66" i="37"/>
  <c r="X66" i="37"/>
  <c r="Y66" i="37"/>
  <c r="Z66" i="37"/>
  <c r="AA66" i="37"/>
  <c r="AB66" i="37"/>
  <c r="AC66" i="37"/>
  <c r="AD66" i="37"/>
  <c r="AE66" i="37"/>
  <c r="AF66" i="37"/>
  <c r="AG66" i="37"/>
  <c r="AH66" i="37"/>
  <c r="AI66" i="37"/>
  <c r="AJ66" i="37"/>
  <c r="AK66" i="37"/>
  <c r="AL66" i="37"/>
  <c r="AM66" i="37"/>
  <c r="AN66" i="37"/>
  <c r="S67" i="37"/>
  <c r="T67" i="37"/>
  <c r="U67" i="37"/>
  <c r="V67" i="37"/>
  <c r="W67" i="37"/>
  <c r="X67" i="37"/>
  <c r="Y67" i="37"/>
  <c r="Z67" i="37"/>
  <c r="AA67" i="37"/>
  <c r="AB67" i="37"/>
  <c r="AC67" i="37"/>
  <c r="AD67" i="37"/>
  <c r="AE67" i="37"/>
  <c r="AF67" i="37"/>
  <c r="AG67" i="37"/>
  <c r="AH67" i="37"/>
  <c r="AI67" i="37"/>
  <c r="AJ67" i="37"/>
  <c r="AK67" i="37"/>
  <c r="AL67" i="37"/>
  <c r="AM67" i="37"/>
  <c r="AN67" i="37"/>
  <c r="M69" i="37"/>
  <c r="M76" i="37"/>
  <c r="N69" i="37"/>
  <c r="N76" i="37"/>
  <c r="O69" i="37"/>
  <c r="P69" i="37"/>
  <c r="P76" i="37"/>
  <c r="T69" i="37"/>
  <c r="U69" i="37"/>
  <c r="V69" i="37"/>
  <c r="X69" i="37"/>
  <c r="Y69" i="37"/>
  <c r="Z69" i="37"/>
  <c r="AA69" i="37"/>
  <c r="AB69" i="37"/>
  <c r="AC69" i="37"/>
  <c r="AE69" i="37"/>
  <c r="AF69" i="37"/>
  <c r="AG69" i="37"/>
  <c r="AH69" i="37"/>
  <c r="AI69" i="37"/>
  <c r="AJ69" i="37"/>
  <c r="AL69" i="37"/>
  <c r="AM69" i="37"/>
  <c r="AN69" i="37"/>
  <c r="J70" i="37"/>
  <c r="K70" i="37"/>
  <c r="M70" i="37"/>
  <c r="N70" i="37"/>
  <c r="N77" i="37"/>
  <c r="N78" i="37"/>
  <c r="N79" i="37"/>
  <c r="O70" i="37"/>
  <c r="O77" i="37"/>
  <c r="O78" i="37"/>
  <c r="O79" i="37"/>
  <c r="P77" i="37"/>
  <c r="T70" i="37"/>
  <c r="U70" i="37"/>
  <c r="V70" i="37"/>
  <c r="W70" i="37"/>
  <c r="X70" i="37"/>
  <c r="Y70" i="37"/>
  <c r="Z70" i="37"/>
  <c r="AA70" i="37"/>
  <c r="AB70" i="37"/>
  <c r="AC70" i="37"/>
  <c r="AD70" i="37"/>
  <c r="AE70" i="37"/>
  <c r="AF70" i="37"/>
  <c r="AG70" i="37"/>
  <c r="AH70" i="37"/>
  <c r="AI70" i="37"/>
  <c r="AJ70" i="37"/>
  <c r="AK70" i="37"/>
  <c r="AL70" i="37"/>
  <c r="AM70" i="37"/>
  <c r="AN70" i="37"/>
  <c r="J72" i="37"/>
  <c r="K72" i="37"/>
  <c r="L72" i="37"/>
  <c r="M72" i="37"/>
  <c r="N72" i="37"/>
  <c r="O72" i="37"/>
  <c r="P72" i="37"/>
  <c r="S72" i="37"/>
  <c r="T72" i="37"/>
  <c r="U72" i="37"/>
  <c r="V72" i="37"/>
  <c r="W72" i="37"/>
  <c r="X72" i="37"/>
  <c r="Y72" i="37"/>
  <c r="Z72" i="37"/>
  <c r="AA72" i="37"/>
  <c r="AB72" i="37"/>
  <c r="AC72" i="37"/>
  <c r="AD72" i="37"/>
  <c r="AE72" i="37"/>
  <c r="AF72" i="37"/>
  <c r="AG72" i="37"/>
  <c r="AH72" i="37"/>
  <c r="AI72" i="37"/>
  <c r="AJ72" i="37"/>
  <c r="AK72" i="37"/>
  <c r="AL72" i="37"/>
  <c r="AM72" i="37"/>
  <c r="AN72" i="37"/>
  <c r="J73" i="37"/>
  <c r="K73" i="37"/>
  <c r="L73" i="37"/>
  <c r="M73" i="37"/>
  <c r="N73" i="37"/>
  <c r="O73" i="37"/>
  <c r="S73" i="37"/>
  <c r="T73" i="37"/>
  <c r="U73" i="37"/>
  <c r="V73" i="37"/>
  <c r="W73" i="37"/>
  <c r="X73" i="37"/>
  <c r="Y73" i="37"/>
  <c r="Z73" i="37"/>
  <c r="AA73" i="37"/>
  <c r="AB73" i="37"/>
  <c r="AC73" i="37"/>
  <c r="AD73" i="37"/>
  <c r="AE73" i="37"/>
  <c r="AF73" i="37"/>
  <c r="AG73" i="37"/>
  <c r="AH73" i="37"/>
  <c r="AI73" i="37"/>
  <c r="AJ73" i="37"/>
  <c r="AK73" i="37"/>
  <c r="AL73" i="37"/>
  <c r="AM73" i="37"/>
  <c r="AN73" i="37"/>
  <c r="O76" i="37"/>
  <c r="S76" i="37"/>
  <c r="T76" i="37"/>
  <c r="U76" i="37"/>
  <c r="V76" i="37"/>
  <c r="W76" i="37"/>
  <c r="X76" i="37"/>
  <c r="Y76" i="37"/>
  <c r="Z76" i="37"/>
  <c r="AA76" i="37"/>
  <c r="AB76" i="37"/>
  <c r="AC76" i="37"/>
  <c r="AD76" i="37"/>
  <c r="AE76" i="37"/>
  <c r="AF76" i="37"/>
  <c r="AG76" i="37"/>
  <c r="AH76" i="37"/>
  <c r="AI76" i="37"/>
  <c r="AJ76" i="37"/>
  <c r="AK76" i="37"/>
  <c r="AL76" i="37"/>
  <c r="AM76" i="37"/>
  <c r="AN76" i="37"/>
  <c r="M77" i="37"/>
  <c r="M78" i="37"/>
  <c r="S77" i="37"/>
  <c r="T77" i="37"/>
  <c r="U77" i="37"/>
  <c r="V77" i="37"/>
  <c r="W77" i="37"/>
  <c r="X77" i="37"/>
  <c r="Y77" i="37"/>
  <c r="Z77" i="37"/>
  <c r="AA77" i="37"/>
  <c r="AB77" i="37"/>
  <c r="AC77" i="37"/>
  <c r="AD77" i="37"/>
  <c r="AE77" i="37"/>
  <c r="AF77" i="37"/>
  <c r="AG77" i="37"/>
  <c r="AH77" i="37"/>
  <c r="AI77" i="37"/>
  <c r="AJ77" i="37"/>
  <c r="AK77" i="37"/>
  <c r="AL77" i="37"/>
  <c r="AM77" i="37"/>
  <c r="AN77" i="37"/>
  <c r="S78" i="37"/>
  <c r="T78" i="37"/>
  <c r="U78" i="37"/>
  <c r="V78" i="37"/>
  <c r="W78" i="37"/>
  <c r="X78" i="37"/>
  <c r="Y78" i="37"/>
  <c r="Z78" i="37"/>
  <c r="AA78" i="37"/>
  <c r="AB78" i="37"/>
  <c r="AC78" i="37"/>
  <c r="AD78" i="37"/>
  <c r="AE78" i="37"/>
  <c r="AF78" i="37"/>
  <c r="AG78" i="37"/>
  <c r="AH78" i="37"/>
  <c r="AI78" i="37"/>
  <c r="AJ78" i="37"/>
  <c r="AK78" i="37"/>
  <c r="AL78" i="37"/>
  <c r="AM78" i="37"/>
  <c r="AN78" i="37"/>
  <c r="S79" i="37"/>
  <c r="T79" i="37"/>
  <c r="U79" i="37"/>
  <c r="V79" i="37"/>
  <c r="W79" i="37"/>
  <c r="X79" i="37"/>
  <c r="Y79" i="37"/>
  <c r="Z79" i="37"/>
  <c r="AA79" i="37"/>
  <c r="AB79" i="37"/>
  <c r="AC79" i="37"/>
  <c r="AD79" i="37"/>
  <c r="AE79" i="37"/>
  <c r="AF79" i="37"/>
  <c r="AG79" i="37"/>
  <c r="AH79" i="37"/>
  <c r="AI79" i="37"/>
  <c r="AJ79" i="37"/>
  <c r="AK79" i="37"/>
  <c r="AL79" i="37"/>
  <c r="AM79" i="37"/>
  <c r="AN79" i="37"/>
  <c r="M81" i="37"/>
  <c r="M88" i="37"/>
  <c r="N81" i="37"/>
  <c r="O81" i="37"/>
  <c r="T81" i="37"/>
  <c r="U81" i="37"/>
  <c r="V81" i="37"/>
  <c r="X81" i="37"/>
  <c r="Y81" i="37"/>
  <c r="AE81" i="37"/>
  <c r="AF81" i="37"/>
  <c r="AH81" i="37"/>
  <c r="AI81" i="37"/>
  <c r="AJ81" i="37"/>
  <c r="AL81" i="37"/>
  <c r="AM81" i="37"/>
  <c r="AN81" i="37"/>
  <c r="T82" i="37"/>
  <c r="U82" i="37"/>
  <c r="V82" i="37"/>
  <c r="X82" i="37"/>
  <c r="Y82" i="37"/>
  <c r="AE82" i="37"/>
  <c r="AF82" i="37"/>
  <c r="AH82" i="37"/>
  <c r="AI82" i="37"/>
  <c r="AJ82" i="37"/>
  <c r="AL82" i="37"/>
  <c r="AM82" i="37"/>
  <c r="AN82" i="37"/>
  <c r="J84" i="37"/>
  <c r="K84" i="37"/>
  <c r="L84" i="37"/>
  <c r="M84" i="37"/>
  <c r="M90" i="37"/>
  <c r="N84" i="37"/>
  <c r="O84" i="37"/>
  <c r="P84" i="37"/>
  <c r="S84" i="37"/>
  <c r="T84" i="37"/>
  <c r="U84" i="37"/>
  <c r="V84" i="37"/>
  <c r="W84" i="37"/>
  <c r="X84" i="37"/>
  <c r="Y84" i="37"/>
  <c r="Z84" i="37"/>
  <c r="AA84" i="37"/>
  <c r="AB84" i="37"/>
  <c r="AC84" i="37"/>
  <c r="AD84" i="37"/>
  <c r="AE84" i="37"/>
  <c r="AF84" i="37"/>
  <c r="AG84" i="37"/>
  <c r="AH84" i="37"/>
  <c r="AI84" i="37"/>
  <c r="AJ84" i="37"/>
  <c r="AK84" i="37"/>
  <c r="AL84" i="37"/>
  <c r="AM84" i="37"/>
  <c r="AN84" i="37"/>
  <c r="J85" i="37"/>
  <c r="K85" i="37"/>
  <c r="L85" i="37"/>
  <c r="M85" i="37"/>
  <c r="N85" i="37"/>
  <c r="O85" i="37"/>
  <c r="P85" i="37"/>
  <c r="S85" i="37"/>
  <c r="T85" i="37"/>
  <c r="U85" i="37"/>
  <c r="V85" i="37"/>
  <c r="W85" i="37"/>
  <c r="X85" i="37"/>
  <c r="Y85" i="37"/>
  <c r="Z85" i="37"/>
  <c r="AA85" i="37"/>
  <c r="AB85" i="37"/>
  <c r="AC85" i="37"/>
  <c r="AD85" i="37"/>
  <c r="AE85" i="37"/>
  <c r="AF85" i="37"/>
  <c r="AG85" i="37"/>
  <c r="AH85" i="37"/>
  <c r="AI85" i="37"/>
  <c r="AJ85" i="37"/>
  <c r="AK85" i="37"/>
  <c r="AL85" i="37"/>
  <c r="AM85" i="37"/>
  <c r="AN85" i="37"/>
  <c r="N88" i="37"/>
  <c r="O88" i="37"/>
  <c r="P88" i="37"/>
  <c r="S88" i="37"/>
  <c r="T88" i="37"/>
  <c r="U88" i="37"/>
  <c r="V88" i="37"/>
  <c r="W88" i="37"/>
  <c r="X88" i="37"/>
  <c r="Y88" i="37"/>
  <c r="Z88" i="37"/>
  <c r="AA88" i="37"/>
  <c r="AB88" i="37"/>
  <c r="AC88" i="37"/>
  <c r="AD88" i="37"/>
  <c r="AE88" i="37"/>
  <c r="AF88" i="37"/>
  <c r="AG88" i="37"/>
  <c r="AH88" i="37"/>
  <c r="AI88" i="37"/>
  <c r="AJ88" i="37"/>
  <c r="AK88" i="37"/>
  <c r="AL88" i="37"/>
  <c r="AM88" i="37"/>
  <c r="AN88" i="37"/>
  <c r="M89" i="37"/>
  <c r="N89" i="37"/>
  <c r="O89" i="37"/>
  <c r="P89" i="37"/>
  <c r="S89" i="37"/>
  <c r="T89" i="37"/>
  <c r="U89" i="37"/>
  <c r="V89" i="37"/>
  <c r="W89" i="37"/>
  <c r="X89" i="37"/>
  <c r="Y89" i="37"/>
  <c r="Z89" i="37"/>
  <c r="AA89" i="37"/>
  <c r="AB89" i="37"/>
  <c r="AC89" i="37"/>
  <c r="AD89" i="37"/>
  <c r="AE89" i="37"/>
  <c r="AF89" i="37"/>
  <c r="AG89" i="37"/>
  <c r="AH89" i="37"/>
  <c r="AI89" i="37"/>
  <c r="AJ89" i="37"/>
  <c r="AK89" i="37"/>
  <c r="AL89" i="37"/>
  <c r="AM89" i="37"/>
  <c r="AN89" i="37"/>
  <c r="O90" i="37"/>
  <c r="O91" i="37"/>
  <c r="S90" i="37"/>
  <c r="T90" i="37"/>
  <c r="U90" i="37"/>
  <c r="V90" i="37"/>
  <c r="W90" i="37"/>
  <c r="X90" i="37"/>
  <c r="Y90" i="37"/>
  <c r="Z90" i="37"/>
  <c r="AA90" i="37"/>
  <c r="AB90" i="37"/>
  <c r="AC90" i="37"/>
  <c r="AD90" i="37"/>
  <c r="AE90" i="37"/>
  <c r="AF90" i="37"/>
  <c r="AG90" i="37"/>
  <c r="AH90" i="37"/>
  <c r="AI90" i="37"/>
  <c r="AJ90" i="37"/>
  <c r="AK90" i="37"/>
  <c r="AL90" i="37"/>
  <c r="AM90" i="37"/>
  <c r="AN90" i="37"/>
  <c r="S91" i="37"/>
  <c r="T91" i="37"/>
  <c r="U91" i="37"/>
  <c r="V91" i="37"/>
  <c r="W91" i="37"/>
  <c r="X91" i="37"/>
  <c r="Y91" i="37"/>
  <c r="Z91" i="37"/>
  <c r="AA91" i="37"/>
  <c r="AB91" i="37"/>
  <c r="AC91" i="37"/>
  <c r="AD91" i="37"/>
  <c r="AE91" i="37"/>
  <c r="AF91" i="37"/>
  <c r="AG91" i="37"/>
  <c r="AH91" i="37"/>
  <c r="AI91" i="37"/>
  <c r="AJ91" i="37"/>
  <c r="AK91" i="37"/>
  <c r="AL91" i="37"/>
  <c r="AM91" i="37"/>
  <c r="AN91" i="37"/>
  <c r="M93" i="37"/>
  <c r="N93" i="37"/>
  <c r="O93" i="37"/>
  <c r="T93" i="37"/>
  <c r="U93" i="37"/>
  <c r="V93" i="37"/>
  <c r="X93" i="37"/>
  <c r="Y93" i="37"/>
  <c r="AA93" i="37"/>
  <c r="AB93" i="37"/>
  <c r="AC93" i="37"/>
  <c r="AE93" i="37"/>
  <c r="AF93" i="37"/>
  <c r="AH93" i="37"/>
  <c r="AI93" i="37"/>
  <c r="AJ93" i="37"/>
  <c r="AL93" i="37"/>
  <c r="AM93" i="37"/>
  <c r="AN93" i="37"/>
  <c r="M94" i="37"/>
  <c r="M101" i="37"/>
  <c r="N94" i="37"/>
  <c r="O94" i="37"/>
  <c r="P101" i="37"/>
  <c r="T94" i="37"/>
  <c r="U94" i="37"/>
  <c r="V94" i="37"/>
  <c r="X94" i="37"/>
  <c r="Y94" i="37"/>
  <c r="AA94" i="37"/>
  <c r="AB94" i="37"/>
  <c r="AC94" i="37"/>
  <c r="AE94" i="37"/>
  <c r="AF94" i="37"/>
  <c r="AH94" i="37"/>
  <c r="AI94" i="37"/>
  <c r="AJ94" i="37"/>
  <c r="AK94" i="37"/>
  <c r="AL94" i="37"/>
  <c r="AM94" i="37"/>
  <c r="AN94" i="37"/>
  <c r="J96" i="37"/>
  <c r="K96" i="37"/>
  <c r="L96" i="37"/>
  <c r="M96" i="37"/>
  <c r="N96" i="37"/>
  <c r="O96" i="37"/>
  <c r="P96" i="37"/>
  <c r="S96" i="37"/>
  <c r="T96" i="37"/>
  <c r="U96" i="37"/>
  <c r="V96" i="37"/>
  <c r="W96" i="37"/>
  <c r="X96" i="37"/>
  <c r="Y96" i="37"/>
  <c r="Z96" i="37"/>
  <c r="AA96" i="37"/>
  <c r="AB96" i="37"/>
  <c r="AC96" i="37"/>
  <c r="AD96" i="37"/>
  <c r="AE96" i="37"/>
  <c r="AF96" i="37"/>
  <c r="AG96" i="37"/>
  <c r="AH96" i="37"/>
  <c r="AI96" i="37"/>
  <c r="AJ96" i="37"/>
  <c r="AK96" i="37"/>
  <c r="AL96" i="37"/>
  <c r="AM96" i="37"/>
  <c r="AN96" i="37"/>
  <c r="J97" i="37"/>
  <c r="K97" i="37"/>
  <c r="L97" i="37"/>
  <c r="M97" i="37"/>
  <c r="N97" i="37"/>
  <c r="O97" i="37"/>
  <c r="S97" i="37"/>
  <c r="T97" i="37"/>
  <c r="U97" i="37"/>
  <c r="V97" i="37"/>
  <c r="W97" i="37"/>
  <c r="X97" i="37"/>
  <c r="Y97" i="37"/>
  <c r="Z97" i="37"/>
  <c r="AA97" i="37"/>
  <c r="AB97" i="37"/>
  <c r="AC97" i="37"/>
  <c r="AD97" i="37"/>
  <c r="AE97" i="37"/>
  <c r="AF97" i="37"/>
  <c r="AG97" i="37"/>
  <c r="AH97" i="37"/>
  <c r="AI97" i="37"/>
  <c r="AJ97" i="37"/>
  <c r="AK97" i="37"/>
  <c r="AL97" i="37"/>
  <c r="AM97" i="37"/>
  <c r="AN97" i="37"/>
  <c r="M100" i="37"/>
  <c r="N100" i="37"/>
  <c r="O100" i="37"/>
  <c r="S100" i="37"/>
  <c r="T100" i="37"/>
  <c r="U100" i="37"/>
  <c r="V100" i="37"/>
  <c r="W100" i="37"/>
  <c r="X100" i="37"/>
  <c r="Y100" i="37"/>
  <c r="Z100" i="37"/>
  <c r="AA100" i="37"/>
  <c r="AB100" i="37"/>
  <c r="AC100" i="37"/>
  <c r="AD100" i="37"/>
  <c r="AE100" i="37"/>
  <c r="AF100" i="37"/>
  <c r="AG100" i="37"/>
  <c r="AH100" i="37"/>
  <c r="AI100" i="37"/>
  <c r="AJ100" i="37"/>
  <c r="AK100" i="37"/>
  <c r="AL100" i="37"/>
  <c r="AM100" i="37"/>
  <c r="AN100" i="37"/>
  <c r="N101" i="37"/>
  <c r="O101" i="37"/>
  <c r="O102" i="37"/>
  <c r="O103" i="37"/>
  <c r="S101" i="37"/>
  <c r="T101" i="37"/>
  <c r="U101" i="37"/>
  <c r="V101" i="37"/>
  <c r="W101" i="37"/>
  <c r="X101" i="37"/>
  <c r="Y101" i="37"/>
  <c r="Z101" i="37"/>
  <c r="AA101" i="37"/>
  <c r="AB101" i="37"/>
  <c r="AC101" i="37"/>
  <c r="AD101" i="37"/>
  <c r="AE101" i="37"/>
  <c r="AF101" i="37"/>
  <c r="AG101" i="37"/>
  <c r="AH101" i="37"/>
  <c r="AI101" i="37"/>
  <c r="AJ101" i="37"/>
  <c r="AK101" i="37"/>
  <c r="AL101" i="37"/>
  <c r="AM101" i="37"/>
  <c r="AN101" i="37"/>
  <c r="N102" i="37"/>
  <c r="N103" i="37"/>
  <c r="S102" i="37"/>
  <c r="T102" i="37"/>
  <c r="U102" i="37"/>
  <c r="V102" i="37"/>
  <c r="W102" i="37"/>
  <c r="X102" i="37"/>
  <c r="Y102" i="37"/>
  <c r="Z102" i="37"/>
  <c r="AA102" i="37"/>
  <c r="AB102" i="37"/>
  <c r="AC102" i="37"/>
  <c r="AD102" i="37"/>
  <c r="AE102" i="37"/>
  <c r="AF102" i="37"/>
  <c r="AG102" i="37"/>
  <c r="AH102" i="37"/>
  <c r="AI102" i="37"/>
  <c r="AJ102" i="37"/>
  <c r="AK102" i="37"/>
  <c r="AL102" i="37"/>
  <c r="AM102" i="37"/>
  <c r="AN102" i="37"/>
  <c r="S103" i="37"/>
  <c r="T103" i="37"/>
  <c r="U103" i="37"/>
  <c r="V103" i="37"/>
  <c r="W103" i="37"/>
  <c r="X103" i="37"/>
  <c r="Y103" i="37"/>
  <c r="Z103" i="37"/>
  <c r="AA103" i="37"/>
  <c r="AB103" i="37"/>
  <c r="AC103" i="37"/>
  <c r="AD103" i="37"/>
  <c r="AE103" i="37"/>
  <c r="AF103" i="37"/>
  <c r="AG103" i="37"/>
  <c r="AH103" i="37"/>
  <c r="AI103" i="37"/>
  <c r="AJ103" i="37"/>
  <c r="AK103" i="37"/>
  <c r="AL103" i="37"/>
  <c r="AM103" i="37"/>
  <c r="AN103" i="37"/>
  <c r="M105" i="37"/>
  <c r="N105" i="37"/>
  <c r="O105" i="37"/>
  <c r="T105" i="37"/>
  <c r="U105" i="37"/>
  <c r="V105" i="37"/>
  <c r="X105" i="37"/>
  <c r="Y105" i="37"/>
  <c r="AA105" i="37"/>
  <c r="AB105" i="37"/>
  <c r="AC105" i="37"/>
  <c r="AD105" i="37"/>
  <c r="AE105" i="37"/>
  <c r="AF105" i="37"/>
  <c r="AH105" i="37"/>
  <c r="AI105" i="37"/>
  <c r="AJ105" i="37"/>
  <c r="AL105" i="37"/>
  <c r="AM105" i="37"/>
  <c r="AN105" i="37"/>
  <c r="M106" i="37"/>
  <c r="M113" i="37"/>
  <c r="N106" i="37"/>
  <c r="N113" i="37"/>
  <c r="N114" i="37"/>
  <c r="N115" i="37"/>
  <c r="O106" i="37"/>
  <c r="O113" i="37"/>
  <c r="O114" i="37"/>
  <c r="O115" i="37"/>
  <c r="P106" i="37"/>
  <c r="P113" i="37"/>
  <c r="P114" i="37"/>
  <c r="P115" i="37"/>
  <c r="T106" i="37"/>
  <c r="U106" i="37"/>
  <c r="V106" i="37"/>
  <c r="X106" i="37"/>
  <c r="Y106" i="37"/>
  <c r="AA106" i="37"/>
  <c r="AB106" i="37"/>
  <c r="AC106" i="37"/>
  <c r="AD106" i="37"/>
  <c r="AE106" i="37"/>
  <c r="AF106" i="37"/>
  <c r="AH106" i="37"/>
  <c r="AI106" i="37"/>
  <c r="AJ106" i="37"/>
  <c r="AL106" i="37"/>
  <c r="AM106" i="37"/>
  <c r="AN106" i="37"/>
  <c r="J108" i="37"/>
  <c r="K108" i="37"/>
  <c r="L108" i="37"/>
  <c r="M108" i="37"/>
  <c r="N108" i="37"/>
  <c r="O108" i="37"/>
  <c r="P108" i="37"/>
  <c r="S108" i="37"/>
  <c r="T108" i="37"/>
  <c r="U108" i="37"/>
  <c r="V108" i="37"/>
  <c r="W108" i="37"/>
  <c r="X108" i="37"/>
  <c r="Y108" i="37"/>
  <c r="Z108" i="37"/>
  <c r="AA108" i="37"/>
  <c r="AB108" i="37"/>
  <c r="AC108" i="37"/>
  <c r="AD108" i="37"/>
  <c r="AE108" i="37"/>
  <c r="AF108" i="37"/>
  <c r="AG108" i="37"/>
  <c r="AI108" i="37"/>
  <c r="AJ108" i="37"/>
  <c r="AK108" i="37"/>
  <c r="AL108" i="37"/>
  <c r="AM108" i="37"/>
  <c r="AN108" i="37"/>
  <c r="J109" i="37"/>
  <c r="K109" i="37"/>
  <c r="L109" i="37"/>
  <c r="M109" i="37"/>
  <c r="N109" i="37"/>
  <c r="O109" i="37"/>
  <c r="P109" i="37"/>
  <c r="T109" i="37"/>
  <c r="U109" i="37"/>
  <c r="V109" i="37"/>
  <c r="W109" i="37"/>
  <c r="X109" i="37"/>
  <c r="Y109" i="37"/>
  <c r="Z109" i="37"/>
  <c r="AE109" i="37"/>
  <c r="AF109" i="37"/>
  <c r="AG109" i="37"/>
  <c r="AH109" i="37"/>
  <c r="AI109" i="37"/>
  <c r="AJ109" i="37"/>
  <c r="AK109" i="37"/>
  <c r="AL109" i="37"/>
  <c r="AM109" i="37"/>
  <c r="AN109" i="37"/>
  <c r="M112" i="37"/>
  <c r="N112" i="37"/>
  <c r="O112" i="37"/>
  <c r="P112" i="37"/>
  <c r="S112" i="37"/>
  <c r="T112" i="37"/>
  <c r="U112" i="37"/>
  <c r="V112" i="37"/>
  <c r="W112" i="37"/>
  <c r="X112" i="37"/>
  <c r="Y112" i="37"/>
  <c r="Z112" i="37"/>
  <c r="AA112" i="37"/>
  <c r="AB112" i="37"/>
  <c r="AC112" i="37"/>
  <c r="AD112" i="37"/>
  <c r="AE112" i="37"/>
  <c r="AF112" i="37"/>
  <c r="AG112" i="37"/>
  <c r="AH112" i="37"/>
  <c r="AI112" i="37"/>
  <c r="AJ112" i="37"/>
  <c r="AK112" i="37"/>
  <c r="AL112" i="37"/>
  <c r="AM112" i="37"/>
  <c r="AN112" i="37"/>
  <c r="S113" i="37"/>
  <c r="T113" i="37"/>
  <c r="U113" i="37"/>
  <c r="V113" i="37"/>
  <c r="W113" i="37"/>
  <c r="X113" i="37"/>
  <c r="Y113" i="37"/>
  <c r="Z113" i="37"/>
  <c r="AA113" i="37"/>
  <c r="AB113" i="37"/>
  <c r="AC113" i="37"/>
  <c r="AD113" i="37"/>
  <c r="AE113" i="37"/>
  <c r="AF113" i="37"/>
  <c r="AG113" i="37"/>
  <c r="AH113" i="37"/>
  <c r="AI113" i="37"/>
  <c r="AJ113" i="37"/>
  <c r="AK113" i="37"/>
  <c r="AL113" i="37"/>
  <c r="AM113" i="37"/>
  <c r="AN113" i="37"/>
  <c r="S114" i="37"/>
  <c r="T114" i="37"/>
  <c r="U114" i="37"/>
  <c r="V114" i="37"/>
  <c r="W114" i="37"/>
  <c r="X114" i="37"/>
  <c r="Y114" i="37"/>
  <c r="Z114" i="37"/>
  <c r="AA114" i="37"/>
  <c r="AB114" i="37"/>
  <c r="AC114" i="37"/>
  <c r="AD114" i="37"/>
  <c r="AE114" i="37"/>
  <c r="AF114" i="37"/>
  <c r="AG114" i="37"/>
  <c r="AH114" i="37"/>
  <c r="AI114" i="37"/>
  <c r="AJ114" i="37"/>
  <c r="AK114" i="37"/>
  <c r="AL114" i="37"/>
  <c r="AM114" i="37"/>
  <c r="AN114" i="37"/>
  <c r="S115" i="37"/>
  <c r="T115" i="37"/>
  <c r="U115" i="37"/>
  <c r="V115" i="37"/>
  <c r="W115" i="37"/>
  <c r="X115" i="37"/>
  <c r="Y115" i="37"/>
  <c r="Z115" i="37"/>
  <c r="AA115" i="37"/>
  <c r="AB115" i="37"/>
  <c r="AC115" i="37"/>
  <c r="AD115" i="37"/>
  <c r="AE115" i="37"/>
  <c r="AF115" i="37"/>
  <c r="AG115" i="37"/>
  <c r="AH115" i="37"/>
  <c r="AI115" i="37"/>
  <c r="AJ115" i="37"/>
  <c r="AK115" i="37"/>
  <c r="AL115" i="37"/>
  <c r="AM115" i="37"/>
  <c r="AN115" i="37"/>
  <c r="M117" i="37"/>
  <c r="N117" i="37"/>
  <c r="O117" i="37"/>
  <c r="P117" i="37"/>
  <c r="P124" i="37"/>
  <c r="T117" i="37"/>
  <c r="U117" i="37"/>
  <c r="V117" i="37"/>
  <c r="W117" i="37"/>
  <c r="X117" i="37"/>
  <c r="Y117" i="37"/>
  <c r="AA117" i="37"/>
  <c r="AB117" i="37"/>
  <c r="AC117" i="37"/>
  <c r="AE117" i="37"/>
  <c r="AF117" i="37"/>
  <c r="AH117" i="37"/>
  <c r="AI117" i="37"/>
  <c r="AJ117" i="37"/>
  <c r="AL117" i="37"/>
  <c r="AM117" i="37"/>
  <c r="AN117" i="37"/>
  <c r="M118" i="37"/>
  <c r="N118" i="37"/>
  <c r="N125" i="37"/>
  <c r="O118" i="37"/>
  <c r="O125" i="37"/>
  <c r="O126" i="37"/>
  <c r="O127" i="37"/>
  <c r="P118" i="37"/>
  <c r="T118" i="37"/>
  <c r="U118" i="37"/>
  <c r="V118" i="37"/>
  <c r="X118" i="37"/>
  <c r="Y118" i="37"/>
  <c r="Z118" i="37"/>
  <c r="AA118" i="37"/>
  <c r="AB118" i="37"/>
  <c r="AC118" i="37"/>
  <c r="AE118" i="37"/>
  <c r="AF118" i="37"/>
  <c r="AH118" i="37"/>
  <c r="AI118" i="37"/>
  <c r="AJ118" i="37"/>
  <c r="AL118" i="37"/>
  <c r="AM118" i="37"/>
  <c r="AN118" i="37"/>
  <c r="J120" i="37"/>
  <c r="K120" i="37"/>
  <c r="L120" i="37"/>
  <c r="M120" i="37"/>
  <c r="M126" i="37"/>
  <c r="N120" i="37"/>
  <c r="O120" i="37"/>
  <c r="P120" i="37"/>
  <c r="S120" i="37"/>
  <c r="T120" i="37"/>
  <c r="U120" i="37"/>
  <c r="V120" i="37"/>
  <c r="W120" i="37"/>
  <c r="X120" i="37"/>
  <c r="Y120" i="37"/>
  <c r="Z120" i="37"/>
  <c r="AA120" i="37"/>
  <c r="AB120" i="37"/>
  <c r="AC120" i="37"/>
  <c r="AD120" i="37"/>
  <c r="AE120" i="37"/>
  <c r="AF120" i="37"/>
  <c r="AG120" i="37"/>
  <c r="AH120" i="37"/>
  <c r="AI120" i="37"/>
  <c r="AJ120" i="37"/>
  <c r="AK120" i="37"/>
  <c r="AL120" i="37"/>
  <c r="AM120" i="37"/>
  <c r="AN120" i="37"/>
  <c r="J121" i="37"/>
  <c r="K121" i="37"/>
  <c r="L121" i="37"/>
  <c r="M121" i="37"/>
  <c r="N121" i="37"/>
  <c r="O121" i="37"/>
  <c r="P121" i="37"/>
  <c r="S121" i="37"/>
  <c r="T121" i="37"/>
  <c r="U121" i="37"/>
  <c r="V121" i="37"/>
  <c r="X121" i="37"/>
  <c r="Y121" i="37"/>
  <c r="Z121" i="37"/>
  <c r="AA121" i="37"/>
  <c r="AB121" i="37"/>
  <c r="AC121" i="37"/>
  <c r="AD121" i="37"/>
  <c r="AE121" i="37"/>
  <c r="AF121" i="37"/>
  <c r="AG121" i="37"/>
  <c r="AH121" i="37"/>
  <c r="AI121" i="37"/>
  <c r="AJ121" i="37"/>
  <c r="AK121" i="37"/>
  <c r="AL121" i="37"/>
  <c r="AM121" i="37"/>
  <c r="AN121" i="37"/>
  <c r="M124" i="37"/>
  <c r="N124" i="37"/>
  <c r="O124" i="37"/>
  <c r="S124" i="37"/>
  <c r="T124" i="37"/>
  <c r="U124" i="37"/>
  <c r="V124" i="37"/>
  <c r="W124" i="37"/>
  <c r="X124" i="37"/>
  <c r="Y124" i="37"/>
  <c r="Z124" i="37"/>
  <c r="AA124" i="37"/>
  <c r="AB124" i="37"/>
  <c r="AC124" i="37"/>
  <c r="AD124" i="37"/>
  <c r="AE124" i="37"/>
  <c r="AF124" i="37"/>
  <c r="AG124" i="37"/>
  <c r="AH124" i="37"/>
  <c r="AI124" i="37"/>
  <c r="AJ124" i="37"/>
  <c r="AK124" i="37"/>
  <c r="AL124" i="37"/>
  <c r="AM124" i="37"/>
  <c r="AN124" i="37"/>
  <c r="M125" i="37"/>
  <c r="P125" i="37"/>
  <c r="P126" i="37"/>
  <c r="P127" i="37"/>
  <c r="S125" i="37"/>
  <c r="T125" i="37"/>
  <c r="U125" i="37"/>
  <c r="V125" i="37"/>
  <c r="W125" i="37"/>
  <c r="X125" i="37"/>
  <c r="Y125" i="37"/>
  <c r="Z125" i="37"/>
  <c r="AA125" i="37"/>
  <c r="AB125" i="37"/>
  <c r="AC125" i="37"/>
  <c r="AD125" i="37"/>
  <c r="AE125" i="37"/>
  <c r="AF125" i="37"/>
  <c r="AG125" i="37"/>
  <c r="AH125" i="37"/>
  <c r="AI125" i="37"/>
  <c r="AJ125" i="37"/>
  <c r="AK125" i="37"/>
  <c r="AL125" i="37"/>
  <c r="AM125" i="37"/>
  <c r="AN125" i="37"/>
  <c r="S126" i="37"/>
  <c r="T126" i="37"/>
  <c r="U126" i="37"/>
  <c r="V126" i="37"/>
  <c r="W126" i="37"/>
  <c r="X126" i="37"/>
  <c r="Y126" i="37"/>
  <c r="Z126" i="37"/>
  <c r="AA126" i="37"/>
  <c r="AB126" i="37"/>
  <c r="AC126" i="37"/>
  <c r="AD126" i="37"/>
  <c r="AE126" i="37"/>
  <c r="AF126" i="37"/>
  <c r="AG126" i="37"/>
  <c r="AH126" i="37"/>
  <c r="AI126" i="37"/>
  <c r="AJ126" i="37"/>
  <c r="AK126" i="37"/>
  <c r="AL126" i="37"/>
  <c r="AM126" i="37"/>
  <c r="AN126" i="37"/>
  <c r="S127" i="37"/>
  <c r="T127" i="37"/>
  <c r="U127" i="37"/>
  <c r="V127" i="37"/>
  <c r="W127" i="37"/>
  <c r="X127" i="37"/>
  <c r="Y127" i="37"/>
  <c r="Z127" i="37"/>
  <c r="AA127" i="37"/>
  <c r="AB127" i="37"/>
  <c r="AC127" i="37"/>
  <c r="AD127" i="37"/>
  <c r="AE127" i="37"/>
  <c r="AF127" i="37"/>
  <c r="AG127" i="37"/>
  <c r="AH127" i="37"/>
  <c r="AI127" i="37"/>
  <c r="AJ127" i="37"/>
  <c r="AK127" i="37"/>
  <c r="AL127" i="37"/>
  <c r="AM127" i="37"/>
  <c r="AN127" i="37"/>
  <c r="M129" i="37"/>
  <c r="M136" i="37"/>
  <c r="N129" i="37"/>
  <c r="N136" i="37"/>
  <c r="O129" i="37"/>
  <c r="O136" i="37"/>
  <c r="T129" i="37"/>
  <c r="U129" i="37"/>
  <c r="V129" i="37"/>
  <c r="X129" i="37"/>
  <c r="Y129" i="37"/>
  <c r="AE129" i="37"/>
  <c r="AF129" i="37"/>
  <c r="AG129" i="37"/>
  <c r="AH129" i="37"/>
  <c r="AI129" i="37"/>
  <c r="AJ129" i="37"/>
  <c r="AK129" i="37"/>
  <c r="AL129" i="37"/>
  <c r="AM129" i="37"/>
  <c r="AN129" i="37"/>
  <c r="M130" i="37"/>
  <c r="N130" i="37"/>
  <c r="O130" i="37"/>
  <c r="O137" i="37"/>
  <c r="O138" i="37"/>
  <c r="O139" i="37"/>
  <c r="S130" i="37"/>
  <c r="T130" i="37"/>
  <c r="U130" i="37"/>
  <c r="V130" i="37"/>
  <c r="W130" i="37"/>
  <c r="X130" i="37"/>
  <c r="Y130" i="37"/>
  <c r="AE130" i="37"/>
  <c r="AF130" i="37"/>
  <c r="AH130" i="37"/>
  <c r="AI130" i="37"/>
  <c r="AJ130" i="37"/>
  <c r="AK130" i="37"/>
  <c r="AL130" i="37"/>
  <c r="AM130" i="37"/>
  <c r="AN130" i="37"/>
  <c r="J132" i="37"/>
  <c r="K132" i="37"/>
  <c r="L132" i="37"/>
  <c r="M132" i="37"/>
  <c r="N132" i="37"/>
  <c r="O132" i="37"/>
  <c r="P132" i="37"/>
  <c r="S132" i="37"/>
  <c r="T132" i="37"/>
  <c r="U132" i="37"/>
  <c r="V132" i="37"/>
  <c r="W132" i="37"/>
  <c r="X132" i="37"/>
  <c r="Y132" i="37"/>
  <c r="Z132" i="37"/>
  <c r="AA132" i="37"/>
  <c r="AB132" i="37"/>
  <c r="AC132" i="37"/>
  <c r="AD132" i="37"/>
  <c r="AE132" i="37"/>
  <c r="AF132" i="37"/>
  <c r="AG132" i="37"/>
  <c r="AH132" i="37"/>
  <c r="AI132" i="37"/>
  <c r="AJ132" i="37"/>
  <c r="AK132" i="37"/>
  <c r="AL132" i="37"/>
  <c r="AM132" i="37"/>
  <c r="AN132" i="37"/>
  <c r="J133" i="37"/>
  <c r="K133" i="37"/>
  <c r="L133" i="37"/>
  <c r="M133" i="37"/>
  <c r="N133" i="37"/>
  <c r="O133" i="37"/>
  <c r="P133" i="37"/>
  <c r="S133" i="37"/>
  <c r="T133" i="37"/>
  <c r="U133" i="37"/>
  <c r="V133" i="37"/>
  <c r="W133" i="37"/>
  <c r="X133" i="37"/>
  <c r="Y133" i="37"/>
  <c r="Z133" i="37"/>
  <c r="AA133" i="37"/>
  <c r="AB133" i="37"/>
  <c r="AC133" i="37"/>
  <c r="AD133" i="37"/>
  <c r="AE133" i="37"/>
  <c r="AF133" i="37"/>
  <c r="AH133" i="37"/>
  <c r="AI133" i="37"/>
  <c r="AJ133" i="37"/>
  <c r="AK133" i="37"/>
  <c r="AL133" i="37"/>
  <c r="AM133" i="37"/>
  <c r="AN133" i="37"/>
  <c r="P136" i="37"/>
  <c r="S136" i="37"/>
  <c r="T136" i="37"/>
  <c r="U136" i="37"/>
  <c r="V136" i="37"/>
  <c r="W136" i="37"/>
  <c r="X136" i="37"/>
  <c r="Y136" i="37"/>
  <c r="Z136" i="37"/>
  <c r="AA136" i="37"/>
  <c r="AB136" i="37"/>
  <c r="AC136" i="37"/>
  <c r="AD136" i="37"/>
  <c r="AE136" i="37"/>
  <c r="AF136" i="37"/>
  <c r="AG136" i="37"/>
  <c r="AH136" i="37"/>
  <c r="AI136" i="37"/>
  <c r="AJ136" i="37"/>
  <c r="AK136" i="37"/>
  <c r="AL136" i="37"/>
  <c r="AM136" i="37"/>
  <c r="AN136" i="37"/>
  <c r="M137" i="37"/>
  <c r="N137" i="37"/>
  <c r="P137" i="37"/>
  <c r="S137" i="37"/>
  <c r="T137" i="37"/>
  <c r="U137" i="37"/>
  <c r="V137" i="37"/>
  <c r="W137" i="37"/>
  <c r="X137" i="37"/>
  <c r="Y137" i="37"/>
  <c r="Z137" i="37"/>
  <c r="AA137" i="37"/>
  <c r="AB137" i="37"/>
  <c r="AC137" i="37"/>
  <c r="AD137" i="37"/>
  <c r="AE137" i="37"/>
  <c r="AF137" i="37"/>
  <c r="AG137" i="37"/>
  <c r="AH137" i="37"/>
  <c r="AI137" i="37"/>
  <c r="AJ137" i="37"/>
  <c r="AK137" i="37"/>
  <c r="AL137" i="37"/>
  <c r="AM137" i="37"/>
  <c r="AN137" i="37"/>
  <c r="M138" i="37"/>
  <c r="M139" i="37"/>
  <c r="N138" i="37"/>
  <c r="N139" i="37"/>
  <c r="S138" i="37"/>
  <c r="T138" i="37"/>
  <c r="U138" i="37"/>
  <c r="V138" i="37"/>
  <c r="W138" i="37"/>
  <c r="X138" i="37"/>
  <c r="Y138" i="37"/>
  <c r="Z138" i="37"/>
  <c r="AA138" i="37"/>
  <c r="AB138" i="37"/>
  <c r="AC138" i="37"/>
  <c r="AD138" i="37"/>
  <c r="AE138" i="37"/>
  <c r="AF138" i="37"/>
  <c r="AG138" i="37"/>
  <c r="AH138" i="37"/>
  <c r="AI138" i="37"/>
  <c r="AJ138" i="37"/>
  <c r="AK138" i="37"/>
  <c r="AL138" i="37"/>
  <c r="AM138" i="37"/>
  <c r="AN138" i="37"/>
  <c r="S139" i="37"/>
  <c r="T139" i="37"/>
  <c r="U139" i="37"/>
  <c r="V139" i="37"/>
  <c r="W139" i="37"/>
  <c r="X139" i="37"/>
  <c r="Y139" i="37"/>
  <c r="Z139" i="37"/>
  <c r="AA139" i="37"/>
  <c r="AB139" i="37"/>
  <c r="AC139" i="37"/>
  <c r="AD139" i="37"/>
  <c r="AE139" i="37"/>
  <c r="AF139" i="37"/>
  <c r="AG139" i="37"/>
  <c r="AH139" i="37"/>
  <c r="AI139" i="37"/>
  <c r="AJ139" i="37"/>
  <c r="AK139" i="37"/>
  <c r="AL139" i="37"/>
  <c r="AM139" i="37"/>
  <c r="AN139" i="37"/>
  <c r="M141" i="37"/>
  <c r="N141" i="37"/>
  <c r="O141" i="37"/>
  <c r="P141" i="37"/>
  <c r="T141" i="37"/>
  <c r="U141" i="37"/>
  <c r="V141" i="37"/>
  <c r="X141" i="37"/>
  <c r="Y141" i="37"/>
  <c r="Z141" i="37"/>
  <c r="AE141" i="37"/>
  <c r="AF141" i="37"/>
  <c r="AH141" i="37"/>
  <c r="AI141" i="37"/>
  <c r="AJ141" i="37"/>
  <c r="AL141" i="37"/>
  <c r="AM141" i="37"/>
  <c r="AN141" i="37"/>
  <c r="M142" i="37"/>
  <c r="N142" i="37"/>
  <c r="N149" i="37"/>
  <c r="O142" i="37"/>
  <c r="O149" i="37"/>
  <c r="O150" i="37"/>
  <c r="O151" i="37"/>
  <c r="P142" i="37"/>
  <c r="T142" i="37"/>
  <c r="U142" i="37"/>
  <c r="V142" i="37"/>
  <c r="X142" i="37"/>
  <c r="Y142" i="37"/>
  <c r="Z142" i="37"/>
  <c r="AE142" i="37"/>
  <c r="AF142" i="37"/>
  <c r="AH142" i="37"/>
  <c r="AI142" i="37"/>
  <c r="AJ142" i="37"/>
  <c r="AL142" i="37"/>
  <c r="AM142" i="37"/>
  <c r="AN142" i="37"/>
  <c r="J144" i="37"/>
  <c r="K144" i="37"/>
  <c r="L144" i="37"/>
  <c r="M144" i="37"/>
  <c r="M150" i="37"/>
  <c r="N144" i="37"/>
  <c r="O144" i="37"/>
  <c r="P144" i="37"/>
  <c r="S144" i="37"/>
  <c r="T144" i="37"/>
  <c r="U144" i="37"/>
  <c r="V144" i="37"/>
  <c r="W144" i="37"/>
  <c r="X144" i="37"/>
  <c r="Y144" i="37"/>
  <c r="Z144" i="37"/>
  <c r="AA144" i="37"/>
  <c r="AB144" i="37"/>
  <c r="AC144" i="37"/>
  <c r="AD144" i="37"/>
  <c r="AE144" i="37"/>
  <c r="AF144" i="37"/>
  <c r="AG144" i="37"/>
  <c r="AH144" i="37"/>
  <c r="AI144" i="37"/>
  <c r="AJ144" i="37"/>
  <c r="AK144" i="37"/>
  <c r="AL144" i="37"/>
  <c r="AM144" i="37"/>
  <c r="AN144" i="37"/>
  <c r="J145" i="37"/>
  <c r="K145" i="37"/>
  <c r="L145" i="37"/>
  <c r="M145" i="37"/>
  <c r="N145" i="37"/>
  <c r="O145" i="37"/>
  <c r="P145" i="37"/>
  <c r="S145" i="37"/>
  <c r="T145" i="37"/>
  <c r="U145" i="37"/>
  <c r="V145" i="37"/>
  <c r="W145" i="37"/>
  <c r="X145" i="37"/>
  <c r="Y145" i="37"/>
  <c r="Z145" i="37"/>
  <c r="AA145" i="37"/>
  <c r="AB145" i="37"/>
  <c r="AC145" i="37"/>
  <c r="AD145" i="37"/>
  <c r="AE145" i="37"/>
  <c r="AF145" i="37"/>
  <c r="AG145" i="37"/>
  <c r="AH145" i="37"/>
  <c r="AI145" i="37"/>
  <c r="AJ145" i="37"/>
  <c r="AK145" i="37"/>
  <c r="AL145" i="37"/>
  <c r="AM145" i="37"/>
  <c r="AN145" i="37"/>
  <c r="M148" i="37"/>
  <c r="N148" i="37"/>
  <c r="O148" i="37"/>
  <c r="P148" i="37"/>
  <c r="S148" i="37"/>
  <c r="T148" i="37"/>
  <c r="U148" i="37"/>
  <c r="V148" i="37"/>
  <c r="W148" i="37"/>
  <c r="X148" i="37"/>
  <c r="Y148" i="37"/>
  <c r="Z148" i="37"/>
  <c r="AA148" i="37"/>
  <c r="AB148" i="37"/>
  <c r="AC148" i="37"/>
  <c r="AD148" i="37"/>
  <c r="AE148" i="37"/>
  <c r="AF148" i="37"/>
  <c r="AG148" i="37"/>
  <c r="AH148" i="37"/>
  <c r="AI148" i="37"/>
  <c r="AJ148" i="37"/>
  <c r="AK148" i="37"/>
  <c r="AL148" i="37"/>
  <c r="AM148" i="37"/>
  <c r="AN148" i="37"/>
  <c r="M149" i="37"/>
  <c r="P149" i="37"/>
  <c r="P150" i="37"/>
  <c r="P151" i="37"/>
  <c r="S149" i="37"/>
  <c r="T149" i="37"/>
  <c r="U149" i="37"/>
  <c r="V149" i="37"/>
  <c r="W149" i="37"/>
  <c r="X149" i="37"/>
  <c r="Y149" i="37"/>
  <c r="Z149" i="37"/>
  <c r="AA149" i="37"/>
  <c r="AB149" i="37"/>
  <c r="AC149" i="37"/>
  <c r="AD149" i="37"/>
  <c r="AE149" i="37"/>
  <c r="AF149" i="37"/>
  <c r="AG149" i="37"/>
  <c r="AH149" i="37"/>
  <c r="AI149" i="37"/>
  <c r="AJ149" i="37"/>
  <c r="AK149" i="37"/>
  <c r="AL149" i="37"/>
  <c r="AM149" i="37"/>
  <c r="AN149" i="37"/>
  <c r="S150" i="37"/>
  <c r="T150" i="37"/>
  <c r="U150" i="37"/>
  <c r="V150" i="37"/>
  <c r="W150" i="37"/>
  <c r="X150" i="37"/>
  <c r="Y150" i="37"/>
  <c r="Z150" i="37"/>
  <c r="AA150" i="37"/>
  <c r="AB150" i="37"/>
  <c r="AC150" i="37"/>
  <c r="AD150" i="37"/>
  <c r="AE150" i="37"/>
  <c r="AF150" i="37"/>
  <c r="AG150" i="37"/>
  <c r="AH150" i="37"/>
  <c r="AI150" i="37"/>
  <c r="AJ150" i="37"/>
  <c r="AK150" i="37"/>
  <c r="AL150" i="37"/>
  <c r="AM150" i="37"/>
  <c r="AN150" i="37"/>
  <c r="S151" i="37"/>
  <c r="T151" i="37"/>
  <c r="U151" i="37"/>
  <c r="V151" i="37"/>
  <c r="W151" i="37"/>
  <c r="X151" i="37"/>
  <c r="Y151" i="37"/>
  <c r="Z151" i="37"/>
  <c r="AA151" i="37"/>
  <c r="AB151" i="37"/>
  <c r="AC151" i="37"/>
  <c r="AD151" i="37"/>
  <c r="AE151" i="37"/>
  <c r="AF151" i="37"/>
  <c r="AG151" i="37"/>
  <c r="AH151" i="37"/>
  <c r="AI151" i="37"/>
  <c r="AJ151" i="37"/>
  <c r="AK151" i="37"/>
  <c r="AL151" i="37"/>
  <c r="AM151" i="37"/>
  <c r="AN151" i="37"/>
  <c r="J153" i="37"/>
  <c r="K153" i="37"/>
  <c r="L153" i="37"/>
  <c r="M153" i="37"/>
  <c r="M160" i="37"/>
  <c r="N153" i="37"/>
  <c r="O153" i="37"/>
  <c r="P153" i="37"/>
  <c r="P160" i="37"/>
  <c r="T153" i="37"/>
  <c r="U153" i="37"/>
  <c r="V153" i="37"/>
  <c r="X153" i="37"/>
  <c r="Y153" i="37"/>
  <c r="AH153" i="37"/>
  <c r="AI153" i="37"/>
  <c r="AJ153" i="37"/>
  <c r="AK153" i="37"/>
  <c r="AL153" i="37"/>
  <c r="AM153" i="37"/>
  <c r="AN153" i="37"/>
  <c r="J154" i="37"/>
  <c r="K154" i="37"/>
  <c r="L154" i="37"/>
  <c r="M154" i="37"/>
  <c r="N154" i="37"/>
  <c r="O154" i="37"/>
  <c r="P154" i="37"/>
  <c r="P161" i="37"/>
  <c r="P162" i="37"/>
  <c r="P163" i="37"/>
  <c r="T154" i="37"/>
  <c r="U154" i="37"/>
  <c r="V154" i="37"/>
  <c r="X154" i="37"/>
  <c r="Y154" i="37"/>
  <c r="Z154" i="37"/>
  <c r="AA154" i="37"/>
  <c r="AB154" i="37"/>
  <c r="AC154" i="37"/>
  <c r="AD154" i="37"/>
  <c r="AE154" i="37"/>
  <c r="AF154" i="37"/>
  <c r="AG154" i="37"/>
  <c r="AH154" i="37"/>
  <c r="AI154" i="37"/>
  <c r="AJ154" i="37"/>
  <c r="AK154" i="37"/>
  <c r="AL154" i="37"/>
  <c r="AM154" i="37"/>
  <c r="AN154" i="37"/>
  <c r="J156" i="37"/>
  <c r="K156" i="37"/>
  <c r="L156" i="37"/>
  <c r="M156" i="37"/>
  <c r="M162" i="37"/>
  <c r="N156" i="37"/>
  <c r="O156" i="37"/>
  <c r="P156" i="37"/>
  <c r="S156" i="37"/>
  <c r="T156" i="37"/>
  <c r="U156" i="37"/>
  <c r="V156" i="37"/>
  <c r="W156" i="37"/>
  <c r="X156" i="37"/>
  <c r="Y156" i="37"/>
  <c r="Z156" i="37"/>
  <c r="AA156" i="37"/>
  <c r="AB156" i="37"/>
  <c r="AC156" i="37"/>
  <c r="AD156" i="37"/>
  <c r="AE156" i="37"/>
  <c r="AF156" i="37"/>
  <c r="AG156" i="37"/>
  <c r="AH156" i="37"/>
  <c r="AI156" i="37"/>
  <c r="AJ156" i="37"/>
  <c r="AK156" i="37"/>
  <c r="AL156" i="37"/>
  <c r="AM156" i="37"/>
  <c r="AN156" i="37"/>
  <c r="J157" i="37"/>
  <c r="K157" i="37"/>
  <c r="L157" i="37"/>
  <c r="M157" i="37"/>
  <c r="N157" i="37"/>
  <c r="O157" i="37"/>
  <c r="P157" i="37"/>
  <c r="S157" i="37"/>
  <c r="T157" i="37"/>
  <c r="U157" i="37"/>
  <c r="V157" i="37"/>
  <c r="W157" i="37"/>
  <c r="X157" i="37"/>
  <c r="Y157" i="37"/>
  <c r="Z157" i="37"/>
  <c r="AA157" i="37"/>
  <c r="AB157" i="37"/>
  <c r="AC157" i="37"/>
  <c r="AD157" i="37"/>
  <c r="AE157" i="37"/>
  <c r="AF157" i="37"/>
  <c r="AG157" i="37"/>
  <c r="AH157" i="37"/>
  <c r="AI157" i="37"/>
  <c r="AJ157" i="37"/>
  <c r="AK157" i="37"/>
  <c r="AL157" i="37"/>
  <c r="AM157" i="37"/>
  <c r="AN157" i="37"/>
  <c r="N160" i="37"/>
  <c r="O160" i="37"/>
  <c r="S160" i="37"/>
  <c r="T160" i="37"/>
  <c r="U160" i="37"/>
  <c r="V160" i="37"/>
  <c r="W160" i="37"/>
  <c r="X160" i="37"/>
  <c r="Y160" i="37"/>
  <c r="Z160" i="37"/>
  <c r="AA160" i="37"/>
  <c r="AB160" i="37"/>
  <c r="AC160" i="37"/>
  <c r="AD160" i="37"/>
  <c r="AE160" i="37"/>
  <c r="AF160" i="37"/>
  <c r="AG160" i="37"/>
  <c r="AH160" i="37"/>
  <c r="AI160" i="37"/>
  <c r="AJ160" i="37"/>
  <c r="AK160" i="37"/>
  <c r="AL160" i="37"/>
  <c r="AM160" i="37"/>
  <c r="AN160" i="37"/>
  <c r="M161" i="37"/>
  <c r="N161" i="37"/>
  <c r="O161" i="37"/>
  <c r="S161" i="37"/>
  <c r="T161" i="37"/>
  <c r="U161" i="37"/>
  <c r="V161" i="37"/>
  <c r="W161" i="37"/>
  <c r="X161" i="37"/>
  <c r="Y161" i="37"/>
  <c r="Z161" i="37"/>
  <c r="AA161" i="37"/>
  <c r="AB161" i="37"/>
  <c r="AC161" i="37"/>
  <c r="AD161" i="37"/>
  <c r="AE161" i="37"/>
  <c r="AF161" i="37"/>
  <c r="AG161" i="37"/>
  <c r="AH161" i="37"/>
  <c r="AI161" i="37"/>
  <c r="AJ161" i="37"/>
  <c r="AK161" i="37"/>
  <c r="AL161" i="37"/>
  <c r="AM161" i="37"/>
  <c r="AN161" i="37"/>
  <c r="N162" i="37"/>
  <c r="N163" i="37"/>
  <c r="O162" i="37"/>
  <c r="O163" i="37"/>
  <c r="S162" i="37"/>
  <c r="T162" i="37"/>
  <c r="U162" i="37"/>
  <c r="V162" i="37"/>
  <c r="W162" i="37"/>
  <c r="X162" i="37"/>
  <c r="Y162" i="37"/>
  <c r="Z162" i="37"/>
  <c r="AA162" i="37"/>
  <c r="AB162" i="37"/>
  <c r="AC162" i="37"/>
  <c r="AD162" i="37"/>
  <c r="AE162" i="37"/>
  <c r="AF162" i="37"/>
  <c r="AG162" i="37"/>
  <c r="AH162" i="37"/>
  <c r="AI162" i="37"/>
  <c r="AJ162" i="37"/>
  <c r="AK162" i="37"/>
  <c r="AL162" i="37"/>
  <c r="AM162" i="37"/>
  <c r="AN162" i="37"/>
  <c r="S163" i="37"/>
  <c r="T163" i="37"/>
  <c r="U163" i="37"/>
  <c r="V163" i="37"/>
  <c r="W163" i="37"/>
  <c r="X163" i="37"/>
  <c r="Y163" i="37"/>
  <c r="Z163" i="37"/>
  <c r="AA163" i="37"/>
  <c r="AB163" i="37"/>
  <c r="AC163" i="37"/>
  <c r="AD163" i="37"/>
  <c r="AE163" i="37"/>
  <c r="AF163" i="37"/>
  <c r="AG163" i="37"/>
  <c r="AH163" i="37"/>
  <c r="AI163" i="37"/>
  <c r="AJ163" i="37"/>
  <c r="AK163" i="37"/>
  <c r="AL163" i="37"/>
  <c r="AM163" i="37"/>
  <c r="AN163" i="37"/>
  <c r="J165" i="37"/>
  <c r="K165" i="37"/>
  <c r="L165" i="37"/>
  <c r="M165" i="37"/>
  <c r="M172" i="37"/>
  <c r="N165" i="37"/>
  <c r="O165" i="37"/>
  <c r="T165" i="37"/>
  <c r="U165" i="37"/>
  <c r="V165" i="37"/>
  <c r="X165" i="37"/>
  <c r="Y165" i="37"/>
  <c r="AA165" i="37"/>
  <c r="AB165" i="37"/>
  <c r="AC165" i="37"/>
  <c r="AD165" i="37"/>
  <c r="AE165" i="37"/>
  <c r="AF165" i="37"/>
  <c r="AH165" i="37"/>
  <c r="AI165" i="37"/>
  <c r="AJ165" i="37"/>
  <c r="AL165" i="37"/>
  <c r="AM165" i="37"/>
  <c r="AN165" i="37"/>
  <c r="J166" i="37"/>
  <c r="K166" i="37"/>
  <c r="L166" i="37"/>
  <c r="M166" i="37"/>
  <c r="M173" i="37"/>
  <c r="N166" i="37"/>
  <c r="N173" i="37"/>
  <c r="N174" i="37"/>
  <c r="N175" i="37"/>
  <c r="O166" i="37"/>
  <c r="O173" i="37"/>
  <c r="O174" i="37"/>
  <c r="O175" i="37"/>
  <c r="T166" i="37"/>
  <c r="U166" i="37"/>
  <c r="V166" i="37"/>
  <c r="X166" i="37"/>
  <c r="Y166" i="37"/>
  <c r="AA166" i="37"/>
  <c r="AB166" i="37"/>
  <c r="AC166" i="37"/>
  <c r="AD166" i="37"/>
  <c r="AE166" i="37"/>
  <c r="AF166" i="37"/>
  <c r="AH166" i="37"/>
  <c r="AI166" i="37"/>
  <c r="AJ166" i="37"/>
  <c r="AL166" i="37"/>
  <c r="AM166" i="37"/>
  <c r="AN166" i="37"/>
  <c r="J168" i="37"/>
  <c r="K168" i="37"/>
  <c r="L168" i="37"/>
  <c r="M168" i="37"/>
  <c r="N168" i="37"/>
  <c r="O168" i="37"/>
  <c r="P168" i="37"/>
  <c r="S168" i="37"/>
  <c r="T168" i="37"/>
  <c r="U168" i="37"/>
  <c r="V168" i="37"/>
  <c r="W168" i="37"/>
  <c r="X168" i="37"/>
  <c r="Y168" i="37"/>
  <c r="Z168" i="37"/>
  <c r="AA168" i="37"/>
  <c r="AB168" i="37"/>
  <c r="AC168" i="37"/>
  <c r="AD168" i="37"/>
  <c r="AE168" i="37"/>
  <c r="AF168" i="37"/>
  <c r="AG168" i="37"/>
  <c r="AH168" i="37"/>
  <c r="AI168" i="37"/>
  <c r="AJ168" i="37"/>
  <c r="AK168" i="37"/>
  <c r="AL168" i="37"/>
  <c r="AM168" i="37"/>
  <c r="AN168" i="37"/>
  <c r="J169" i="37"/>
  <c r="K169" i="37"/>
  <c r="L169" i="37"/>
  <c r="M169" i="37"/>
  <c r="N169" i="37"/>
  <c r="O169" i="37"/>
  <c r="P169" i="37"/>
  <c r="S169" i="37"/>
  <c r="T169" i="37"/>
  <c r="U169" i="37"/>
  <c r="V169" i="37"/>
  <c r="W169" i="37"/>
  <c r="AA169" i="37"/>
  <c r="AB169" i="37"/>
  <c r="AC169" i="37"/>
  <c r="AD169" i="37"/>
  <c r="AE169" i="37"/>
  <c r="AF169" i="37"/>
  <c r="AG169" i="37"/>
  <c r="AH169" i="37"/>
  <c r="AI169" i="37"/>
  <c r="AJ169" i="37"/>
  <c r="AK169" i="37"/>
  <c r="AL169" i="37"/>
  <c r="AM169" i="37"/>
  <c r="AN169" i="37"/>
  <c r="N172" i="37"/>
  <c r="O172" i="37"/>
  <c r="P172" i="37"/>
  <c r="S172" i="37"/>
  <c r="T172" i="37"/>
  <c r="U172" i="37"/>
  <c r="V172" i="37"/>
  <c r="W172" i="37"/>
  <c r="X172" i="37"/>
  <c r="Y172" i="37"/>
  <c r="Z172" i="37"/>
  <c r="AA172" i="37"/>
  <c r="AB172" i="37"/>
  <c r="AC172" i="37"/>
  <c r="AD172" i="37"/>
  <c r="AE172" i="37"/>
  <c r="AF172" i="37"/>
  <c r="AG172" i="37"/>
  <c r="AH172" i="37"/>
  <c r="AI172" i="37"/>
  <c r="AJ172" i="37"/>
  <c r="AK172" i="37"/>
  <c r="AL172" i="37"/>
  <c r="AM172" i="37"/>
  <c r="AN172" i="37"/>
  <c r="P173" i="37"/>
  <c r="P174" i="37"/>
  <c r="P175" i="37"/>
  <c r="S173" i="37"/>
  <c r="T173" i="37"/>
  <c r="U173" i="37"/>
  <c r="V173" i="37"/>
  <c r="W173" i="37"/>
  <c r="X173" i="37"/>
  <c r="Y173" i="37"/>
  <c r="Z173" i="37"/>
  <c r="AA173" i="37"/>
  <c r="AB173" i="37"/>
  <c r="AC173" i="37"/>
  <c r="AD173" i="37"/>
  <c r="AE173" i="37"/>
  <c r="AF173" i="37"/>
  <c r="AG173" i="37"/>
  <c r="AH173" i="37"/>
  <c r="AI173" i="37"/>
  <c r="AJ173" i="37"/>
  <c r="AK173" i="37"/>
  <c r="AL173" i="37"/>
  <c r="AM173" i="37"/>
  <c r="AN173" i="37"/>
  <c r="S174" i="37"/>
  <c r="T174" i="37"/>
  <c r="U174" i="37"/>
  <c r="V174" i="37"/>
  <c r="W174" i="37"/>
  <c r="X174" i="37"/>
  <c r="Y174" i="37"/>
  <c r="Z174" i="37"/>
  <c r="AA174" i="37"/>
  <c r="AB174" i="37"/>
  <c r="AC174" i="37"/>
  <c r="AD174" i="37"/>
  <c r="AE174" i="37"/>
  <c r="AF174" i="37"/>
  <c r="AG174" i="37"/>
  <c r="AH174" i="37"/>
  <c r="AI174" i="37"/>
  <c r="AJ174" i="37"/>
  <c r="AK174" i="37"/>
  <c r="AL174" i="37"/>
  <c r="AM174" i="37"/>
  <c r="AN174" i="37"/>
  <c r="S175" i="37"/>
  <c r="T175" i="37"/>
  <c r="U175" i="37"/>
  <c r="V175" i="37"/>
  <c r="W175" i="37"/>
  <c r="X175" i="37"/>
  <c r="Y175" i="37"/>
  <c r="Z175" i="37"/>
  <c r="AA175" i="37"/>
  <c r="AB175" i="37"/>
  <c r="AC175" i="37"/>
  <c r="AD175" i="37"/>
  <c r="AE175" i="37"/>
  <c r="AF175" i="37"/>
  <c r="AG175" i="37"/>
  <c r="AH175" i="37"/>
  <c r="AI175" i="37"/>
  <c r="AJ175" i="37"/>
  <c r="AK175" i="37"/>
  <c r="AL175" i="37"/>
  <c r="AM175" i="37"/>
  <c r="AN175" i="37"/>
  <c r="M177" i="37"/>
  <c r="N177" i="37"/>
  <c r="N184" i="37"/>
  <c r="O177" i="37"/>
  <c r="P184" i="37"/>
  <c r="T177" i="37"/>
  <c r="U177" i="37"/>
  <c r="V177" i="37"/>
  <c r="X177" i="37"/>
  <c r="Y177" i="37"/>
  <c r="Z177" i="37"/>
  <c r="AA177" i="37"/>
  <c r="AB177" i="37"/>
  <c r="AC177" i="37"/>
  <c r="AE177" i="37"/>
  <c r="AF177" i="37"/>
  <c r="AG177" i="37"/>
  <c r="AH177" i="37"/>
  <c r="AI177" i="37"/>
  <c r="AJ177" i="37"/>
  <c r="AK177" i="37"/>
  <c r="AL177" i="37"/>
  <c r="AM177" i="37"/>
  <c r="AN177" i="37"/>
  <c r="M178" i="37"/>
  <c r="M185" i="37"/>
  <c r="N178" i="37"/>
  <c r="O178" i="37"/>
  <c r="O185" i="37"/>
  <c r="O186" i="37"/>
  <c r="O187" i="37"/>
  <c r="P185" i="37"/>
  <c r="P186" i="37"/>
  <c r="P187" i="37"/>
  <c r="T178" i="37"/>
  <c r="U178" i="37"/>
  <c r="V178" i="37"/>
  <c r="W178" i="37"/>
  <c r="X178" i="37"/>
  <c r="Y178" i="37"/>
  <c r="Z178" i="37"/>
  <c r="AA178" i="37"/>
  <c r="AB178" i="37"/>
  <c r="AC178" i="37"/>
  <c r="AE178" i="37"/>
  <c r="AF178" i="37"/>
  <c r="AG178" i="37"/>
  <c r="AH178" i="37"/>
  <c r="AI178" i="37"/>
  <c r="AJ178" i="37"/>
  <c r="AK178" i="37"/>
  <c r="AL178" i="37"/>
  <c r="AM178" i="37"/>
  <c r="AN178" i="37"/>
  <c r="J180" i="37"/>
  <c r="K180" i="37"/>
  <c r="L180" i="37"/>
  <c r="M180" i="37"/>
  <c r="N180" i="37"/>
  <c r="O180" i="37"/>
  <c r="P180" i="37"/>
  <c r="S180" i="37"/>
  <c r="T180" i="37"/>
  <c r="U180" i="37"/>
  <c r="V180" i="37"/>
  <c r="W180" i="37"/>
  <c r="X180" i="37"/>
  <c r="Y180" i="37"/>
  <c r="Z180" i="37"/>
  <c r="AA180" i="37"/>
  <c r="AB180" i="37"/>
  <c r="AC180" i="37"/>
  <c r="AD180" i="37"/>
  <c r="AE180" i="37"/>
  <c r="AF180" i="37"/>
  <c r="AG180" i="37"/>
  <c r="AH180" i="37"/>
  <c r="AI180" i="37"/>
  <c r="AJ180" i="37"/>
  <c r="AK180" i="37"/>
  <c r="AL180" i="37"/>
  <c r="AM180" i="37"/>
  <c r="AN180" i="37"/>
  <c r="J181" i="37"/>
  <c r="K181" i="37"/>
  <c r="L181" i="37"/>
  <c r="M181" i="37"/>
  <c r="N181" i="37"/>
  <c r="O181" i="37"/>
  <c r="P181" i="37"/>
  <c r="T181" i="37"/>
  <c r="U181" i="37"/>
  <c r="V181" i="37"/>
  <c r="W181" i="37"/>
  <c r="X181" i="37"/>
  <c r="Y181" i="37"/>
  <c r="Z181" i="37"/>
  <c r="AA181" i="37"/>
  <c r="AB181" i="37"/>
  <c r="AC181" i="37"/>
  <c r="AD181" i="37"/>
  <c r="AE181" i="37"/>
  <c r="AF181" i="37"/>
  <c r="AG181" i="37"/>
  <c r="AH181" i="37"/>
  <c r="AI181" i="37"/>
  <c r="AJ181" i="37"/>
  <c r="AK181" i="37"/>
  <c r="AL181" i="37"/>
  <c r="AM181" i="37"/>
  <c r="AN181" i="37"/>
  <c r="M184" i="37"/>
  <c r="O184" i="37"/>
  <c r="S184" i="37"/>
  <c r="T184" i="37"/>
  <c r="U184" i="37"/>
  <c r="V184" i="37"/>
  <c r="W184" i="37"/>
  <c r="X184" i="37"/>
  <c r="Y184" i="37"/>
  <c r="Z184" i="37"/>
  <c r="AA184" i="37"/>
  <c r="AB184" i="37"/>
  <c r="AC184" i="37"/>
  <c r="AD184" i="37"/>
  <c r="AE184" i="37"/>
  <c r="AF184" i="37"/>
  <c r="AG184" i="37"/>
  <c r="AH184" i="37"/>
  <c r="AI184" i="37"/>
  <c r="AJ184" i="37"/>
  <c r="AK184" i="37"/>
  <c r="AL184" i="37"/>
  <c r="AM184" i="37"/>
  <c r="AN184" i="37"/>
  <c r="N185" i="37"/>
  <c r="N186" i="37"/>
  <c r="N187" i="37"/>
  <c r="S185" i="37"/>
  <c r="T185" i="37"/>
  <c r="U185" i="37"/>
  <c r="V185" i="37"/>
  <c r="W185" i="37"/>
  <c r="X185" i="37"/>
  <c r="Y185" i="37"/>
  <c r="Z185" i="37"/>
  <c r="AA185" i="37"/>
  <c r="AB185" i="37"/>
  <c r="AC185" i="37"/>
  <c r="AD185" i="37"/>
  <c r="AE185" i="37"/>
  <c r="AF185" i="37"/>
  <c r="AG185" i="37"/>
  <c r="AH185" i="37"/>
  <c r="AI185" i="37"/>
  <c r="AJ185" i="37"/>
  <c r="AK185" i="37"/>
  <c r="AL185" i="37"/>
  <c r="AM185" i="37"/>
  <c r="AN185" i="37"/>
  <c r="S186" i="37"/>
  <c r="T186" i="37"/>
  <c r="U186" i="37"/>
  <c r="V186" i="37"/>
  <c r="W186" i="37"/>
  <c r="X186" i="37"/>
  <c r="Y186" i="37"/>
  <c r="Z186" i="37"/>
  <c r="AA186" i="37"/>
  <c r="AB186" i="37"/>
  <c r="AC186" i="37"/>
  <c r="AD186" i="37"/>
  <c r="AE186" i="37"/>
  <c r="AF186" i="37"/>
  <c r="AG186" i="37"/>
  <c r="AH186" i="37"/>
  <c r="AI186" i="37"/>
  <c r="AJ186" i="37"/>
  <c r="AK186" i="37"/>
  <c r="AL186" i="37"/>
  <c r="AM186" i="37"/>
  <c r="AN186" i="37"/>
  <c r="S187" i="37"/>
  <c r="T187" i="37"/>
  <c r="U187" i="37"/>
  <c r="V187" i="37"/>
  <c r="W187" i="37"/>
  <c r="X187" i="37"/>
  <c r="Y187" i="37"/>
  <c r="Z187" i="37"/>
  <c r="AA187" i="37"/>
  <c r="AB187" i="37"/>
  <c r="AC187" i="37"/>
  <c r="AD187" i="37"/>
  <c r="AE187" i="37"/>
  <c r="AF187" i="37"/>
  <c r="AG187" i="37"/>
  <c r="AH187" i="37"/>
  <c r="AI187" i="37"/>
  <c r="AJ187" i="37"/>
  <c r="AK187" i="37"/>
  <c r="AL187" i="37"/>
  <c r="AM187" i="37"/>
  <c r="AN187" i="37"/>
  <c r="M189" i="37"/>
  <c r="N189" i="37"/>
  <c r="O189" i="37"/>
  <c r="T189" i="37"/>
  <c r="U189" i="37"/>
  <c r="V189" i="37"/>
  <c r="X189" i="37"/>
  <c r="Y189" i="37"/>
  <c r="Z189" i="37"/>
  <c r="AH189" i="37"/>
  <c r="AI189" i="37"/>
  <c r="AJ189" i="37"/>
  <c r="AL189" i="37"/>
  <c r="AM189" i="37"/>
  <c r="AN189" i="37"/>
  <c r="M190" i="37"/>
  <c r="M197" i="37"/>
  <c r="N190" i="37"/>
  <c r="N197" i="37"/>
  <c r="N198" i="37"/>
  <c r="N199" i="37"/>
  <c r="O190" i="37"/>
  <c r="T190" i="37"/>
  <c r="U190" i="37"/>
  <c r="V190" i="37"/>
  <c r="X190" i="37"/>
  <c r="Y190" i="37"/>
  <c r="Z190" i="37"/>
  <c r="AH190" i="37"/>
  <c r="AI190" i="37"/>
  <c r="AJ190" i="37"/>
  <c r="AL190" i="37"/>
  <c r="AM190" i="37"/>
  <c r="AN190" i="37"/>
  <c r="J192" i="37"/>
  <c r="K192" i="37"/>
  <c r="L192" i="37"/>
  <c r="M192" i="37"/>
  <c r="N192" i="37"/>
  <c r="O192" i="37"/>
  <c r="P192" i="37"/>
  <c r="S192" i="37"/>
  <c r="T192" i="37"/>
  <c r="U192" i="37"/>
  <c r="V192" i="37"/>
  <c r="W192" i="37"/>
  <c r="X192" i="37"/>
  <c r="Y192" i="37"/>
  <c r="Z192" i="37"/>
  <c r="AA192" i="37"/>
  <c r="AB192" i="37"/>
  <c r="AC192" i="37"/>
  <c r="AD192" i="37"/>
  <c r="AE192" i="37"/>
  <c r="AF192" i="37"/>
  <c r="AG192" i="37"/>
  <c r="AH192" i="37"/>
  <c r="AI192" i="37"/>
  <c r="AJ192" i="37"/>
  <c r="AK192" i="37"/>
  <c r="AL192" i="37"/>
  <c r="AM192" i="37"/>
  <c r="AN192" i="37"/>
  <c r="J193" i="37"/>
  <c r="K193" i="37"/>
  <c r="L193" i="37"/>
  <c r="M193" i="37"/>
  <c r="N193" i="37"/>
  <c r="O193" i="37"/>
  <c r="P193" i="37"/>
  <c r="S193" i="37"/>
  <c r="T193" i="37"/>
  <c r="U193" i="37"/>
  <c r="V193" i="37"/>
  <c r="W193" i="37"/>
  <c r="X193" i="37"/>
  <c r="Y193" i="37"/>
  <c r="Z193" i="37"/>
  <c r="AA193" i="37"/>
  <c r="AB193" i="37"/>
  <c r="AC193" i="37"/>
  <c r="AD193" i="37"/>
  <c r="AE193" i="37"/>
  <c r="AF193" i="37"/>
  <c r="AG193" i="37"/>
  <c r="AH193" i="37"/>
  <c r="AI193" i="37"/>
  <c r="AJ193" i="37"/>
  <c r="AK193" i="37"/>
  <c r="AL193" i="37"/>
  <c r="AM193" i="37"/>
  <c r="AN193" i="37"/>
  <c r="M196" i="37"/>
  <c r="N196" i="37"/>
  <c r="O196" i="37"/>
  <c r="P196" i="37"/>
  <c r="S196" i="37"/>
  <c r="T196" i="37"/>
  <c r="U196" i="37"/>
  <c r="V196" i="37"/>
  <c r="W196" i="37"/>
  <c r="X196" i="37"/>
  <c r="Y196" i="37"/>
  <c r="Z196" i="37"/>
  <c r="AA196" i="37"/>
  <c r="AB196" i="37"/>
  <c r="AC196" i="37"/>
  <c r="AD196" i="37"/>
  <c r="AE196" i="37"/>
  <c r="AF196" i="37"/>
  <c r="AG196" i="37"/>
  <c r="AH196" i="37"/>
  <c r="AI196" i="37"/>
  <c r="AJ196" i="37"/>
  <c r="AK196" i="37"/>
  <c r="AL196" i="37"/>
  <c r="AM196" i="37"/>
  <c r="AN196" i="37"/>
  <c r="O197" i="37"/>
  <c r="O198" i="37"/>
  <c r="O199" i="37"/>
  <c r="P197" i="37"/>
  <c r="T197" i="37"/>
  <c r="U197" i="37"/>
  <c r="V197" i="37"/>
  <c r="W197" i="37"/>
  <c r="X197" i="37"/>
  <c r="Y197" i="37"/>
  <c r="Z197" i="37"/>
  <c r="AA197" i="37"/>
  <c r="AB197" i="37"/>
  <c r="AC197" i="37"/>
  <c r="AD197" i="37"/>
  <c r="AE197" i="37"/>
  <c r="AF197" i="37"/>
  <c r="AG197" i="37"/>
  <c r="AH197" i="37"/>
  <c r="AI197" i="37"/>
  <c r="AJ197" i="37"/>
  <c r="AK197" i="37"/>
  <c r="AL197" i="37"/>
  <c r="AM197" i="37"/>
  <c r="AN197" i="37"/>
  <c r="T198" i="37"/>
  <c r="U198" i="37"/>
  <c r="V198" i="37"/>
  <c r="W198" i="37"/>
  <c r="X198" i="37"/>
  <c r="Y198" i="37"/>
  <c r="Z198" i="37"/>
  <c r="AA198" i="37"/>
  <c r="AB198" i="37"/>
  <c r="AC198" i="37"/>
  <c r="AD198" i="37"/>
  <c r="AE198" i="37"/>
  <c r="AF198" i="37"/>
  <c r="AG198" i="37"/>
  <c r="AH198" i="37"/>
  <c r="AI198" i="37"/>
  <c r="AJ198" i="37"/>
  <c r="AK198" i="37"/>
  <c r="AL198" i="37"/>
  <c r="AM198" i="37"/>
  <c r="AN198" i="37"/>
  <c r="T199" i="37"/>
  <c r="U199" i="37"/>
  <c r="V199" i="37"/>
  <c r="W199" i="37"/>
  <c r="X199" i="37"/>
  <c r="Y199" i="37"/>
  <c r="Z199" i="37"/>
  <c r="AA199" i="37"/>
  <c r="AB199" i="37"/>
  <c r="AC199" i="37"/>
  <c r="AD199" i="37"/>
  <c r="AE199" i="37"/>
  <c r="AF199" i="37"/>
  <c r="AG199" i="37"/>
  <c r="AH199" i="37"/>
  <c r="AI199" i="37"/>
  <c r="AJ199" i="37"/>
  <c r="AK199" i="37"/>
  <c r="AL199" i="37"/>
  <c r="AM199" i="37"/>
  <c r="AN199" i="37"/>
  <c r="M201" i="37"/>
  <c r="M208" i="37"/>
  <c r="N201" i="37"/>
  <c r="N208" i="37"/>
  <c r="O201" i="37"/>
  <c r="O208" i="37"/>
  <c r="T201" i="37"/>
  <c r="U201" i="37"/>
  <c r="V201" i="37"/>
  <c r="X201" i="37"/>
  <c r="Y201" i="37"/>
  <c r="AA201" i="37"/>
  <c r="AB201" i="37"/>
  <c r="AC201" i="37"/>
  <c r="AE201" i="37"/>
  <c r="AF201" i="37"/>
  <c r="AH201" i="37"/>
  <c r="AI201" i="37"/>
  <c r="AJ201" i="37"/>
  <c r="AL201" i="37"/>
  <c r="AM201" i="37"/>
  <c r="AN201" i="37"/>
  <c r="M202" i="37"/>
  <c r="N202" i="37"/>
  <c r="N209" i="37"/>
  <c r="N210" i="37"/>
  <c r="O202" i="37"/>
  <c r="O209" i="37"/>
  <c r="O210" i="37"/>
  <c r="O211" i="37"/>
  <c r="T202" i="37"/>
  <c r="U202" i="37"/>
  <c r="V202" i="37"/>
  <c r="X202" i="37"/>
  <c r="Y202" i="37"/>
  <c r="AA202" i="37"/>
  <c r="AB202" i="37"/>
  <c r="AC202" i="37"/>
  <c r="AE202" i="37"/>
  <c r="AF202" i="37"/>
  <c r="AH202" i="37"/>
  <c r="AI202" i="37"/>
  <c r="AJ202" i="37"/>
  <c r="AK202" i="37"/>
  <c r="AL202" i="37"/>
  <c r="AM202" i="37"/>
  <c r="AN202" i="37"/>
  <c r="J204" i="37"/>
  <c r="K204" i="37"/>
  <c r="L204" i="37"/>
  <c r="M204" i="37"/>
  <c r="N204" i="37"/>
  <c r="O204" i="37"/>
  <c r="P204" i="37"/>
  <c r="S204" i="37"/>
  <c r="T204" i="37"/>
  <c r="U204" i="37"/>
  <c r="V204" i="37"/>
  <c r="W204" i="37"/>
  <c r="X204" i="37"/>
  <c r="Y204" i="37"/>
  <c r="Z204" i="37"/>
  <c r="AA204" i="37"/>
  <c r="AB204" i="37"/>
  <c r="AC204" i="37"/>
  <c r="AD204" i="37"/>
  <c r="AE204" i="37"/>
  <c r="AF204" i="37"/>
  <c r="AG204" i="37"/>
  <c r="AH204" i="37"/>
  <c r="AI204" i="37"/>
  <c r="AJ204" i="37"/>
  <c r="AK204" i="37"/>
  <c r="AL204" i="37"/>
  <c r="AM204" i="37"/>
  <c r="AN204" i="37"/>
  <c r="J205" i="37"/>
  <c r="K205" i="37"/>
  <c r="L205" i="37"/>
  <c r="M205" i="37"/>
  <c r="N205" i="37"/>
  <c r="O205" i="37"/>
  <c r="P205" i="37"/>
  <c r="S205" i="37"/>
  <c r="T205" i="37"/>
  <c r="U205" i="37"/>
  <c r="V205" i="37"/>
  <c r="W205" i="37"/>
  <c r="X205" i="37"/>
  <c r="Y205" i="37"/>
  <c r="Z205" i="37"/>
  <c r="AA205" i="37"/>
  <c r="AB205" i="37"/>
  <c r="AC205" i="37"/>
  <c r="AD205" i="37"/>
  <c r="AE205" i="37"/>
  <c r="AF205" i="37"/>
  <c r="AH205" i="37"/>
  <c r="AI205" i="37"/>
  <c r="AJ205" i="37"/>
  <c r="AK205" i="37"/>
  <c r="AL205" i="37"/>
  <c r="AM205" i="37"/>
  <c r="AN205" i="37"/>
  <c r="P208" i="37"/>
  <c r="S208" i="37"/>
  <c r="T208" i="37"/>
  <c r="U208" i="37"/>
  <c r="V208" i="37"/>
  <c r="W208" i="37"/>
  <c r="X208" i="37"/>
  <c r="Y208" i="37"/>
  <c r="Z208" i="37"/>
  <c r="AA208" i="37"/>
  <c r="AB208" i="37"/>
  <c r="AC208" i="37"/>
  <c r="AD208" i="37"/>
  <c r="AE208" i="37"/>
  <c r="AF208" i="37"/>
  <c r="AG208" i="37"/>
  <c r="AH208" i="37"/>
  <c r="AI208" i="37"/>
  <c r="AJ208" i="37"/>
  <c r="AK208" i="37"/>
  <c r="AL208" i="37"/>
  <c r="AM208" i="37"/>
  <c r="AN208" i="37"/>
  <c r="M209" i="37"/>
  <c r="P209" i="37"/>
  <c r="P210" i="37"/>
  <c r="P211" i="37"/>
  <c r="S209" i="37"/>
  <c r="T209" i="37"/>
  <c r="U209" i="37"/>
  <c r="V209" i="37"/>
  <c r="W209" i="37"/>
  <c r="X209" i="37"/>
  <c r="Y209" i="37"/>
  <c r="Z209" i="37"/>
  <c r="AA209" i="37"/>
  <c r="AB209" i="37"/>
  <c r="AC209" i="37"/>
  <c r="AD209" i="37"/>
  <c r="AE209" i="37"/>
  <c r="AF209" i="37"/>
  <c r="AG209" i="37"/>
  <c r="AH209" i="37"/>
  <c r="AI209" i="37"/>
  <c r="AJ209" i="37"/>
  <c r="AK209" i="37"/>
  <c r="AL209" i="37"/>
  <c r="AM209" i="37"/>
  <c r="AN209" i="37"/>
  <c r="M210" i="37"/>
  <c r="M211" i="37"/>
  <c r="S210" i="37"/>
  <c r="T210" i="37"/>
  <c r="U210" i="37"/>
  <c r="V210" i="37"/>
  <c r="W210" i="37"/>
  <c r="X210" i="37"/>
  <c r="Y210" i="37"/>
  <c r="Z210" i="37"/>
  <c r="AA210" i="37"/>
  <c r="AB210" i="37"/>
  <c r="AC210" i="37"/>
  <c r="AD210" i="37"/>
  <c r="AE210" i="37"/>
  <c r="AF210" i="37"/>
  <c r="AG210" i="37"/>
  <c r="AH210" i="37"/>
  <c r="AI210" i="37"/>
  <c r="AJ210" i="37"/>
  <c r="AK210" i="37"/>
  <c r="AL210" i="37"/>
  <c r="AM210" i="37"/>
  <c r="AN210" i="37"/>
  <c r="S211" i="37"/>
  <c r="T211" i="37"/>
  <c r="U211" i="37"/>
  <c r="V211" i="37"/>
  <c r="W211" i="37"/>
  <c r="X211" i="37"/>
  <c r="Y211" i="37"/>
  <c r="Z211" i="37"/>
  <c r="AA211" i="37"/>
  <c r="AB211" i="37"/>
  <c r="AC211" i="37"/>
  <c r="AD211" i="37"/>
  <c r="AE211" i="37"/>
  <c r="AF211" i="37"/>
  <c r="AG211" i="37"/>
  <c r="AH211" i="37"/>
  <c r="AI211" i="37"/>
  <c r="AJ211" i="37"/>
  <c r="AK211" i="37"/>
  <c r="AL211" i="37"/>
  <c r="AM211" i="37"/>
  <c r="AN211" i="37"/>
  <c r="M213" i="37"/>
  <c r="N213" i="37"/>
  <c r="N220" i="37"/>
  <c r="O213" i="37"/>
  <c r="T213" i="37"/>
  <c r="U213" i="37"/>
  <c r="V213" i="37"/>
  <c r="X213" i="37"/>
  <c r="Y213" i="37"/>
  <c r="AA213" i="37"/>
  <c r="AB213" i="37"/>
  <c r="AC213" i="37"/>
  <c r="AD213" i="37"/>
  <c r="AE213" i="37"/>
  <c r="AF213" i="37"/>
  <c r="AH213" i="37"/>
  <c r="AI213" i="37"/>
  <c r="AJ213" i="37"/>
  <c r="AL213" i="37"/>
  <c r="AM213" i="37"/>
  <c r="AN213" i="37"/>
  <c r="M214" i="37"/>
  <c r="N214" i="37"/>
  <c r="N221" i="37"/>
  <c r="O214" i="37"/>
  <c r="O221" i="37"/>
  <c r="O222" i="37"/>
  <c r="O223" i="37"/>
  <c r="T214" i="37"/>
  <c r="U214" i="37"/>
  <c r="V214" i="37"/>
  <c r="X214" i="37"/>
  <c r="Y214" i="37"/>
  <c r="AA214" i="37"/>
  <c r="AB214" i="37"/>
  <c r="AC214" i="37"/>
  <c r="AD214" i="37"/>
  <c r="AE214" i="37"/>
  <c r="AF214" i="37"/>
  <c r="AH214" i="37"/>
  <c r="AI214" i="37"/>
  <c r="AJ214" i="37"/>
  <c r="AL214" i="37"/>
  <c r="AM214" i="37"/>
  <c r="AN214" i="37"/>
  <c r="J216" i="37"/>
  <c r="K216" i="37"/>
  <c r="L216" i="37"/>
  <c r="M216" i="37"/>
  <c r="N216" i="37"/>
  <c r="O216" i="37"/>
  <c r="P216" i="37"/>
  <c r="S216" i="37"/>
  <c r="T216" i="37"/>
  <c r="U216" i="37"/>
  <c r="V216" i="37"/>
  <c r="W216" i="37"/>
  <c r="X216" i="37"/>
  <c r="Y216" i="37"/>
  <c r="Z216" i="37"/>
  <c r="AA216" i="37"/>
  <c r="AB216" i="37"/>
  <c r="AC216" i="37"/>
  <c r="AD216" i="37"/>
  <c r="AE216" i="37"/>
  <c r="AF216" i="37"/>
  <c r="AG216" i="37"/>
  <c r="AH216" i="37"/>
  <c r="AI216" i="37"/>
  <c r="AJ216" i="37"/>
  <c r="AK216" i="37"/>
  <c r="AL216" i="37"/>
  <c r="AM216" i="37"/>
  <c r="AN216" i="37"/>
  <c r="J217" i="37"/>
  <c r="K217" i="37"/>
  <c r="L217" i="37"/>
  <c r="M217" i="37"/>
  <c r="N217" i="37"/>
  <c r="O217" i="37"/>
  <c r="P217" i="37"/>
  <c r="S217" i="37"/>
  <c r="T217" i="37"/>
  <c r="U217" i="37"/>
  <c r="V217" i="37"/>
  <c r="W217" i="37"/>
  <c r="X217" i="37"/>
  <c r="Y217" i="37"/>
  <c r="Z217" i="37"/>
  <c r="AA217" i="37"/>
  <c r="AB217" i="37"/>
  <c r="AC217" i="37"/>
  <c r="AD217" i="37"/>
  <c r="AE217" i="37"/>
  <c r="AF217" i="37"/>
  <c r="AG217" i="37"/>
  <c r="AH217" i="37"/>
  <c r="AI217" i="37"/>
  <c r="AJ217" i="37"/>
  <c r="AK217" i="37"/>
  <c r="AL217" i="37"/>
  <c r="AM217" i="37"/>
  <c r="AN217" i="37"/>
  <c r="M220" i="37"/>
  <c r="O220" i="37"/>
  <c r="P220" i="37"/>
  <c r="S220" i="37"/>
  <c r="T220" i="37"/>
  <c r="U220" i="37"/>
  <c r="V220" i="37"/>
  <c r="W220" i="37"/>
  <c r="X220" i="37"/>
  <c r="Y220" i="37"/>
  <c r="Z220" i="37"/>
  <c r="AA220" i="37"/>
  <c r="AB220" i="37"/>
  <c r="AC220" i="37"/>
  <c r="AD220" i="37"/>
  <c r="AE220" i="37"/>
  <c r="AF220" i="37"/>
  <c r="AG220" i="37"/>
  <c r="AH220" i="37"/>
  <c r="AI220" i="37"/>
  <c r="AJ220" i="37"/>
  <c r="AK220" i="37"/>
  <c r="AL220" i="37"/>
  <c r="AM220" i="37"/>
  <c r="AN220" i="37"/>
  <c r="M221" i="37"/>
  <c r="P221" i="37"/>
  <c r="P222" i="37"/>
  <c r="P223" i="37"/>
  <c r="S221" i="37"/>
  <c r="T221" i="37"/>
  <c r="U221" i="37"/>
  <c r="V221" i="37"/>
  <c r="W221" i="37"/>
  <c r="X221" i="37"/>
  <c r="Y221" i="37"/>
  <c r="Z221" i="37"/>
  <c r="AA221" i="37"/>
  <c r="AB221" i="37"/>
  <c r="AC221" i="37"/>
  <c r="AD221" i="37"/>
  <c r="AE221" i="37"/>
  <c r="AF221" i="37"/>
  <c r="AG221" i="37"/>
  <c r="AH221" i="37"/>
  <c r="AI221" i="37"/>
  <c r="AJ221" i="37"/>
  <c r="AK221" i="37"/>
  <c r="AL221" i="37"/>
  <c r="AM221" i="37"/>
  <c r="AN221" i="37"/>
  <c r="M222" i="37"/>
  <c r="M223" i="37"/>
  <c r="S222" i="37"/>
  <c r="T222" i="37"/>
  <c r="U222" i="37"/>
  <c r="V222" i="37"/>
  <c r="W222" i="37"/>
  <c r="X222" i="37"/>
  <c r="Y222" i="37"/>
  <c r="Z222" i="37"/>
  <c r="AA222" i="37"/>
  <c r="AB222" i="37"/>
  <c r="AC222" i="37"/>
  <c r="AD222" i="37"/>
  <c r="AE222" i="37"/>
  <c r="AF222" i="37"/>
  <c r="AG222" i="37"/>
  <c r="AH222" i="37"/>
  <c r="AI222" i="37"/>
  <c r="AJ222" i="37"/>
  <c r="AK222" i="37"/>
  <c r="AL222" i="37"/>
  <c r="AM222" i="37"/>
  <c r="AN222" i="37"/>
  <c r="S223" i="37"/>
  <c r="T223" i="37"/>
  <c r="U223" i="37"/>
  <c r="V223" i="37"/>
  <c r="W223" i="37"/>
  <c r="X223" i="37"/>
  <c r="Y223" i="37"/>
  <c r="Z223" i="37"/>
  <c r="AA223" i="37"/>
  <c r="AB223" i="37"/>
  <c r="AC223" i="37"/>
  <c r="AD223" i="37"/>
  <c r="AE223" i="37"/>
  <c r="AF223" i="37"/>
  <c r="AG223" i="37"/>
  <c r="AH223" i="37"/>
  <c r="AI223" i="37"/>
  <c r="AJ223" i="37"/>
  <c r="AK223" i="37"/>
  <c r="AL223" i="37"/>
  <c r="AM223" i="37"/>
  <c r="AN223" i="37"/>
  <c r="J225" i="37"/>
  <c r="K225" i="37"/>
  <c r="L225" i="37"/>
  <c r="M225" i="37"/>
  <c r="N225" i="37"/>
  <c r="N232" i="37"/>
  <c r="O225" i="37"/>
  <c r="T225" i="37"/>
  <c r="U225" i="37"/>
  <c r="V225" i="37"/>
  <c r="X225" i="37"/>
  <c r="Y225" i="37"/>
  <c r="AE225" i="37"/>
  <c r="AF225" i="37"/>
  <c r="AH225" i="37"/>
  <c r="AI225" i="37"/>
  <c r="AJ225" i="37"/>
  <c r="AL225" i="37"/>
  <c r="AM225" i="37"/>
  <c r="AN225" i="37"/>
  <c r="J226" i="37"/>
  <c r="K226" i="37"/>
  <c r="L226" i="37"/>
  <c r="M226" i="37"/>
  <c r="N226" i="37"/>
  <c r="O226" i="37"/>
  <c r="O233" i="37"/>
  <c r="O234" i="37"/>
  <c r="O235" i="37"/>
  <c r="T226" i="37"/>
  <c r="U226" i="37"/>
  <c r="V226" i="37"/>
  <c r="X226" i="37"/>
  <c r="Y226" i="37"/>
  <c r="AE226" i="37"/>
  <c r="AF226" i="37"/>
  <c r="AH226" i="37"/>
  <c r="AI226" i="37"/>
  <c r="AJ226" i="37"/>
  <c r="AL226" i="37"/>
  <c r="AM226" i="37"/>
  <c r="AN226" i="37"/>
  <c r="J228" i="37"/>
  <c r="K228" i="37"/>
  <c r="L228" i="37"/>
  <c r="M228" i="37"/>
  <c r="N228" i="37"/>
  <c r="O228" i="37"/>
  <c r="P228" i="37"/>
  <c r="S228" i="37"/>
  <c r="T228" i="37"/>
  <c r="U228" i="37"/>
  <c r="V228" i="37"/>
  <c r="W228" i="37"/>
  <c r="X228" i="37"/>
  <c r="Y228" i="37"/>
  <c r="Z228" i="37"/>
  <c r="AA228" i="37"/>
  <c r="AB228" i="37"/>
  <c r="AC228" i="37"/>
  <c r="AD228" i="37"/>
  <c r="AE228" i="37"/>
  <c r="AF228" i="37"/>
  <c r="AG228" i="37"/>
  <c r="AH228" i="37"/>
  <c r="AI228" i="37"/>
  <c r="AJ228" i="37"/>
  <c r="AK228" i="37"/>
  <c r="AL228" i="37"/>
  <c r="AM228" i="37"/>
  <c r="AN228" i="37"/>
  <c r="J229" i="37"/>
  <c r="K229" i="37"/>
  <c r="L229" i="37"/>
  <c r="M229" i="37"/>
  <c r="N229" i="37"/>
  <c r="O229" i="37"/>
  <c r="P229" i="37"/>
  <c r="S229" i="37"/>
  <c r="T229" i="37"/>
  <c r="U229" i="37"/>
  <c r="V229" i="37"/>
  <c r="W229" i="37"/>
  <c r="X229" i="37"/>
  <c r="Y229" i="37"/>
  <c r="AA229" i="37"/>
  <c r="AB229" i="37"/>
  <c r="AC229" i="37"/>
  <c r="AD229" i="37"/>
  <c r="AE229" i="37"/>
  <c r="AF229" i="37"/>
  <c r="AG229" i="37"/>
  <c r="AH229" i="37"/>
  <c r="AI229" i="37"/>
  <c r="AJ229" i="37"/>
  <c r="AK229" i="37"/>
  <c r="AL229" i="37"/>
  <c r="AM229" i="37"/>
  <c r="AN229" i="37"/>
  <c r="M232" i="37"/>
  <c r="O232" i="37"/>
  <c r="P232" i="37"/>
  <c r="S232" i="37"/>
  <c r="T232" i="37"/>
  <c r="U232" i="37"/>
  <c r="V232" i="37"/>
  <c r="W232" i="37"/>
  <c r="X232" i="37"/>
  <c r="Y232" i="37"/>
  <c r="Z232" i="37"/>
  <c r="AA232" i="37"/>
  <c r="AB232" i="37"/>
  <c r="AC232" i="37"/>
  <c r="AD232" i="37"/>
  <c r="AE232" i="37"/>
  <c r="AF232" i="37"/>
  <c r="AG232" i="37"/>
  <c r="AH232" i="37"/>
  <c r="AI232" i="37"/>
  <c r="AJ232" i="37"/>
  <c r="AK232" i="37"/>
  <c r="AL232" i="37"/>
  <c r="AM232" i="37"/>
  <c r="AN232" i="37"/>
  <c r="M233" i="37"/>
  <c r="N233" i="37"/>
  <c r="N234" i="37"/>
  <c r="N235" i="37"/>
  <c r="P233" i="37"/>
  <c r="P234" i="37"/>
  <c r="P235" i="37"/>
  <c r="S233" i="37"/>
  <c r="T233" i="37"/>
  <c r="U233" i="37"/>
  <c r="V233" i="37"/>
  <c r="W233" i="37"/>
  <c r="X233" i="37"/>
  <c r="Y233" i="37"/>
  <c r="Z233" i="37"/>
  <c r="AA233" i="37"/>
  <c r="AB233" i="37"/>
  <c r="AC233" i="37"/>
  <c r="AD233" i="37"/>
  <c r="AE233" i="37"/>
  <c r="AF233" i="37"/>
  <c r="AG233" i="37"/>
  <c r="AH233" i="37"/>
  <c r="AI233" i="37"/>
  <c r="AJ233" i="37"/>
  <c r="AK233" i="37"/>
  <c r="AL233" i="37"/>
  <c r="AM233" i="37"/>
  <c r="AN233" i="37"/>
  <c r="M234" i="37"/>
  <c r="M235" i="37"/>
  <c r="S234" i="37"/>
  <c r="T234" i="37"/>
  <c r="U234" i="37"/>
  <c r="V234" i="37"/>
  <c r="W234" i="37"/>
  <c r="X234" i="37"/>
  <c r="Y234" i="37"/>
  <c r="Z234" i="37"/>
  <c r="AA234" i="37"/>
  <c r="AB234" i="37"/>
  <c r="AC234" i="37"/>
  <c r="AD234" i="37"/>
  <c r="AE234" i="37"/>
  <c r="AF234" i="37"/>
  <c r="AG234" i="37"/>
  <c r="AH234" i="37"/>
  <c r="AI234" i="37"/>
  <c r="AJ234" i="37"/>
  <c r="AK234" i="37"/>
  <c r="AL234" i="37"/>
  <c r="AM234" i="37"/>
  <c r="AN234" i="37"/>
  <c r="S235" i="37"/>
  <c r="T235" i="37"/>
  <c r="U235" i="37"/>
  <c r="V235" i="37"/>
  <c r="W235" i="37"/>
  <c r="X235" i="37"/>
  <c r="Y235" i="37"/>
  <c r="Z235" i="37"/>
  <c r="AA235" i="37"/>
  <c r="AB235" i="37"/>
  <c r="AC235" i="37"/>
  <c r="AD235" i="37"/>
  <c r="AE235" i="37"/>
  <c r="AF235" i="37"/>
  <c r="AG235" i="37"/>
  <c r="AH235" i="37"/>
  <c r="AI235" i="37"/>
  <c r="AJ235" i="37"/>
  <c r="AK235" i="37"/>
  <c r="AL235" i="37"/>
  <c r="AM235" i="37"/>
  <c r="AN235" i="37"/>
  <c r="M237" i="37"/>
  <c r="M244" i="37"/>
  <c r="N237" i="37"/>
  <c r="O237" i="37"/>
  <c r="V237" i="37"/>
  <c r="AA237" i="37"/>
  <c r="AB237" i="37"/>
  <c r="AC237" i="37"/>
  <c r="AE237" i="37"/>
  <c r="AF237" i="37"/>
  <c r="AH237" i="37"/>
  <c r="AI237" i="37"/>
  <c r="AJ237" i="37"/>
  <c r="AL237" i="37"/>
  <c r="AM237" i="37"/>
  <c r="AN237" i="37"/>
  <c r="M238" i="37"/>
  <c r="M245" i="37"/>
  <c r="N238" i="37"/>
  <c r="N245" i="37"/>
  <c r="N246" i="37"/>
  <c r="N247" i="37"/>
  <c r="O238" i="37"/>
  <c r="V238" i="37"/>
  <c r="X238" i="37"/>
  <c r="Y238" i="37"/>
  <c r="AA238" i="37"/>
  <c r="AB238" i="37"/>
  <c r="AC238" i="37"/>
  <c r="AE238" i="37"/>
  <c r="AF238" i="37"/>
  <c r="AH238" i="37"/>
  <c r="AI238" i="37"/>
  <c r="AJ238" i="37"/>
  <c r="AL238" i="37"/>
  <c r="AM238" i="37"/>
  <c r="AN238" i="37"/>
  <c r="J240" i="37"/>
  <c r="K240" i="37"/>
  <c r="L240" i="37"/>
  <c r="M240" i="37"/>
  <c r="N240" i="37"/>
  <c r="O240" i="37"/>
  <c r="P240" i="37"/>
  <c r="S240" i="37"/>
  <c r="T240" i="37"/>
  <c r="U240" i="37"/>
  <c r="V240" i="37"/>
  <c r="W240" i="37"/>
  <c r="X240" i="37"/>
  <c r="Y240" i="37"/>
  <c r="Z240" i="37"/>
  <c r="AA240" i="37"/>
  <c r="AB240" i="37"/>
  <c r="AC240" i="37"/>
  <c r="AD240" i="37"/>
  <c r="AE240" i="37"/>
  <c r="AF240" i="37"/>
  <c r="AG240" i="37"/>
  <c r="AH240" i="37"/>
  <c r="AI240" i="37"/>
  <c r="AJ240" i="37"/>
  <c r="AK240" i="37"/>
  <c r="AL240" i="37"/>
  <c r="AM240" i="37"/>
  <c r="AN240" i="37"/>
  <c r="J241" i="37"/>
  <c r="K241" i="37"/>
  <c r="L241" i="37"/>
  <c r="M241" i="37"/>
  <c r="N241" i="37"/>
  <c r="O241" i="37"/>
  <c r="P241" i="37"/>
  <c r="S241" i="37"/>
  <c r="T241" i="37"/>
  <c r="U241" i="37"/>
  <c r="V241" i="37"/>
  <c r="W241" i="37"/>
  <c r="X241" i="37"/>
  <c r="Y241" i="37"/>
  <c r="Z241" i="37"/>
  <c r="AA241" i="37"/>
  <c r="AB241" i="37"/>
  <c r="AC241" i="37"/>
  <c r="AD241" i="37"/>
  <c r="AE241" i="37"/>
  <c r="AF241" i="37"/>
  <c r="AG241" i="37"/>
  <c r="AH241" i="37"/>
  <c r="AI241" i="37"/>
  <c r="AJ241" i="37"/>
  <c r="AK241" i="37"/>
  <c r="AL241" i="37"/>
  <c r="AM241" i="37"/>
  <c r="AN241" i="37"/>
  <c r="N244" i="37"/>
  <c r="O244" i="37"/>
  <c r="P244" i="37"/>
  <c r="S244" i="37"/>
  <c r="T244" i="37"/>
  <c r="U244" i="37"/>
  <c r="V244" i="37"/>
  <c r="W244" i="37"/>
  <c r="X244" i="37"/>
  <c r="Y244" i="37"/>
  <c r="Z244" i="37"/>
  <c r="AA244" i="37"/>
  <c r="AB244" i="37"/>
  <c r="AC244" i="37"/>
  <c r="AD244" i="37"/>
  <c r="AE244" i="37"/>
  <c r="AF244" i="37"/>
  <c r="AG244" i="37"/>
  <c r="AH244" i="37"/>
  <c r="AI244" i="37"/>
  <c r="AJ244" i="37"/>
  <c r="AK244" i="37"/>
  <c r="AL244" i="37"/>
  <c r="AM244" i="37"/>
  <c r="AN244" i="37"/>
  <c r="O245" i="37"/>
  <c r="P245" i="37"/>
  <c r="P246" i="37"/>
  <c r="P247" i="37"/>
  <c r="S245" i="37"/>
  <c r="T245" i="37"/>
  <c r="U245" i="37"/>
  <c r="V245" i="37"/>
  <c r="W245" i="37"/>
  <c r="X245" i="37"/>
  <c r="Y245" i="37"/>
  <c r="Z245" i="37"/>
  <c r="AA245" i="37"/>
  <c r="AB245" i="37"/>
  <c r="AC245" i="37"/>
  <c r="AD245" i="37"/>
  <c r="AE245" i="37"/>
  <c r="AF245" i="37"/>
  <c r="AG245" i="37"/>
  <c r="AH245" i="37"/>
  <c r="AI245" i="37"/>
  <c r="AJ245" i="37"/>
  <c r="AK245" i="37"/>
  <c r="AL245" i="37"/>
  <c r="AM245" i="37"/>
  <c r="AN245" i="37"/>
  <c r="O246" i="37"/>
  <c r="S246" i="37"/>
  <c r="T246" i="37"/>
  <c r="U246" i="37"/>
  <c r="V246" i="37"/>
  <c r="W246" i="37"/>
  <c r="X246" i="37"/>
  <c r="Y246" i="37"/>
  <c r="Z246" i="37"/>
  <c r="AA246" i="37"/>
  <c r="AB246" i="37"/>
  <c r="AC246" i="37"/>
  <c r="AD246" i="37"/>
  <c r="AE246" i="37"/>
  <c r="AF246" i="37"/>
  <c r="AG246" i="37"/>
  <c r="AH246" i="37"/>
  <c r="AI246" i="37"/>
  <c r="AJ246" i="37"/>
  <c r="AK246" i="37"/>
  <c r="AL246" i="37"/>
  <c r="AM246" i="37"/>
  <c r="AN246" i="37"/>
  <c r="O247" i="37"/>
  <c r="S247" i="37"/>
  <c r="T247" i="37"/>
  <c r="U247" i="37"/>
  <c r="V247" i="37"/>
  <c r="W247" i="37"/>
  <c r="X247" i="37"/>
  <c r="Y247" i="37"/>
  <c r="Z247" i="37"/>
  <c r="AA247" i="37"/>
  <c r="AB247" i="37"/>
  <c r="AC247" i="37"/>
  <c r="AD247" i="37"/>
  <c r="AE247" i="37"/>
  <c r="AF247" i="37"/>
  <c r="AG247" i="37"/>
  <c r="AH247" i="37"/>
  <c r="AI247" i="37"/>
  <c r="AJ247" i="37"/>
  <c r="AK247" i="37"/>
  <c r="AL247" i="37"/>
  <c r="AM247" i="37"/>
  <c r="AN247" i="37"/>
  <c r="J214" i="37"/>
  <c r="K214" i="37"/>
  <c r="L221" i="37"/>
  <c r="L222" i="37"/>
  <c r="K221" i="37"/>
  <c r="K222" i="37"/>
  <c r="K223" i="37"/>
  <c r="J213" i="37"/>
  <c r="J208" i="37"/>
  <c r="L208" i="37"/>
  <c r="J148" i="37"/>
  <c r="J136" i="37"/>
  <c r="J118" i="37"/>
  <c r="J125" i="37"/>
  <c r="J126" i="37"/>
  <c r="J127" i="37"/>
  <c r="K118" i="37"/>
  <c r="L125" i="37"/>
  <c r="L126" i="37"/>
  <c r="J117" i="37"/>
  <c r="K117" i="37"/>
  <c r="J105" i="37"/>
  <c r="J112" i="37"/>
  <c r="K105" i="37"/>
  <c r="K89" i="37"/>
  <c r="J89" i="37"/>
  <c r="L89" i="37"/>
  <c r="J69" i="37"/>
  <c r="K69" i="37"/>
  <c r="L76" i="37"/>
  <c r="J57" i="37"/>
  <c r="K17" i="37"/>
  <c r="K18" i="37"/>
  <c r="K19" i="37"/>
  <c r="J1" i="34"/>
  <c r="K1" i="34"/>
  <c r="L1" i="34"/>
  <c r="M1" i="34"/>
  <c r="N1" i="34"/>
  <c r="O1" i="34"/>
  <c r="P1" i="34"/>
  <c r="Q1" i="34"/>
  <c r="R1" i="34"/>
  <c r="S1" i="34"/>
  <c r="T1" i="34"/>
  <c r="U1" i="34"/>
  <c r="V1" i="34"/>
  <c r="W1" i="34"/>
  <c r="X1" i="34"/>
  <c r="Y1" i="34"/>
  <c r="Z1" i="34"/>
  <c r="AA1" i="34"/>
  <c r="AB1" i="34"/>
  <c r="AC1" i="34"/>
  <c r="AD1" i="34"/>
  <c r="AE1" i="34"/>
  <c r="AF1" i="34"/>
  <c r="AG1" i="34"/>
  <c r="AH1" i="34"/>
  <c r="AI1" i="34"/>
  <c r="AJ1" i="34"/>
  <c r="AK1" i="34"/>
  <c r="AL1" i="34"/>
  <c r="AM1" i="34"/>
  <c r="K9" i="34"/>
  <c r="K16" i="34"/>
  <c r="L16" i="34"/>
  <c r="N9" i="34"/>
  <c r="N16" i="34"/>
  <c r="O9" i="34"/>
  <c r="O16" i="34"/>
  <c r="P16" i="34"/>
  <c r="S16" i="34"/>
  <c r="U9" i="34"/>
  <c r="U16" i="34"/>
  <c r="V9" i="34"/>
  <c r="V16" i="34"/>
  <c r="W16" i="34"/>
  <c r="Z16" i="34"/>
  <c r="AB9" i="34"/>
  <c r="AB16" i="34"/>
  <c r="AC9" i="34"/>
  <c r="AC16" i="34"/>
  <c r="AD16" i="34"/>
  <c r="AF9" i="34"/>
  <c r="AF16" i="34"/>
  <c r="AG16" i="34"/>
  <c r="AH9" i="34"/>
  <c r="AH16" i="34"/>
  <c r="AI9" i="34"/>
  <c r="AI16" i="34"/>
  <c r="AJ9" i="34"/>
  <c r="AJ16" i="34"/>
  <c r="AK16" i="34"/>
  <c r="AL9" i="34"/>
  <c r="AL16" i="34"/>
  <c r="AM9" i="34"/>
  <c r="AM16" i="34"/>
  <c r="K10" i="34"/>
  <c r="K17" i="34"/>
  <c r="L17" i="34"/>
  <c r="N10" i="34"/>
  <c r="N17" i="34"/>
  <c r="O10" i="34"/>
  <c r="O17" i="34"/>
  <c r="O18" i="34"/>
  <c r="O19" i="34"/>
  <c r="P17" i="34"/>
  <c r="R10" i="34"/>
  <c r="R17" i="34"/>
  <c r="R18" i="34"/>
  <c r="R19" i="34"/>
  <c r="S17" i="34"/>
  <c r="U10" i="34"/>
  <c r="U17" i="34"/>
  <c r="V10" i="34"/>
  <c r="V17" i="34"/>
  <c r="W17" i="34"/>
  <c r="Y10" i="34"/>
  <c r="Y17" i="34"/>
  <c r="Z10" i="34"/>
  <c r="Z17" i="34"/>
  <c r="AB10" i="34"/>
  <c r="AB17" i="34"/>
  <c r="AC10" i="34"/>
  <c r="AC17" i="34"/>
  <c r="AD17" i="34"/>
  <c r="AE10" i="34"/>
  <c r="AE17" i="34"/>
  <c r="AF10" i="34"/>
  <c r="AF17" i="34"/>
  <c r="AG17" i="34"/>
  <c r="AH10" i="34"/>
  <c r="AH17" i="34"/>
  <c r="AI10" i="34"/>
  <c r="AI17" i="34"/>
  <c r="AJ10" i="34"/>
  <c r="AJ17" i="34"/>
  <c r="AK17" i="34"/>
  <c r="AL10" i="34"/>
  <c r="AL17" i="34"/>
  <c r="AM10" i="34"/>
  <c r="AM17" i="34"/>
  <c r="J12" i="34"/>
  <c r="K12" i="34"/>
  <c r="L12" i="34"/>
  <c r="M12" i="34"/>
  <c r="N12" i="34"/>
  <c r="N18" i="34"/>
  <c r="N19" i="34"/>
  <c r="O12" i="34"/>
  <c r="P12" i="34"/>
  <c r="Q12" i="34"/>
  <c r="R12" i="34"/>
  <c r="S12" i="34"/>
  <c r="T12" i="34"/>
  <c r="U12" i="34"/>
  <c r="V12" i="34"/>
  <c r="W12" i="34"/>
  <c r="X12" i="34"/>
  <c r="Y12" i="34"/>
  <c r="Z12" i="34"/>
  <c r="AA12" i="34"/>
  <c r="AB12" i="34"/>
  <c r="AC12" i="34"/>
  <c r="AD12" i="34"/>
  <c r="AE12" i="34"/>
  <c r="AF12" i="34"/>
  <c r="AG12" i="34"/>
  <c r="AH12" i="34"/>
  <c r="AI12" i="34"/>
  <c r="AJ12" i="34"/>
  <c r="AK12" i="34"/>
  <c r="AL12" i="34"/>
  <c r="AM12" i="34"/>
  <c r="J13" i="34"/>
  <c r="K13" i="34"/>
  <c r="L13" i="34"/>
  <c r="M13" i="34"/>
  <c r="N13" i="34"/>
  <c r="O13" i="34"/>
  <c r="P13" i="34"/>
  <c r="Q13" i="34"/>
  <c r="R13" i="34"/>
  <c r="S13" i="34"/>
  <c r="T13" i="34"/>
  <c r="U13" i="34"/>
  <c r="V13" i="34"/>
  <c r="W13" i="34"/>
  <c r="X13" i="34"/>
  <c r="Y13" i="34"/>
  <c r="Z13" i="34"/>
  <c r="AA13" i="34"/>
  <c r="AB13" i="34"/>
  <c r="AC13" i="34"/>
  <c r="AD13" i="34"/>
  <c r="AE13" i="34"/>
  <c r="AF13" i="34"/>
  <c r="AG13" i="34"/>
  <c r="AH13" i="34"/>
  <c r="AI13" i="34"/>
  <c r="AJ13" i="34"/>
  <c r="AK13" i="34"/>
  <c r="AL13" i="34"/>
  <c r="AM13" i="34"/>
  <c r="J16" i="34"/>
  <c r="X16" i="34"/>
  <c r="M17" i="34"/>
  <c r="X17" i="34"/>
  <c r="J18" i="34"/>
  <c r="J19" i="34"/>
  <c r="K18" i="34"/>
  <c r="L18" i="34"/>
  <c r="L19" i="34"/>
  <c r="M18" i="34"/>
  <c r="M19" i="34"/>
  <c r="S18" i="34"/>
  <c r="S19" i="34"/>
  <c r="T18" i="34"/>
  <c r="T19" i="34"/>
  <c r="U18" i="34"/>
  <c r="U19" i="34"/>
  <c r="V18" i="34"/>
  <c r="V19" i="34"/>
  <c r="W18" i="34"/>
  <c r="W19" i="34"/>
  <c r="X18" i="34"/>
  <c r="X19" i="34"/>
  <c r="Y18" i="34"/>
  <c r="Y19" i="34"/>
  <c r="Z18" i="34"/>
  <c r="Z19" i="34"/>
  <c r="AA18" i="34"/>
  <c r="AA19" i="34"/>
  <c r="AB18" i="34"/>
  <c r="AB19" i="34"/>
  <c r="AC18" i="34"/>
  <c r="AC19" i="34"/>
  <c r="AD18" i="34"/>
  <c r="AD19" i="34"/>
  <c r="AE18" i="34"/>
  <c r="AE19" i="34"/>
  <c r="AF18" i="34"/>
  <c r="AF19" i="34"/>
  <c r="AG18" i="34"/>
  <c r="AG19" i="34"/>
  <c r="AH18" i="34"/>
  <c r="AH19" i="34"/>
  <c r="AI18" i="34"/>
  <c r="AI19" i="34"/>
  <c r="AJ18" i="34"/>
  <c r="AJ19" i="34"/>
  <c r="AK18" i="34"/>
  <c r="AK19" i="34"/>
  <c r="AL18" i="34"/>
  <c r="AL19" i="34"/>
  <c r="AM18" i="34"/>
  <c r="AM19" i="34"/>
  <c r="K19" i="34"/>
  <c r="J24" i="34"/>
  <c r="K24" i="34"/>
  <c r="L29" i="34"/>
  <c r="M29" i="34"/>
  <c r="N22" i="34"/>
  <c r="N29" i="34"/>
  <c r="J25" i="34"/>
  <c r="K25" i="34"/>
  <c r="L25" i="34"/>
  <c r="M25" i="34"/>
  <c r="O25" i="34"/>
  <c r="S25" i="34"/>
  <c r="L24" i="34"/>
  <c r="M24" i="34"/>
  <c r="O24" i="34"/>
  <c r="S24" i="34"/>
  <c r="T24" i="34"/>
  <c r="U24" i="34"/>
  <c r="O22" i="34"/>
  <c r="O29" i="34"/>
  <c r="O30" i="34"/>
  <c r="O31" i="34"/>
  <c r="Q22" i="34"/>
  <c r="Q29" i="34"/>
  <c r="S22" i="34"/>
  <c r="S29" i="34"/>
  <c r="W22" i="34"/>
  <c r="W29" i="34"/>
  <c r="AA25" i="34"/>
  <c r="AB25" i="34"/>
  <c r="AC25" i="34"/>
  <c r="AA22" i="34"/>
  <c r="AB22" i="34"/>
  <c r="AC22" i="34"/>
  <c r="AD22" i="34"/>
  <c r="AE22" i="34"/>
  <c r="AF22" i="34"/>
  <c r="AF29" i="34"/>
  <c r="AH22" i="34"/>
  <c r="AH29" i="34"/>
  <c r="J21" i="34"/>
  <c r="K21" i="34"/>
  <c r="K28" i="34"/>
  <c r="N21" i="34"/>
  <c r="N28" i="34"/>
  <c r="O21" i="34"/>
  <c r="O28" i="34"/>
  <c r="P21" i="34"/>
  <c r="P28" i="34"/>
  <c r="Q21" i="34"/>
  <c r="Q28" i="34"/>
  <c r="R21" i="34"/>
  <c r="R28" i="34"/>
  <c r="S21" i="34"/>
  <c r="S28" i="34"/>
  <c r="T21" i="34"/>
  <c r="T28" i="34"/>
  <c r="U21" i="34"/>
  <c r="U28" i="34"/>
  <c r="V21" i="34"/>
  <c r="V28" i="34"/>
  <c r="W21" i="34"/>
  <c r="W28" i="34"/>
  <c r="Y21" i="34"/>
  <c r="Y28" i="34"/>
  <c r="Z28" i="34"/>
  <c r="AA21" i="34"/>
  <c r="AA28" i="34"/>
  <c r="AB21" i="34"/>
  <c r="AB28" i="34"/>
  <c r="AC21" i="34"/>
  <c r="AC28" i="34"/>
  <c r="AD21" i="34"/>
  <c r="AD28" i="34"/>
  <c r="AE21" i="34"/>
  <c r="AE28" i="34"/>
  <c r="AF21" i="34"/>
  <c r="AF28" i="34"/>
  <c r="AG21" i="34"/>
  <c r="AG28" i="34"/>
  <c r="AH21" i="34"/>
  <c r="AH28" i="34"/>
  <c r="AI21" i="34"/>
  <c r="AI28" i="34"/>
  <c r="AJ21" i="34"/>
  <c r="AJ28" i="34"/>
  <c r="AK21" i="34"/>
  <c r="AK28" i="34"/>
  <c r="AL21" i="34"/>
  <c r="AL28" i="34"/>
  <c r="AM21" i="34"/>
  <c r="AM28" i="34"/>
  <c r="Y22" i="34"/>
  <c r="Y29" i="34"/>
  <c r="AB29" i="34"/>
  <c r="AD29" i="34"/>
  <c r="AI22" i="34"/>
  <c r="AI29" i="34"/>
  <c r="AK22" i="34"/>
  <c r="AK29" i="34"/>
  <c r="AL22" i="34"/>
  <c r="AL29" i="34"/>
  <c r="X24" i="34"/>
  <c r="Y24" i="34"/>
  <c r="AI24" i="34"/>
  <c r="AK24" i="34"/>
  <c r="AL24" i="34"/>
  <c r="X25" i="34"/>
  <c r="Y25" i="34"/>
  <c r="AD25" i="34"/>
  <c r="AE25" i="34"/>
  <c r="AH25" i="34"/>
  <c r="AK25" i="34"/>
  <c r="AL25" i="34"/>
  <c r="J28" i="34"/>
  <c r="L28" i="34"/>
  <c r="M30" i="34"/>
  <c r="M31" i="34"/>
  <c r="AA29" i="34"/>
  <c r="AA30" i="34"/>
  <c r="AA31" i="34"/>
  <c r="AB30" i="34"/>
  <c r="AB31" i="34"/>
  <c r="AI30" i="34"/>
  <c r="AI31" i="34"/>
  <c r="AK30" i="34"/>
  <c r="AK31" i="34"/>
  <c r="AL30" i="34"/>
  <c r="AL31" i="34"/>
  <c r="K34" i="34"/>
  <c r="M34" i="34"/>
  <c r="M41" i="34"/>
  <c r="N34" i="34"/>
  <c r="N41" i="34"/>
  <c r="J37" i="34"/>
  <c r="K37" i="34"/>
  <c r="L37" i="34"/>
  <c r="M37" i="34"/>
  <c r="N37" i="34"/>
  <c r="O37" i="34"/>
  <c r="S37" i="34"/>
  <c r="M36" i="34"/>
  <c r="N36" i="34"/>
  <c r="O36" i="34"/>
  <c r="Q36" i="34"/>
  <c r="S36" i="34"/>
  <c r="T36" i="34"/>
  <c r="U36" i="34"/>
  <c r="U41" i="34"/>
  <c r="W41" i="34"/>
  <c r="AB34" i="34"/>
  <c r="AC34" i="34"/>
  <c r="AD34" i="34"/>
  <c r="AF34" i="34"/>
  <c r="AF41" i="34"/>
  <c r="AH34" i="34"/>
  <c r="AH41" i="34"/>
  <c r="AM37" i="34"/>
  <c r="K33" i="34"/>
  <c r="K40" i="34"/>
  <c r="L40" i="34"/>
  <c r="M33" i="34"/>
  <c r="M40" i="34"/>
  <c r="N33" i="34"/>
  <c r="N40" i="34"/>
  <c r="O33" i="34"/>
  <c r="O40" i="34"/>
  <c r="P40" i="34"/>
  <c r="Q33" i="34"/>
  <c r="Q40" i="34"/>
  <c r="S40" i="34"/>
  <c r="U33" i="34"/>
  <c r="U40" i="34"/>
  <c r="V33" i="34"/>
  <c r="V40" i="34"/>
  <c r="W40" i="34"/>
  <c r="Y33" i="34"/>
  <c r="Y40" i="34"/>
  <c r="Z40" i="34"/>
  <c r="AB40" i="34"/>
  <c r="AC40" i="34"/>
  <c r="AD40" i="34"/>
  <c r="AF33" i="34"/>
  <c r="AF40" i="34"/>
  <c r="AG40" i="34"/>
  <c r="AH33" i="34"/>
  <c r="AH40" i="34"/>
  <c r="AI33" i="34"/>
  <c r="AI40" i="34"/>
  <c r="AJ33" i="34"/>
  <c r="AJ40" i="34"/>
  <c r="AK33" i="34"/>
  <c r="AK40" i="34"/>
  <c r="AL33" i="34"/>
  <c r="AL40" i="34"/>
  <c r="AM33" i="34"/>
  <c r="AM40" i="34"/>
  <c r="O34" i="34"/>
  <c r="O41" i="34"/>
  <c r="Q34" i="34"/>
  <c r="Q41" i="34"/>
  <c r="Q42" i="34"/>
  <c r="Q43" i="34"/>
  <c r="AC41" i="34"/>
  <c r="AD41" i="34"/>
  <c r="AK34" i="34"/>
  <c r="AK41" i="34"/>
  <c r="AL34" i="34"/>
  <c r="AL41" i="34"/>
  <c r="AM34" i="34"/>
  <c r="AM41" i="34"/>
  <c r="W36" i="34"/>
  <c r="X36" i="34"/>
  <c r="Y36" i="34"/>
  <c r="Z36" i="34"/>
  <c r="AA36" i="34"/>
  <c r="AB36" i="34"/>
  <c r="AC36" i="34"/>
  <c r="AD36" i="34"/>
  <c r="AE36" i="34"/>
  <c r="AF36" i="34"/>
  <c r="AL36" i="34"/>
  <c r="T37" i="34"/>
  <c r="U37" i="34"/>
  <c r="X37" i="34"/>
  <c r="Y37" i="34"/>
  <c r="AA37" i="34"/>
  <c r="AH37" i="34"/>
  <c r="AK37" i="34"/>
  <c r="AL37" i="34"/>
  <c r="T40" i="34"/>
  <c r="X40" i="34"/>
  <c r="AE40" i="34"/>
  <c r="O42" i="34"/>
  <c r="O43" i="34"/>
  <c r="W42" i="34"/>
  <c r="W43" i="34"/>
  <c r="AA41" i="34"/>
  <c r="AA42" i="34"/>
  <c r="AA43" i="34"/>
  <c r="AK42" i="34"/>
  <c r="AK43" i="34"/>
  <c r="AL42" i="34"/>
  <c r="AL43" i="34"/>
  <c r="J46" i="34"/>
  <c r="J53" i="34"/>
  <c r="K46" i="34"/>
  <c r="J49" i="34"/>
  <c r="K49" i="34"/>
  <c r="L49" i="34"/>
  <c r="M49" i="34"/>
  <c r="N49" i="34"/>
  <c r="O49" i="34"/>
  <c r="P49" i="34"/>
  <c r="Q49" i="34"/>
  <c r="M48" i="34"/>
  <c r="O48" i="34"/>
  <c r="O54" i="34"/>
  <c r="O55" i="34"/>
  <c r="P48" i="34"/>
  <c r="Q48" i="34"/>
  <c r="S48" i="34"/>
  <c r="T48" i="34"/>
  <c r="U48" i="34"/>
  <c r="U46" i="34"/>
  <c r="U53" i="34"/>
  <c r="V46" i="34"/>
  <c r="V53" i="34"/>
  <c r="W53" i="34"/>
  <c r="AB46" i="34"/>
  <c r="AC46" i="34"/>
  <c r="AD46" i="34"/>
  <c r="AF46" i="34"/>
  <c r="AF53" i="34"/>
  <c r="AH46" i="34"/>
  <c r="AH53" i="34"/>
  <c r="J45" i="34"/>
  <c r="J52" i="34"/>
  <c r="K45" i="34"/>
  <c r="K52" i="34"/>
  <c r="N45" i="34"/>
  <c r="N52" i="34"/>
  <c r="O45" i="34"/>
  <c r="O52" i="34"/>
  <c r="P52" i="34"/>
  <c r="R45" i="34"/>
  <c r="R52" i="34"/>
  <c r="S52" i="34"/>
  <c r="U45" i="34"/>
  <c r="U52" i="34"/>
  <c r="V45" i="34"/>
  <c r="V52" i="34"/>
  <c r="W52" i="34"/>
  <c r="Y45" i="34"/>
  <c r="Y52" i="34"/>
  <c r="Z52" i="34"/>
  <c r="AB45" i="34"/>
  <c r="AB52" i="34"/>
  <c r="AC45" i="34"/>
  <c r="AC52" i="34"/>
  <c r="AD52" i="34"/>
  <c r="AF45" i="34"/>
  <c r="AF52" i="34"/>
  <c r="AG52" i="34"/>
  <c r="AH45" i="34"/>
  <c r="AH52" i="34"/>
  <c r="AI45" i="34"/>
  <c r="AI52" i="34"/>
  <c r="AJ45" i="34"/>
  <c r="AJ52" i="34"/>
  <c r="AK52" i="34"/>
  <c r="AL45" i="34"/>
  <c r="AL52" i="34"/>
  <c r="AM45" i="34"/>
  <c r="AM52" i="34"/>
  <c r="O46" i="34"/>
  <c r="O53" i="34"/>
  <c r="P53" i="34"/>
  <c r="P54" i="34"/>
  <c r="P55" i="34"/>
  <c r="Y46" i="34"/>
  <c r="Z53" i="34"/>
  <c r="AB53" i="34"/>
  <c r="AK53" i="34"/>
  <c r="AL46" i="34"/>
  <c r="AL53" i="34"/>
  <c r="V48" i="34"/>
  <c r="AA48" i="34"/>
  <c r="AB48" i="34"/>
  <c r="AC48" i="34"/>
  <c r="AD48" i="34"/>
  <c r="AE48" i="34"/>
  <c r="AF48" i="34"/>
  <c r="AG48" i="34"/>
  <c r="AL48" i="34"/>
  <c r="S49" i="34"/>
  <c r="T49" i="34"/>
  <c r="U49" i="34"/>
  <c r="X49" i="34"/>
  <c r="AA49" i="34"/>
  <c r="AB49" i="34"/>
  <c r="AH49" i="34"/>
  <c r="AI49" i="34"/>
  <c r="AL49" i="34"/>
  <c r="L52" i="34"/>
  <c r="Q52" i="34"/>
  <c r="T52" i="34"/>
  <c r="Y53" i="34"/>
  <c r="X48" i="34"/>
  <c r="Y48" i="34"/>
  <c r="Y54" i="34"/>
  <c r="Y55" i="34"/>
  <c r="Z48" i="34"/>
  <c r="Z54" i="34"/>
  <c r="Z55" i="34"/>
  <c r="AA53" i="34"/>
  <c r="AA54" i="34"/>
  <c r="AA55" i="34"/>
  <c r="AB54" i="34"/>
  <c r="AB55" i="34"/>
  <c r="AI54" i="34"/>
  <c r="AI55" i="34"/>
  <c r="AL54" i="34"/>
  <c r="AL55" i="34"/>
  <c r="N57" i="34"/>
  <c r="N64" i="34"/>
  <c r="O57" i="34"/>
  <c r="P64" i="34"/>
  <c r="S57" i="34"/>
  <c r="T57" i="34"/>
  <c r="U57" i="34"/>
  <c r="V57" i="34"/>
  <c r="W57" i="34"/>
  <c r="X57" i="34"/>
  <c r="Y57" i="34"/>
  <c r="Z57" i="34"/>
  <c r="AB57" i="34"/>
  <c r="AC57" i="34"/>
  <c r="AD57" i="34"/>
  <c r="AE57" i="34"/>
  <c r="AF57" i="34"/>
  <c r="AH57" i="34"/>
  <c r="AI57" i="34"/>
  <c r="AJ57" i="34"/>
  <c r="AK57" i="34"/>
  <c r="AL57" i="34"/>
  <c r="AM57" i="34"/>
  <c r="N58" i="34"/>
  <c r="O58" i="34"/>
  <c r="O65" i="34"/>
  <c r="O66" i="34"/>
  <c r="O67" i="34"/>
  <c r="R58" i="34"/>
  <c r="R65" i="34"/>
  <c r="S58" i="34"/>
  <c r="T58" i="34"/>
  <c r="U58" i="34"/>
  <c r="V58" i="34"/>
  <c r="W58" i="34"/>
  <c r="X58" i="34"/>
  <c r="Y58" i="34"/>
  <c r="Z58" i="34"/>
  <c r="AB58" i="34"/>
  <c r="AC58" i="34"/>
  <c r="AD58" i="34"/>
  <c r="AE58" i="34"/>
  <c r="AF58" i="34"/>
  <c r="AH58" i="34"/>
  <c r="AI58" i="34"/>
  <c r="AJ58" i="34"/>
  <c r="AK58" i="34"/>
  <c r="AL58" i="34"/>
  <c r="AM58" i="34"/>
  <c r="J60" i="34"/>
  <c r="K60" i="34"/>
  <c r="L60" i="34"/>
  <c r="M60" i="34"/>
  <c r="N60" i="34"/>
  <c r="N66" i="34"/>
  <c r="N67" i="34"/>
  <c r="O60" i="34"/>
  <c r="P60" i="34"/>
  <c r="Q60" i="34"/>
  <c r="R60" i="34"/>
  <c r="S60" i="34"/>
  <c r="T60" i="34"/>
  <c r="U60" i="34"/>
  <c r="V60" i="34"/>
  <c r="W60" i="34"/>
  <c r="X60" i="34"/>
  <c r="Y60" i="34"/>
  <c r="Z60" i="34"/>
  <c r="AA60" i="34"/>
  <c r="AB60" i="34"/>
  <c r="AC60" i="34"/>
  <c r="AD60" i="34"/>
  <c r="AE60" i="34"/>
  <c r="AF60" i="34"/>
  <c r="AG60" i="34"/>
  <c r="AH60" i="34"/>
  <c r="AI60" i="34"/>
  <c r="AJ60" i="34"/>
  <c r="AK60" i="34"/>
  <c r="AL60" i="34"/>
  <c r="AM60" i="34"/>
  <c r="J61" i="34"/>
  <c r="K61" i="34"/>
  <c r="L61" i="34"/>
  <c r="M61" i="34"/>
  <c r="N61" i="34"/>
  <c r="O61" i="34"/>
  <c r="P61" i="34"/>
  <c r="Q61" i="34"/>
  <c r="R61" i="34"/>
  <c r="S61" i="34"/>
  <c r="T61" i="34"/>
  <c r="U61" i="34"/>
  <c r="V61" i="34"/>
  <c r="W61" i="34"/>
  <c r="X61" i="34"/>
  <c r="Y61" i="34"/>
  <c r="Z61" i="34"/>
  <c r="AA61" i="34"/>
  <c r="AB61" i="34"/>
  <c r="AC61" i="34"/>
  <c r="AD61" i="34"/>
  <c r="AE61" i="34"/>
  <c r="AF61" i="34"/>
  <c r="AG61" i="34"/>
  <c r="AH61" i="34"/>
  <c r="AI61" i="34"/>
  <c r="AJ61" i="34"/>
  <c r="AK61" i="34"/>
  <c r="AL61" i="34"/>
  <c r="AM61" i="34"/>
  <c r="J64" i="34"/>
  <c r="K64" i="34"/>
  <c r="L64" i="34"/>
  <c r="M64" i="34"/>
  <c r="O64" i="34"/>
  <c r="S64" i="34"/>
  <c r="T64" i="34"/>
  <c r="U64" i="34"/>
  <c r="V64" i="34"/>
  <c r="W64" i="34"/>
  <c r="X64" i="34"/>
  <c r="Y64" i="34"/>
  <c r="Z64" i="34"/>
  <c r="AA64" i="34"/>
  <c r="AB64" i="34"/>
  <c r="AC64" i="34"/>
  <c r="AD64" i="34"/>
  <c r="AE64" i="34"/>
  <c r="AF64" i="34"/>
  <c r="AG64" i="34"/>
  <c r="AH64" i="34"/>
  <c r="AI64" i="34"/>
  <c r="AJ64" i="34"/>
  <c r="AK64" i="34"/>
  <c r="AL64" i="34"/>
  <c r="AM64" i="34"/>
  <c r="J65" i="34"/>
  <c r="K65" i="34"/>
  <c r="L65" i="34"/>
  <c r="M65" i="34"/>
  <c r="M66" i="34"/>
  <c r="N65" i="34"/>
  <c r="P65" i="34"/>
  <c r="Q65" i="34"/>
  <c r="S65" i="34"/>
  <c r="T65" i="34"/>
  <c r="U65" i="34"/>
  <c r="V65" i="34"/>
  <c r="W65" i="34"/>
  <c r="X65" i="34"/>
  <c r="Y65" i="34"/>
  <c r="Z65" i="34"/>
  <c r="AA65" i="34"/>
  <c r="AB65" i="34"/>
  <c r="AC65" i="34"/>
  <c r="AD65" i="34"/>
  <c r="AE65" i="34"/>
  <c r="AF65" i="34"/>
  <c r="AG65" i="34"/>
  <c r="AH65" i="34"/>
  <c r="AI65" i="34"/>
  <c r="AJ65" i="34"/>
  <c r="AK65" i="34"/>
  <c r="AL65" i="34"/>
  <c r="AM65" i="34"/>
  <c r="J66" i="34"/>
  <c r="K66" i="34"/>
  <c r="L66" i="34"/>
  <c r="S66" i="34"/>
  <c r="T66" i="34"/>
  <c r="U66" i="34"/>
  <c r="V66" i="34"/>
  <c r="W66" i="34"/>
  <c r="X66" i="34"/>
  <c r="Y66" i="34"/>
  <c r="Z66" i="34"/>
  <c r="AA66" i="34"/>
  <c r="AB66" i="34"/>
  <c r="AC66" i="34"/>
  <c r="AD66" i="34"/>
  <c r="AE66" i="34"/>
  <c r="AF66" i="34"/>
  <c r="AG66" i="34"/>
  <c r="AH66" i="34"/>
  <c r="AI66" i="34"/>
  <c r="AJ66" i="34"/>
  <c r="AK66" i="34"/>
  <c r="AL66" i="34"/>
  <c r="AM66" i="34"/>
  <c r="J67" i="34"/>
  <c r="K67" i="34"/>
  <c r="L67" i="34"/>
  <c r="S67" i="34"/>
  <c r="T67" i="34"/>
  <c r="U67" i="34"/>
  <c r="V67" i="34"/>
  <c r="W67" i="34"/>
  <c r="X67" i="34"/>
  <c r="Y67" i="34"/>
  <c r="Z67" i="34"/>
  <c r="AA67" i="34"/>
  <c r="AB67" i="34"/>
  <c r="AC67" i="34"/>
  <c r="AD67" i="34"/>
  <c r="AE67" i="34"/>
  <c r="AF67" i="34"/>
  <c r="AG67" i="34"/>
  <c r="AH67" i="34"/>
  <c r="AI67" i="34"/>
  <c r="AJ67" i="34"/>
  <c r="AK67" i="34"/>
  <c r="AL67" i="34"/>
  <c r="AM67" i="34"/>
  <c r="K69" i="34"/>
  <c r="M69" i="34"/>
  <c r="N69" i="34"/>
  <c r="N76" i="34"/>
  <c r="O69" i="34"/>
  <c r="R69" i="34"/>
  <c r="R76" i="34"/>
  <c r="U69" i="34"/>
  <c r="V69" i="34"/>
  <c r="Y69" i="34"/>
  <c r="AB69" i="34"/>
  <c r="AC69" i="34"/>
  <c r="AF69" i="34"/>
  <c r="AG69" i="34"/>
  <c r="AH69" i="34"/>
  <c r="AI69" i="34"/>
  <c r="AJ69" i="34"/>
  <c r="AL69" i="34"/>
  <c r="AM69" i="34"/>
  <c r="K70" i="34"/>
  <c r="N70" i="34"/>
  <c r="N77" i="34"/>
  <c r="N78" i="34"/>
  <c r="N79" i="34"/>
  <c r="O70" i="34"/>
  <c r="P77" i="34"/>
  <c r="P78" i="34"/>
  <c r="P79" i="34"/>
  <c r="R70" i="34"/>
  <c r="R77" i="34"/>
  <c r="R78" i="34"/>
  <c r="R79" i="34"/>
  <c r="U70" i="34"/>
  <c r="V70" i="34"/>
  <c r="Y70" i="34"/>
  <c r="AB70" i="34"/>
  <c r="AC70" i="34"/>
  <c r="AF70" i="34"/>
  <c r="AG70" i="34"/>
  <c r="AH70" i="34"/>
  <c r="AI70" i="34"/>
  <c r="AJ70" i="34"/>
  <c r="AL70" i="34"/>
  <c r="AM70" i="34"/>
  <c r="K72" i="34"/>
  <c r="L72" i="34"/>
  <c r="M72" i="34"/>
  <c r="N72" i="34"/>
  <c r="O72" i="34"/>
  <c r="P72" i="34"/>
  <c r="Q72" i="34"/>
  <c r="R72" i="34"/>
  <c r="S72" i="34"/>
  <c r="T72" i="34"/>
  <c r="U72" i="34"/>
  <c r="V72" i="34"/>
  <c r="W72" i="34"/>
  <c r="X72" i="34"/>
  <c r="Y72" i="34"/>
  <c r="Z72" i="34"/>
  <c r="AA72" i="34"/>
  <c r="AB72" i="34"/>
  <c r="AC72" i="34"/>
  <c r="AD72" i="34"/>
  <c r="AE72" i="34"/>
  <c r="AF72" i="34"/>
  <c r="AG72" i="34"/>
  <c r="AH72" i="34"/>
  <c r="AI72" i="34"/>
  <c r="AJ72" i="34"/>
  <c r="AK72" i="34"/>
  <c r="AL72" i="34"/>
  <c r="AM72" i="34"/>
  <c r="K73" i="34"/>
  <c r="L73" i="34"/>
  <c r="M73" i="34"/>
  <c r="N73" i="34"/>
  <c r="O73" i="34"/>
  <c r="P73" i="34"/>
  <c r="Q73" i="34"/>
  <c r="R73" i="34"/>
  <c r="S73" i="34"/>
  <c r="T73" i="34"/>
  <c r="U73" i="34"/>
  <c r="V73" i="34"/>
  <c r="W73" i="34"/>
  <c r="X73" i="34"/>
  <c r="Y73" i="34"/>
  <c r="Z73" i="34"/>
  <c r="AF73" i="34"/>
  <c r="AG73" i="34"/>
  <c r="AH73" i="34"/>
  <c r="AI73" i="34"/>
  <c r="AJ73" i="34"/>
  <c r="AK73" i="34"/>
  <c r="AL73" i="34"/>
  <c r="AM73" i="34"/>
  <c r="J76" i="34"/>
  <c r="K76" i="34"/>
  <c r="L76" i="34"/>
  <c r="M76" i="34"/>
  <c r="O76" i="34"/>
  <c r="P76" i="34"/>
  <c r="S76" i="34"/>
  <c r="T76" i="34"/>
  <c r="U76" i="34"/>
  <c r="V76" i="34"/>
  <c r="W76" i="34"/>
  <c r="X76" i="34"/>
  <c r="Y76" i="34"/>
  <c r="Z76" i="34"/>
  <c r="AA76" i="34"/>
  <c r="AB76" i="34"/>
  <c r="AC76" i="34"/>
  <c r="AD76" i="34"/>
  <c r="AE76" i="34"/>
  <c r="AF76" i="34"/>
  <c r="AG76" i="34"/>
  <c r="AH76" i="34"/>
  <c r="AI76" i="34"/>
  <c r="AJ76" i="34"/>
  <c r="AK76" i="34"/>
  <c r="AL76" i="34"/>
  <c r="AM76" i="34"/>
  <c r="J77" i="34"/>
  <c r="K77" i="34"/>
  <c r="L77" i="34"/>
  <c r="M77" i="34"/>
  <c r="M78" i="34"/>
  <c r="O77" i="34"/>
  <c r="O78" i="34"/>
  <c r="O79" i="34"/>
  <c r="Q77" i="34"/>
  <c r="Q78" i="34"/>
  <c r="Q79" i="34"/>
  <c r="S77" i="34"/>
  <c r="T77" i="34"/>
  <c r="U77" i="34"/>
  <c r="V77" i="34"/>
  <c r="W77" i="34"/>
  <c r="X77" i="34"/>
  <c r="Y77" i="34"/>
  <c r="Z77" i="34"/>
  <c r="AA77" i="34"/>
  <c r="AB77" i="34"/>
  <c r="AC77" i="34"/>
  <c r="AD77" i="34"/>
  <c r="AE77" i="34"/>
  <c r="AF77" i="34"/>
  <c r="AG77" i="34"/>
  <c r="AH77" i="34"/>
  <c r="AI77" i="34"/>
  <c r="AJ77" i="34"/>
  <c r="AK77" i="34"/>
  <c r="AL77" i="34"/>
  <c r="AM77" i="34"/>
  <c r="J78" i="34"/>
  <c r="K78" i="34"/>
  <c r="L78" i="34"/>
  <c r="S78" i="34"/>
  <c r="T78" i="34"/>
  <c r="U78" i="34"/>
  <c r="V78" i="34"/>
  <c r="W78" i="34"/>
  <c r="X78" i="34"/>
  <c r="Y78" i="34"/>
  <c r="Z78" i="34"/>
  <c r="AA78" i="34"/>
  <c r="AB78" i="34"/>
  <c r="AC78" i="34"/>
  <c r="AD78" i="34"/>
  <c r="AE78" i="34"/>
  <c r="AF78" i="34"/>
  <c r="AG78" i="34"/>
  <c r="AH78" i="34"/>
  <c r="AI78" i="34"/>
  <c r="AJ78" i="34"/>
  <c r="AK78" i="34"/>
  <c r="AL78" i="34"/>
  <c r="AM78" i="34"/>
  <c r="J79" i="34"/>
  <c r="K79" i="34"/>
  <c r="L79" i="34"/>
  <c r="S79" i="34"/>
  <c r="T79" i="34"/>
  <c r="U79" i="34"/>
  <c r="V79" i="34"/>
  <c r="W79" i="34"/>
  <c r="X79" i="34"/>
  <c r="Y79" i="34"/>
  <c r="Z79" i="34"/>
  <c r="AA79" i="34"/>
  <c r="AB79" i="34"/>
  <c r="AC79" i="34"/>
  <c r="AD79" i="34"/>
  <c r="AE79" i="34"/>
  <c r="AF79" i="34"/>
  <c r="AG79" i="34"/>
  <c r="AH79" i="34"/>
  <c r="AI79" i="34"/>
  <c r="AJ79" i="34"/>
  <c r="AK79" i="34"/>
  <c r="AL79" i="34"/>
  <c r="AM79" i="34"/>
  <c r="K81" i="34"/>
  <c r="N81" i="34"/>
  <c r="N88" i="34"/>
  <c r="O81" i="34"/>
  <c r="O88" i="34"/>
  <c r="P88" i="34"/>
  <c r="R81" i="34"/>
  <c r="U81" i="34"/>
  <c r="V81" i="34"/>
  <c r="Y81" i="34"/>
  <c r="AB81" i="34"/>
  <c r="AC81" i="34"/>
  <c r="AF81" i="34"/>
  <c r="AH81" i="34"/>
  <c r="AI81" i="34"/>
  <c r="AJ81" i="34"/>
  <c r="AK81" i="34"/>
  <c r="AL81" i="34"/>
  <c r="AM81" i="34"/>
  <c r="K82" i="34"/>
  <c r="N82" i="34"/>
  <c r="O82" i="34"/>
  <c r="P89" i="34"/>
  <c r="R82" i="34"/>
  <c r="R89" i="34"/>
  <c r="S82" i="34"/>
  <c r="T82" i="34"/>
  <c r="U82" i="34"/>
  <c r="V82" i="34"/>
  <c r="Y82" i="34"/>
  <c r="AB82" i="34"/>
  <c r="AC82" i="34"/>
  <c r="AE82" i="34"/>
  <c r="AF82" i="34"/>
  <c r="AH82" i="34"/>
  <c r="AI82" i="34"/>
  <c r="AJ82" i="34"/>
  <c r="AK82" i="34"/>
  <c r="AL82" i="34"/>
  <c r="AM82" i="34"/>
  <c r="J84" i="34"/>
  <c r="K84" i="34"/>
  <c r="L84" i="34"/>
  <c r="M84" i="34"/>
  <c r="N84" i="34"/>
  <c r="N90" i="34"/>
  <c r="N91" i="34"/>
  <c r="O84" i="34"/>
  <c r="P84" i="34"/>
  <c r="Q84" i="34"/>
  <c r="R84" i="34"/>
  <c r="S84" i="34"/>
  <c r="T84" i="34"/>
  <c r="U84" i="34"/>
  <c r="V84" i="34"/>
  <c r="W84" i="34"/>
  <c r="X84" i="34"/>
  <c r="Y84" i="34"/>
  <c r="Z84" i="34"/>
  <c r="AA84" i="34"/>
  <c r="AB84" i="34"/>
  <c r="AC84" i="34"/>
  <c r="AD84" i="34"/>
  <c r="AE84" i="34"/>
  <c r="AF84" i="34"/>
  <c r="AG84" i="34"/>
  <c r="AH84" i="34"/>
  <c r="AI84" i="34"/>
  <c r="AJ84" i="34"/>
  <c r="AK84" i="34"/>
  <c r="AL84" i="34"/>
  <c r="AM84" i="34"/>
  <c r="J85" i="34"/>
  <c r="K85" i="34"/>
  <c r="L85" i="34"/>
  <c r="M85" i="34"/>
  <c r="N85" i="34"/>
  <c r="O85" i="34"/>
  <c r="P85" i="34"/>
  <c r="Q85" i="34"/>
  <c r="R85" i="34"/>
  <c r="S85" i="34"/>
  <c r="T85" i="34"/>
  <c r="U85" i="34"/>
  <c r="V85" i="34"/>
  <c r="W85" i="34"/>
  <c r="X85" i="34"/>
  <c r="Y85" i="34"/>
  <c r="Z85" i="34"/>
  <c r="AA85" i="34"/>
  <c r="AB85" i="34"/>
  <c r="AC85" i="34"/>
  <c r="AD85" i="34"/>
  <c r="AE85" i="34"/>
  <c r="AF85" i="34"/>
  <c r="AG85" i="34"/>
  <c r="AH85" i="34"/>
  <c r="AI85" i="34"/>
  <c r="AJ85" i="34"/>
  <c r="AK85" i="34"/>
  <c r="AL85" i="34"/>
  <c r="AM85" i="34"/>
  <c r="J88" i="34"/>
  <c r="K88" i="34"/>
  <c r="L88" i="34"/>
  <c r="M88" i="34"/>
  <c r="Q88" i="34"/>
  <c r="R88" i="34"/>
  <c r="S88" i="34"/>
  <c r="T88" i="34"/>
  <c r="U88" i="34"/>
  <c r="V88" i="34"/>
  <c r="W88" i="34"/>
  <c r="X88" i="34"/>
  <c r="Y88" i="34"/>
  <c r="Z88" i="34"/>
  <c r="AA88" i="34"/>
  <c r="AB88" i="34"/>
  <c r="AC88" i="34"/>
  <c r="AD88" i="34"/>
  <c r="AE88" i="34"/>
  <c r="AF88" i="34"/>
  <c r="AG88" i="34"/>
  <c r="AH88" i="34"/>
  <c r="AI88" i="34"/>
  <c r="AJ88" i="34"/>
  <c r="AK88" i="34"/>
  <c r="AL88" i="34"/>
  <c r="AM88" i="34"/>
  <c r="J89" i="34"/>
  <c r="K89" i="34"/>
  <c r="L89" i="34"/>
  <c r="M89" i="34"/>
  <c r="N89" i="34"/>
  <c r="O89" i="34"/>
  <c r="O90" i="34"/>
  <c r="O91" i="34"/>
  <c r="Q89" i="34"/>
  <c r="Q90" i="34"/>
  <c r="Q91" i="34"/>
  <c r="S89" i="34"/>
  <c r="T89" i="34"/>
  <c r="U89" i="34"/>
  <c r="V89" i="34"/>
  <c r="W89" i="34"/>
  <c r="X89" i="34"/>
  <c r="Y89" i="34"/>
  <c r="Z89" i="34"/>
  <c r="AA89" i="34"/>
  <c r="AB89" i="34"/>
  <c r="AC89" i="34"/>
  <c r="AD89" i="34"/>
  <c r="AE89" i="34"/>
  <c r="AF89" i="34"/>
  <c r="AG89" i="34"/>
  <c r="AH89" i="34"/>
  <c r="AI89" i="34"/>
  <c r="AJ89" i="34"/>
  <c r="AK89" i="34"/>
  <c r="AL89" i="34"/>
  <c r="AM89" i="34"/>
  <c r="J90" i="34"/>
  <c r="K90" i="34"/>
  <c r="L90" i="34"/>
  <c r="S90" i="34"/>
  <c r="T90" i="34"/>
  <c r="U90" i="34"/>
  <c r="V90" i="34"/>
  <c r="W90" i="34"/>
  <c r="X90" i="34"/>
  <c r="Y90" i="34"/>
  <c r="Z90" i="34"/>
  <c r="AA90" i="34"/>
  <c r="AB90" i="34"/>
  <c r="AC90" i="34"/>
  <c r="AD90" i="34"/>
  <c r="AE90" i="34"/>
  <c r="AF90" i="34"/>
  <c r="AG90" i="34"/>
  <c r="AH90" i="34"/>
  <c r="AI90" i="34"/>
  <c r="AJ90" i="34"/>
  <c r="AK90" i="34"/>
  <c r="AL90" i="34"/>
  <c r="AM90" i="34"/>
  <c r="J91" i="34"/>
  <c r="K91" i="34"/>
  <c r="L91" i="34"/>
  <c r="S91" i="34"/>
  <c r="T91" i="34"/>
  <c r="U91" i="34"/>
  <c r="V91" i="34"/>
  <c r="W91" i="34"/>
  <c r="X91" i="34"/>
  <c r="Y91" i="34"/>
  <c r="Z91" i="34"/>
  <c r="AA91" i="34"/>
  <c r="AB91" i="34"/>
  <c r="AC91" i="34"/>
  <c r="AD91" i="34"/>
  <c r="AE91" i="34"/>
  <c r="AF91" i="34"/>
  <c r="AG91" i="34"/>
  <c r="AH91" i="34"/>
  <c r="AI91" i="34"/>
  <c r="AJ91" i="34"/>
  <c r="AK91" i="34"/>
  <c r="AL91" i="34"/>
  <c r="AM91" i="34"/>
  <c r="K93" i="34"/>
  <c r="M93" i="34"/>
  <c r="N93" i="34"/>
  <c r="O93" i="34"/>
  <c r="P93" i="34"/>
  <c r="P100" i="34"/>
  <c r="R93" i="34"/>
  <c r="R100" i="34"/>
  <c r="T93" i="34"/>
  <c r="U93" i="34"/>
  <c r="V93" i="34"/>
  <c r="Y93" i="34"/>
  <c r="AB93" i="34"/>
  <c r="AC93" i="34"/>
  <c r="AE93" i="34"/>
  <c r="AF93" i="34"/>
  <c r="AH93" i="34"/>
  <c r="AI93" i="34"/>
  <c r="AJ93" i="34"/>
  <c r="AL93" i="34"/>
  <c r="AM93" i="34"/>
  <c r="K94" i="34"/>
  <c r="M94" i="34"/>
  <c r="M101" i="34"/>
  <c r="N94" i="34"/>
  <c r="O94" i="34"/>
  <c r="P94" i="34"/>
  <c r="P101" i="34"/>
  <c r="R94" i="34"/>
  <c r="T94" i="34"/>
  <c r="U94" i="34"/>
  <c r="V94" i="34"/>
  <c r="Y94" i="34"/>
  <c r="AE94" i="34"/>
  <c r="AF94" i="34"/>
  <c r="AH94" i="34"/>
  <c r="AI94" i="34"/>
  <c r="AJ94" i="34"/>
  <c r="AL94" i="34"/>
  <c r="AM94" i="34"/>
  <c r="J96" i="34"/>
  <c r="K96" i="34"/>
  <c r="L96" i="34"/>
  <c r="M96" i="34"/>
  <c r="N96" i="34"/>
  <c r="O96" i="34"/>
  <c r="P96" i="34"/>
  <c r="Q96" i="34"/>
  <c r="R96" i="34"/>
  <c r="S96" i="34"/>
  <c r="T96" i="34"/>
  <c r="U96" i="34"/>
  <c r="V96" i="34"/>
  <c r="W96" i="34"/>
  <c r="X96" i="34"/>
  <c r="Y96" i="34"/>
  <c r="Z96" i="34"/>
  <c r="AA96" i="34"/>
  <c r="AB96" i="34"/>
  <c r="AC96" i="34"/>
  <c r="AD96" i="34"/>
  <c r="AE96" i="34"/>
  <c r="AF96" i="34"/>
  <c r="AG96" i="34"/>
  <c r="AH96" i="34"/>
  <c r="AI96" i="34"/>
  <c r="AJ96" i="34"/>
  <c r="AK96" i="34"/>
  <c r="AL96" i="34"/>
  <c r="AM96" i="34"/>
  <c r="J97" i="34"/>
  <c r="K97" i="34"/>
  <c r="L97" i="34"/>
  <c r="M97" i="34"/>
  <c r="N97" i="34"/>
  <c r="O97" i="34"/>
  <c r="P97" i="34"/>
  <c r="Q97" i="34"/>
  <c r="R97" i="34"/>
  <c r="S97" i="34"/>
  <c r="T97" i="34"/>
  <c r="U97" i="34"/>
  <c r="V97" i="34"/>
  <c r="W97" i="34"/>
  <c r="X97" i="34"/>
  <c r="Y97" i="34"/>
  <c r="Z97" i="34"/>
  <c r="AA97" i="34"/>
  <c r="AB97" i="34"/>
  <c r="AC97" i="34"/>
  <c r="AD97" i="34"/>
  <c r="AE97" i="34"/>
  <c r="AF97" i="34"/>
  <c r="AG97" i="34"/>
  <c r="AH97" i="34"/>
  <c r="AI97" i="34"/>
  <c r="AJ97" i="34"/>
  <c r="AK97" i="34"/>
  <c r="AL97" i="34"/>
  <c r="AM97" i="34"/>
  <c r="J100" i="34"/>
  <c r="K100" i="34"/>
  <c r="L100" i="34"/>
  <c r="M100" i="34"/>
  <c r="N100" i="34"/>
  <c r="O100" i="34"/>
  <c r="Q100" i="34"/>
  <c r="S100" i="34"/>
  <c r="T100" i="34"/>
  <c r="U100" i="34"/>
  <c r="V100" i="34"/>
  <c r="W100" i="34"/>
  <c r="X100" i="34"/>
  <c r="Y100" i="34"/>
  <c r="Z100" i="34"/>
  <c r="AA100" i="34"/>
  <c r="AB100" i="34"/>
  <c r="AC100" i="34"/>
  <c r="AD100" i="34"/>
  <c r="AE100" i="34"/>
  <c r="AF100" i="34"/>
  <c r="AG100" i="34"/>
  <c r="AH100" i="34"/>
  <c r="AI100" i="34"/>
  <c r="AJ100" i="34"/>
  <c r="AK100" i="34"/>
  <c r="AL100" i="34"/>
  <c r="AM100" i="34"/>
  <c r="J101" i="34"/>
  <c r="K101" i="34"/>
  <c r="L101" i="34"/>
  <c r="N101" i="34"/>
  <c r="O101" i="34"/>
  <c r="R101" i="34"/>
  <c r="R102" i="34"/>
  <c r="R103" i="34"/>
  <c r="S101" i="34"/>
  <c r="T101" i="34"/>
  <c r="U101" i="34"/>
  <c r="V101" i="34"/>
  <c r="W101" i="34"/>
  <c r="X101" i="34"/>
  <c r="Y101" i="34"/>
  <c r="Z101" i="34"/>
  <c r="AA101" i="34"/>
  <c r="AB101" i="34"/>
  <c r="AD101" i="34"/>
  <c r="AE101" i="34"/>
  <c r="AF101" i="34"/>
  <c r="AG101" i="34"/>
  <c r="AH101" i="34"/>
  <c r="AI101" i="34"/>
  <c r="AJ101" i="34"/>
  <c r="AK101" i="34"/>
  <c r="AL101" i="34"/>
  <c r="AM101" i="34"/>
  <c r="J102" i="34"/>
  <c r="K102" i="34"/>
  <c r="L102" i="34"/>
  <c r="N102" i="34"/>
  <c r="O102" i="34"/>
  <c r="S102" i="34"/>
  <c r="T102" i="34"/>
  <c r="U102" i="34"/>
  <c r="V102" i="34"/>
  <c r="W102" i="34"/>
  <c r="X102" i="34"/>
  <c r="Y102" i="34"/>
  <c r="Z102" i="34"/>
  <c r="AA102" i="34"/>
  <c r="AB102" i="34"/>
  <c r="AC102" i="34"/>
  <c r="AD102" i="34"/>
  <c r="AE102" i="34"/>
  <c r="AF102" i="34"/>
  <c r="AG102" i="34"/>
  <c r="AH102" i="34"/>
  <c r="AI102" i="34"/>
  <c r="AJ102" i="34"/>
  <c r="AK102" i="34"/>
  <c r="AL102" i="34"/>
  <c r="AM102" i="34"/>
  <c r="J103" i="34"/>
  <c r="K103" i="34"/>
  <c r="L103" i="34"/>
  <c r="N103" i="34"/>
  <c r="O103" i="34"/>
  <c r="S103" i="34"/>
  <c r="T103" i="34"/>
  <c r="U103" i="34"/>
  <c r="V103" i="34"/>
  <c r="W103" i="34"/>
  <c r="X103" i="34"/>
  <c r="Y103" i="34"/>
  <c r="Z103" i="34"/>
  <c r="AA103" i="34"/>
  <c r="AB103" i="34"/>
  <c r="AC103" i="34"/>
  <c r="AD103" i="34"/>
  <c r="AE103" i="34"/>
  <c r="AF103" i="34"/>
  <c r="AG103" i="34"/>
  <c r="AH103" i="34"/>
  <c r="AI103" i="34"/>
  <c r="AJ103" i="34"/>
  <c r="AK103" i="34"/>
  <c r="AL103" i="34"/>
  <c r="AM103" i="34"/>
  <c r="N105" i="34"/>
  <c r="O105" i="34"/>
  <c r="P112" i="34"/>
  <c r="R105" i="34"/>
  <c r="R112" i="34"/>
  <c r="S105" i="34"/>
  <c r="T105" i="34"/>
  <c r="U105" i="34"/>
  <c r="V105" i="34"/>
  <c r="Y105" i="34"/>
  <c r="AB105" i="34"/>
  <c r="AC105" i="34"/>
  <c r="AD105" i="34"/>
  <c r="AE105" i="34"/>
  <c r="AF105" i="34"/>
  <c r="AG105" i="34"/>
  <c r="AH105" i="34"/>
  <c r="AI105" i="34"/>
  <c r="AJ105" i="34"/>
  <c r="AL105" i="34"/>
  <c r="AM105" i="34"/>
  <c r="K106" i="34"/>
  <c r="L106" i="34"/>
  <c r="N106" i="34"/>
  <c r="N113" i="34"/>
  <c r="O106" i="34"/>
  <c r="P113" i="34"/>
  <c r="P114" i="34"/>
  <c r="P115" i="34"/>
  <c r="Q106" i="34"/>
  <c r="R106" i="34"/>
  <c r="S106" i="34"/>
  <c r="T106" i="34"/>
  <c r="U106" i="34"/>
  <c r="V106" i="34"/>
  <c r="X106" i="34"/>
  <c r="Y106" i="34"/>
  <c r="AB106" i="34"/>
  <c r="AC106" i="34"/>
  <c r="AD106" i="34"/>
  <c r="AE106" i="34"/>
  <c r="AF106" i="34"/>
  <c r="AG106" i="34"/>
  <c r="AH106" i="34"/>
  <c r="AI106" i="34"/>
  <c r="AJ106" i="34"/>
  <c r="AL106" i="34"/>
  <c r="AM106" i="34"/>
  <c r="J108" i="34"/>
  <c r="K108" i="34"/>
  <c r="L108" i="34"/>
  <c r="M108" i="34"/>
  <c r="N108" i="34"/>
  <c r="O108" i="34"/>
  <c r="P108" i="34"/>
  <c r="Q108" i="34"/>
  <c r="R108" i="34"/>
  <c r="S108" i="34"/>
  <c r="T108" i="34"/>
  <c r="U108" i="34"/>
  <c r="V108" i="34"/>
  <c r="W108" i="34"/>
  <c r="X108" i="34"/>
  <c r="Y108" i="34"/>
  <c r="Z108" i="34"/>
  <c r="AA108" i="34"/>
  <c r="AB108" i="34"/>
  <c r="AC108" i="34"/>
  <c r="AD108" i="34"/>
  <c r="AE108" i="34"/>
  <c r="AF108" i="34"/>
  <c r="AG108" i="34"/>
  <c r="AH108" i="34"/>
  <c r="AI108" i="34"/>
  <c r="AJ108" i="34"/>
  <c r="AK108" i="34"/>
  <c r="AL108" i="34"/>
  <c r="AM108" i="34"/>
  <c r="J109" i="34"/>
  <c r="K109" i="34"/>
  <c r="L109" i="34"/>
  <c r="M109" i="34"/>
  <c r="N109" i="34"/>
  <c r="O109" i="34"/>
  <c r="P109" i="34"/>
  <c r="Q109" i="34"/>
  <c r="R109" i="34"/>
  <c r="S109" i="34"/>
  <c r="T109" i="34"/>
  <c r="U109" i="34"/>
  <c r="V109" i="34"/>
  <c r="W109" i="34"/>
  <c r="X109" i="34"/>
  <c r="Y109" i="34"/>
  <c r="Z109" i="34"/>
  <c r="AA109" i="34"/>
  <c r="AB109" i="34"/>
  <c r="AC109" i="34"/>
  <c r="AD109" i="34"/>
  <c r="AE109" i="34"/>
  <c r="AF109" i="34"/>
  <c r="AG109" i="34"/>
  <c r="AH109" i="34"/>
  <c r="AI109" i="34"/>
  <c r="AJ109" i="34"/>
  <c r="AK109" i="34"/>
  <c r="AL109" i="34"/>
  <c r="AM109" i="34"/>
  <c r="J112" i="34"/>
  <c r="K112" i="34"/>
  <c r="L112" i="34"/>
  <c r="M112" i="34"/>
  <c r="N112" i="34"/>
  <c r="O112" i="34"/>
  <c r="Q112" i="34"/>
  <c r="S112" i="34"/>
  <c r="T112" i="34"/>
  <c r="U112" i="34"/>
  <c r="V112" i="34"/>
  <c r="W112" i="34"/>
  <c r="X112" i="34"/>
  <c r="Y112" i="34"/>
  <c r="Z112" i="34"/>
  <c r="AA112" i="34"/>
  <c r="AB112" i="34"/>
  <c r="AC112" i="34"/>
  <c r="AD112" i="34"/>
  <c r="AE112" i="34"/>
  <c r="AF112" i="34"/>
  <c r="AG112" i="34"/>
  <c r="AH112" i="34"/>
  <c r="AI112" i="34"/>
  <c r="AJ112" i="34"/>
  <c r="AK112" i="34"/>
  <c r="AL112" i="34"/>
  <c r="AM112" i="34"/>
  <c r="J113" i="34"/>
  <c r="K113" i="34"/>
  <c r="L113" i="34"/>
  <c r="M113" i="34"/>
  <c r="O113" i="34"/>
  <c r="S113" i="34"/>
  <c r="T113" i="34"/>
  <c r="U113" i="34"/>
  <c r="V113" i="34"/>
  <c r="W113" i="34"/>
  <c r="X113" i="34"/>
  <c r="Y113" i="34"/>
  <c r="Z113" i="34"/>
  <c r="AA113" i="34"/>
  <c r="AB113" i="34"/>
  <c r="AC113" i="34"/>
  <c r="AD113" i="34"/>
  <c r="AE113" i="34"/>
  <c r="AF113" i="34"/>
  <c r="AG113" i="34"/>
  <c r="AH113" i="34"/>
  <c r="AI113" i="34"/>
  <c r="AJ113" i="34"/>
  <c r="AK113" i="34"/>
  <c r="AL113" i="34"/>
  <c r="AM113" i="34"/>
  <c r="J114" i="34"/>
  <c r="K114" i="34"/>
  <c r="L114" i="34"/>
  <c r="M114" i="34"/>
  <c r="M115" i="34"/>
  <c r="O114" i="34"/>
  <c r="O115" i="34"/>
  <c r="S114" i="34"/>
  <c r="T114" i="34"/>
  <c r="U114" i="34"/>
  <c r="V114" i="34"/>
  <c r="W114" i="34"/>
  <c r="X114" i="34"/>
  <c r="Y114" i="34"/>
  <c r="Z114" i="34"/>
  <c r="AA114" i="34"/>
  <c r="AB114" i="34"/>
  <c r="AC114" i="34"/>
  <c r="AD114" i="34"/>
  <c r="AE114" i="34"/>
  <c r="AF114" i="34"/>
  <c r="AG114" i="34"/>
  <c r="AH114" i="34"/>
  <c r="AI114" i="34"/>
  <c r="AJ114" i="34"/>
  <c r="AK114" i="34"/>
  <c r="AL114" i="34"/>
  <c r="AM114" i="34"/>
  <c r="J115" i="34"/>
  <c r="K115" i="34"/>
  <c r="L115" i="34"/>
  <c r="S115" i="34"/>
  <c r="T115" i="34"/>
  <c r="U115" i="34"/>
  <c r="V115" i="34"/>
  <c r="W115" i="34"/>
  <c r="X115" i="34"/>
  <c r="Y115" i="34"/>
  <c r="Z115" i="34"/>
  <c r="AA115" i="34"/>
  <c r="AB115" i="34"/>
  <c r="AC115" i="34"/>
  <c r="AD115" i="34"/>
  <c r="AE115" i="34"/>
  <c r="AF115" i="34"/>
  <c r="AG115" i="34"/>
  <c r="AH115" i="34"/>
  <c r="AI115" i="34"/>
  <c r="AJ115" i="34"/>
  <c r="AK115" i="34"/>
  <c r="AL115" i="34"/>
  <c r="AM115" i="34"/>
  <c r="J117" i="34"/>
  <c r="K117" i="34"/>
  <c r="N117" i="34"/>
  <c r="O117" i="34"/>
  <c r="P124" i="34"/>
  <c r="Q117" i="34"/>
  <c r="R117" i="34"/>
  <c r="R124" i="34"/>
  <c r="T117" i="34"/>
  <c r="U117" i="34"/>
  <c r="V117" i="34"/>
  <c r="X117" i="34"/>
  <c r="Y117" i="34"/>
  <c r="AB117" i="34"/>
  <c r="AC117" i="34"/>
  <c r="AE117" i="34"/>
  <c r="AF117" i="34"/>
  <c r="AH117" i="34"/>
  <c r="AI117" i="34"/>
  <c r="AJ117" i="34"/>
  <c r="AK117" i="34"/>
  <c r="AL117" i="34"/>
  <c r="AM117" i="34"/>
  <c r="J118" i="34"/>
  <c r="K118" i="34"/>
  <c r="N118" i="34"/>
  <c r="O118" i="34"/>
  <c r="Q118" i="34"/>
  <c r="R118" i="34"/>
  <c r="S118" i="34"/>
  <c r="T118" i="34"/>
  <c r="U118" i="34"/>
  <c r="V118" i="34"/>
  <c r="X118" i="34"/>
  <c r="Y118" i="34"/>
  <c r="AB118" i="34"/>
  <c r="AC118" i="34"/>
  <c r="AE118" i="34"/>
  <c r="AF118" i="34"/>
  <c r="AH118" i="34"/>
  <c r="AI118" i="34"/>
  <c r="AJ118" i="34"/>
  <c r="AL118" i="34"/>
  <c r="AM118" i="34"/>
  <c r="J120" i="34"/>
  <c r="K120" i="34"/>
  <c r="L120" i="34"/>
  <c r="M120" i="34"/>
  <c r="N120" i="34"/>
  <c r="N126" i="34"/>
  <c r="O120" i="34"/>
  <c r="Q120" i="34"/>
  <c r="R120" i="34"/>
  <c r="S120" i="34"/>
  <c r="T120" i="34"/>
  <c r="U120" i="34"/>
  <c r="V120" i="34"/>
  <c r="W120" i="34"/>
  <c r="X120" i="34"/>
  <c r="Y120" i="34"/>
  <c r="Z120" i="34"/>
  <c r="AA120" i="34"/>
  <c r="AB120" i="34"/>
  <c r="AC120" i="34"/>
  <c r="AD120" i="34"/>
  <c r="AE120" i="34"/>
  <c r="AF120" i="34"/>
  <c r="AG120" i="34"/>
  <c r="AH120" i="34"/>
  <c r="AI120" i="34"/>
  <c r="AJ120" i="34"/>
  <c r="AK120" i="34"/>
  <c r="AL120" i="34"/>
  <c r="AM120" i="34"/>
  <c r="J121" i="34"/>
  <c r="K121" i="34"/>
  <c r="L121" i="34"/>
  <c r="M121" i="34"/>
  <c r="N121" i="34"/>
  <c r="O121" i="34"/>
  <c r="P121" i="34"/>
  <c r="Q121" i="34"/>
  <c r="R121" i="34"/>
  <c r="U121" i="34"/>
  <c r="V121" i="34"/>
  <c r="W121" i="34"/>
  <c r="Y121" i="34"/>
  <c r="Z121" i="34"/>
  <c r="AA121" i="34"/>
  <c r="AB121" i="34"/>
  <c r="AC121" i="34"/>
  <c r="AD121" i="34"/>
  <c r="AE121" i="34"/>
  <c r="AF121" i="34"/>
  <c r="AG121" i="34"/>
  <c r="AH121" i="34"/>
  <c r="AI121" i="34"/>
  <c r="AJ121" i="34"/>
  <c r="AL121" i="34"/>
  <c r="AM121" i="34"/>
  <c r="J124" i="34"/>
  <c r="K124" i="34"/>
  <c r="L124" i="34"/>
  <c r="M124" i="34"/>
  <c r="N124" i="34"/>
  <c r="O124" i="34"/>
  <c r="Q124" i="34"/>
  <c r="S124" i="34"/>
  <c r="T124" i="34"/>
  <c r="U124" i="34"/>
  <c r="V124" i="34"/>
  <c r="W124" i="34"/>
  <c r="X124" i="34"/>
  <c r="Y124" i="34"/>
  <c r="Z124" i="34"/>
  <c r="AA124" i="34"/>
  <c r="AB124" i="34"/>
  <c r="AC124" i="34"/>
  <c r="AD124" i="34"/>
  <c r="AE124" i="34"/>
  <c r="AF124" i="34"/>
  <c r="AG124" i="34"/>
  <c r="AH124" i="34"/>
  <c r="AI124" i="34"/>
  <c r="AJ124" i="34"/>
  <c r="AK124" i="34"/>
  <c r="AL124" i="34"/>
  <c r="AM124" i="34"/>
  <c r="J125" i="34"/>
  <c r="K125" i="34"/>
  <c r="L125" i="34"/>
  <c r="M125" i="34"/>
  <c r="N125" i="34"/>
  <c r="O125" i="34"/>
  <c r="O126" i="34"/>
  <c r="O127" i="34"/>
  <c r="P125" i="34"/>
  <c r="Q125" i="34"/>
  <c r="R125" i="34"/>
  <c r="R126" i="34"/>
  <c r="R127" i="34"/>
  <c r="S125" i="34"/>
  <c r="T125" i="34"/>
  <c r="U125" i="34"/>
  <c r="V125" i="34"/>
  <c r="W125" i="34"/>
  <c r="X125" i="34"/>
  <c r="Y125" i="34"/>
  <c r="Z125" i="34"/>
  <c r="AA125" i="34"/>
  <c r="AB125" i="34"/>
  <c r="AC125" i="34"/>
  <c r="AD125" i="34"/>
  <c r="AE125" i="34"/>
  <c r="AF125" i="34"/>
  <c r="AG125" i="34"/>
  <c r="AH125" i="34"/>
  <c r="AI125" i="34"/>
  <c r="AJ125" i="34"/>
  <c r="AK125" i="34"/>
  <c r="AL125" i="34"/>
  <c r="AM125" i="34"/>
  <c r="J126" i="34"/>
  <c r="K126" i="34"/>
  <c r="L126" i="34"/>
  <c r="M126" i="34"/>
  <c r="M127" i="34"/>
  <c r="Q126" i="34"/>
  <c r="Q127" i="34"/>
  <c r="S126" i="34"/>
  <c r="T126" i="34"/>
  <c r="U126" i="34"/>
  <c r="V126" i="34"/>
  <c r="W126" i="34"/>
  <c r="X126" i="34"/>
  <c r="Y126" i="34"/>
  <c r="Z126" i="34"/>
  <c r="AA126" i="34"/>
  <c r="AB126" i="34"/>
  <c r="AC126" i="34"/>
  <c r="AD126" i="34"/>
  <c r="AE126" i="34"/>
  <c r="AF126" i="34"/>
  <c r="AG126" i="34"/>
  <c r="AH126" i="34"/>
  <c r="AI126" i="34"/>
  <c r="AJ126" i="34"/>
  <c r="AK126" i="34"/>
  <c r="AL126" i="34"/>
  <c r="AM126" i="34"/>
  <c r="J127" i="34"/>
  <c r="K127" i="34"/>
  <c r="L127" i="34"/>
  <c r="S127" i="34"/>
  <c r="T127" i="34"/>
  <c r="U127" i="34"/>
  <c r="V127" i="34"/>
  <c r="W127" i="34"/>
  <c r="X127" i="34"/>
  <c r="Y127" i="34"/>
  <c r="Z127" i="34"/>
  <c r="AA127" i="34"/>
  <c r="AB127" i="34"/>
  <c r="AC127" i="34"/>
  <c r="AD127" i="34"/>
  <c r="AE127" i="34"/>
  <c r="AF127" i="34"/>
  <c r="AG127" i="34"/>
  <c r="AH127" i="34"/>
  <c r="AI127" i="34"/>
  <c r="AJ127" i="34"/>
  <c r="AK127" i="34"/>
  <c r="AL127" i="34"/>
  <c r="AM127" i="34"/>
  <c r="K129" i="34"/>
  <c r="N129" i="34"/>
  <c r="N136" i="34"/>
  <c r="O129" i="34"/>
  <c r="O136" i="34"/>
  <c r="P136" i="34"/>
  <c r="Q129" i="34"/>
  <c r="R129" i="34"/>
  <c r="T129" i="34"/>
  <c r="U129" i="34"/>
  <c r="V129" i="34"/>
  <c r="Y129" i="34"/>
  <c r="AA129" i="34"/>
  <c r="AB129" i="34"/>
  <c r="AC129" i="34"/>
  <c r="AD129" i="34"/>
  <c r="AE129" i="34"/>
  <c r="AF129" i="34"/>
  <c r="AH129" i="34"/>
  <c r="AI129" i="34"/>
  <c r="AJ129" i="34"/>
  <c r="AK129" i="34"/>
  <c r="AL129" i="34"/>
  <c r="AM129" i="34"/>
  <c r="K130" i="34"/>
  <c r="N130" i="34"/>
  <c r="O130" i="34"/>
  <c r="O137" i="34"/>
  <c r="O138" i="34"/>
  <c r="O139" i="34"/>
  <c r="P137" i="34"/>
  <c r="P138" i="34"/>
  <c r="P139" i="34"/>
  <c r="Q130" i="34"/>
  <c r="R130" i="34"/>
  <c r="T130" i="34"/>
  <c r="U130" i="34"/>
  <c r="V130" i="34"/>
  <c r="X130" i="34"/>
  <c r="Y130" i="34"/>
  <c r="AA130" i="34"/>
  <c r="AB130" i="34"/>
  <c r="AC130" i="34"/>
  <c r="AD130" i="34"/>
  <c r="AE130" i="34"/>
  <c r="AF130" i="34"/>
  <c r="AH130" i="34"/>
  <c r="AI130" i="34"/>
  <c r="AJ130" i="34"/>
  <c r="AK130" i="34"/>
  <c r="AL130" i="34"/>
  <c r="AM130" i="34"/>
  <c r="J132" i="34"/>
  <c r="K132" i="34"/>
  <c r="L132" i="34"/>
  <c r="M132" i="34"/>
  <c r="N132" i="34"/>
  <c r="O132" i="34"/>
  <c r="P132" i="34"/>
  <c r="Q132" i="34"/>
  <c r="R132" i="34"/>
  <c r="S132" i="34"/>
  <c r="T132" i="34"/>
  <c r="U132" i="34"/>
  <c r="V132" i="34"/>
  <c r="W132" i="34"/>
  <c r="X132" i="34"/>
  <c r="Y132" i="34"/>
  <c r="Z132" i="34"/>
  <c r="AA132" i="34"/>
  <c r="AB132" i="34"/>
  <c r="AC132" i="34"/>
  <c r="AD132" i="34"/>
  <c r="AE132" i="34"/>
  <c r="AF132" i="34"/>
  <c r="AG132" i="34"/>
  <c r="AH132" i="34"/>
  <c r="AI132" i="34"/>
  <c r="AJ132" i="34"/>
  <c r="AK132" i="34"/>
  <c r="AL132" i="34"/>
  <c r="AM132" i="34"/>
  <c r="J133" i="34"/>
  <c r="K133" i="34"/>
  <c r="L133" i="34"/>
  <c r="M133" i="34"/>
  <c r="N133" i="34"/>
  <c r="O133" i="34"/>
  <c r="P133" i="34"/>
  <c r="Q133" i="34"/>
  <c r="R133" i="34"/>
  <c r="T133" i="34"/>
  <c r="U133" i="34"/>
  <c r="V133" i="34"/>
  <c r="W133" i="34"/>
  <c r="X133" i="34"/>
  <c r="Y133" i="34"/>
  <c r="Z133" i="34"/>
  <c r="AA133" i="34"/>
  <c r="AB133" i="34"/>
  <c r="AC133" i="34"/>
  <c r="AD133" i="34"/>
  <c r="AE133" i="34"/>
  <c r="AF133" i="34"/>
  <c r="AG133" i="34"/>
  <c r="AH133" i="34"/>
  <c r="AI133" i="34"/>
  <c r="AJ133" i="34"/>
  <c r="AK133" i="34"/>
  <c r="AL133" i="34"/>
  <c r="AM133" i="34"/>
  <c r="J136" i="34"/>
  <c r="K136" i="34"/>
  <c r="L136" i="34"/>
  <c r="M136" i="34"/>
  <c r="Q136" i="34"/>
  <c r="R136" i="34"/>
  <c r="S136" i="34"/>
  <c r="T136" i="34"/>
  <c r="U136" i="34"/>
  <c r="V136" i="34"/>
  <c r="W136" i="34"/>
  <c r="X136" i="34"/>
  <c r="Y136" i="34"/>
  <c r="Z136" i="34"/>
  <c r="AA136" i="34"/>
  <c r="AB136" i="34"/>
  <c r="AC136" i="34"/>
  <c r="AD136" i="34"/>
  <c r="AE136" i="34"/>
  <c r="AF136" i="34"/>
  <c r="AG136" i="34"/>
  <c r="AH136" i="34"/>
  <c r="AI136" i="34"/>
  <c r="AJ136" i="34"/>
  <c r="AK136" i="34"/>
  <c r="AL136" i="34"/>
  <c r="AM136" i="34"/>
  <c r="J137" i="34"/>
  <c r="K137" i="34"/>
  <c r="L137" i="34"/>
  <c r="M137" i="34"/>
  <c r="N137" i="34"/>
  <c r="N138" i="34"/>
  <c r="Q137" i="34"/>
  <c r="Q138" i="34"/>
  <c r="Q139" i="34"/>
  <c r="S137" i="34"/>
  <c r="T137" i="34"/>
  <c r="U137" i="34"/>
  <c r="V137" i="34"/>
  <c r="W137" i="34"/>
  <c r="X137" i="34"/>
  <c r="Y137" i="34"/>
  <c r="Z137" i="34"/>
  <c r="AA137" i="34"/>
  <c r="AB137" i="34"/>
  <c r="AC137" i="34"/>
  <c r="AD137" i="34"/>
  <c r="AE137" i="34"/>
  <c r="AF137" i="34"/>
  <c r="AG137" i="34"/>
  <c r="AH137" i="34"/>
  <c r="AI137" i="34"/>
  <c r="AJ137" i="34"/>
  <c r="AK137" i="34"/>
  <c r="AL137" i="34"/>
  <c r="AM137" i="34"/>
  <c r="J138" i="34"/>
  <c r="K138" i="34"/>
  <c r="L138" i="34"/>
  <c r="M138" i="34"/>
  <c r="M139" i="34"/>
  <c r="S138" i="34"/>
  <c r="T138" i="34"/>
  <c r="U138" i="34"/>
  <c r="V138" i="34"/>
  <c r="W138" i="34"/>
  <c r="X138" i="34"/>
  <c r="Y138" i="34"/>
  <c r="Z138" i="34"/>
  <c r="AA138" i="34"/>
  <c r="AB138" i="34"/>
  <c r="AC138" i="34"/>
  <c r="AD138" i="34"/>
  <c r="AE138" i="34"/>
  <c r="AF138" i="34"/>
  <c r="AG138" i="34"/>
  <c r="AH138" i="34"/>
  <c r="AI138" i="34"/>
  <c r="AJ138" i="34"/>
  <c r="AK138" i="34"/>
  <c r="AL138" i="34"/>
  <c r="AM138" i="34"/>
  <c r="J139" i="34"/>
  <c r="K139" i="34"/>
  <c r="L139" i="34"/>
  <c r="S139" i="34"/>
  <c r="T139" i="34"/>
  <c r="U139" i="34"/>
  <c r="V139" i="34"/>
  <c r="W139" i="34"/>
  <c r="X139" i="34"/>
  <c r="Y139" i="34"/>
  <c r="Z139" i="34"/>
  <c r="AA139" i="34"/>
  <c r="AB139" i="34"/>
  <c r="AC139" i="34"/>
  <c r="AD139" i="34"/>
  <c r="AE139" i="34"/>
  <c r="AF139" i="34"/>
  <c r="AG139" i="34"/>
  <c r="AH139" i="34"/>
  <c r="AI139" i="34"/>
  <c r="AJ139" i="34"/>
  <c r="AK139" i="34"/>
  <c r="AL139" i="34"/>
  <c r="AM139" i="34"/>
  <c r="J141" i="34"/>
  <c r="K141" i="34"/>
  <c r="M141" i="34"/>
  <c r="N141" i="34"/>
  <c r="N148" i="34"/>
  <c r="O141" i="34"/>
  <c r="O148" i="34"/>
  <c r="P148" i="34"/>
  <c r="Q141" i="34"/>
  <c r="Q148" i="34"/>
  <c r="U141" i="34"/>
  <c r="V141" i="34"/>
  <c r="X141" i="34"/>
  <c r="Y141" i="34"/>
  <c r="AB141" i="34"/>
  <c r="AC141" i="34"/>
  <c r="AD141" i="34"/>
  <c r="AE141" i="34"/>
  <c r="AF141" i="34"/>
  <c r="AH141" i="34"/>
  <c r="AI141" i="34"/>
  <c r="AJ141" i="34"/>
  <c r="AK141" i="34"/>
  <c r="AL141" i="34"/>
  <c r="AM141" i="34"/>
  <c r="J142" i="34"/>
  <c r="K142" i="34"/>
  <c r="M142" i="34"/>
  <c r="M149" i="34"/>
  <c r="N142" i="34"/>
  <c r="N149" i="34"/>
  <c r="N150" i="34"/>
  <c r="N151" i="34"/>
  <c r="O142" i="34"/>
  <c r="Q142" i="34"/>
  <c r="Q149" i="34"/>
  <c r="Q144" i="34"/>
  <c r="Q150" i="34"/>
  <c r="Q151" i="34"/>
  <c r="U142" i="34"/>
  <c r="V142" i="34"/>
  <c r="X142" i="34"/>
  <c r="Y142" i="34"/>
  <c r="AB142" i="34"/>
  <c r="AC142" i="34"/>
  <c r="AD142" i="34"/>
  <c r="AE142" i="34"/>
  <c r="AF142" i="34"/>
  <c r="AH142" i="34"/>
  <c r="AI142" i="34"/>
  <c r="AJ142" i="34"/>
  <c r="AL142" i="34"/>
  <c r="AM142" i="34"/>
  <c r="J144" i="34"/>
  <c r="K144" i="34"/>
  <c r="L144" i="34"/>
  <c r="M144" i="34"/>
  <c r="N144" i="34"/>
  <c r="O144" i="34"/>
  <c r="P149" i="34"/>
  <c r="P150" i="34"/>
  <c r="P151" i="34"/>
  <c r="R144" i="34"/>
  <c r="S144" i="34"/>
  <c r="T144" i="34"/>
  <c r="U144" i="34"/>
  <c r="V144" i="34"/>
  <c r="W144" i="34"/>
  <c r="X144" i="34"/>
  <c r="Y144" i="34"/>
  <c r="Z144" i="34"/>
  <c r="AA144" i="34"/>
  <c r="AB144" i="34"/>
  <c r="AC144" i="34"/>
  <c r="AD144" i="34"/>
  <c r="AE144" i="34"/>
  <c r="AF144" i="34"/>
  <c r="AG144" i="34"/>
  <c r="AH144" i="34"/>
  <c r="AI144" i="34"/>
  <c r="AJ144" i="34"/>
  <c r="AK144" i="34"/>
  <c r="AL144" i="34"/>
  <c r="AM144" i="34"/>
  <c r="J145" i="34"/>
  <c r="K145" i="34"/>
  <c r="L145" i="34"/>
  <c r="M145" i="34"/>
  <c r="N145" i="34"/>
  <c r="O145" i="34"/>
  <c r="Q145" i="34"/>
  <c r="R145" i="34"/>
  <c r="S145" i="34"/>
  <c r="T145" i="34"/>
  <c r="U145" i="34"/>
  <c r="V145" i="34"/>
  <c r="W145" i="34"/>
  <c r="X145" i="34"/>
  <c r="Y145" i="34"/>
  <c r="Z145" i="34"/>
  <c r="AA145" i="34"/>
  <c r="AB145" i="34"/>
  <c r="AC145" i="34"/>
  <c r="AD145" i="34"/>
  <c r="AE145" i="34"/>
  <c r="AF145" i="34"/>
  <c r="AG145" i="34"/>
  <c r="AH145" i="34"/>
  <c r="AI145" i="34"/>
  <c r="AJ145" i="34"/>
  <c r="AL145" i="34"/>
  <c r="AM145" i="34"/>
  <c r="J148" i="34"/>
  <c r="K148" i="34"/>
  <c r="L148" i="34"/>
  <c r="M148" i="34"/>
  <c r="R141" i="34"/>
  <c r="S148" i="34"/>
  <c r="T148" i="34"/>
  <c r="U148" i="34"/>
  <c r="V148" i="34"/>
  <c r="W148" i="34"/>
  <c r="X148" i="34"/>
  <c r="Y148" i="34"/>
  <c r="Z148" i="34"/>
  <c r="AA148" i="34"/>
  <c r="AB148" i="34"/>
  <c r="AC148" i="34"/>
  <c r="AD148" i="34"/>
  <c r="AE148" i="34"/>
  <c r="AF148" i="34"/>
  <c r="AG148" i="34"/>
  <c r="AH148" i="34"/>
  <c r="AI148" i="34"/>
  <c r="AJ148" i="34"/>
  <c r="AK148" i="34"/>
  <c r="AL148" i="34"/>
  <c r="AM148" i="34"/>
  <c r="J149" i="34"/>
  <c r="K149" i="34"/>
  <c r="L149" i="34"/>
  <c r="O149" i="34"/>
  <c r="O150" i="34"/>
  <c r="O151" i="34"/>
  <c r="R142" i="34"/>
  <c r="S149" i="34"/>
  <c r="T149" i="34"/>
  <c r="U149" i="34"/>
  <c r="V149" i="34"/>
  <c r="W149" i="34"/>
  <c r="X149" i="34"/>
  <c r="Y149" i="34"/>
  <c r="Z149" i="34"/>
  <c r="AA149" i="34"/>
  <c r="AB149" i="34"/>
  <c r="AC149" i="34"/>
  <c r="AD149" i="34"/>
  <c r="AE149" i="34"/>
  <c r="AF149" i="34"/>
  <c r="AG149" i="34"/>
  <c r="AH149" i="34"/>
  <c r="AI149" i="34"/>
  <c r="AJ149" i="34"/>
  <c r="AK149" i="34"/>
  <c r="AL149" i="34"/>
  <c r="AM149" i="34"/>
  <c r="J150" i="34"/>
  <c r="K150" i="34"/>
  <c r="L150" i="34"/>
  <c r="S150" i="34"/>
  <c r="T150" i="34"/>
  <c r="U150" i="34"/>
  <c r="V150" i="34"/>
  <c r="W150" i="34"/>
  <c r="X150" i="34"/>
  <c r="Y150" i="34"/>
  <c r="Z150" i="34"/>
  <c r="AA150" i="34"/>
  <c r="AB150" i="34"/>
  <c r="AC150" i="34"/>
  <c r="AD150" i="34"/>
  <c r="AE150" i="34"/>
  <c r="AF150" i="34"/>
  <c r="AG150" i="34"/>
  <c r="AH150" i="34"/>
  <c r="AI150" i="34"/>
  <c r="AJ150" i="34"/>
  <c r="AK150" i="34"/>
  <c r="AL150" i="34"/>
  <c r="AM150" i="34"/>
  <c r="J151" i="34"/>
  <c r="K151" i="34"/>
  <c r="L151" i="34"/>
  <c r="S151" i="34"/>
  <c r="T151" i="34"/>
  <c r="U151" i="34"/>
  <c r="V151" i="34"/>
  <c r="W151" i="34"/>
  <c r="X151" i="34"/>
  <c r="Y151" i="34"/>
  <c r="Z151" i="34"/>
  <c r="AA151" i="34"/>
  <c r="AB151" i="34"/>
  <c r="AC151" i="34"/>
  <c r="AD151" i="34"/>
  <c r="AE151" i="34"/>
  <c r="AF151" i="34"/>
  <c r="AG151" i="34"/>
  <c r="AH151" i="34"/>
  <c r="AI151" i="34"/>
  <c r="AJ151" i="34"/>
  <c r="AK151" i="34"/>
  <c r="AL151" i="34"/>
  <c r="AM151" i="34"/>
  <c r="M153" i="34"/>
  <c r="N153" i="34"/>
  <c r="N160" i="34"/>
  <c r="O153" i="34"/>
  <c r="P153" i="34"/>
  <c r="P160" i="34"/>
  <c r="Q153" i="34"/>
  <c r="Q160" i="34"/>
  <c r="R153" i="34"/>
  <c r="U153" i="34"/>
  <c r="V153" i="34"/>
  <c r="Y153" i="34"/>
  <c r="Z153" i="34"/>
  <c r="AB153" i="34"/>
  <c r="AC153" i="34"/>
  <c r="AD153" i="34"/>
  <c r="AE153" i="34"/>
  <c r="AF153" i="34"/>
  <c r="AH153" i="34"/>
  <c r="AI153" i="34"/>
  <c r="AJ153" i="34"/>
  <c r="AL153" i="34"/>
  <c r="AM153" i="34"/>
  <c r="M154" i="34"/>
  <c r="N154" i="34"/>
  <c r="O154" i="34"/>
  <c r="O161" i="34"/>
  <c r="O162" i="34"/>
  <c r="O163" i="34"/>
  <c r="P154" i="34"/>
  <c r="Q154" i="34"/>
  <c r="Q161" i="34"/>
  <c r="Q162" i="34"/>
  <c r="Q163" i="34"/>
  <c r="T154" i="34"/>
  <c r="U154" i="34"/>
  <c r="V154" i="34"/>
  <c r="Y154" i="34"/>
  <c r="Z154" i="34"/>
  <c r="AB154" i="34"/>
  <c r="AC154" i="34"/>
  <c r="AD154" i="34"/>
  <c r="AE154" i="34"/>
  <c r="AF154" i="34"/>
  <c r="AH154" i="34"/>
  <c r="AI154" i="34"/>
  <c r="AJ154" i="34"/>
  <c r="AL154" i="34"/>
  <c r="AM154" i="34"/>
  <c r="J156" i="34"/>
  <c r="K156" i="34"/>
  <c r="L156" i="34"/>
  <c r="M156" i="34"/>
  <c r="N156" i="34"/>
  <c r="N162" i="34"/>
  <c r="O156" i="34"/>
  <c r="P156" i="34"/>
  <c r="Q156" i="34"/>
  <c r="R156" i="34"/>
  <c r="S156" i="34"/>
  <c r="T156" i="34"/>
  <c r="U156" i="34"/>
  <c r="V156" i="34"/>
  <c r="W156" i="34"/>
  <c r="X156" i="34"/>
  <c r="Y156" i="34"/>
  <c r="Z156" i="34"/>
  <c r="AA156" i="34"/>
  <c r="AB156" i="34"/>
  <c r="AC156" i="34"/>
  <c r="AD156" i="34"/>
  <c r="AE156" i="34"/>
  <c r="AF156" i="34"/>
  <c r="AG156" i="34"/>
  <c r="AH156" i="34"/>
  <c r="AI156" i="34"/>
  <c r="AJ156" i="34"/>
  <c r="AK156" i="34"/>
  <c r="AL156" i="34"/>
  <c r="AM156" i="34"/>
  <c r="J157" i="34"/>
  <c r="K157" i="34"/>
  <c r="L157" i="34"/>
  <c r="M157" i="34"/>
  <c r="N157" i="34"/>
  <c r="O157" i="34"/>
  <c r="P157" i="34"/>
  <c r="Q157" i="34"/>
  <c r="R157" i="34"/>
  <c r="S157" i="34"/>
  <c r="T157" i="34"/>
  <c r="U157" i="34"/>
  <c r="V157" i="34"/>
  <c r="W157" i="34"/>
  <c r="X157" i="34"/>
  <c r="Y157" i="34"/>
  <c r="Z157" i="34"/>
  <c r="AA157" i="34"/>
  <c r="AB157" i="34"/>
  <c r="AC157" i="34"/>
  <c r="AD157" i="34"/>
  <c r="AE157" i="34"/>
  <c r="AF157" i="34"/>
  <c r="AG157" i="34"/>
  <c r="AH157" i="34"/>
  <c r="AI157" i="34"/>
  <c r="AJ157" i="34"/>
  <c r="AK157" i="34"/>
  <c r="AL157" i="34"/>
  <c r="AM157" i="34"/>
  <c r="J160" i="34"/>
  <c r="K160" i="34"/>
  <c r="L160" i="34"/>
  <c r="M160" i="34"/>
  <c r="O160" i="34"/>
  <c r="R160" i="34"/>
  <c r="S160" i="34"/>
  <c r="T160" i="34"/>
  <c r="U160" i="34"/>
  <c r="V160" i="34"/>
  <c r="W160" i="34"/>
  <c r="X160" i="34"/>
  <c r="Y160" i="34"/>
  <c r="Z160" i="34"/>
  <c r="AA160" i="34"/>
  <c r="AB160" i="34"/>
  <c r="AC160" i="34"/>
  <c r="AD160" i="34"/>
  <c r="AE160" i="34"/>
  <c r="AF160" i="34"/>
  <c r="AG160" i="34"/>
  <c r="AH160" i="34"/>
  <c r="AI160" i="34"/>
  <c r="AJ160" i="34"/>
  <c r="AK160" i="34"/>
  <c r="AL160" i="34"/>
  <c r="AM160" i="34"/>
  <c r="J161" i="34"/>
  <c r="K161" i="34"/>
  <c r="L161" i="34"/>
  <c r="M161" i="34"/>
  <c r="N161" i="34"/>
  <c r="P161" i="34"/>
  <c r="S161" i="34"/>
  <c r="T161" i="34"/>
  <c r="U161" i="34"/>
  <c r="V161" i="34"/>
  <c r="W161" i="34"/>
  <c r="X161" i="34"/>
  <c r="Y161" i="34"/>
  <c r="Z161" i="34"/>
  <c r="AA161" i="34"/>
  <c r="AB161" i="34"/>
  <c r="AC161" i="34"/>
  <c r="AD161" i="34"/>
  <c r="AE161" i="34"/>
  <c r="AF161" i="34"/>
  <c r="AG161" i="34"/>
  <c r="AH161" i="34"/>
  <c r="AI161" i="34"/>
  <c r="AJ161" i="34"/>
  <c r="AK161" i="34"/>
  <c r="AL161" i="34"/>
  <c r="AM161" i="34"/>
  <c r="J162" i="34"/>
  <c r="K162" i="34"/>
  <c r="L162" i="34"/>
  <c r="M162" i="34"/>
  <c r="M163" i="34"/>
  <c r="S162" i="34"/>
  <c r="T162" i="34"/>
  <c r="U162" i="34"/>
  <c r="V162" i="34"/>
  <c r="W162" i="34"/>
  <c r="X162" i="34"/>
  <c r="Y162" i="34"/>
  <c r="Z162" i="34"/>
  <c r="AA162" i="34"/>
  <c r="AB162" i="34"/>
  <c r="AC162" i="34"/>
  <c r="AD162" i="34"/>
  <c r="AE162" i="34"/>
  <c r="AF162" i="34"/>
  <c r="AG162" i="34"/>
  <c r="AH162" i="34"/>
  <c r="AI162" i="34"/>
  <c r="AJ162" i="34"/>
  <c r="AK162" i="34"/>
  <c r="AL162" i="34"/>
  <c r="AM162" i="34"/>
  <c r="J163" i="34"/>
  <c r="K163" i="34"/>
  <c r="L163" i="34"/>
  <c r="S163" i="34"/>
  <c r="T163" i="34"/>
  <c r="U163" i="34"/>
  <c r="V163" i="34"/>
  <c r="W163" i="34"/>
  <c r="X163" i="34"/>
  <c r="Y163" i="34"/>
  <c r="Z163" i="34"/>
  <c r="AA163" i="34"/>
  <c r="AB163" i="34"/>
  <c r="AC163" i="34"/>
  <c r="AD163" i="34"/>
  <c r="AE163" i="34"/>
  <c r="AF163" i="34"/>
  <c r="AG163" i="34"/>
  <c r="AH163" i="34"/>
  <c r="AI163" i="34"/>
  <c r="AJ163" i="34"/>
  <c r="AK163" i="34"/>
  <c r="AL163" i="34"/>
  <c r="AM163" i="34"/>
  <c r="K165" i="34"/>
  <c r="N165" i="34"/>
  <c r="N172" i="34"/>
  <c r="O165" i="34"/>
  <c r="P172" i="34"/>
  <c r="R165" i="34"/>
  <c r="U165" i="34"/>
  <c r="V165" i="34"/>
  <c r="X165" i="34"/>
  <c r="Y165" i="34"/>
  <c r="AF165" i="34"/>
  <c r="AH165" i="34"/>
  <c r="AI165" i="34"/>
  <c r="AJ165" i="34"/>
  <c r="AK165" i="34"/>
  <c r="AL165" i="34"/>
  <c r="AM165" i="34"/>
  <c r="K166" i="34"/>
  <c r="N166" i="34"/>
  <c r="O166" i="34"/>
  <c r="O173" i="34"/>
  <c r="O174" i="34"/>
  <c r="O175" i="34"/>
  <c r="P173" i="34"/>
  <c r="Q166" i="34"/>
  <c r="R166" i="34"/>
  <c r="R173" i="34"/>
  <c r="R174" i="34"/>
  <c r="R175" i="34"/>
  <c r="U166" i="34"/>
  <c r="V166" i="34"/>
  <c r="X166" i="34"/>
  <c r="Y166" i="34"/>
  <c r="AF166" i="34"/>
  <c r="AH166" i="34"/>
  <c r="AI166" i="34"/>
  <c r="AJ166" i="34"/>
  <c r="AK166" i="34"/>
  <c r="AL166" i="34"/>
  <c r="AM166" i="34"/>
  <c r="J168" i="34"/>
  <c r="K168" i="34"/>
  <c r="L168" i="34"/>
  <c r="M168" i="34"/>
  <c r="N168" i="34"/>
  <c r="O168" i="34"/>
  <c r="P168" i="34"/>
  <c r="Q168" i="34"/>
  <c r="R168" i="34"/>
  <c r="S168" i="34"/>
  <c r="T168" i="34"/>
  <c r="U168" i="34"/>
  <c r="V168" i="34"/>
  <c r="W168" i="34"/>
  <c r="X168" i="34"/>
  <c r="Y168" i="34"/>
  <c r="Z168" i="34"/>
  <c r="AA168" i="34"/>
  <c r="AB168" i="34"/>
  <c r="AC168" i="34"/>
  <c r="AD168" i="34"/>
  <c r="AE168" i="34"/>
  <c r="AF168" i="34"/>
  <c r="AG168" i="34"/>
  <c r="AH168" i="34"/>
  <c r="AI168" i="34"/>
  <c r="AJ168" i="34"/>
  <c r="AK168" i="34"/>
  <c r="AL168" i="34"/>
  <c r="AM168" i="34"/>
  <c r="J169" i="34"/>
  <c r="K169" i="34"/>
  <c r="L169" i="34"/>
  <c r="M169" i="34"/>
  <c r="N169" i="34"/>
  <c r="O169" i="34"/>
  <c r="P169" i="34"/>
  <c r="Q169" i="34"/>
  <c r="R169" i="34"/>
  <c r="S169" i="34"/>
  <c r="T169" i="34"/>
  <c r="U169" i="34"/>
  <c r="V169" i="34"/>
  <c r="W169" i="34"/>
  <c r="X169" i="34"/>
  <c r="Y169" i="34"/>
  <c r="Z169" i="34"/>
  <c r="AA169" i="34"/>
  <c r="AB169" i="34"/>
  <c r="AC169" i="34"/>
  <c r="AD169" i="34"/>
  <c r="AE169" i="34"/>
  <c r="AF169" i="34"/>
  <c r="AG169" i="34"/>
  <c r="AH169" i="34"/>
  <c r="AI169" i="34"/>
  <c r="AJ169" i="34"/>
  <c r="AK169" i="34"/>
  <c r="AL169" i="34"/>
  <c r="AM169" i="34"/>
  <c r="J172" i="34"/>
  <c r="K172" i="34"/>
  <c r="L172" i="34"/>
  <c r="M172" i="34"/>
  <c r="O172" i="34"/>
  <c r="Q172" i="34"/>
  <c r="R172" i="34"/>
  <c r="S172" i="34"/>
  <c r="T172" i="34"/>
  <c r="U172" i="34"/>
  <c r="V172" i="34"/>
  <c r="W172" i="34"/>
  <c r="X172" i="34"/>
  <c r="Y172" i="34"/>
  <c r="Z172" i="34"/>
  <c r="AA172" i="34"/>
  <c r="AB172" i="34"/>
  <c r="AC172" i="34"/>
  <c r="AD172" i="34"/>
  <c r="AE172" i="34"/>
  <c r="AF172" i="34"/>
  <c r="AG172" i="34"/>
  <c r="AH172" i="34"/>
  <c r="AI172" i="34"/>
  <c r="AJ172" i="34"/>
  <c r="AK172" i="34"/>
  <c r="AL172" i="34"/>
  <c r="AM172" i="34"/>
  <c r="J173" i="34"/>
  <c r="K173" i="34"/>
  <c r="L173" i="34"/>
  <c r="M173" i="34"/>
  <c r="N173" i="34"/>
  <c r="N174" i="34"/>
  <c r="Q173" i="34"/>
  <c r="Q174" i="34"/>
  <c r="Q175" i="34"/>
  <c r="S173" i="34"/>
  <c r="T173" i="34"/>
  <c r="U173" i="34"/>
  <c r="V173" i="34"/>
  <c r="W173" i="34"/>
  <c r="X173" i="34"/>
  <c r="Y173" i="34"/>
  <c r="Z173" i="34"/>
  <c r="AA173" i="34"/>
  <c r="AB173" i="34"/>
  <c r="AC173" i="34"/>
  <c r="AD173" i="34"/>
  <c r="AE173" i="34"/>
  <c r="AF173" i="34"/>
  <c r="AG173" i="34"/>
  <c r="AH173" i="34"/>
  <c r="AI173" i="34"/>
  <c r="AJ173" i="34"/>
  <c r="AK173" i="34"/>
  <c r="AL173" i="34"/>
  <c r="AM173" i="34"/>
  <c r="J174" i="34"/>
  <c r="K174" i="34"/>
  <c r="L174" i="34"/>
  <c r="M174" i="34"/>
  <c r="M175" i="34"/>
  <c r="S174" i="34"/>
  <c r="T174" i="34"/>
  <c r="U174" i="34"/>
  <c r="V174" i="34"/>
  <c r="W174" i="34"/>
  <c r="X174" i="34"/>
  <c r="Y174" i="34"/>
  <c r="Z174" i="34"/>
  <c r="AA174" i="34"/>
  <c r="AB174" i="34"/>
  <c r="AC174" i="34"/>
  <c r="AD174" i="34"/>
  <c r="AE174" i="34"/>
  <c r="AF174" i="34"/>
  <c r="AG174" i="34"/>
  <c r="AH174" i="34"/>
  <c r="AI174" i="34"/>
  <c r="AJ174" i="34"/>
  <c r="AK174" i="34"/>
  <c r="AL174" i="34"/>
  <c r="AM174" i="34"/>
  <c r="J175" i="34"/>
  <c r="K175" i="34"/>
  <c r="L175" i="34"/>
  <c r="S175" i="34"/>
  <c r="T175" i="34"/>
  <c r="U175" i="34"/>
  <c r="V175" i="34"/>
  <c r="W175" i="34"/>
  <c r="X175" i="34"/>
  <c r="Y175" i="34"/>
  <c r="Z175" i="34"/>
  <c r="AA175" i="34"/>
  <c r="AB175" i="34"/>
  <c r="AC175" i="34"/>
  <c r="AD175" i="34"/>
  <c r="AE175" i="34"/>
  <c r="AF175" i="34"/>
  <c r="AG175" i="34"/>
  <c r="AH175" i="34"/>
  <c r="AI175" i="34"/>
  <c r="AJ175" i="34"/>
  <c r="AK175" i="34"/>
  <c r="AL175" i="34"/>
  <c r="AM175" i="34"/>
  <c r="J177" i="34"/>
  <c r="K177" i="34"/>
  <c r="N177" i="34"/>
  <c r="N184" i="34"/>
  <c r="O177" i="34"/>
  <c r="O184" i="34"/>
  <c r="P177" i="34"/>
  <c r="P184" i="34"/>
  <c r="R177" i="34"/>
  <c r="U177" i="34"/>
  <c r="V177" i="34"/>
  <c r="X177" i="34"/>
  <c r="Y177" i="34"/>
  <c r="AB177" i="34"/>
  <c r="AC177" i="34"/>
  <c r="AE177" i="34"/>
  <c r="AF177" i="34"/>
  <c r="AH177" i="34"/>
  <c r="AI177" i="34"/>
  <c r="AJ177" i="34"/>
  <c r="AK177" i="34"/>
  <c r="AL177" i="34"/>
  <c r="AM177" i="34"/>
  <c r="J178" i="34"/>
  <c r="K178" i="34"/>
  <c r="N178" i="34"/>
  <c r="O178" i="34"/>
  <c r="P178" i="34"/>
  <c r="P185" i="34"/>
  <c r="R178" i="34"/>
  <c r="R185" i="34"/>
  <c r="U178" i="34"/>
  <c r="V178" i="34"/>
  <c r="W178" i="34"/>
  <c r="X178" i="34"/>
  <c r="Y178" i="34"/>
  <c r="AB178" i="34"/>
  <c r="AC178" i="34"/>
  <c r="AE178" i="34"/>
  <c r="AF178" i="34"/>
  <c r="AH178" i="34"/>
  <c r="AI178" i="34"/>
  <c r="AJ178" i="34"/>
  <c r="AK178" i="34"/>
  <c r="AL178" i="34"/>
  <c r="AM178" i="34"/>
  <c r="J180" i="34"/>
  <c r="K180" i="34"/>
  <c r="L180" i="34"/>
  <c r="M180" i="34"/>
  <c r="N180" i="34"/>
  <c r="O180" i="34"/>
  <c r="P180" i="34"/>
  <c r="Q180" i="34"/>
  <c r="R180" i="34"/>
  <c r="S180" i="34"/>
  <c r="T180" i="34"/>
  <c r="U180" i="34"/>
  <c r="V180" i="34"/>
  <c r="W180" i="34"/>
  <c r="X180" i="34"/>
  <c r="Y180" i="34"/>
  <c r="Z180" i="34"/>
  <c r="AA180" i="34"/>
  <c r="AB180" i="34"/>
  <c r="AC180" i="34"/>
  <c r="AD180" i="34"/>
  <c r="AE180" i="34"/>
  <c r="AF180" i="34"/>
  <c r="AG180" i="34"/>
  <c r="AH180" i="34"/>
  <c r="AI180" i="34"/>
  <c r="AJ180" i="34"/>
  <c r="AK180" i="34"/>
  <c r="AL180" i="34"/>
  <c r="AM180" i="34"/>
  <c r="J181" i="34"/>
  <c r="K181" i="34"/>
  <c r="L181" i="34"/>
  <c r="M181" i="34"/>
  <c r="N181" i="34"/>
  <c r="O181" i="34"/>
  <c r="P181" i="34"/>
  <c r="Q181" i="34"/>
  <c r="R181" i="34"/>
  <c r="S181" i="34"/>
  <c r="T181" i="34"/>
  <c r="U181" i="34"/>
  <c r="V181" i="34"/>
  <c r="W181" i="34"/>
  <c r="X181" i="34"/>
  <c r="Y181" i="34"/>
  <c r="Z181" i="34"/>
  <c r="AF181" i="34"/>
  <c r="AG181" i="34"/>
  <c r="AH181" i="34"/>
  <c r="AI181" i="34"/>
  <c r="AJ181" i="34"/>
  <c r="AK181" i="34"/>
  <c r="AL181" i="34"/>
  <c r="AM181" i="34"/>
  <c r="J184" i="34"/>
  <c r="K184" i="34"/>
  <c r="L184" i="34"/>
  <c r="M184" i="34"/>
  <c r="Q184" i="34"/>
  <c r="R184" i="34"/>
  <c r="S184" i="34"/>
  <c r="T184" i="34"/>
  <c r="U184" i="34"/>
  <c r="V184" i="34"/>
  <c r="W184" i="34"/>
  <c r="X184" i="34"/>
  <c r="Y184" i="34"/>
  <c r="Z184" i="34"/>
  <c r="AA184" i="34"/>
  <c r="AB184" i="34"/>
  <c r="AC184" i="34"/>
  <c r="AD184" i="34"/>
  <c r="AE184" i="34"/>
  <c r="AF184" i="34"/>
  <c r="AG184" i="34"/>
  <c r="AH184" i="34"/>
  <c r="AI184" i="34"/>
  <c r="AJ184" i="34"/>
  <c r="AK184" i="34"/>
  <c r="AL184" i="34"/>
  <c r="AM184" i="34"/>
  <c r="J185" i="34"/>
  <c r="K185" i="34"/>
  <c r="L185" i="34"/>
  <c r="M185" i="34"/>
  <c r="N185" i="34"/>
  <c r="O185" i="34"/>
  <c r="O186" i="34"/>
  <c r="O187" i="34"/>
  <c r="Q185" i="34"/>
  <c r="Q186" i="34"/>
  <c r="Q187" i="34"/>
  <c r="S185" i="34"/>
  <c r="T185" i="34"/>
  <c r="U185" i="34"/>
  <c r="V185" i="34"/>
  <c r="W185" i="34"/>
  <c r="X185" i="34"/>
  <c r="Y185" i="34"/>
  <c r="Z185" i="34"/>
  <c r="AA185" i="34"/>
  <c r="AB185" i="34"/>
  <c r="AC185" i="34"/>
  <c r="AD185" i="34"/>
  <c r="AE185" i="34"/>
  <c r="AF185" i="34"/>
  <c r="AG185" i="34"/>
  <c r="AH185" i="34"/>
  <c r="AI185" i="34"/>
  <c r="AJ185" i="34"/>
  <c r="AK185" i="34"/>
  <c r="AL185" i="34"/>
  <c r="AM185" i="34"/>
  <c r="J186" i="34"/>
  <c r="K186" i="34"/>
  <c r="L186" i="34"/>
  <c r="M186" i="34"/>
  <c r="M187" i="34"/>
  <c r="N186" i="34"/>
  <c r="S186" i="34"/>
  <c r="T186" i="34"/>
  <c r="U186" i="34"/>
  <c r="V186" i="34"/>
  <c r="W186" i="34"/>
  <c r="X186" i="34"/>
  <c r="Y186" i="34"/>
  <c r="Z186" i="34"/>
  <c r="AA186" i="34"/>
  <c r="AB186" i="34"/>
  <c r="AC186" i="34"/>
  <c r="AD186" i="34"/>
  <c r="AE186" i="34"/>
  <c r="AF186" i="34"/>
  <c r="AG186" i="34"/>
  <c r="AH186" i="34"/>
  <c r="AI186" i="34"/>
  <c r="AJ186" i="34"/>
  <c r="AK186" i="34"/>
  <c r="AL186" i="34"/>
  <c r="AM186" i="34"/>
  <c r="J187" i="34"/>
  <c r="K187" i="34"/>
  <c r="L187" i="34"/>
  <c r="N187" i="34"/>
  <c r="S187" i="34"/>
  <c r="T187" i="34"/>
  <c r="U187" i="34"/>
  <c r="V187" i="34"/>
  <c r="W187" i="34"/>
  <c r="X187" i="34"/>
  <c r="Y187" i="34"/>
  <c r="Z187" i="34"/>
  <c r="AA187" i="34"/>
  <c r="AB187" i="34"/>
  <c r="AC187" i="34"/>
  <c r="AD187" i="34"/>
  <c r="AE187" i="34"/>
  <c r="AF187" i="34"/>
  <c r="AG187" i="34"/>
  <c r="AH187" i="34"/>
  <c r="AI187" i="34"/>
  <c r="AJ187" i="34"/>
  <c r="AK187" i="34"/>
  <c r="AL187" i="34"/>
  <c r="AM187" i="34"/>
  <c r="M189" i="34"/>
  <c r="N189" i="34"/>
  <c r="O189" i="34"/>
  <c r="P189" i="34"/>
  <c r="R189" i="34"/>
  <c r="R196" i="34"/>
  <c r="S189" i="34"/>
  <c r="T189" i="34"/>
  <c r="U189" i="34"/>
  <c r="V189" i="34"/>
  <c r="Y189" i="34"/>
  <c r="Z189" i="34"/>
  <c r="AA189" i="34"/>
  <c r="AB189" i="34"/>
  <c r="AC189" i="34"/>
  <c r="AD189" i="34"/>
  <c r="AE189" i="34"/>
  <c r="AF189" i="34"/>
  <c r="AH189" i="34"/>
  <c r="AI189" i="34"/>
  <c r="AJ189" i="34"/>
  <c r="AL189" i="34"/>
  <c r="AM189" i="34"/>
  <c r="M190" i="34"/>
  <c r="M197" i="34"/>
  <c r="N190" i="34"/>
  <c r="O190" i="34"/>
  <c r="P190" i="34"/>
  <c r="P197" i="34"/>
  <c r="R190" i="34"/>
  <c r="R197" i="34"/>
  <c r="R198" i="34"/>
  <c r="R199" i="34"/>
  <c r="S190" i="34"/>
  <c r="T190" i="34"/>
  <c r="U190" i="34"/>
  <c r="V190" i="34"/>
  <c r="Y190" i="34"/>
  <c r="Z190" i="34"/>
  <c r="AA190" i="34"/>
  <c r="AB190" i="34"/>
  <c r="AC190" i="34"/>
  <c r="AD190" i="34"/>
  <c r="AE190" i="34"/>
  <c r="AF190" i="34"/>
  <c r="AH190" i="34"/>
  <c r="AI190" i="34"/>
  <c r="AJ190" i="34"/>
  <c r="AL190" i="34"/>
  <c r="AM190" i="34"/>
  <c r="J192" i="34"/>
  <c r="K192" i="34"/>
  <c r="L192" i="34"/>
  <c r="M192" i="34"/>
  <c r="N192" i="34"/>
  <c r="O192" i="34"/>
  <c r="P192" i="34"/>
  <c r="Q192" i="34"/>
  <c r="R192" i="34"/>
  <c r="S192" i="34"/>
  <c r="T192" i="34"/>
  <c r="U192" i="34"/>
  <c r="V192" i="34"/>
  <c r="W192" i="34"/>
  <c r="X192" i="34"/>
  <c r="Y192" i="34"/>
  <c r="Z192" i="34"/>
  <c r="AA192" i="34"/>
  <c r="AB192" i="34"/>
  <c r="AC192" i="34"/>
  <c r="AD192" i="34"/>
  <c r="AE192" i="34"/>
  <c r="AF192" i="34"/>
  <c r="AG192" i="34"/>
  <c r="AH192" i="34"/>
  <c r="AI192" i="34"/>
  <c r="AJ192" i="34"/>
  <c r="AK192" i="34"/>
  <c r="AL192" i="34"/>
  <c r="AM192" i="34"/>
  <c r="J193" i="34"/>
  <c r="K193" i="34"/>
  <c r="L193" i="34"/>
  <c r="M193" i="34"/>
  <c r="N193" i="34"/>
  <c r="O193" i="34"/>
  <c r="P193" i="34"/>
  <c r="Q193" i="34"/>
  <c r="R193" i="34"/>
  <c r="S193" i="34"/>
  <c r="T193" i="34"/>
  <c r="U193" i="34"/>
  <c r="V193" i="34"/>
  <c r="W193" i="34"/>
  <c r="X193" i="34"/>
  <c r="Y193" i="34"/>
  <c r="Z193" i="34"/>
  <c r="AA193" i="34"/>
  <c r="AB193" i="34"/>
  <c r="AC193" i="34"/>
  <c r="AD193" i="34"/>
  <c r="AE193" i="34"/>
  <c r="AF193" i="34"/>
  <c r="AG193" i="34"/>
  <c r="AH193" i="34"/>
  <c r="AI193" i="34"/>
  <c r="AJ193" i="34"/>
  <c r="AK193" i="34"/>
  <c r="AL193" i="34"/>
  <c r="AM193" i="34"/>
  <c r="J196" i="34"/>
  <c r="K196" i="34"/>
  <c r="L196" i="34"/>
  <c r="M196" i="34"/>
  <c r="N196" i="34"/>
  <c r="O196" i="34"/>
  <c r="P196" i="34"/>
  <c r="Q196" i="34"/>
  <c r="S196" i="34"/>
  <c r="T196" i="34"/>
  <c r="U196" i="34"/>
  <c r="V196" i="34"/>
  <c r="W196" i="34"/>
  <c r="X196" i="34"/>
  <c r="Y196" i="34"/>
  <c r="Z196" i="34"/>
  <c r="AA196" i="34"/>
  <c r="AB196" i="34"/>
  <c r="AC196" i="34"/>
  <c r="AD196" i="34"/>
  <c r="AE196" i="34"/>
  <c r="AF196" i="34"/>
  <c r="AG196" i="34"/>
  <c r="AH196" i="34"/>
  <c r="AI196" i="34"/>
  <c r="AJ196" i="34"/>
  <c r="AK196" i="34"/>
  <c r="AL196" i="34"/>
  <c r="AM196" i="34"/>
  <c r="J197" i="34"/>
  <c r="K197" i="34"/>
  <c r="L197" i="34"/>
  <c r="N197" i="34"/>
  <c r="O197" i="34"/>
  <c r="Q197" i="34"/>
  <c r="S197" i="34"/>
  <c r="T197" i="34"/>
  <c r="U197" i="34"/>
  <c r="V197" i="34"/>
  <c r="W197" i="34"/>
  <c r="X197" i="34"/>
  <c r="Y197" i="34"/>
  <c r="Z197" i="34"/>
  <c r="AA197" i="34"/>
  <c r="AB197" i="34"/>
  <c r="AC197" i="34"/>
  <c r="AD197" i="34"/>
  <c r="AE197" i="34"/>
  <c r="AF197" i="34"/>
  <c r="AG197" i="34"/>
  <c r="AH197" i="34"/>
  <c r="AI197" i="34"/>
  <c r="AJ197" i="34"/>
  <c r="AK197" i="34"/>
  <c r="AL197" i="34"/>
  <c r="AM197" i="34"/>
  <c r="J198" i="34"/>
  <c r="K198" i="34"/>
  <c r="L198" i="34"/>
  <c r="N198" i="34"/>
  <c r="O198" i="34"/>
  <c r="Q198" i="34"/>
  <c r="S198" i="34"/>
  <c r="T198" i="34"/>
  <c r="U198" i="34"/>
  <c r="V198" i="34"/>
  <c r="W198" i="34"/>
  <c r="X198" i="34"/>
  <c r="Y198" i="34"/>
  <c r="Z198" i="34"/>
  <c r="AA198" i="34"/>
  <c r="AB198" i="34"/>
  <c r="AC198" i="34"/>
  <c r="AD198" i="34"/>
  <c r="AE198" i="34"/>
  <c r="AF198" i="34"/>
  <c r="AG198" i="34"/>
  <c r="AH198" i="34"/>
  <c r="AI198" i="34"/>
  <c r="AJ198" i="34"/>
  <c r="AK198" i="34"/>
  <c r="AL198" i="34"/>
  <c r="AM198" i="34"/>
  <c r="J199" i="34"/>
  <c r="K199" i="34"/>
  <c r="L199" i="34"/>
  <c r="N199" i="34"/>
  <c r="O199" i="34"/>
  <c r="Q199" i="34"/>
  <c r="S199" i="34"/>
  <c r="T199" i="34"/>
  <c r="U199" i="34"/>
  <c r="V199" i="34"/>
  <c r="W199" i="34"/>
  <c r="X199" i="34"/>
  <c r="Y199" i="34"/>
  <c r="Z199" i="34"/>
  <c r="AA199" i="34"/>
  <c r="AB199" i="34"/>
  <c r="AC199" i="34"/>
  <c r="AD199" i="34"/>
  <c r="AE199" i="34"/>
  <c r="AF199" i="34"/>
  <c r="AG199" i="34"/>
  <c r="AH199" i="34"/>
  <c r="AI199" i="34"/>
  <c r="AJ199" i="34"/>
  <c r="AK199" i="34"/>
  <c r="AL199" i="34"/>
  <c r="AM199" i="34"/>
  <c r="N201" i="34"/>
  <c r="O201" i="34"/>
  <c r="O208" i="34"/>
  <c r="P208" i="34"/>
  <c r="R201" i="34"/>
  <c r="R208" i="34"/>
  <c r="T201" i="34"/>
  <c r="U201" i="34"/>
  <c r="V201" i="34"/>
  <c r="Y201" i="34"/>
  <c r="Z201" i="34"/>
  <c r="AF201" i="34"/>
  <c r="AG201" i="34"/>
  <c r="AH201" i="34"/>
  <c r="AI201" i="34"/>
  <c r="AJ201" i="34"/>
  <c r="AL201" i="34"/>
  <c r="AM201" i="34"/>
  <c r="N202" i="34"/>
  <c r="N209" i="34"/>
  <c r="N210" i="34"/>
  <c r="N211" i="34"/>
  <c r="O202" i="34"/>
  <c r="P209" i="34"/>
  <c r="R202" i="34"/>
  <c r="U202" i="34"/>
  <c r="V202" i="34"/>
  <c r="Y202" i="34"/>
  <c r="Z202" i="34"/>
  <c r="AF202" i="34"/>
  <c r="AG202" i="34"/>
  <c r="AH202" i="34"/>
  <c r="AI202" i="34"/>
  <c r="AJ202" i="34"/>
  <c r="AL202" i="34"/>
  <c r="AM202" i="34"/>
  <c r="L204" i="34"/>
  <c r="M204" i="34"/>
  <c r="N204" i="34"/>
  <c r="O204" i="34"/>
  <c r="P204" i="34"/>
  <c r="Q204" i="34"/>
  <c r="Q210" i="34"/>
  <c r="Q211" i="34"/>
  <c r="R204" i="34"/>
  <c r="S204" i="34"/>
  <c r="T204" i="34"/>
  <c r="U204" i="34"/>
  <c r="V204" i="34"/>
  <c r="W204" i="34"/>
  <c r="X204" i="34"/>
  <c r="Y204" i="34"/>
  <c r="Z204" i="34"/>
  <c r="AA204" i="34"/>
  <c r="AB204" i="34"/>
  <c r="AC204" i="34"/>
  <c r="AD204" i="34"/>
  <c r="AE204" i="34"/>
  <c r="AF204" i="34"/>
  <c r="AG204" i="34"/>
  <c r="AH204" i="34"/>
  <c r="AI204" i="34"/>
  <c r="AJ204" i="34"/>
  <c r="AK204" i="34"/>
  <c r="AL204" i="34"/>
  <c r="AM204" i="34"/>
  <c r="J205" i="34"/>
  <c r="K205" i="34"/>
  <c r="L205" i="34"/>
  <c r="M205" i="34"/>
  <c r="N205" i="34"/>
  <c r="O205" i="34"/>
  <c r="P205" i="34"/>
  <c r="Q205" i="34"/>
  <c r="R205" i="34"/>
  <c r="S205" i="34"/>
  <c r="T205" i="34"/>
  <c r="U205" i="34"/>
  <c r="V205" i="34"/>
  <c r="W205" i="34"/>
  <c r="X205" i="34"/>
  <c r="Y205" i="34"/>
  <c r="Z205" i="34"/>
  <c r="AA205" i="34"/>
  <c r="AB205" i="34"/>
  <c r="AC205" i="34"/>
  <c r="AD205" i="34"/>
  <c r="AE205" i="34"/>
  <c r="AF205" i="34"/>
  <c r="AG205" i="34"/>
  <c r="AH205" i="34"/>
  <c r="AI205" i="34"/>
  <c r="AJ205" i="34"/>
  <c r="AK205" i="34"/>
  <c r="AL205" i="34"/>
  <c r="AM205" i="34"/>
  <c r="J208" i="34"/>
  <c r="K208" i="34"/>
  <c r="L208" i="34"/>
  <c r="M208" i="34"/>
  <c r="N208" i="34"/>
  <c r="Q208" i="34"/>
  <c r="S208" i="34"/>
  <c r="T208" i="34"/>
  <c r="U208" i="34"/>
  <c r="V208" i="34"/>
  <c r="W208" i="34"/>
  <c r="X208" i="34"/>
  <c r="Y208" i="34"/>
  <c r="Z208" i="34"/>
  <c r="AA208" i="34"/>
  <c r="AB208" i="34"/>
  <c r="AC208" i="34"/>
  <c r="AD208" i="34"/>
  <c r="AE208" i="34"/>
  <c r="AF208" i="34"/>
  <c r="AG208" i="34"/>
  <c r="AH208" i="34"/>
  <c r="AI208" i="34"/>
  <c r="AJ208" i="34"/>
  <c r="AK208" i="34"/>
  <c r="AL208" i="34"/>
  <c r="AM208" i="34"/>
  <c r="J209" i="34"/>
  <c r="K209" i="34"/>
  <c r="L209" i="34"/>
  <c r="M209" i="34"/>
  <c r="M210" i="34"/>
  <c r="O209" i="34"/>
  <c r="Q209" i="34"/>
  <c r="R209" i="34"/>
  <c r="R210" i="34"/>
  <c r="R211" i="34"/>
  <c r="S209" i="34"/>
  <c r="T209" i="34"/>
  <c r="U209" i="34"/>
  <c r="V209" i="34"/>
  <c r="W209" i="34"/>
  <c r="X209" i="34"/>
  <c r="Y209" i="34"/>
  <c r="Z209" i="34"/>
  <c r="AA209" i="34"/>
  <c r="AB209" i="34"/>
  <c r="AC209" i="34"/>
  <c r="AD209" i="34"/>
  <c r="AE209" i="34"/>
  <c r="AF209" i="34"/>
  <c r="AG209" i="34"/>
  <c r="AH209" i="34"/>
  <c r="AI209" i="34"/>
  <c r="AJ209" i="34"/>
  <c r="AK209" i="34"/>
  <c r="AL209" i="34"/>
  <c r="AM209" i="34"/>
  <c r="J210" i="34"/>
  <c r="K210" i="34"/>
  <c r="L210" i="34"/>
  <c r="O210" i="34"/>
  <c r="O211" i="34"/>
  <c r="S210" i="34"/>
  <c r="T210" i="34"/>
  <c r="U210" i="34"/>
  <c r="V210" i="34"/>
  <c r="W210" i="34"/>
  <c r="X210" i="34"/>
  <c r="Y210" i="34"/>
  <c r="Z210" i="34"/>
  <c r="AA210" i="34"/>
  <c r="AB210" i="34"/>
  <c r="AC210" i="34"/>
  <c r="AD210" i="34"/>
  <c r="AE210" i="34"/>
  <c r="AF210" i="34"/>
  <c r="AG210" i="34"/>
  <c r="AH210" i="34"/>
  <c r="AI210" i="34"/>
  <c r="AJ210" i="34"/>
  <c r="AK210" i="34"/>
  <c r="AL210" i="34"/>
  <c r="AM210" i="34"/>
  <c r="J211" i="34"/>
  <c r="K211" i="34"/>
  <c r="L211" i="34"/>
  <c r="S211" i="34"/>
  <c r="T211" i="34"/>
  <c r="U211" i="34"/>
  <c r="V211" i="34"/>
  <c r="W211" i="34"/>
  <c r="X211" i="34"/>
  <c r="Y211" i="34"/>
  <c r="Z211" i="34"/>
  <c r="AA211" i="34"/>
  <c r="AB211" i="34"/>
  <c r="AC211" i="34"/>
  <c r="AD211" i="34"/>
  <c r="AE211" i="34"/>
  <c r="AF211" i="34"/>
  <c r="AG211" i="34"/>
  <c r="AH211" i="34"/>
  <c r="AI211" i="34"/>
  <c r="AJ211" i="34"/>
  <c r="AK211" i="34"/>
  <c r="AL211" i="34"/>
  <c r="AM211" i="34"/>
  <c r="K213" i="34"/>
  <c r="L213" i="34"/>
  <c r="M213" i="34"/>
  <c r="N213" i="34"/>
  <c r="N220" i="34"/>
  <c r="O213" i="34"/>
  <c r="O220" i="34"/>
  <c r="P213" i="34"/>
  <c r="P220" i="34"/>
  <c r="Q213" i="34"/>
  <c r="R213" i="34"/>
  <c r="R220" i="34"/>
  <c r="T213" i="34"/>
  <c r="U213" i="34"/>
  <c r="V213" i="34"/>
  <c r="W213" i="34"/>
  <c r="Y213" i="34"/>
  <c r="AA213" i="34"/>
  <c r="AB213" i="34"/>
  <c r="AC213" i="34"/>
  <c r="AD213" i="34"/>
  <c r="AE213" i="34"/>
  <c r="AF213" i="34"/>
  <c r="AH213" i="34"/>
  <c r="AI213" i="34"/>
  <c r="AJ213" i="34"/>
  <c r="AL213" i="34"/>
  <c r="AM213" i="34"/>
  <c r="K214" i="34"/>
  <c r="L214" i="34"/>
  <c r="M214" i="34"/>
  <c r="M221" i="34"/>
  <c r="N214" i="34"/>
  <c r="N221" i="34"/>
  <c r="N222" i="34"/>
  <c r="N223" i="34"/>
  <c r="O214" i="34"/>
  <c r="P214" i="34"/>
  <c r="P221" i="34"/>
  <c r="P222" i="34"/>
  <c r="P223" i="34"/>
  <c r="Q214" i="34"/>
  <c r="Q221" i="34"/>
  <c r="Q222" i="34"/>
  <c r="Q223" i="34"/>
  <c r="R214" i="34"/>
  <c r="R221" i="34"/>
  <c r="T214" i="34"/>
  <c r="U214" i="34"/>
  <c r="V214" i="34"/>
  <c r="W214" i="34"/>
  <c r="Y214" i="34"/>
  <c r="AA214" i="34"/>
  <c r="AB214" i="34"/>
  <c r="AC214" i="34"/>
  <c r="AD214" i="34"/>
  <c r="AE214" i="34"/>
  <c r="AF214" i="34"/>
  <c r="AH214" i="34"/>
  <c r="AI214" i="34"/>
  <c r="AJ214" i="34"/>
  <c r="AL214" i="34"/>
  <c r="AM214" i="34"/>
  <c r="J216" i="34"/>
  <c r="K216" i="34"/>
  <c r="L216" i="34"/>
  <c r="M216" i="34"/>
  <c r="N216" i="34"/>
  <c r="O216" i="34"/>
  <c r="P216" i="34"/>
  <c r="Q216" i="34"/>
  <c r="R216" i="34"/>
  <c r="S216" i="34"/>
  <c r="T216" i="34"/>
  <c r="U216" i="34"/>
  <c r="V216" i="34"/>
  <c r="W216" i="34"/>
  <c r="X216" i="34"/>
  <c r="Y216" i="34"/>
  <c r="Z216" i="34"/>
  <c r="AA216" i="34"/>
  <c r="AB216" i="34"/>
  <c r="AC216" i="34"/>
  <c r="AD216" i="34"/>
  <c r="AE216" i="34"/>
  <c r="AF216" i="34"/>
  <c r="AG216" i="34"/>
  <c r="AH216" i="34"/>
  <c r="AI216" i="34"/>
  <c r="AJ216" i="34"/>
  <c r="AK216" i="34"/>
  <c r="AL216" i="34"/>
  <c r="AM216" i="34"/>
  <c r="J217" i="34"/>
  <c r="K217" i="34"/>
  <c r="L217" i="34"/>
  <c r="M217" i="34"/>
  <c r="N217" i="34"/>
  <c r="O217" i="34"/>
  <c r="P217" i="34"/>
  <c r="Q217" i="34"/>
  <c r="R217" i="34"/>
  <c r="S217" i="34"/>
  <c r="T217" i="34"/>
  <c r="U217" i="34"/>
  <c r="V217" i="34"/>
  <c r="W217" i="34"/>
  <c r="X217" i="34"/>
  <c r="Y217" i="34"/>
  <c r="Z217" i="34"/>
  <c r="AA217" i="34"/>
  <c r="AB217" i="34"/>
  <c r="AC217" i="34"/>
  <c r="AD217" i="34"/>
  <c r="AE217" i="34"/>
  <c r="AF217" i="34"/>
  <c r="AG217" i="34"/>
  <c r="AH217" i="34"/>
  <c r="AI217" i="34"/>
  <c r="AJ217" i="34"/>
  <c r="AK217" i="34"/>
  <c r="AL217" i="34"/>
  <c r="AM217" i="34"/>
  <c r="J220" i="34"/>
  <c r="K220" i="34"/>
  <c r="L220" i="34"/>
  <c r="M220" i="34"/>
  <c r="Q220" i="34"/>
  <c r="S220" i="34"/>
  <c r="T220" i="34"/>
  <c r="U220" i="34"/>
  <c r="V220" i="34"/>
  <c r="W220" i="34"/>
  <c r="X220" i="34"/>
  <c r="Y220" i="34"/>
  <c r="Z220" i="34"/>
  <c r="AA220" i="34"/>
  <c r="AB220" i="34"/>
  <c r="AC220" i="34"/>
  <c r="AD220" i="34"/>
  <c r="AE220" i="34"/>
  <c r="AF220" i="34"/>
  <c r="AG220" i="34"/>
  <c r="AH220" i="34"/>
  <c r="AI220" i="34"/>
  <c r="AJ220" i="34"/>
  <c r="AK220" i="34"/>
  <c r="AL220" i="34"/>
  <c r="AM220" i="34"/>
  <c r="J221" i="34"/>
  <c r="K221" i="34"/>
  <c r="L221" i="34"/>
  <c r="O221" i="34"/>
  <c r="O222" i="34"/>
  <c r="O223" i="34"/>
  <c r="S221" i="34"/>
  <c r="T221" i="34"/>
  <c r="U221" i="34"/>
  <c r="V221" i="34"/>
  <c r="W221" i="34"/>
  <c r="X221" i="34"/>
  <c r="Y221" i="34"/>
  <c r="Z221" i="34"/>
  <c r="AA221" i="34"/>
  <c r="AB221" i="34"/>
  <c r="AC221" i="34"/>
  <c r="AD221" i="34"/>
  <c r="AE221" i="34"/>
  <c r="AF221" i="34"/>
  <c r="AG221" i="34"/>
  <c r="AH221" i="34"/>
  <c r="AI221" i="34"/>
  <c r="AJ221" i="34"/>
  <c r="AK221" i="34"/>
  <c r="AL221" i="34"/>
  <c r="AM221" i="34"/>
  <c r="J222" i="34"/>
  <c r="K222" i="34"/>
  <c r="L222" i="34"/>
  <c r="S222" i="34"/>
  <c r="T222" i="34"/>
  <c r="U222" i="34"/>
  <c r="V222" i="34"/>
  <c r="W222" i="34"/>
  <c r="X222" i="34"/>
  <c r="Y222" i="34"/>
  <c r="Z222" i="34"/>
  <c r="AA222" i="34"/>
  <c r="AB222" i="34"/>
  <c r="AC222" i="34"/>
  <c r="AD222" i="34"/>
  <c r="AE222" i="34"/>
  <c r="AF222" i="34"/>
  <c r="AG222" i="34"/>
  <c r="AH222" i="34"/>
  <c r="AI222" i="34"/>
  <c r="AJ222" i="34"/>
  <c r="AK222" i="34"/>
  <c r="AL222" i="34"/>
  <c r="AM222" i="34"/>
  <c r="J223" i="34"/>
  <c r="K223" i="34"/>
  <c r="L223" i="34"/>
  <c r="S223" i="34"/>
  <c r="T223" i="34"/>
  <c r="U223" i="34"/>
  <c r="V223" i="34"/>
  <c r="W223" i="34"/>
  <c r="X223" i="34"/>
  <c r="Y223" i="34"/>
  <c r="Z223" i="34"/>
  <c r="AA223" i="34"/>
  <c r="AB223" i="34"/>
  <c r="AC223" i="34"/>
  <c r="AD223" i="34"/>
  <c r="AE223" i="34"/>
  <c r="AF223" i="34"/>
  <c r="AG223" i="34"/>
  <c r="AH223" i="34"/>
  <c r="AI223" i="34"/>
  <c r="AJ223" i="34"/>
  <c r="AK223" i="34"/>
  <c r="AL223" i="34"/>
  <c r="AM223" i="34"/>
  <c r="J225" i="34"/>
  <c r="K225" i="34"/>
  <c r="M225" i="34"/>
  <c r="N225" i="34"/>
  <c r="N232" i="34"/>
  <c r="O225" i="34"/>
  <c r="O232" i="34"/>
  <c r="P225" i="34"/>
  <c r="R225" i="34"/>
  <c r="T225" i="34"/>
  <c r="U225" i="34"/>
  <c r="V225" i="34"/>
  <c r="W225" i="34"/>
  <c r="Y225" i="34"/>
  <c r="AA225" i="34"/>
  <c r="AB225" i="34"/>
  <c r="AC225" i="34"/>
  <c r="AE225" i="34"/>
  <c r="AF225" i="34"/>
  <c r="AH225" i="34"/>
  <c r="AI225" i="34"/>
  <c r="AJ225" i="34"/>
  <c r="AK225" i="34"/>
  <c r="AL225" i="34"/>
  <c r="AM225" i="34"/>
  <c r="J226" i="34"/>
  <c r="K226" i="34"/>
  <c r="L226" i="34"/>
  <c r="M226" i="34"/>
  <c r="N226" i="34"/>
  <c r="O226" i="34"/>
  <c r="P233" i="34"/>
  <c r="P234" i="34"/>
  <c r="P235" i="34"/>
  <c r="Q226" i="34"/>
  <c r="R226" i="34"/>
  <c r="R233" i="34"/>
  <c r="T226" i="34"/>
  <c r="U226" i="34"/>
  <c r="V226" i="34"/>
  <c r="W226" i="34"/>
  <c r="X226" i="34"/>
  <c r="Y226" i="34"/>
  <c r="Z226" i="34"/>
  <c r="AA226" i="34"/>
  <c r="AB226" i="34"/>
  <c r="AC226" i="34"/>
  <c r="AD226" i="34"/>
  <c r="AE226" i="34"/>
  <c r="AF226" i="34"/>
  <c r="AH226" i="34"/>
  <c r="AI226" i="34"/>
  <c r="AJ226" i="34"/>
  <c r="AK226" i="34"/>
  <c r="AL226" i="34"/>
  <c r="AM226" i="34"/>
  <c r="J228" i="34"/>
  <c r="K228" i="34"/>
  <c r="L228" i="34"/>
  <c r="M228" i="34"/>
  <c r="N228" i="34"/>
  <c r="O228" i="34"/>
  <c r="P228" i="34"/>
  <c r="Q228" i="34"/>
  <c r="R228" i="34"/>
  <c r="S228" i="34"/>
  <c r="T228" i="34"/>
  <c r="U228" i="34"/>
  <c r="V228" i="34"/>
  <c r="W228" i="34"/>
  <c r="X228" i="34"/>
  <c r="Y228" i="34"/>
  <c r="Z228" i="34"/>
  <c r="AA228" i="34"/>
  <c r="AB228" i="34"/>
  <c r="AC228" i="34"/>
  <c r="AD228" i="34"/>
  <c r="AE228" i="34"/>
  <c r="AF228" i="34"/>
  <c r="AG228" i="34"/>
  <c r="AH228" i="34"/>
  <c r="AI228" i="34"/>
  <c r="AJ228" i="34"/>
  <c r="AK228" i="34"/>
  <c r="AL228" i="34"/>
  <c r="AM228" i="34"/>
  <c r="J229" i="34"/>
  <c r="K229" i="34"/>
  <c r="L229" i="34"/>
  <c r="M229" i="34"/>
  <c r="N229" i="34"/>
  <c r="O229" i="34"/>
  <c r="Q229" i="34"/>
  <c r="R229" i="34"/>
  <c r="S229" i="34"/>
  <c r="T229" i="34"/>
  <c r="U229" i="34"/>
  <c r="V229" i="34"/>
  <c r="W229" i="34"/>
  <c r="X229" i="34"/>
  <c r="Y229" i="34"/>
  <c r="Z229" i="34"/>
  <c r="AA229" i="34"/>
  <c r="AB229" i="34"/>
  <c r="AC229" i="34"/>
  <c r="AD229" i="34"/>
  <c r="AE229" i="34"/>
  <c r="AF229" i="34"/>
  <c r="AG229" i="34"/>
  <c r="AH229" i="34"/>
  <c r="AI229" i="34"/>
  <c r="AJ229" i="34"/>
  <c r="AK229" i="34"/>
  <c r="AL229" i="34"/>
  <c r="AM229" i="34"/>
  <c r="J232" i="34"/>
  <c r="K232" i="34"/>
  <c r="L232" i="34"/>
  <c r="M232" i="34"/>
  <c r="P232" i="34"/>
  <c r="R232" i="34"/>
  <c r="S232" i="34"/>
  <c r="T232" i="34"/>
  <c r="U232" i="34"/>
  <c r="V232" i="34"/>
  <c r="W232" i="34"/>
  <c r="X232" i="34"/>
  <c r="Y232" i="34"/>
  <c r="Z232" i="34"/>
  <c r="AA232" i="34"/>
  <c r="AB232" i="34"/>
  <c r="AC232" i="34"/>
  <c r="AD232" i="34"/>
  <c r="AE232" i="34"/>
  <c r="AF232" i="34"/>
  <c r="AG232" i="34"/>
  <c r="AH232" i="34"/>
  <c r="AI232" i="34"/>
  <c r="AJ232" i="34"/>
  <c r="AK232" i="34"/>
  <c r="AL232" i="34"/>
  <c r="AM232" i="34"/>
  <c r="J233" i="34"/>
  <c r="K233" i="34"/>
  <c r="L233" i="34"/>
  <c r="M233" i="34"/>
  <c r="N233" i="34"/>
  <c r="N234" i="34"/>
  <c r="O233" i="34"/>
  <c r="S233" i="34"/>
  <c r="T233" i="34"/>
  <c r="U233" i="34"/>
  <c r="V233" i="34"/>
  <c r="W233" i="34"/>
  <c r="X233" i="34"/>
  <c r="Y233" i="34"/>
  <c r="Z233" i="34"/>
  <c r="AA233" i="34"/>
  <c r="AB233" i="34"/>
  <c r="AC233" i="34"/>
  <c r="AD233" i="34"/>
  <c r="AE233" i="34"/>
  <c r="AF233" i="34"/>
  <c r="AG233" i="34"/>
  <c r="AH233" i="34"/>
  <c r="AI233" i="34"/>
  <c r="AJ233" i="34"/>
  <c r="AK233" i="34"/>
  <c r="AL233" i="34"/>
  <c r="AM233" i="34"/>
  <c r="J234" i="34"/>
  <c r="K234" i="34"/>
  <c r="L234" i="34"/>
  <c r="M234" i="34"/>
  <c r="O234" i="34"/>
  <c r="S234" i="34"/>
  <c r="T234" i="34"/>
  <c r="U234" i="34"/>
  <c r="V234" i="34"/>
  <c r="W234" i="34"/>
  <c r="X234" i="34"/>
  <c r="Y234" i="34"/>
  <c r="Z234" i="34"/>
  <c r="AA234" i="34"/>
  <c r="AB234" i="34"/>
  <c r="AC234" i="34"/>
  <c r="AD234" i="34"/>
  <c r="AE234" i="34"/>
  <c r="AF234" i="34"/>
  <c r="AG234" i="34"/>
  <c r="AH234" i="34"/>
  <c r="AI234" i="34"/>
  <c r="AJ234" i="34"/>
  <c r="AK234" i="34"/>
  <c r="AL234" i="34"/>
  <c r="AM234" i="34"/>
  <c r="J235" i="34"/>
  <c r="K235" i="34"/>
  <c r="L235" i="34"/>
  <c r="M235" i="34"/>
  <c r="O235" i="34"/>
  <c r="S235" i="34"/>
  <c r="T235" i="34"/>
  <c r="U235" i="34"/>
  <c r="V235" i="34"/>
  <c r="W235" i="34"/>
  <c r="X235" i="34"/>
  <c r="Y235" i="34"/>
  <c r="Z235" i="34"/>
  <c r="AA235" i="34"/>
  <c r="AB235" i="34"/>
  <c r="AC235" i="34"/>
  <c r="AD235" i="34"/>
  <c r="AE235" i="34"/>
  <c r="AF235" i="34"/>
  <c r="AG235" i="34"/>
  <c r="AH235" i="34"/>
  <c r="AI235" i="34"/>
  <c r="AJ235" i="34"/>
  <c r="AK235" i="34"/>
  <c r="AL235" i="34"/>
  <c r="AM235" i="34"/>
  <c r="K237" i="34"/>
  <c r="L237" i="34"/>
  <c r="M237" i="34"/>
  <c r="N237" i="34"/>
  <c r="N244" i="34"/>
  <c r="O237" i="34"/>
  <c r="O244" i="34"/>
  <c r="P237" i="34"/>
  <c r="P244" i="34"/>
  <c r="Q237" i="34"/>
  <c r="R237" i="34"/>
  <c r="R244" i="34"/>
  <c r="U237" i="34"/>
  <c r="V237" i="34"/>
  <c r="X237" i="34"/>
  <c r="Y237" i="34"/>
  <c r="Z237" i="34"/>
  <c r="AB237" i="34"/>
  <c r="AC237" i="34"/>
  <c r="AD237" i="34"/>
  <c r="AE237" i="34"/>
  <c r="AF237" i="34"/>
  <c r="AG237" i="34"/>
  <c r="AH237" i="34"/>
  <c r="AI237" i="34"/>
  <c r="AJ237" i="34"/>
  <c r="AK237" i="34"/>
  <c r="AL237" i="34"/>
  <c r="AM237" i="34"/>
  <c r="K238" i="34"/>
  <c r="L238" i="34"/>
  <c r="M238" i="34"/>
  <c r="M245" i="34"/>
  <c r="N238" i="34"/>
  <c r="N245" i="34"/>
  <c r="N246" i="34"/>
  <c r="N247" i="34"/>
  <c r="O238" i="34"/>
  <c r="O245" i="34"/>
  <c r="O246" i="34"/>
  <c r="O247" i="34"/>
  <c r="P238" i="34"/>
  <c r="P245" i="34"/>
  <c r="Q238" i="34"/>
  <c r="Q245" i="34"/>
  <c r="Q246" i="34"/>
  <c r="Q247" i="34"/>
  <c r="R238" i="34"/>
  <c r="U238" i="34"/>
  <c r="V238" i="34"/>
  <c r="X238" i="34"/>
  <c r="Y238" i="34"/>
  <c r="Z238" i="34"/>
  <c r="AB238" i="34"/>
  <c r="AC238" i="34"/>
  <c r="AD238" i="34"/>
  <c r="AE238" i="34"/>
  <c r="AF238" i="34"/>
  <c r="AG238" i="34"/>
  <c r="AH238" i="34"/>
  <c r="AI238" i="34"/>
  <c r="AJ238" i="34"/>
  <c r="AK238" i="34"/>
  <c r="AL238" i="34"/>
  <c r="AM238" i="34"/>
  <c r="J240" i="34"/>
  <c r="K240" i="34"/>
  <c r="L240" i="34"/>
  <c r="M240" i="34"/>
  <c r="N240" i="34"/>
  <c r="O240" i="34"/>
  <c r="P240" i="34"/>
  <c r="Q240" i="34"/>
  <c r="R240" i="34"/>
  <c r="S240" i="34"/>
  <c r="T240" i="34"/>
  <c r="U240" i="34"/>
  <c r="V240" i="34"/>
  <c r="W240" i="34"/>
  <c r="X240" i="34"/>
  <c r="Y240" i="34"/>
  <c r="Z240" i="34"/>
  <c r="AA240" i="34"/>
  <c r="AB240" i="34"/>
  <c r="AC240" i="34"/>
  <c r="AD240" i="34"/>
  <c r="AE240" i="34"/>
  <c r="AF240" i="34"/>
  <c r="AG240" i="34"/>
  <c r="AH240" i="34"/>
  <c r="AI240" i="34"/>
  <c r="AJ240" i="34"/>
  <c r="AK240" i="34"/>
  <c r="AL240" i="34"/>
  <c r="AM240" i="34"/>
  <c r="J241" i="34"/>
  <c r="K241" i="34"/>
  <c r="L241" i="34"/>
  <c r="M241" i="34"/>
  <c r="N241" i="34"/>
  <c r="O241" i="34"/>
  <c r="P241" i="34"/>
  <c r="Q241" i="34"/>
  <c r="R241" i="34"/>
  <c r="S241" i="34"/>
  <c r="T241" i="34"/>
  <c r="U241" i="34"/>
  <c r="V241" i="34"/>
  <c r="W241" i="34"/>
  <c r="X241" i="34"/>
  <c r="Y241" i="34"/>
  <c r="Z241" i="34"/>
  <c r="AA241" i="34"/>
  <c r="AB241" i="34"/>
  <c r="AC241" i="34"/>
  <c r="AD241" i="34"/>
  <c r="AE241" i="34"/>
  <c r="AF241" i="34"/>
  <c r="AH241" i="34"/>
  <c r="AI241" i="34"/>
  <c r="AJ241" i="34"/>
  <c r="AK241" i="34"/>
  <c r="AL241" i="34"/>
  <c r="AM241" i="34"/>
  <c r="J244" i="34"/>
  <c r="K244" i="34"/>
  <c r="L244" i="34"/>
  <c r="M244" i="34"/>
  <c r="Q244" i="34"/>
  <c r="S244" i="34"/>
  <c r="T244" i="34"/>
  <c r="U244" i="34"/>
  <c r="V244" i="34"/>
  <c r="W244" i="34"/>
  <c r="X244" i="34"/>
  <c r="Y244" i="34"/>
  <c r="Z244" i="34"/>
  <c r="AA244" i="34"/>
  <c r="AB244" i="34"/>
  <c r="AC244" i="34"/>
  <c r="AD244" i="34"/>
  <c r="AE244" i="34"/>
  <c r="AF244" i="34"/>
  <c r="AG244" i="34"/>
  <c r="AH244" i="34"/>
  <c r="AI244" i="34"/>
  <c r="AJ244" i="34"/>
  <c r="AK244" i="34"/>
  <c r="AL244" i="34"/>
  <c r="AM244" i="34"/>
  <c r="J245" i="34"/>
  <c r="K245" i="34"/>
  <c r="L245" i="34"/>
  <c r="S245" i="34"/>
  <c r="T245" i="34"/>
  <c r="U245" i="34"/>
  <c r="V245" i="34"/>
  <c r="W245" i="34"/>
  <c r="X245" i="34"/>
  <c r="Y245" i="34"/>
  <c r="Z245" i="34"/>
  <c r="AA245" i="34"/>
  <c r="AB245" i="34"/>
  <c r="AC245" i="34"/>
  <c r="AD245" i="34"/>
  <c r="AE245" i="34"/>
  <c r="AF245" i="34"/>
  <c r="AG245" i="34"/>
  <c r="AH245" i="34"/>
  <c r="AI245" i="34"/>
  <c r="AJ245" i="34"/>
  <c r="AK245" i="34"/>
  <c r="AL245" i="34"/>
  <c r="AM245" i="34"/>
  <c r="J246" i="34"/>
  <c r="K246" i="34"/>
  <c r="L246" i="34"/>
  <c r="S246" i="34"/>
  <c r="T246" i="34"/>
  <c r="U246" i="34"/>
  <c r="V246" i="34"/>
  <c r="W246" i="34"/>
  <c r="X246" i="34"/>
  <c r="Y246" i="34"/>
  <c r="Z246" i="34"/>
  <c r="AA246" i="34"/>
  <c r="AB246" i="34"/>
  <c r="AC246" i="34"/>
  <c r="AD246" i="34"/>
  <c r="AE246" i="34"/>
  <c r="AF246" i="34"/>
  <c r="AG246" i="34"/>
  <c r="AH246" i="34"/>
  <c r="AI246" i="34"/>
  <c r="AJ246" i="34"/>
  <c r="AK246" i="34"/>
  <c r="AL246" i="34"/>
  <c r="AM246" i="34"/>
  <c r="J247" i="34"/>
  <c r="K247" i="34"/>
  <c r="L247" i="34"/>
  <c r="S247" i="34"/>
  <c r="T247" i="34"/>
  <c r="U247" i="34"/>
  <c r="V247" i="34"/>
  <c r="W247" i="34"/>
  <c r="X247" i="34"/>
  <c r="Y247" i="34"/>
  <c r="Z247" i="34"/>
  <c r="AA247" i="34"/>
  <c r="AB247" i="34"/>
  <c r="AC247" i="34"/>
  <c r="AD247" i="34"/>
  <c r="AE247" i="34"/>
  <c r="AF247" i="34"/>
  <c r="AG247" i="34"/>
  <c r="AH247" i="34"/>
  <c r="AI247" i="34"/>
  <c r="AJ247" i="34"/>
  <c r="AK247" i="34"/>
  <c r="AL247" i="34"/>
  <c r="AM247" i="34"/>
  <c r="K249" i="34"/>
  <c r="N249" i="34"/>
  <c r="O249" i="34"/>
  <c r="O256" i="34"/>
  <c r="P256" i="34"/>
  <c r="R249" i="34"/>
  <c r="U249" i="34"/>
  <c r="V249" i="34"/>
  <c r="Y249" i="34"/>
  <c r="AB249" i="34"/>
  <c r="AC249" i="34"/>
  <c r="AE249" i="34"/>
  <c r="AF249" i="34"/>
  <c r="AH249" i="34"/>
  <c r="AI249" i="34"/>
  <c r="AJ249" i="34"/>
  <c r="AL249" i="34"/>
  <c r="AM249" i="34"/>
  <c r="K250" i="34"/>
  <c r="N250" i="34"/>
  <c r="O250" i="34"/>
  <c r="P257" i="34"/>
  <c r="P258" i="34"/>
  <c r="P259" i="34"/>
  <c r="R250" i="34"/>
  <c r="R257" i="34"/>
  <c r="U250" i="34"/>
  <c r="V250" i="34"/>
  <c r="Y250" i="34"/>
  <c r="AB250" i="34"/>
  <c r="AC250" i="34"/>
  <c r="AE250" i="34"/>
  <c r="AF250" i="34"/>
  <c r="AH250" i="34"/>
  <c r="AI250" i="34"/>
  <c r="AJ250" i="34"/>
  <c r="AL250" i="34"/>
  <c r="AM250" i="34"/>
  <c r="J252" i="34"/>
  <c r="K252" i="34"/>
  <c r="L252" i="34"/>
  <c r="M252" i="34"/>
  <c r="N252" i="34"/>
  <c r="O252" i="34"/>
  <c r="O258" i="34"/>
  <c r="O259" i="34"/>
  <c r="P252" i="34"/>
  <c r="Q252" i="34"/>
  <c r="Q258" i="34"/>
  <c r="Q259" i="34"/>
  <c r="S252" i="34"/>
  <c r="T252" i="34"/>
  <c r="U252" i="34"/>
  <c r="V252" i="34"/>
  <c r="W252" i="34"/>
  <c r="X252" i="34"/>
  <c r="Y252" i="34"/>
  <c r="Z252" i="34"/>
  <c r="AA252" i="34"/>
  <c r="AB252" i="34"/>
  <c r="AC252" i="34"/>
  <c r="AD252" i="34"/>
  <c r="AE252" i="34"/>
  <c r="AF252" i="34"/>
  <c r="AG252" i="34"/>
  <c r="AH252" i="34"/>
  <c r="AI252" i="34"/>
  <c r="AJ252" i="34"/>
  <c r="AK252" i="34"/>
  <c r="AL252" i="34"/>
  <c r="AM252" i="34"/>
  <c r="J253" i="34"/>
  <c r="K253" i="34"/>
  <c r="L253" i="34"/>
  <c r="M253" i="34"/>
  <c r="N253" i="34"/>
  <c r="O253" i="34"/>
  <c r="P253" i="34"/>
  <c r="Q253" i="34"/>
  <c r="R253" i="34"/>
  <c r="S253" i="34"/>
  <c r="T253" i="34"/>
  <c r="U253" i="34"/>
  <c r="V253" i="34"/>
  <c r="W253" i="34"/>
  <c r="X253" i="34"/>
  <c r="Y253" i="34"/>
  <c r="Z253" i="34"/>
  <c r="AA253" i="34"/>
  <c r="AB253" i="34"/>
  <c r="AC253" i="34"/>
  <c r="AD253" i="34"/>
  <c r="AE253" i="34"/>
  <c r="AF253" i="34"/>
  <c r="AG253" i="34"/>
  <c r="AH253" i="34"/>
  <c r="AI253" i="34"/>
  <c r="AJ253" i="34"/>
  <c r="AK253" i="34"/>
  <c r="AL253" i="34"/>
  <c r="AM253" i="34"/>
  <c r="J256" i="34"/>
  <c r="K256" i="34"/>
  <c r="L256" i="34"/>
  <c r="M256" i="34"/>
  <c r="N256" i="34"/>
  <c r="Q256" i="34"/>
  <c r="R256" i="34"/>
  <c r="S256" i="34"/>
  <c r="T256" i="34"/>
  <c r="U256" i="34"/>
  <c r="V256" i="34"/>
  <c r="W256" i="34"/>
  <c r="X256" i="34"/>
  <c r="Y256" i="34"/>
  <c r="Z256" i="34"/>
  <c r="AA256" i="34"/>
  <c r="AB256" i="34"/>
  <c r="AC256" i="34"/>
  <c r="AD256" i="34"/>
  <c r="AE256" i="34"/>
  <c r="AF256" i="34"/>
  <c r="AG256" i="34"/>
  <c r="AH256" i="34"/>
  <c r="AI256" i="34"/>
  <c r="AJ256" i="34"/>
  <c r="AK256" i="34"/>
  <c r="AL256" i="34"/>
  <c r="AM256" i="34"/>
  <c r="J257" i="34"/>
  <c r="K257" i="34"/>
  <c r="L257" i="34"/>
  <c r="M257" i="34"/>
  <c r="N257" i="34"/>
  <c r="N258" i="34"/>
  <c r="O257" i="34"/>
  <c r="Q257" i="34"/>
  <c r="S257" i="34"/>
  <c r="T257" i="34"/>
  <c r="U257" i="34"/>
  <c r="V257" i="34"/>
  <c r="W257" i="34"/>
  <c r="X257" i="34"/>
  <c r="Y257" i="34"/>
  <c r="Z257" i="34"/>
  <c r="AA257" i="34"/>
  <c r="AB257" i="34"/>
  <c r="AC257" i="34"/>
  <c r="AD257" i="34"/>
  <c r="AE257" i="34"/>
  <c r="AF257" i="34"/>
  <c r="AG257" i="34"/>
  <c r="AH257" i="34"/>
  <c r="AI257" i="34"/>
  <c r="AJ257" i="34"/>
  <c r="AK257" i="34"/>
  <c r="AL257" i="34"/>
  <c r="AM257" i="34"/>
  <c r="J258" i="34"/>
  <c r="K258" i="34"/>
  <c r="L258" i="34"/>
  <c r="M258" i="34"/>
  <c r="M259" i="34"/>
  <c r="S258" i="34"/>
  <c r="T258" i="34"/>
  <c r="U258" i="34"/>
  <c r="V258" i="34"/>
  <c r="W258" i="34"/>
  <c r="X258" i="34"/>
  <c r="Y258" i="34"/>
  <c r="Z258" i="34"/>
  <c r="AA258" i="34"/>
  <c r="AB258" i="34"/>
  <c r="AC258" i="34"/>
  <c r="AD258" i="34"/>
  <c r="AE258" i="34"/>
  <c r="AF258" i="34"/>
  <c r="AG258" i="34"/>
  <c r="AH258" i="34"/>
  <c r="AI258" i="34"/>
  <c r="AJ258" i="34"/>
  <c r="AK258" i="34"/>
  <c r="AL258" i="34"/>
  <c r="AM258" i="34"/>
  <c r="J259" i="34"/>
  <c r="K259" i="34"/>
  <c r="L259" i="34"/>
  <c r="S259" i="34"/>
  <c r="T259" i="34"/>
  <c r="U259" i="34"/>
  <c r="V259" i="34"/>
  <c r="W259" i="34"/>
  <c r="X259" i="34"/>
  <c r="Y259" i="34"/>
  <c r="Z259" i="34"/>
  <c r="AA259" i="34"/>
  <c r="AB259" i="34"/>
  <c r="AC259" i="34"/>
  <c r="AD259" i="34"/>
  <c r="AE259" i="34"/>
  <c r="AF259" i="34"/>
  <c r="AG259" i="34"/>
  <c r="AH259" i="34"/>
  <c r="AI259" i="34"/>
  <c r="AJ259" i="34"/>
  <c r="AK259" i="34"/>
  <c r="AL259" i="34"/>
  <c r="AM259" i="34"/>
  <c r="K261" i="34"/>
  <c r="M261" i="34"/>
  <c r="M268" i="34"/>
  <c r="N261" i="34"/>
  <c r="N268" i="34"/>
  <c r="O261" i="34"/>
  <c r="R261" i="34"/>
  <c r="R268" i="34"/>
  <c r="U261" i="34"/>
  <c r="V261" i="34"/>
  <c r="Y261" i="34"/>
  <c r="Z261" i="34"/>
  <c r="AB261" i="34"/>
  <c r="AC261" i="34"/>
  <c r="AD261" i="34"/>
  <c r="AE261" i="34"/>
  <c r="AF261" i="34"/>
  <c r="AH261" i="34"/>
  <c r="AI261" i="34"/>
  <c r="AJ261" i="34"/>
  <c r="AL261" i="34"/>
  <c r="AM261" i="34"/>
  <c r="K262" i="34"/>
  <c r="M262" i="34"/>
  <c r="N262" i="34"/>
  <c r="O262" i="34"/>
  <c r="O269" i="34"/>
  <c r="O270" i="34"/>
  <c r="O271" i="34"/>
  <c r="P269" i="34"/>
  <c r="R262" i="34"/>
  <c r="U262" i="34"/>
  <c r="V262" i="34"/>
  <c r="Y262" i="34"/>
  <c r="Z262" i="34"/>
  <c r="AB262" i="34"/>
  <c r="AC262" i="34"/>
  <c r="AD262" i="34"/>
  <c r="AE262" i="34"/>
  <c r="AF262" i="34"/>
  <c r="AH262" i="34"/>
  <c r="AI262" i="34"/>
  <c r="AJ262" i="34"/>
  <c r="AL262" i="34"/>
  <c r="AM262" i="34"/>
  <c r="J264" i="34"/>
  <c r="K264" i="34"/>
  <c r="L264" i="34"/>
  <c r="M264" i="34"/>
  <c r="N264" i="34"/>
  <c r="O264" i="34"/>
  <c r="P264" i="34"/>
  <c r="Q264" i="34"/>
  <c r="R264" i="34"/>
  <c r="S264" i="34"/>
  <c r="T264" i="34"/>
  <c r="U264" i="34"/>
  <c r="V264" i="34"/>
  <c r="W264" i="34"/>
  <c r="X264" i="34"/>
  <c r="Y264" i="34"/>
  <c r="Z264" i="34"/>
  <c r="AA264" i="34"/>
  <c r="AB264" i="34"/>
  <c r="AC264" i="34"/>
  <c r="AD264" i="34"/>
  <c r="AE264" i="34"/>
  <c r="AF264" i="34"/>
  <c r="AG264" i="34"/>
  <c r="AH264" i="34"/>
  <c r="AI264" i="34"/>
  <c r="AJ264" i="34"/>
  <c r="AK264" i="34"/>
  <c r="AL264" i="34"/>
  <c r="AM264" i="34"/>
  <c r="J265" i="34"/>
  <c r="K265" i="34"/>
  <c r="L265" i="34"/>
  <c r="M265" i="34"/>
  <c r="N265" i="34"/>
  <c r="O265" i="34"/>
  <c r="P265" i="34"/>
  <c r="Q265" i="34"/>
  <c r="R265" i="34"/>
  <c r="S265" i="34"/>
  <c r="T265" i="34"/>
  <c r="U265" i="34"/>
  <c r="V265" i="34"/>
  <c r="W265" i="34"/>
  <c r="X265" i="34"/>
  <c r="Y265" i="34"/>
  <c r="Z265" i="34"/>
  <c r="AA265" i="34"/>
  <c r="AB265" i="34"/>
  <c r="AC265" i="34"/>
  <c r="AD265" i="34"/>
  <c r="AE265" i="34"/>
  <c r="AF265" i="34"/>
  <c r="AG265" i="34"/>
  <c r="AH265" i="34"/>
  <c r="AI265" i="34"/>
  <c r="AJ265" i="34"/>
  <c r="AK265" i="34"/>
  <c r="AL265" i="34"/>
  <c r="AM265" i="34"/>
  <c r="J268" i="34"/>
  <c r="K268" i="34"/>
  <c r="L268" i="34"/>
  <c r="O268" i="34"/>
  <c r="P268" i="34"/>
  <c r="Q268" i="34"/>
  <c r="S268" i="34"/>
  <c r="T268" i="34"/>
  <c r="U268" i="34"/>
  <c r="V268" i="34"/>
  <c r="W268" i="34"/>
  <c r="X268" i="34"/>
  <c r="Y268" i="34"/>
  <c r="Z268" i="34"/>
  <c r="AA268" i="34"/>
  <c r="AB268" i="34"/>
  <c r="AC268" i="34"/>
  <c r="AD268" i="34"/>
  <c r="AE268" i="34"/>
  <c r="AF268" i="34"/>
  <c r="AG268" i="34"/>
  <c r="AH268" i="34"/>
  <c r="AI268" i="34"/>
  <c r="AJ268" i="34"/>
  <c r="AK268" i="34"/>
  <c r="AL268" i="34"/>
  <c r="AM268" i="34"/>
  <c r="J269" i="34"/>
  <c r="K269" i="34"/>
  <c r="L269" i="34"/>
  <c r="M269" i="34"/>
  <c r="N269" i="34"/>
  <c r="N270" i="34"/>
  <c r="N271" i="34"/>
  <c r="Q269" i="34"/>
  <c r="Q270" i="34"/>
  <c r="Q271" i="34"/>
  <c r="R269" i="34"/>
  <c r="R270" i="34"/>
  <c r="R271" i="34"/>
  <c r="S269" i="34"/>
  <c r="T269" i="34"/>
  <c r="U269" i="34"/>
  <c r="V269" i="34"/>
  <c r="W269" i="34"/>
  <c r="X269" i="34"/>
  <c r="Y269" i="34"/>
  <c r="Z269" i="34"/>
  <c r="AA269" i="34"/>
  <c r="AB269" i="34"/>
  <c r="AC269" i="34"/>
  <c r="AD269" i="34"/>
  <c r="AE269" i="34"/>
  <c r="AF269" i="34"/>
  <c r="AG269" i="34"/>
  <c r="AH269" i="34"/>
  <c r="AI269" i="34"/>
  <c r="AJ269" i="34"/>
  <c r="AK269" i="34"/>
  <c r="AL269" i="34"/>
  <c r="AM269" i="34"/>
  <c r="J270" i="34"/>
  <c r="K270" i="34"/>
  <c r="L270" i="34"/>
  <c r="M270" i="34"/>
  <c r="S270" i="34"/>
  <c r="T270" i="34"/>
  <c r="U270" i="34"/>
  <c r="V270" i="34"/>
  <c r="W270" i="34"/>
  <c r="X270" i="34"/>
  <c r="Y270" i="34"/>
  <c r="Z270" i="34"/>
  <c r="AA270" i="34"/>
  <c r="AB270" i="34"/>
  <c r="AC270" i="34"/>
  <c r="AD270" i="34"/>
  <c r="AE270" i="34"/>
  <c r="AF270" i="34"/>
  <c r="AG270" i="34"/>
  <c r="AH270" i="34"/>
  <c r="AI270" i="34"/>
  <c r="AJ270" i="34"/>
  <c r="AK270" i="34"/>
  <c r="AL270" i="34"/>
  <c r="AM270" i="34"/>
  <c r="J271" i="34"/>
  <c r="K271" i="34"/>
  <c r="L271" i="34"/>
  <c r="S271" i="34"/>
  <c r="T271" i="34"/>
  <c r="U271" i="34"/>
  <c r="V271" i="34"/>
  <c r="W271" i="34"/>
  <c r="X271" i="34"/>
  <c r="Y271" i="34"/>
  <c r="Z271" i="34"/>
  <c r="AA271" i="34"/>
  <c r="AB271" i="34"/>
  <c r="AC271" i="34"/>
  <c r="AD271" i="34"/>
  <c r="AE271" i="34"/>
  <c r="AF271" i="34"/>
  <c r="AG271" i="34"/>
  <c r="AH271" i="34"/>
  <c r="AI271" i="34"/>
  <c r="AJ271" i="34"/>
  <c r="AK271" i="34"/>
  <c r="AL271" i="34"/>
  <c r="AM271" i="34"/>
  <c r="AN9" i="34"/>
  <c r="AN16" i="34"/>
  <c r="AN10" i="34"/>
  <c r="AN17" i="34"/>
  <c r="AN12" i="34"/>
  <c r="AN13" i="34"/>
  <c r="AN18" i="34"/>
  <c r="AN19" i="34"/>
  <c r="AN22" i="34"/>
  <c r="AN29" i="34"/>
  <c r="AN21" i="34"/>
  <c r="AN28" i="34"/>
  <c r="AN24" i="34"/>
  <c r="AN25" i="34"/>
  <c r="AN30" i="34"/>
  <c r="AN31" i="34"/>
  <c r="AN34" i="34"/>
  <c r="AN41" i="34"/>
  <c r="AN33" i="34"/>
  <c r="AN40" i="34"/>
  <c r="AN42" i="34"/>
  <c r="AN43" i="34"/>
  <c r="AN46" i="34"/>
  <c r="AN53" i="34"/>
  <c r="AN45" i="34"/>
  <c r="AN52" i="34"/>
  <c r="AN49" i="34"/>
  <c r="AN57" i="34"/>
  <c r="AN58" i="34"/>
  <c r="AN60" i="34"/>
  <c r="AN61" i="34"/>
  <c r="AN64" i="34"/>
  <c r="AN65" i="34"/>
  <c r="AN66" i="34"/>
  <c r="AN67" i="34"/>
  <c r="AN69" i="34"/>
  <c r="AN70" i="34"/>
  <c r="AN72" i="34"/>
  <c r="AN73" i="34"/>
  <c r="AN76" i="34"/>
  <c r="AN77" i="34"/>
  <c r="AN78" i="34"/>
  <c r="AN79" i="34"/>
  <c r="AN81" i="34"/>
  <c r="AN82" i="34"/>
  <c r="AN84" i="34"/>
  <c r="AN85" i="34"/>
  <c r="AN88" i="34"/>
  <c r="AN89" i="34"/>
  <c r="AN90" i="34"/>
  <c r="AN91" i="34"/>
  <c r="AN93" i="34"/>
  <c r="AN94" i="34"/>
  <c r="AN96" i="34"/>
  <c r="AN97" i="34"/>
  <c r="AN100" i="34"/>
  <c r="AN101" i="34"/>
  <c r="AN102" i="34"/>
  <c r="AN103" i="34"/>
  <c r="AN105" i="34"/>
  <c r="AN106" i="34"/>
  <c r="AN108" i="34"/>
  <c r="AN109" i="34"/>
  <c r="AN112" i="34"/>
  <c r="AN113" i="34"/>
  <c r="AN114" i="34"/>
  <c r="AN115" i="34"/>
  <c r="AN117" i="34"/>
  <c r="AN118" i="34"/>
  <c r="AN120" i="34"/>
  <c r="AN121" i="34"/>
  <c r="AN124" i="34"/>
  <c r="AN125" i="34"/>
  <c r="AN126" i="34"/>
  <c r="AN127" i="34"/>
  <c r="AN129" i="34"/>
  <c r="AN130" i="34"/>
  <c r="AN132" i="34"/>
  <c r="AN133" i="34"/>
  <c r="AN136" i="34"/>
  <c r="AN137" i="34"/>
  <c r="AN138" i="34"/>
  <c r="AN139" i="34"/>
  <c r="AN141" i="34"/>
  <c r="AN142" i="34"/>
  <c r="AN144" i="34"/>
  <c r="AN145" i="34"/>
  <c r="AN148" i="34"/>
  <c r="AN149" i="34"/>
  <c r="AN150" i="34"/>
  <c r="AN151" i="34"/>
  <c r="AN153" i="34"/>
  <c r="AN154" i="34"/>
  <c r="AN156" i="34"/>
  <c r="AN157" i="34"/>
  <c r="AN160" i="34"/>
  <c r="AN161" i="34"/>
  <c r="AN162" i="34"/>
  <c r="AN163" i="34"/>
  <c r="AN165" i="34"/>
  <c r="AN166" i="34"/>
  <c r="AN168" i="34"/>
  <c r="AN169" i="34"/>
  <c r="AN172" i="34"/>
  <c r="AN173" i="34"/>
  <c r="AN174" i="34"/>
  <c r="AN175" i="34"/>
  <c r="AN177" i="34"/>
  <c r="AN178" i="34"/>
  <c r="AN180" i="34"/>
  <c r="AN181" i="34"/>
  <c r="AN184" i="34"/>
  <c r="AN185" i="34"/>
  <c r="AN186" i="34"/>
  <c r="AN187" i="34"/>
  <c r="AN189" i="34"/>
  <c r="AN190" i="34"/>
  <c r="AN192" i="34"/>
  <c r="AN193" i="34"/>
  <c r="AN196" i="34"/>
  <c r="AN197" i="34"/>
  <c r="AN198" i="34"/>
  <c r="AN199" i="34"/>
  <c r="AN201" i="34"/>
  <c r="AN202" i="34"/>
  <c r="AN204" i="34"/>
  <c r="AN205" i="34"/>
  <c r="AN208" i="34"/>
  <c r="AN209" i="34"/>
  <c r="AN210" i="34"/>
  <c r="AN211" i="34"/>
  <c r="AN213" i="34"/>
  <c r="AN214" i="34"/>
  <c r="AN216" i="34"/>
  <c r="AN217" i="34"/>
  <c r="AN220" i="34"/>
  <c r="AN221" i="34"/>
  <c r="AN222" i="34"/>
  <c r="AN223" i="34"/>
  <c r="AN225" i="34"/>
  <c r="AN226" i="34"/>
  <c r="AN228" i="34"/>
  <c r="AN229" i="34"/>
  <c r="AN232" i="34"/>
  <c r="AN233" i="34"/>
  <c r="AN234" i="34"/>
  <c r="AN235" i="34"/>
  <c r="AN237" i="34"/>
  <c r="AN238" i="34"/>
  <c r="AN240" i="34"/>
  <c r="AN241" i="34"/>
  <c r="AN244" i="34"/>
  <c r="AN245" i="34"/>
  <c r="AN246" i="34"/>
  <c r="AN247" i="34"/>
  <c r="AN249" i="34"/>
  <c r="AN250" i="34"/>
  <c r="AN252" i="34"/>
  <c r="AN253" i="34"/>
  <c r="AN256" i="34"/>
  <c r="AN257" i="34"/>
  <c r="AN258" i="34"/>
  <c r="AN259" i="34"/>
  <c r="AN261" i="34"/>
  <c r="AN262" i="34"/>
  <c r="AN264" i="34"/>
  <c r="AN265" i="34"/>
  <c r="AN268" i="34"/>
  <c r="AN269" i="34"/>
  <c r="AN270" i="34"/>
  <c r="AN271" i="34"/>
  <c r="M176" i="2"/>
  <c r="M51" i="2"/>
  <c r="AS22" i="39"/>
  <c r="AS29" i="39"/>
  <c r="AR49" i="39"/>
  <c r="AN61" i="39"/>
  <c r="AN97" i="39"/>
  <c r="AN114" i="39"/>
  <c r="AN115" i="39"/>
  <c r="AP133" i="39"/>
  <c r="M27" i="2"/>
  <c r="AO25" i="38"/>
  <c r="AS58" i="38"/>
  <c r="AS65" i="38"/>
  <c r="AP70" i="38"/>
  <c r="AP77" i="38"/>
  <c r="AR144" i="38"/>
  <c r="AS142" i="38"/>
  <c r="AS149" i="38"/>
  <c r="AN181" i="38"/>
  <c r="AN197" i="38"/>
  <c r="AP216" i="38"/>
  <c r="AS240" i="38"/>
  <c r="AN270" i="38"/>
  <c r="AN271" i="38"/>
  <c r="AQ264" i="38"/>
  <c r="AS264" i="38"/>
  <c r="AS102" i="40"/>
  <c r="AS103" i="40"/>
  <c r="AJ22" i="2"/>
  <c r="AJ23" i="2"/>
  <c r="AJ24" i="2"/>
  <c r="AJ25" i="2"/>
  <c r="AJ30" i="2"/>
  <c r="AN160" i="38"/>
  <c r="AO153" i="38"/>
  <c r="AO160" i="38"/>
  <c r="AP153" i="38"/>
  <c r="AP160" i="38"/>
  <c r="AQ153" i="38"/>
  <c r="AQ160" i="38"/>
  <c r="AR153" i="38"/>
  <c r="AR160" i="38"/>
  <c r="AS153" i="38"/>
  <c r="AS160" i="38"/>
  <c r="AQ154" i="38"/>
  <c r="AQ161" i="38"/>
  <c r="AO156" i="38"/>
  <c r="AS162" i="38"/>
  <c r="AS163" i="38"/>
  <c r="AJ12" i="2"/>
  <c r="AJ13" i="2"/>
  <c r="AJ14" i="2"/>
  <c r="AJ15" i="2"/>
  <c r="AJ16" i="2"/>
  <c r="AJ3" i="2"/>
  <c r="AJ4" i="2"/>
  <c r="AJ5" i="2"/>
  <c r="AJ6" i="2"/>
  <c r="AJ7" i="2"/>
  <c r="AJ8" i="2"/>
  <c r="AJ9" i="2"/>
  <c r="AI18" i="2"/>
  <c r="AM72" i="40"/>
  <c r="AN72" i="40"/>
  <c r="AN73" i="40"/>
  <c r="AM69" i="40"/>
  <c r="AM76" i="40"/>
  <c r="AN76" i="40"/>
  <c r="AN77" i="40"/>
  <c r="AM78" i="40"/>
  <c r="AM79" i="40"/>
  <c r="AN78" i="40"/>
  <c r="AN79" i="40"/>
  <c r="AM81" i="40"/>
  <c r="AM88" i="40"/>
  <c r="AN81" i="40"/>
  <c r="AN88" i="40"/>
  <c r="AM90" i="40"/>
  <c r="AM91" i="40"/>
  <c r="AN90" i="40"/>
  <c r="AN91" i="40"/>
  <c r="AM93" i="40"/>
  <c r="AM100" i="40"/>
  <c r="AN93" i="40"/>
  <c r="AN100" i="40"/>
  <c r="AM105" i="40"/>
  <c r="AM112" i="40"/>
  <c r="AN105" i="40"/>
  <c r="AN112" i="40"/>
  <c r="AM106" i="40"/>
  <c r="AM113" i="40"/>
  <c r="AM108" i="40"/>
  <c r="AM114" i="40"/>
  <c r="AM115" i="40"/>
  <c r="AM57" i="40"/>
  <c r="AM64" i="40"/>
  <c r="AN57" i="40"/>
  <c r="AN64" i="40"/>
  <c r="AM45" i="40"/>
  <c r="AM52" i="40"/>
  <c r="AN45" i="40"/>
  <c r="AN52" i="40"/>
  <c r="AM33" i="40"/>
  <c r="AM40" i="40"/>
  <c r="AN40" i="40"/>
  <c r="AM21" i="40"/>
  <c r="AM28" i="40"/>
  <c r="AN28" i="40"/>
  <c r="AM9" i="40"/>
  <c r="AM16" i="40"/>
  <c r="AN9" i="40"/>
  <c r="AN16" i="40"/>
  <c r="AM10" i="40"/>
  <c r="AM17" i="40"/>
  <c r="AN10" i="40"/>
  <c r="AN17" i="40"/>
  <c r="AM18" i="40"/>
  <c r="AM19" i="40"/>
  <c r="AN18" i="40"/>
  <c r="AN19" i="40"/>
  <c r="AM12" i="40"/>
  <c r="AN12" i="40"/>
  <c r="AM13" i="40"/>
  <c r="AN13" i="40"/>
  <c r="AO105" i="40"/>
  <c r="AO112" i="40"/>
  <c r="AO93" i="40"/>
  <c r="AO100" i="40"/>
  <c r="AO81" i="40"/>
  <c r="AO88" i="40"/>
  <c r="AO69" i="40"/>
  <c r="AO76" i="40"/>
  <c r="AO57" i="40"/>
  <c r="AO64" i="40"/>
  <c r="AO45" i="40"/>
  <c r="AO52" i="40"/>
  <c r="AO33" i="40"/>
  <c r="AO40" i="40"/>
  <c r="AO21" i="40"/>
  <c r="AO28" i="40"/>
  <c r="AO9" i="40"/>
  <c r="AO16" i="40"/>
  <c r="AN136" i="38"/>
  <c r="AN130" i="38"/>
  <c r="AN137" i="38"/>
  <c r="AN138" i="38"/>
  <c r="AN139" i="38"/>
  <c r="AN148" i="38"/>
  <c r="AN172" i="38"/>
  <c r="AN177" i="38"/>
  <c r="AN184" i="38"/>
  <c r="AN196" i="38"/>
  <c r="AN198" i="38"/>
  <c r="AN199" i="38"/>
  <c r="AN201" i="38"/>
  <c r="AN208" i="38"/>
  <c r="AN213" i="38"/>
  <c r="AN220" i="38"/>
  <c r="AN225" i="38"/>
  <c r="AN232" i="38"/>
  <c r="AN244" i="38"/>
  <c r="AN241" i="38"/>
  <c r="AN246" i="38"/>
  <c r="AN247" i="38"/>
  <c r="AN256" i="38"/>
  <c r="AN261" i="38"/>
  <c r="AN268" i="38"/>
  <c r="AN124" i="38"/>
  <c r="AN125" i="38"/>
  <c r="AN126" i="38"/>
  <c r="AN127" i="38"/>
  <c r="AN132" i="38"/>
  <c r="AN133" i="38"/>
  <c r="AN112" i="38"/>
  <c r="AN120" i="38"/>
  <c r="AN121" i="38"/>
  <c r="AN93" i="38"/>
  <c r="AN100" i="38"/>
  <c r="AN81" i="38"/>
  <c r="AN88" i="38"/>
  <c r="AN69" i="38"/>
  <c r="AN76" i="38"/>
  <c r="AN70" i="38"/>
  <c r="AN77" i="38"/>
  <c r="AN57" i="38"/>
  <c r="AN64" i="38"/>
  <c r="AN58" i="38"/>
  <c r="AN65" i="38"/>
  <c r="AN52" i="38"/>
  <c r="AN60" i="38"/>
  <c r="AN61" i="38"/>
  <c r="AN40" i="38"/>
  <c r="AN49" i="38"/>
  <c r="AN21" i="38"/>
  <c r="AN28" i="38"/>
  <c r="AN9" i="38"/>
  <c r="AN16" i="38"/>
  <c r="AN10" i="38"/>
  <c r="AN17" i="38"/>
  <c r="AN18" i="38"/>
  <c r="AN19" i="38"/>
  <c r="AN24" i="38"/>
  <c r="AN12" i="38"/>
  <c r="AN13" i="38"/>
  <c r="AQ120" i="35"/>
  <c r="AR120" i="35"/>
  <c r="AS120" i="35"/>
  <c r="AT120" i="35"/>
  <c r="AU120" i="35"/>
  <c r="AV120" i="35"/>
  <c r="AW120" i="35"/>
  <c r="AX120" i="35"/>
  <c r="A120" i="35"/>
  <c r="N2" i="35"/>
  <c r="A121" i="35"/>
  <c r="A110" i="35"/>
  <c r="M2" i="35"/>
  <c r="A32" i="35"/>
  <c r="M75" i="2"/>
  <c r="M202" i="2"/>
  <c r="M37" i="2"/>
  <c r="E198" i="2"/>
  <c r="E199" i="2"/>
  <c r="E200" i="2"/>
  <c r="E201" i="2"/>
  <c r="E202" i="2"/>
  <c r="M48" i="2"/>
  <c r="M104" i="2"/>
  <c r="M184" i="2"/>
  <c r="E162" i="2"/>
  <c r="M162" i="2"/>
  <c r="M103" i="2"/>
  <c r="M102" i="2"/>
  <c r="M158" i="2"/>
  <c r="M133" i="2"/>
  <c r="V1" i="2"/>
  <c r="W1" i="2"/>
  <c r="V2" i="2"/>
  <c r="W2" i="2"/>
  <c r="X1" i="2"/>
  <c r="Y1" i="2"/>
  <c r="E192" i="2"/>
  <c r="M192" i="2"/>
  <c r="E193" i="2"/>
  <c r="M193" i="2"/>
  <c r="E194" i="2"/>
  <c r="M194" i="2"/>
  <c r="E183" i="2"/>
  <c r="M183" i="2"/>
  <c r="E182" i="2"/>
  <c r="M182" i="2"/>
  <c r="E175" i="2"/>
  <c r="M175" i="2"/>
  <c r="E174" i="2"/>
  <c r="M174" i="2"/>
  <c r="E173" i="2"/>
  <c r="M173" i="2"/>
  <c r="E172" i="2"/>
  <c r="M172" i="2"/>
  <c r="AO238" i="38"/>
  <c r="AO245" i="38"/>
  <c r="AP69" i="40"/>
  <c r="AP76" i="40"/>
  <c r="AQ69" i="40"/>
  <c r="AQ76" i="40"/>
  <c r="AR69" i="40"/>
  <c r="AR76" i="40"/>
  <c r="AS69" i="40"/>
  <c r="AS76" i="40"/>
  <c r="AR70" i="40"/>
  <c r="AR77" i="40"/>
  <c r="AP81" i="40"/>
  <c r="AP88" i="40"/>
  <c r="AQ81" i="40"/>
  <c r="AQ88" i="40"/>
  <c r="AR81" i="40"/>
  <c r="AR88" i="40"/>
  <c r="AS81" i="40"/>
  <c r="AS88" i="40"/>
  <c r="AR82" i="40"/>
  <c r="AR89" i="40"/>
  <c r="AS82" i="40"/>
  <c r="AS89" i="40"/>
  <c r="AS84" i="40"/>
  <c r="AR85" i="40"/>
  <c r="AS85" i="40"/>
  <c r="AR90" i="40"/>
  <c r="AR91" i="40"/>
  <c r="AS90" i="40"/>
  <c r="AS91" i="40"/>
  <c r="AP93" i="40"/>
  <c r="AP100" i="40"/>
  <c r="AQ93" i="40"/>
  <c r="AQ100" i="40"/>
  <c r="AR93" i="40"/>
  <c r="AR100" i="40"/>
  <c r="AS93" i="40"/>
  <c r="AS100" i="40"/>
  <c r="AP96" i="40"/>
  <c r="AP105" i="40"/>
  <c r="AP112" i="40"/>
  <c r="AQ105" i="40"/>
  <c r="AQ112" i="40"/>
  <c r="AR105" i="40"/>
  <c r="AR112" i="40"/>
  <c r="AS105" i="40"/>
  <c r="AS112" i="40"/>
  <c r="AP106" i="40"/>
  <c r="AP113" i="40"/>
  <c r="AP114" i="40"/>
  <c r="AP115" i="40"/>
  <c r="AP57" i="40"/>
  <c r="AP64" i="40"/>
  <c r="AQ57" i="40"/>
  <c r="AQ64" i="40"/>
  <c r="AR57" i="40"/>
  <c r="AR64" i="40"/>
  <c r="AS57" i="40"/>
  <c r="AS64" i="40"/>
  <c r="AS58" i="40"/>
  <c r="AS65" i="40"/>
  <c r="AS66" i="40"/>
  <c r="AS67" i="40"/>
  <c r="AS61" i="40"/>
  <c r="AP45" i="40"/>
  <c r="AP52" i="40"/>
  <c r="AQ45" i="40"/>
  <c r="AQ52" i="40"/>
  <c r="AR45" i="40"/>
  <c r="AR52" i="40"/>
  <c r="AS45" i="40"/>
  <c r="AS52" i="40"/>
  <c r="AO46" i="40"/>
  <c r="AO53" i="40"/>
  <c r="AO54" i="40"/>
  <c r="AO55" i="40"/>
  <c r="AP54" i="40"/>
  <c r="AP55" i="40"/>
  <c r="AO48" i="40"/>
  <c r="AO49" i="40"/>
  <c r="AP33" i="40"/>
  <c r="AP40" i="40"/>
  <c r="AQ33" i="40"/>
  <c r="AQ40" i="40"/>
  <c r="AR33" i="40"/>
  <c r="AR40" i="40"/>
  <c r="AS33" i="40"/>
  <c r="AS40" i="40"/>
  <c r="AO34" i="40"/>
  <c r="AO41" i="40"/>
  <c r="AP34" i="40"/>
  <c r="AP41" i="40"/>
  <c r="AP21" i="40"/>
  <c r="AP28" i="40"/>
  <c r="AQ21" i="40"/>
  <c r="AQ28" i="40"/>
  <c r="AR21" i="40"/>
  <c r="AR28" i="40"/>
  <c r="AS21" i="40"/>
  <c r="AS28" i="40"/>
  <c r="AS22" i="40"/>
  <c r="AS29" i="40"/>
  <c r="AP9" i="40"/>
  <c r="AP16" i="40"/>
  <c r="AQ9" i="40"/>
  <c r="AQ16" i="40"/>
  <c r="AR9" i="40"/>
  <c r="AR16" i="40"/>
  <c r="AS9" i="40"/>
  <c r="AS16" i="40"/>
  <c r="AO10" i="40"/>
  <c r="AO17" i="40"/>
  <c r="AP10" i="40"/>
  <c r="AP17" i="40"/>
  <c r="AQ10" i="40"/>
  <c r="AQ17" i="40"/>
  <c r="AR10" i="40"/>
  <c r="AR17" i="40"/>
  <c r="AS10" i="40"/>
  <c r="AS17" i="40"/>
  <c r="AO18" i="40"/>
  <c r="AO19" i="40"/>
  <c r="AP18" i="40"/>
  <c r="AP19" i="40"/>
  <c r="AQ18" i="40"/>
  <c r="AQ19" i="40"/>
  <c r="AR18" i="40"/>
  <c r="AR19" i="40"/>
  <c r="AS18" i="40"/>
  <c r="AS19" i="40"/>
  <c r="AO12" i="40"/>
  <c r="AP12" i="40"/>
  <c r="AQ12" i="40"/>
  <c r="AR12" i="40"/>
  <c r="AS12" i="40"/>
  <c r="AO13" i="40"/>
  <c r="AP13" i="40"/>
  <c r="AQ13" i="40"/>
  <c r="AR13" i="40"/>
  <c r="AS13" i="40"/>
  <c r="AS93" i="41"/>
  <c r="AS100" i="41"/>
  <c r="AR93" i="41"/>
  <c r="AR100" i="41"/>
  <c r="AQ93" i="41"/>
  <c r="AQ100" i="41"/>
  <c r="AP93" i="41"/>
  <c r="AP100" i="41"/>
  <c r="AO93" i="41"/>
  <c r="AO100" i="41"/>
  <c r="A69" i="41"/>
  <c r="A81" i="41"/>
  <c r="A93" i="41"/>
  <c r="A68" i="41"/>
  <c r="A80" i="41"/>
  <c r="A92" i="41"/>
  <c r="AS81" i="41"/>
  <c r="AS88" i="41"/>
  <c r="AR81" i="41"/>
  <c r="AR88" i="41"/>
  <c r="AQ81" i="41"/>
  <c r="AQ88" i="41"/>
  <c r="AP81" i="41"/>
  <c r="AP88" i="41"/>
  <c r="AO81" i="41"/>
  <c r="AO88" i="41"/>
  <c r="AO84" i="41"/>
  <c r="AR78" i="41"/>
  <c r="AR79" i="41"/>
  <c r="AQ78" i="41"/>
  <c r="AQ79" i="41"/>
  <c r="AO78" i="41"/>
  <c r="AO79" i="41"/>
  <c r="AQ70" i="41"/>
  <c r="AQ77" i="41"/>
  <c r="AS69" i="41"/>
  <c r="AS76" i="41"/>
  <c r="AR69" i="41"/>
  <c r="AR76" i="41"/>
  <c r="AQ69" i="41"/>
  <c r="AQ76" i="41"/>
  <c r="AP69" i="41"/>
  <c r="AP76" i="41"/>
  <c r="AO69" i="41"/>
  <c r="AO76" i="41"/>
  <c r="AR73" i="41"/>
  <c r="AQ73" i="41"/>
  <c r="AO73" i="41"/>
  <c r="AQ72" i="41"/>
  <c r="AS66" i="41"/>
  <c r="AS67" i="41"/>
  <c r="AS57" i="41"/>
  <c r="AS64" i="41"/>
  <c r="AR57" i="41"/>
  <c r="AR64" i="41"/>
  <c r="AQ57" i="41"/>
  <c r="AQ64" i="41"/>
  <c r="AP57" i="41"/>
  <c r="AP64" i="41"/>
  <c r="AO57" i="41"/>
  <c r="AO64" i="41"/>
  <c r="AS60" i="41"/>
  <c r="AO54" i="41"/>
  <c r="AO55" i="41"/>
  <c r="AP46" i="41"/>
  <c r="AP53" i="41"/>
  <c r="AS45" i="41"/>
  <c r="AS52" i="41"/>
  <c r="AR45" i="41"/>
  <c r="AR52" i="41"/>
  <c r="AQ45" i="41"/>
  <c r="AQ52" i="41"/>
  <c r="AP45" i="41"/>
  <c r="AP52" i="41"/>
  <c r="AO45" i="41"/>
  <c r="AO52" i="41"/>
  <c r="AP49" i="41"/>
  <c r="AP48" i="41"/>
  <c r="AO48" i="41"/>
  <c r="A21" i="41"/>
  <c r="A33" i="41"/>
  <c r="A45" i="41"/>
  <c r="AS33" i="41"/>
  <c r="AS40" i="41"/>
  <c r="AR33" i="41"/>
  <c r="AR40" i="41"/>
  <c r="AQ33" i="41"/>
  <c r="AQ40" i="41"/>
  <c r="AP33" i="41"/>
  <c r="AP40" i="41"/>
  <c r="AO33" i="41"/>
  <c r="AO40" i="41"/>
  <c r="AS21" i="41"/>
  <c r="AS28" i="41"/>
  <c r="AR21" i="41"/>
  <c r="AR28" i="41"/>
  <c r="AQ21" i="41"/>
  <c r="AQ28" i="41"/>
  <c r="AP21" i="41"/>
  <c r="AP28" i="41"/>
  <c r="AO21" i="41"/>
  <c r="AO28" i="41"/>
  <c r="AS18" i="41"/>
  <c r="AS19" i="41"/>
  <c r="AR18" i="41"/>
  <c r="AR19" i="41"/>
  <c r="AQ18" i="41"/>
  <c r="AP18" i="41"/>
  <c r="AP19" i="41"/>
  <c r="AO18" i="41"/>
  <c r="AO19" i="41"/>
  <c r="AS10" i="41"/>
  <c r="AS17" i="41"/>
  <c r="AR10" i="41"/>
  <c r="AR17" i="41"/>
  <c r="AQ10" i="41"/>
  <c r="AQ17" i="41"/>
  <c r="AP10" i="41"/>
  <c r="AP17" i="41"/>
  <c r="AO10" i="41"/>
  <c r="AO17" i="41"/>
  <c r="AS9" i="41"/>
  <c r="AS16" i="41"/>
  <c r="AR9" i="41"/>
  <c r="AR16" i="41"/>
  <c r="AQ9" i="41"/>
  <c r="AQ16" i="41"/>
  <c r="AP9" i="41"/>
  <c r="AP16" i="41"/>
  <c r="AO9" i="41"/>
  <c r="AO16" i="41"/>
  <c r="AS13" i="41"/>
  <c r="AR13" i="41"/>
  <c r="AQ13" i="41"/>
  <c r="AP13" i="41"/>
  <c r="AO13" i="41"/>
  <c r="AS12" i="41"/>
  <c r="AR12" i="41"/>
  <c r="AQ12" i="41"/>
  <c r="AP12" i="41"/>
  <c r="AO12" i="41"/>
  <c r="AS249" i="39"/>
  <c r="AR249" i="39"/>
  <c r="AQ249" i="39"/>
  <c r="AP249" i="39"/>
  <c r="AO249" i="39"/>
  <c r="AN249" i="39"/>
  <c r="AN248" i="39"/>
  <c r="AO248" i="39"/>
  <c r="AP248" i="39"/>
  <c r="AQ248" i="39"/>
  <c r="AR248" i="39"/>
  <c r="AS248" i="39"/>
  <c r="AS247" i="39"/>
  <c r="AR247" i="39"/>
  <c r="AQ247" i="39"/>
  <c r="AP247" i="39"/>
  <c r="AO247" i="39"/>
  <c r="AN247" i="39"/>
  <c r="AS246" i="39"/>
  <c r="AR246" i="39"/>
  <c r="AQ246" i="39"/>
  <c r="AP246" i="39"/>
  <c r="AO246" i="39"/>
  <c r="AN246" i="39"/>
  <c r="AS243" i="39"/>
  <c r="AR243" i="39"/>
  <c r="AQ243" i="39"/>
  <c r="AP243" i="39"/>
  <c r="AO243" i="39"/>
  <c r="AN243" i="39"/>
  <c r="AS242" i="39"/>
  <c r="AR242" i="39"/>
  <c r="AQ242" i="39"/>
  <c r="AP242" i="39"/>
  <c r="AO242" i="39"/>
  <c r="AN242" i="39"/>
  <c r="AS240" i="39"/>
  <c r="AR240" i="39"/>
  <c r="AQ240" i="39"/>
  <c r="AP240" i="39"/>
  <c r="AO240" i="39"/>
  <c r="AN240" i="39"/>
  <c r="AS235" i="39"/>
  <c r="AR235" i="39"/>
  <c r="AQ235" i="39"/>
  <c r="AP235" i="39"/>
  <c r="AO235" i="39"/>
  <c r="AN235" i="39"/>
  <c r="AN234" i="39"/>
  <c r="AO234" i="39"/>
  <c r="AP234" i="39"/>
  <c r="AQ234" i="39"/>
  <c r="AR234" i="39"/>
  <c r="AS234" i="39"/>
  <c r="AS233" i="39"/>
  <c r="AR233" i="39"/>
  <c r="AQ233" i="39"/>
  <c r="AP233" i="39"/>
  <c r="AO233" i="39"/>
  <c r="AN233" i="39"/>
  <c r="AS232" i="39"/>
  <c r="AR232" i="39"/>
  <c r="AQ232" i="39"/>
  <c r="AP232" i="39"/>
  <c r="AO232" i="39"/>
  <c r="AN232" i="39"/>
  <c r="AS229" i="39"/>
  <c r="AR229" i="39"/>
  <c r="AQ229" i="39"/>
  <c r="AP229" i="39"/>
  <c r="AO229" i="39"/>
  <c r="AN229" i="39"/>
  <c r="AS228" i="39"/>
  <c r="AR228" i="39"/>
  <c r="AQ228" i="39"/>
  <c r="AP228" i="39"/>
  <c r="AO228" i="39"/>
  <c r="AN228" i="39"/>
  <c r="AS226" i="39"/>
  <c r="AR226" i="39"/>
  <c r="AQ226" i="39"/>
  <c r="AP226" i="39"/>
  <c r="AO226" i="39"/>
  <c r="AN226" i="39"/>
  <c r="AS225" i="39"/>
  <c r="AR225" i="39"/>
  <c r="AQ225" i="39"/>
  <c r="AP225" i="39"/>
  <c r="AO225" i="39"/>
  <c r="AN225" i="39"/>
  <c r="AS223" i="39"/>
  <c r="AR223" i="39"/>
  <c r="AQ223" i="39"/>
  <c r="AP223" i="39"/>
  <c r="AO223" i="39"/>
  <c r="AN223" i="39"/>
  <c r="AN222" i="39"/>
  <c r="AO222" i="39"/>
  <c r="AP222" i="39"/>
  <c r="AQ222" i="39"/>
  <c r="AR222" i="39"/>
  <c r="AS222" i="39"/>
  <c r="AS221" i="39"/>
  <c r="AR221" i="39"/>
  <c r="AQ221" i="39"/>
  <c r="AP221" i="39"/>
  <c r="AO221" i="39"/>
  <c r="AN221" i="39"/>
  <c r="AS220" i="39"/>
  <c r="AR220" i="39"/>
  <c r="AQ220" i="39"/>
  <c r="AP220" i="39"/>
  <c r="AO220" i="39"/>
  <c r="AN220" i="39"/>
  <c r="AS217" i="39"/>
  <c r="AR217" i="39"/>
  <c r="AQ217" i="39"/>
  <c r="AP217" i="39"/>
  <c r="AO217" i="39"/>
  <c r="AN217" i="39"/>
  <c r="AS216" i="39"/>
  <c r="AR216" i="39"/>
  <c r="AQ216" i="39"/>
  <c r="AP216" i="39"/>
  <c r="AO216" i="39"/>
  <c r="AN216" i="39"/>
  <c r="AS214" i="39"/>
  <c r="AR214" i="39"/>
  <c r="AQ214" i="39"/>
  <c r="AP214" i="39"/>
  <c r="AO214" i="39"/>
  <c r="AS213" i="39"/>
  <c r="AR213" i="39"/>
  <c r="AQ213" i="39"/>
  <c r="AP213" i="39"/>
  <c r="AO213" i="39"/>
  <c r="AN213" i="39"/>
  <c r="AS211" i="39"/>
  <c r="AR211" i="39"/>
  <c r="AQ211" i="39"/>
  <c r="AP211" i="39"/>
  <c r="AO211" i="39"/>
  <c r="AN211" i="39"/>
  <c r="AN210" i="39"/>
  <c r="AO210" i="39"/>
  <c r="AP210" i="39"/>
  <c r="AQ210" i="39"/>
  <c r="AR210" i="39"/>
  <c r="AS210" i="39"/>
  <c r="AS209" i="39"/>
  <c r="AR209" i="39"/>
  <c r="AQ209" i="39"/>
  <c r="AP209" i="39"/>
  <c r="AO209" i="39"/>
  <c r="AN209" i="39"/>
  <c r="AS208" i="39"/>
  <c r="AR208" i="39"/>
  <c r="AQ208" i="39"/>
  <c r="AP208" i="39"/>
  <c r="AO208" i="39"/>
  <c r="AN208" i="39"/>
  <c r="AS205" i="39"/>
  <c r="AR205" i="39"/>
  <c r="AQ205" i="39"/>
  <c r="AP205" i="39"/>
  <c r="AO205" i="39"/>
  <c r="AN205" i="39"/>
  <c r="AS204" i="39"/>
  <c r="AR204" i="39"/>
  <c r="AQ204" i="39"/>
  <c r="AP204" i="39"/>
  <c r="AO204" i="39"/>
  <c r="AN204" i="39"/>
  <c r="AS202" i="39"/>
  <c r="AR202" i="39"/>
  <c r="AQ202" i="39"/>
  <c r="AP202" i="39"/>
  <c r="AO202" i="39"/>
  <c r="AS201" i="39"/>
  <c r="AR201" i="39"/>
  <c r="AQ201" i="39"/>
  <c r="AP201" i="39"/>
  <c r="AO201" i="39"/>
  <c r="AS199" i="39"/>
  <c r="AR199" i="39"/>
  <c r="AQ199" i="39"/>
  <c r="AP199" i="39"/>
  <c r="AO199" i="39"/>
  <c r="AN199" i="39"/>
  <c r="AN198" i="39"/>
  <c r="AO198" i="39"/>
  <c r="AP198" i="39"/>
  <c r="AQ198" i="39"/>
  <c r="AR198" i="39"/>
  <c r="AS198" i="39"/>
  <c r="AS197" i="39"/>
  <c r="AR197" i="39"/>
  <c r="AQ197" i="39"/>
  <c r="AP197" i="39"/>
  <c r="AO197" i="39"/>
  <c r="AN197" i="39"/>
  <c r="AS196" i="39"/>
  <c r="AR196" i="39"/>
  <c r="AQ196" i="39"/>
  <c r="AP196" i="39"/>
  <c r="AO196" i="39"/>
  <c r="AN196" i="39"/>
  <c r="AS193" i="39"/>
  <c r="AR193" i="39"/>
  <c r="AQ193" i="39"/>
  <c r="AP193" i="39"/>
  <c r="AO193" i="39"/>
  <c r="AN193" i="39"/>
  <c r="AS192" i="39"/>
  <c r="AR192" i="39"/>
  <c r="AQ192" i="39"/>
  <c r="AP192" i="39"/>
  <c r="AO192" i="39"/>
  <c r="AN192" i="39"/>
  <c r="AS190" i="39"/>
  <c r="AR190" i="39"/>
  <c r="AQ190" i="39"/>
  <c r="AP190" i="39"/>
  <c r="AO190" i="39"/>
  <c r="AS189" i="39"/>
  <c r="AR189" i="39"/>
  <c r="AQ189" i="39"/>
  <c r="AP189" i="39"/>
  <c r="AO189" i="39"/>
  <c r="AS187" i="39"/>
  <c r="AR187" i="39"/>
  <c r="AQ187" i="39"/>
  <c r="AP187" i="39"/>
  <c r="AO187" i="39"/>
  <c r="AN187" i="39"/>
  <c r="AN186" i="39"/>
  <c r="AO186" i="39"/>
  <c r="AP186" i="39"/>
  <c r="AQ186" i="39"/>
  <c r="AR186" i="39"/>
  <c r="AS186" i="39"/>
  <c r="AS184" i="39"/>
  <c r="AR184" i="39"/>
  <c r="AQ184" i="39"/>
  <c r="AP184" i="39"/>
  <c r="AO184" i="39"/>
  <c r="AN184" i="39"/>
  <c r="AS181" i="39"/>
  <c r="AR181" i="39"/>
  <c r="AQ181" i="39"/>
  <c r="AP181" i="39"/>
  <c r="AO181" i="39"/>
  <c r="AN181" i="39"/>
  <c r="AS180" i="39"/>
  <c r="AR180" i="39"/>
  <c r="AQ180" i="39"/>
  <c r="AP180" i="39"/>
  <c r="AO180" i="39"/>
  <c r="AN180" i="39"/>
  <c r="AS178" i="39"/>
  <c r="AR178" i="39"/>
  <c r="AQ178" i="39"/>
  <c r="AP178" i="39"/>
  <c r="AO178" i="39"/>
  <c r="AN178" i="39"/>
  <c r="AS177" i="39"/>
  <c r="AR177" i="39"/>
  <c r="AQ177" i="39"/>
  <c r="AP177" i="39"/>
  <c r="AO177" i="39"/>
  <c r="AN177" i="39"/>
  <c r="AS175" i="39"/>
  <c r="AR175" i="39"/>
  <c r="AQ175" i="39"/>
  <c r="AP175" i="39"/>
  <c r="AO175" i="39"/>
  <c r="AN175" i="39"/>
  <c r="AN174" i="39"/>
  <c r="AO174" i="39"/>
  <c r="AP174" i="39"/>
  <c r="AQ174" i="39"/>
  <c r="AR174" i="39"/>
  <c r="AS174" i="39"/>
  <c r="AS173" i="39"/>
  <c r="AR173" i="39"/>
  <c r="AQ173" i="39"/>
  <c r="AP173" i="39"/>
  <c r="AO173" i="39"/>
  <c r="AN173" i="39"/>
  <c r="AS172" i="39"/>
  <c r="AR172" i="39"/>
  <c r="AQ172" i="39"/>
  <c r="AP172" i="39"/>
  <c r="AO172" i="39"/>
  <c r="AN172" i="39"/>
  <c r="AS169" i="39"/>
  <c r="AR169" i="39"/>
  <c r="AQ169" i="39"/>
  <c r="AP169" i="39"/>
  <c r="AO169" i="39"/>
  <c r="AN169" i="39"/>
  <c r="AS168" i="39"/>
  <c r="AR168" i="39"/>
  <c r="AQ168" i="39"/>
  <c r="AP168" i="39"/>
  <c r="AO168" i="39"/>
  <c r="AN168" i="39"/>
  <c r="AS166" i="39"/>
  <c r="AR166" i="39"/>
  <c r="AQ166" i="39"/>
  <c r="AP166" i="39"/>
  <c r="AO166" i="39"/>
  <c r="AS165" i="39"/>
  <c r="AR165" i="39"/>
  <c r="AQ165" i="39"/>
  <c r="AP165" i="39"/>
  <c r="AO165" i="39"/>
  <c r="AS163" i="39"/>
  <c r="AR163" i="39"/>
  <c r="AQ163" i="39"/>
  <c r="AP163" i="39"/>
  <c r="AO163" i="39"/>
  <c r="AN163" i="39"/>
  <c r="AN162" i="39"/>
  <c r="AO162" i="39"/>
  <c r="AP162" i="39"/>
  <c r="AQ162" i="39"/>
  <c r="AR162" i="39"/>
  <c r="AS162" i="39"/>
  <c r="AS161" i="39"/>
  <c r="AR161" i="39"/>
  <c r="AQ161" i="39"/>
  <c r="AP161" i="39"/>
  <c r="AO161" i="39"/>
  <c r="AN161" i="39"/>
  <c r="AS160" i="39"/>
  <c r="AR160" i="39"/>
  <c r="AQ160" i="39"/>
  <c r="AP160" i="39"/>
  <c r="AO160" i="39"/>
  <c r="AN160" i="39"/>
  <c r="AS157" i="39"/>
  <c r="AR157" i="39"/>
  <c r="AQ157" i="39"/>
  <c r="AP157" i="39"/>
  <c r="AO157" i="39"/>
  <c r="AN157" i="39"/>
  <c r="AS156" i="39"/>
  <c r="AR156" i="39"/>
  <c r="AQ156" i="39"/>
  <c r="AP156" i="39"/>
  <c r="AO156" i="39"/>
  <c r="AN156" i="39"/>
  <c r="AS154" i="39"/>
  <c r="AR154" i="39"/>
  <c r="AQ154" i="39"/>
  <c r="AP154" i="39"/>
  <c r="AO154" i="39"/>
  <c r="AN154" i="39"/>
  <c r="AS153" i="39"/>
  <c r="AR153" i="39"/>
  <c r="AQ153" i="39"/>
  <c r="AP153" i="39"/>
  <c r="AO153" i="39"/>
  <c r="AN153" i="39"/>
  <c r="AS151" i="39"/>
  <c r="AR151" i="39"/>
  <c r="AQ151" i="39"/>
  <c r="AP151" i="39"/>
  <c r="AO151" i="39"/>
  <c r="AN151" i="39"/>
  <c r="AN150" i="39"/>
  <c r="AO150" i="39"/>
  <c r="AP150" i="39"/>
  <c r="AQ150" i="39"/>
  <c r="AR150" i="39"/>
  <c r="AS150" i="39"/>
  <c r="AS149" i="39"/>
  <c r="AR149" i="39"/>
  <c r="AQ149" i="39"/>
  <c r="AP149" i="39"/>
  <c r="AO149" i="39"/>
  <c r="AN149" i="39"/>
  <c r="AS148" i="39"/>
  <c r="AR148" i="39"/>
  <c r="AQ148" i="39"/>
  <c r="AP148" i="39"/>
  <c r="AO148" i="39"/>
  <c r="AN148" i="39"/>
  <c r="AS145" i="39"/>
  <c r="AR145" i="39"/>
  <c r="AQ145" i="39"/>
  <c r="AP145" i="39"/>
  <c r="AO145" i="39"/>
  <c r="AN145" i="39"/>
  <c r="AS144" i="39"/>
  <c r="AR144" i="39"/>
  <c r="AQ144" i="39"/>
  <c r="AP144" i="39"/>
  <c r="AO144" i="39"/>
  <c r="AN144" i="39"/>
  <c r="AS142" i="39"/>
  <c r="AR142" i="39"/>
  <c r="AQ142" i="39"/>
  <c r="AP142" i="39"/>
  <c r="AO142" i="39"/>
  <c r="AS141" i="39"/>
  <c r="AR141" i="39"/>
  <c r="AQ141" i="39"/>
  <c r="AP141" i="39"/>
  <c r="AO141" i="39"/>
  <c r="AR138" i="39"/>
  <c r="AR139" i="39"/>
  <c r="AP130" i="39"/>
  <c r="AP137" i="39"/>
  <c r="AS129" i="39"/>
  <c r="AS136" i="39"/>
  <c r="AR129" i="39"/>
  <c r="AR136" i="39"/>
  <c r="AQ129" i="39"/>
  <c r="AQ136" i="39"/>
  <c r="AP129" i="39"/>
  <c r="AP136" i="39"/>
  <c r="AO129" i="39"/>
  <c r="AO136" i="39"/>
  <c r="AN136" i="39"/>
  <c r="AN133" i="39"/>
  <c r="AR132" i="39"/>
  <c r="AR126" i="39"/>
  <c r="AR127" i="39"/>
  <c r="AP126" i="39"/>
  <c r="AP127" i="39"/>
  <c r="AN126" i="39"/>
  <c r="AN127" i="39"/>
  <c r="AR118" i="39"/>
  <c r="AR125" i="39"/>
  <c r="AP118" i="39"/>
  <c r="AP125" i="39"/>
  <c r="AO118" i="39"/>
  <c r="AO125" i="39"/>
  <c r="AN125" i="39"/>
  <c r="AS117" i="39"/>
  <c r="AS124" i="39"/>
  <c r="AR117" i="39"/>
  <c r="AR124" i="39"/>
  <c r="AQ117" i="39"/>
  <c r="AQ124" i="39"/>
  <c r="AP117" i="39"/>
  <c r="AP124" i="39"/>
  <c r="AO117" i="39"/>
  <c r="AO124" i="39"/>
  <c r="AN124" i="39"/>
  <c r="AR121" i="39"/>
  <c r="AP121" i="39"/>
  <c r="AO121" i="39"/>
  <c r="AN121" i="39"/>
  <c r="AR120" i="39"/>
  <c r="AP120" i="39"/>
  <c r="AO120" i="39"/>
  <c r="AN120" i="39"/>
  <c r="AS114" i="39"/>
  <c r="AS115" i="39"/>
  <c r="AQ114" i="39"/>
  <c r="AQ115" i="39"/>
  <c r="AP114" i="39"/>
  <c r="AP115" i="39"/>
  <c r="AS106" i="39"/>
  <c r="AS113" i="39"/>
  <c r="AQ106" i="39"/>
  <c r="AQ113" i="39"/>
  <c r="AP106" i="39"/>
  <c r="AP113" i="39"/>
  <c r="AS105" i="39"/>
  <c r="AS112" i="39"/>
  <c r="AR105" i="39"/>
  <c r="AR112" i="39"/>
  <c r="AQ105" i="39"/>
  <c r="AQ112" i="39"/>
  <c r="AP105" i="39"/>
  <c r="AP112" i="39"/>
  <c r="AO105" i="39"/>
  <c r="AO112" i="39"/>
  <c r="AN112" i="39"/>
  <c r="AS109" i="39"/>
  <c r="AP109" i="39"/>
  <c r="AS108" i="39"/>
  <c r="AQ108" i="39"/>
  <c r="AP108" i="39"/>
  <c r="AS102" i="39"/>
  <c r="AS103" i="39"/>
  <c r="AO102" i="39"/>
  <c r="AO103" i="39"/>
  <c r="AS94" i="39"/>
  <c r="AS101" i="39"/>
  <c r="AO94" i="39"/>
  <c r="AO101" i="39"/>
  <c r="AS93" i="39"/>
  <c r="AS100" i="39"/>
  <c r="AR93" i="39"/>
  <c r="AR100" i="39"/>
  <c r="AQ93" i="39"/>
  <c r="AQ100" i="39"/>
  <c r="AP93" i="39"/>
  <c r="AP100" i="39"/>
  <c r="AO93" i="39"/>
  <c r="AO100" i="39"/>
  <c r="AN100" i="39"/>
  <c r="AS97" i="39"/>
  <c r="AR97" i="39"/>
  <c r="AP97" i="39"/>
  <c r="AS96" i="39"/>
  <c r="AR96" i="39"/>
  <c r="AP96" i="39"/>
  <c r="AO96" i="39"/>
  <c r="AP90" i="39"/>
  <c r="AP91" i="39"/>
  <c r="AN90" i="39"/>
  <c r="AN91" i="39"/>
  <c r="AR82" i="39"/>
  <c r="AR89" i="39"/>
  <c r="AP82" i="39"/>
  <c r="AP89" i="39"/>
  <c r="AO82" i="39"/>
  <c r="AO89" i="39"/>
  <c r="AS81" i="39"/>
  <c r="AS88" i="39"/>
  <c r="AR81" i="39"/>
  <c r="AR88" i="39"/>
  <c r="AQ81" i="39"/>
  <c r="AQ88" i="39"/>
  <c r="AP81" i="39"/>
  <c r="AP88" i="39"/>
  <c r="AO81" i="39"/>
  <c r="AO88" i="39"/>
  <c r="AN88" i="39"/>
  <c r="AP85" i="39"/>
  <c r="AP84" i="39"/>
  <c r="AS78" i="39"/>
  <c r="AS79" i="39"/>
  <c r="AR78" i="39"/>
  <c r="AR79" i="39"/>
  <c r="AQ78" i="39"/>
  <c r="AQ79" i="39"/>
  <c r="AS70" i="39"/>
  <c r="AS77" i="39"/>
  <c r="AR70" i="39"/>
  <c r="AR77" i="39"/>
  <c r="AQ70" i="39"/>
  <c r="AQ77" i="39"/>
  <c r="AS69" i="39"/>
  <c r="AS76" i="39"/>
  <c r="AR69" i="39"/>
  <c r="AR76" i="39"/>
  <c r="AQ69" i="39"/>
  <c r="AQ76" i="39"/>
  <c r="AP69" i="39"/>
  <c r="AP76" i="39"/>
  <c r="AO69" i="39"/>
  <c r="AO76" i="39"/>
  <c r="AN76" i="39"/>
  <c r="AS73" i="39"/>
  <c r="AR73" i="39"/>
  <c r="AQ73" i="39"/>
  <c r="AS72" i="39"/>
  <c r="AR72" i="39"/>
  <c r="AQ72" i="39"/>
  <c r="AS66" i="39"/>
  <c r="AS67" i="39"/>
  <c r="AQ66" i="39"/>
  <c r="AQ67" i="39"/>
  <c r="AO66" i="39"/>
  <c r="AO67" i="39"/>
  <c r="AN66" i="39"/>
  <c r="AN67" i="39"/>
  <c r="AS58" i="39"/>
  <c r="AS65" i="39"/>
  <c r="AQ58" i="39"/>
  <c r="AQ65" i="39"/>
  <c r="AO58" i="39"/>
  <c r="AO65" i="39"/>
  <c r="AS57" i="39"/>
  <c r="AS64" i="39"/>
  <c r="AR57" i="39"/>
  <c r="AR64" i="39"/>
  <c r="AQ57" i="39"/>
  <c r="AQ64" i="39"/>
  <c r="AP57" i="39"/>
  <c r="AP64" i="39"/>
  <c r="AO57" i="39"/>
  <c r="AO64" i="39"/>
  <c r="AN64" i="39"/>
  <c r="AS61" i="39"/>
  <c r="AO61" i="39"/>
  <c r="AO60" i="39"/>
  <c r="AP54" i="39"/>
  <c r="AP55" i="39"/>
  <c r="AO54" i="39"/>
  <c r="AO55" i="39"/>
  <c r="AN54" i="39"/>
  <c r="AN55" i="39"/>
  <c r="AP46" i="39"/>
  <c r="AP53" i="39"/>
  <c r="AO46" i="39"/>
  <c r="AO53" i="39"/>
  <c r="AS45" i="39"/>
  <c r="AS52" i="39"/>
  <c r="AR45" i="39"/>
  <c r="AR52" i="39"/>
  <c r="AQ45" i="39"/>
  <c r="AQ52" i="39"/>
  <c r="AP45" i="39"/>
  <c r="AP52" i="39"/>
  <c r="AO45" i="39"/>
  <c r="AO52" i="39"/>
  <c r="AN52" i="39"/>
  <c r="AQ49" i="39"/>
  <c r="AP49" i="39"/>
  <c r="AO49" i="39"/>
  <c r="AQ48" i="39"/>
  <c r="AP48" i="39"/>
  <c r="AS42" i="39"/>
  <c r="AS43" i="39"/>
  <c r="AR42" i="39"/>
  <c r="AR43" i="39"/>
  <c r="AQ42" i="39"/>
  <c r="AQ43" i="39"/>
  <c r="AS34" i="39"/>
  <c r="AS41" i="39"/>
  <c r="AQ34" i="39"/>
  <c r="AQ41" i="39"/>
  <c r="AS33" i="39"/>
  <c r="AS40" i="39"/>
  <c r="AR33" i="39"/>
  <c r="AR40" i="39"/>
  <c r="AQ33" i="39"/>
  <c r="AQ40" i="39"/>
  <c r="AP33" i="39"/>
  <c r="AP40" i="39"/>
  <c r="AO33" i="39"/>
  <c r="AO40" i="39"/>
  <c r="AN33" i="39"/>
  <c r="AN40" i="39"/>
  <c r="AQ37" i="39"/>
  <c r="AS36" i="39"/>
  <c r="AQ36" i="39"/>
  <c r="AP22" i="39"/>
  <c r="AP29" i="39"/>
  <c r="AN22" i="39"/>
  <c r="AN29" i="39"/>
  <c r="AS21" i="39"/>
  <c r="AS28" i="39"/>
  <c r="AR21" i="39"/>
  <c r="AR28" i="39"/>
  <c r="AQ21" i="39"/>
  <c r="AQ28" i="39"/>
  <c r="AP21" i="39"/>
  <c r="AP28" i="39"/>
  <c r="AO21" i="39"/>
  <c r="AO28" i="39"/>
  <c r="AN28" i="39"/>
  <c r="AS25" i="39"/>
  <c r="AR25" i="39"/>
  <c r="AP25" i="39"/>
  <c r="AN25" i="39"/>
  <c r="AQ24" i="39"/>
  <c r="AS18" i="39"/>
  <c r="AS19" i="39"/>
  <c r="AR18" i="39"/>
  <c r="AR19" i="39"/>
  <c r="AQ18" i="39"/>
  <c r="AQ19" i="39"/>
  <c r="AP18" i="39"/>
  <c r="AP19" i="39"/>
  <c r="AO18" i="39"/>
  <c r="AO19" i="39"/>
  <c r="AN18" i="39"/>
  <c r="AN19" i="39"/>
  <c r="AS10" i="39"/>
  <c r="AS17" i="39"/>
  <c r="AR10" i="39"/>
  <c r="AR17" i="39"/>
  <c r="AQ10" i="39"/>
  <c r="AQ17" i="39"/>
  <c r="AP10" i="39"/>
  <c r="AP17" i="39"/>
  <c r="AO10" i="39"/>
  <c r="AO17" i="39"/>
  <c r="AN17" i="39"/>
  <c r="AS9" i="39"/>
  <c r="AS16" i="39"/>
  <c r="AR9" i="39"/>
  <c r="AR16" i="39"/>
  <c r="AQ9" i="39"/>
  <c r="AQ16" i="39"/>
  <c r="AP9" i="39"/>
  <c r="AP16" i="39"/>
  <c r="AO9" i="39"/>
  <c r="AO16" i="39"/>
  <c r="AN16" i="39"/>
  <c r="AS13" i="39"/>
  <c r="AR13" i="39"/>
  <c r="AQ13" i="39"/>
  <c r="AP13" i="39"/>
  <c r="AO13" i="39"/>
  <c r="AN13" i="39"/>
  <c r="AS12" i="39"/>
  <c r="AR12" i="39"/>
  <c r="AQ12" i="39"/>
  <c r="AP12" i="39"/>
  <c r="AO12" i="39"/>
  <c r="AN12" i="39"/>
  <c r="AS261" i="38"/>
  <c r="AS268" i="38"/>
  <c r="AR261" i="38"/>
  <c r="AR268" i="38"/>
  <c r="AQ261" i="38"/>
  <c r="AQ268" i="38"/>
  <c r="AP261" i="38"/>
  <c r="AP268" i="38"/>
  <c r="AO261" i="38"/>
  <c r="AO268" i="38"/>
  <c r="A237" i="38"/>
  <c r="A249" i="38"/>
  <c r="A261" i="38"/>
  <c r="AQ258" i="38"/>
  <c r="AQ259" i="38"/>
  <c r="AO250" i="38"/>
  <c r="AO257" i="38"/>
  <c r="AS249" i="38"/>
  <c r="AS256" i="38"/>
  <c r="AR249" i="38"/>
  <c r="AR256" i="38"/>
  <c r="AQ249" i="38"/>
  <c r="AQ256" i="38"/>
  <c r="AP249" i="38"/>
  <c r="AP256" i="38"/>
  <c r="AO249" i="38"/>
  <c r="AO256" i="38"/>
  <c r="AQ253" i="38"/>
  <c r="AQ252" i="38"/>
  <c r="AS237" i="38"/>
  <c r="AS244" i="38"/>
  <c r="AR237" i="38"/>
  <c r="AR244" i="38"/>
  <c r="AQ237" i="38"/>
  <c r="AQ244" i="38"/>
  <c r="AP237" i="38"/>
  <c r="AP244" i="38"/>
  <c r="AO237" i="38"/>
  <c r="AO244" i="38"/>
  <c r="AR241" i="38"/>
  <c r="AO241" i="38"/>
  <c r="AO240" i="38"/>
  <c r="AP234" i="38"/>
  <c r="AP235" i="38"/>
  <c r="AO234" i="38"/>
  <c r="AO235" i="38"/>
  <c r="AS226" i="38"/>
  <c r="AS233" i="38"/>
  <c r="AQ226" i="38"/>
  <c r="AQ233" i="38"/>
  <c r="AS225" i="38"/>
  <c r="AS232" i="38"/>
  <c r="AR225" i="38"/>
  <c r="AR232" i="38"/>
  <c r="AQ225" i="38"/>
  <c r="AQ232" i="38"/>
  <c r="AP225" i="38"/>
  <c r="AP232" i="38"/>
  <c r="AO225" i="38"/>
  <c r="AO232" i="38"/>
  <c r="AR229" i="38"/>
  <c r="AQ229" i="38"/>
  <c r="AQ228" i="38"/>
  <c r="AO228" i="38"/>
  <c r="AQ222" i="38"/>
  <c r="AQ223" i="38"/>
  <c r="AS213" i="38"/>
  <c r="AS220" i="38"/>
  <c r="AR213" i="38"/>
  <c r="AR220" i="38"/>
  <c r="AQ213" i="38"/>
  <c r="AQ220" i="38"/>
  <c r="AP213" i="38"/>
  <c r="AP220" i="38"/>
  <c r="AO213" i="38"/>
  <c r="AO220" i="38"/>
  <c r="A189" i="38"/>
  <c r="A201" i="38"/>
  <c r="A213" i="38"/>
  <c r="AR210" i="38"/>
  <c r="AR211" i="38"/>
  <c r="AR202" i="38"/>
  <c r="AR209" i="38"/>
  <c r="AQ202" i="38"/>
  <c r="AQ209" i="38"/>
  <c r="AS201" i="38"/>
  <c r="AS208" i="38"/>
  <c r="AR201" i="38"/>
  <c r="AR208" i="38"/>
  <c r="AQ201" i="38"/>
  <c r="AQ208" i="38"/>
  <c r="AP201" i="38"/>
  <c r="AP208" i="38"/>
  <c r="AO201" i="38"/>
  <c r="AO208" i="38"/>
  <c r="AR205" i="38"/>
  <c r="AQ205" i="38"/>
  <c r="AR204" i="38"/>
  <c r="AS189" i="38"/>
  <c r="AS196" i="38"/>
  <c r="AR189" i="38"/>
  <c r="AR196" i="38"/>
  <c r="AQ189" i="38"/>
  <c r="AQ196" i="38"/>
  <c r="AP189" i="38"/>
  <c r="AP196" i="38"/>
  <c r="AO189" i="38"/>
  <c r="AO196" i="38"/>
  <c r="AS177" i="38"/>
  <c r="AS184" i="38"/>
  <c r="AR177" i="38"/>
  <c r="AR184" i="38"/>
  <c r="AQ177" i="38"/>
  <c r="AQ184" i="38"/>
  <c r="AP177" i="38"/>
  <c r="AP184" i="38"/>
  <c r="AO177" i="38"/>
  <c r="AO184" i="38"/>
  <c r="AS180" i="38"/>
  <c r="AR174" i="38"/>
  <c r="AR175" i="38"/>
  <c r="AR166" i="38"/>
  <c r="AR173" i="38"/>
  <c r="AS165" i="38"/>
  <c r="AS172" i="38"/>
  <c r="AR165" i="38"/>
  <c r="AR172" i="38"/>
  <c r="AQ165" i="38"/>
  <c r="AQ172" i="38"/>
  <c r="AP165" i="38"/>
  <c r="AP172" i="38"/>
  <c r="AO165" i="38"/>
  <c r="AO172" i="38"/>
  <c r="AR169" i="38"/>
  <c r="AQ169" i="38"/>
  <c r="AS168" i="38"/>
  <c r="AP142" i="38"/>
  <c r="AP149" i="38"/>
  <c r="AS141" i="38"/>
  <c r="AS148" i="38"/>
  <c r="AR141" i="38"/>
  <c r="AR148" i="38"/>
  <c r="AQ141" i="38"/>
  <c r="AQ148" i="38"/>
  <c r="AP141" i="38"/>
  <c r="AP148" i="38"/>
  <c r="AO141" i="38"/>
  <c r="AO148" i="38"/>
  <c r="AQ144" i="38"/>
  <c r="AP144" i="38"/>
  <c r="AO138" i="38"/>
  <c r="AO139" i="38"/>
  <c r="AR130" i="38"/>
  <c r="AR137" i="38"/>
  <c r="AS129" i="38"/>
  <c r="AS136" i="38"/>
  <c r="AR129" i="38"/>
  <c r="AR136" i="38"/>
  <c r="AQ129" i="38"/>
  <c r="AQ136" i="38"/>
  <c r="AP129" i="38"/>
  <c r="AP136" i="38"/>
  <c r="AO129" i="38"/>
  <c r="AO136" i="38"/>
  <c r="AO132" i="38"/>
  <c r="AS126" i="38"/>
  <c r="AS127" i="38"/>
  <c r="AO126" i="38"/>
  <c r="AO127" i="38"/>
  <c r="AS118" i="38"/>
  <c r="AS125" i="38"/>
  <c r="AO118" i="38"/>
  <c r="AO125" i="38"/>
  <c r="AS117" i="38"/>
  <c r="AS124" i="38"/>
  <c r="AR117" i="38"/>
  <c r="AR124" i="38"/>
  <c r="AQ117" i="38"/>
  <c r="AQ124" i="38"/>
  <c r="AP117" i="38"/>
  <c r="AP124" i="38"/>
  <c r="AO117" i="38"/>
  <c r="AO124" i="38"/>
  <c r="AS121" i="38"/>
  <c r="AO121" i="38"/>
  <c r="AP120" i="38"/>
  <c r="AO120" i="38"/>
  <c r="AQ114" i="38"/>
  <c r="AQ115" i="38"/>
  <c r="AO114" i="38"/>
  <c r="AO115" i="38"/>
  <c r="AS106" i="38"/>
  <c r="AS113" i="38"/>
  <c r="AR106" i="38"/>
  <c r="AR113" i="38"/>
  <c r="AQ106" i="38"/>
  <c r="AQ113" i="38"/>
  <c r="AO106" i="38"/>
  <c r="AO113" i="38"/>
  <c r="AS105" i="38"/>
  <c r="AS112" i="38"/>
  <c r="AR105" i="38"/>
  <c r="AR112" i="38"/>
  <c r="AQ105" i="38"/>
  <c r="AQ112" i="38"/>
  <c r="AP105" i="38"/>
  <c r="AP112" i="38"/>
  <c r="AO105" i="38"/>
  <c r="AO112" i="38"/>
  <c r="AS109" i="38"/>
  <c r="AR109" i="38"/>
  <c r="AQ109" i="38"/>
  <c r="AO109" i="38"/>
  <c r="AQ108" i="38"/>
  <c r="AO108" i="38"/>
  <c r="AS102" i="38"/>
  <c r="AS103" i="38"/>
  <c r="AO102" i="38"/>
  <c r="AO103" i="38"/>
  <c r="AS93" i="38"/>
  <c r="AS100" i="38"/>
  <c r="AR93" i="38"/>
  <c r="AR100" i="38"/>
  <c r="AQ93" i="38"/>
  <c r="AQ100" i="38"/>
  <c r="AP93" i="38"/>
  <c r="AP100" i="38"/>
  <c r="AO93" i="38"/>
  <c r="AO100" i="38"/>
  <c r="AP97" i="38"/>
  <c r="AO97" i="38"/>
  <c r="AR90" i="38"/>
  <c r="AR91" i="38"/>
  <c r="AP90" i="38"/>
  <c r="AP91" i="38"/>
  <c r="AO90" i="38"/>
  <c r="AO91" i="38"/>
  <c r="AO82" i="38"/>
  <c r="AO89" i="38"/>
  <c r="AS81" i="38"/>
  <c r="AS88" i="38"/>
  <c r="AR81" i="38"/>
  <c r="AR88" i="38"/>
  <c r="AQ81" i="38"/>
  <c r="AQ88" i="38"/>
  <c r="AP81" i="38"/>
  <c r="AP88" i="38"/>
  <c r="AO81" i="38"/>
  <c r="AO88" i="38"/>
  <c r="AR85" i="38"/>
  <c r="AO85" i="38"/>
  <c r="AO84" i="38"/>
  <c r="AS69" i="38"/>
  <c r="AS76" i="38"/>
  <c r="AR69" i="38"/>
  <c r="AR76" i="38"/>
  <c r="AQ69" i="38"/>
  <c r="AQ76" i="38"/>
  <c r="AP69" i="38"/>
  <c r="AP76" i="38"/>
  <c r="AO69" i="38"/>
  <c r="AO76" i="38"/>
  <c r="AP72" i="38"/>
  <c r="AO72" i="38"/>
  <c r="AO66" i="38"/>
  <c r="AO67" i="38"/>
  <c r="AR58" i="38"/>
  <c r="AR65" i="38"/>
  <c r="AQ58" i="38"/>
  <c r="AQ65" i="38"/>
  <c r="AP58" i="38"/>
  <c r="AP65" i="38"/>
  <c r="AO58" i="38"/>
  <c r="AO65" i="38"/>
  <c r="AS57" i="38"/>
  <c r="AS64" i="38"/>
  <c r="AR57" i="38"/>
  <c r="AR64" i="38"/>
  <c r="AQ57" i="38"/>
  <c r="AQ64" i="38"/>
  <c r="AP57" i="38"/>
  <c r="AP64" i="38"/>
  <c r="AO57" i="38"/>
  <c r="AO64" i="38"/>
  <c r="AO61" i="38"/>
  <c r="AQ60" i="38"/>
  <c r="AO60" i="38"/>
  <c r="AO54" i="38"/>
  <c r="AO55" i="38"/>
  <c r="AO46" i="38"/>
  <c r="AO53" i="38"/>
  <c r="AS45" i="38"/>
  <c r="AS52" i="38"/>
  <c r="AR45" i="38"/>
  <c r="AR52" i="38"/>
  <c r="AQ45" i="38"/>
  <c r="AQ52" i="38"/>
  <c r="AP45" i="38"/>
  <c r="AP52" i="38"/>
  <c r="AO45" i="38"/>
  <c r="AO52" i="38"/>
  <c r="AO49" i="38"/>
  <c r="AO48" i="38"/>
  <c r="AQ42" i="38"/>
  <c r="AQ43" i="38"/>
  <c r="AQ34" i="38"/>
  <c r="AQ41" i="38"/>
  <c r="AO34" i="38"/>
  <c r="AO41" i="38"/>
  <c r="AS33" i="38"/>
  <c r="AS40" i="38"/>
  <c r="AR33" i="38"/>
  <c r="AR40" i="38"/>
  <c r="AQ33" i="38"/>
  <c r="AQ40" i="38"/>
  <c r="AP33" i="38"/>
  <c r="AP40" i="38"/>
  <c r="AO33" i="38"/>
  <c r="AO40" i="38"/>
  <c r="AS37" i="38"/>
  <c r="AQ37" i="38"/>
  <c r="AP37" i="38"/>
  <c r="AO37" i="38"/>
  <c r="AQ36" i="38"/>
  <c r="AP30" i="38"/>
  <c r="AP31" i="38"/>
  <c r="AS21" i="38"/>
  <c r="AS28" i="38"/>
  <c r="AR21" i="38"/>
  <c r="AR28" i="38"/>
  <c r="AQ21" i="38"/>
  <c r="AQ28" i="38"/>
  <c r="AP21" i="38"/>
  <c r="AP28" i="38"/>
  <c r="AO21" i="38"/>
  <c r="AO28" i="38"/>
  <c r="AP25" i="38"/>
  <c r="AP24" i="38"/>
  <c r="AS18" i="38"/>
  <c r="AS19" i="38"/>
  <c r="AR18" i="38"/>
  <c r="AR19" i="38"/>
  <c r="AQ18" i="38"/>
  <c r="AQ19" i="38"/>
  <c r="AP18" i="38"/>
  <c r="AP19" i="38"/>
  <c r="AO18" i="38"/>
  <c r="AO19" i="38"/>
  <c r="AS10" i="38"/>
  <c r="AS17" i="38"/>
  <c r="AR10" i="38"/>
  <c r="AR17" i="38"/>
  <c r="AQ10" i="38"/>
  <c r="AQ17" i="38"/>
  <c r="AP10" i="38"/>
  <c r="AP17" i="38"/>
  <c r="AO10" i="38"/>
  <c r="AO17" i="38"/>
  <c r="AS9" i="38"/>
  <c r="AS16" i="38"/>
  <c r="AR9" i="38"/>
  <c r="AR16" i="38"/>
  <c r="AQ9" i="38"/>
  <c r="AQ16" i="38"/>
  <c r="AP9" i="38"/>
  <c r="AP16" i="38"/>
  <c r="AO9" i="38"/>
  <c r="AO16" i="38"/>
  <c r="AS13" i="38"/>
  <c r="AR13" i="38"/>
  <c r="AQ13" i="38"/>
  <c r="AP13" i="38"/>
  <c r="AO13" i="38"/>
  <c r="AS12" i="38"/>
  <c r="AR12" i="38"/>
  <c r="AQ12" i="38"/>
  <c r="AP12" i="38"/>
  <c r="AO12" i="38"/>
  <c r="A69" i="40"/>
  <c r="A81" i="40"/>
  <c r="A93" i="40"/>
  <c r="A21" i="40"/>
  <c r="A33" i="40"/>
  <c r="A45" i="40"/>
  <c r="AS247" i="37"/>
  <c r="AR247" i="37"/>
  <c r="AQ247" i="37"/>
  <c r="AP247" i="37"/>
  <c r="AO247" i="37"/>
  <c r="AO246" i="37"/>
  <c r="AP246" i="37"/>
  <c r="AQ246" i="37"/>
  <c r="AR246" i="37"/>
  <c r="AS246" i="37"/>
  <c r="AS245" i="37"/>
  <c r="AR245" i="37"/>
  <c r="AQ245" i="37"/>
  <c r="AP245" i="37"/>
  <c r="AO245" i="37"/>
  <c r="AS244" i="37"/>
  <c r="AR244" i="37"/>
  <c r="AQ244" i="37"/>
  <c r="AP244" i="37"/>
  <c r="AO244" i="37"/>
  <c r="AS241" i="37"/>
  <c r="AR241" i="37"/>
  <c r="AQ241" i="37"/>
  <c r="AP241" i="37"/>
  <c r="AO241" i="37"/>
  <c r="AS240" i="37"/>
  <c r="AR240" i="37"/>
  <c r="AQ240" i="37"/>
  <c r="AP240" i="37"/>
  <c r="AO240" i="37"/>
  <c r="AS238" i="37"/>
  <c r="AR238" i="37"/>
  <c r="AQ238" i="37"/>
  <c r="AP238" i="37"/>
  <c r="AO238" i="37"/>
  <c r="AS237" i="37"/>
  <c r="AR237" i="37"/>
  <c r="AQ237" i="37"/>
  <c r="AP237" i="37"/>
  <c r="AO237" i="37"/>
  <c r="AS235" i="37"/>
  <c r="AR235" i="37"/>
  <c r="AQ235" i="37"/>
  <c r="AP235" i="37"/>
  <c r="AO235" i="37"/>
  <c r="AO234" i="37"/>
  <c r="AP234" i="37"/>
  <c r="AQ234" i="37"/>
  <c r="AR234" i="37"/>
  <c r="AS234" i="37"/>
  <c r="AS233" i="37"/>
  <c r="AR233" i="37"/>
  <c r="AQ233" i="37"/>
  <c r="AP233" i="37"/>
  <c r="AO233" i="37"/>
  <c r="AS232" i="37"/>
  <c r="AR232" i="37"/>
  <c r="AQ232" i="37"/>
  <c r="AP232" i="37"/>
  <c r="AO232" i="37"/>
  <c r="AS229" i="37"/>
  <c r="AR229" i="37"/>
  <c r="AQ229" i="37"/>
  <c r="AP229" i="37"/>
  <c r="AO229" i="37"/>
  <c r="AS228" i="37"/>
  <c r="AR228" i="37"/>
  <c r="AQ228" i="37"/>
  <c r="AP228" i="37"/>
  <c r="AO228" i="37"/>
  <c r="AS226" i="37"/>
  <c r="AR226" i="37"/>
  <c r="AQ226" i="37"/>
  <c r="AP226" i="37"/>
  <c r="AO226" i="37"/>
  <c r="AS225" i="37"/>
  <c r="AR225" i="37"/>
  <c r="AQ225" i="37"/>
  <c r="AP225" i="37"/>
  <c r="AO225" i="37"/>
  <c r="AS223" i="37"/>
  <c r="AR223" i="37"/>
  <c r="AQ223" i="37"/>
  <c r="AP223" i="37"/>
  <c r="AO223" i="37"/>
  <c r="AO222" i="37"/>
  <c r="AP222" i="37"/>
  <c r="AQ222" i="37"/>
  <c r="AR222" i="37"/>
  <c r="AS222" i="37"/>
  <c r="AS221" i="37"/>
  <c r="AR221" i="37"/>
  <c r="AQ221" i="37"/>
  <c r="AP221" i="37"/>
  <c r="AO221" i="37"/>
  <c r="AS220" i="37"/>
  <c r="AR220" i="37"/>
  <c r="AQ220" i="37"/>
  <c r="AP220" i="37"/>
  <c r="AO220" i="37"/>
  <c r="AS217" i="37"/>
  <c r="AR217" i="37"/>
  <c r="AQ217" i="37"/>
  <c r="AP217" i="37"/>
  <c r="AO217" i="37"/>
  <c r="AS216" i="37"/>
  <c r="AR216" i="37"/>
  <c r="AQ216" i="37"/>
  <c r="AP216" i="37"/>
  <c r="AO216" i="37"/>
  <c r="AS214" i="37"/>
  <c r="AR214" i="37"/>
  <c r="AQ214" i="37"/>
  <c r="AP214" i="37"/>
  <c r="AO214" i="37"/>
  <c r="AS213" i="37"/>
  <c r="AR213" i="37"/>
  <c r="AQ213" i="37"/>
  <c r="AP213" i="37"/>
  <c r="AO213" i="37"/>
  <c r="AS211" i="37"/>
  <c r="AR211" i="37"/>
  <c r="AQ211" i="37"/>
  <c r="AP211" i="37"/>
  <c r="AO211" i="37"/>
  <c r="AO210" i="37"/>
  <c r="AP210" i="37"/>
  <c r="AQ210" i="37"/>
  <c r="AR210" i="37"/>
  <c r="AS210" i="37"/>
  <c r="AS209" i="37"/>
  <c r="AR209" i="37"/>
  <c r="AQ209" i="37"/>
  <c r="AP209" i="37"/>
  <c r="AO209" i="37"/>
  <c r="AS208" i="37"/>
  <c r="AR208" i="37"/>
  <c r="AQ208" i="37"/>
  <c r="AP208" i="37"/>
  <c r="AO208" i="37"/>
  <c r="AS205" i="37"/>
  <c r="AR205" i="37"/>
  <c r="AQ205" i="37"/>
  <c r="AP205" i="37"/>
  <c r="AO205" i="37"/>
  <c r="AS204" i="37"/>
  <c r="AR204" i="37"/>
  <c r="AQ204" i="37"/>
  <c r="AP204" i="37"/>
  <c r="AO204" i="37"/>
  <c r="AS202" i="37"/>
  <c r="AR202" i="37"/>
  <c r="AQ202" i="37"/>
  <c r="AP202" i="37"/>
  <c r="AO202" i="37"/>
  <c r="AS201" i="37"/>
  <c r="AR201" i="37"/>
  <c r="AQ201" i="37"/>
  <c r="AP201" i="37"/>
  <c r="AO201" i="37"/>
  <c r="AS199" i="37"/>
  <c r="AR199" i="37"/>
  <c r="AQ199" i="37"/>
  <c r="AP199" i="37"/>
  <c r="AO199" i="37"/>
  <c r="AO198" i="37"/>
  <c r="AP198" i="37"/>
  <c r="AQ198" i="37"/>
  <c r="AR198" i="37"/>
  <c r="AS198" i="37"/>
  <c r="AS197" i="37"/>
  <c r="AR197" i="37"/>
  <c r="AQ197" i="37"/>
  <c r="AP197" i="37"/>
  <c r="AO197" i="37"/>
  <c r="AS196" i="37"/>
  <c r="AR196" i="37"/>
  <c r="AQ196" i="37"/>
  <c r="AP196" i="37"/>
  <c r="AO196" i="37"/>
  <c r="AS193" i="37"/>
  <c r="AR193" i="37"/>
  <c r="AQ193" i="37"/>
  <c r="AP193" i="37"/>
  <c r="AO193" i="37"/>
  <c r="AS192" i="37"/>
  <c r="AR192" i="37"/>
  <c r="AQ192" i="37"/>
  <c r="AP192" i="37"/>
  <c r="AO192" i="37"/>
  <c r="AS190" i="37"/>
  <c r="AR190" i="37"/>
  <c r="AQ190" i="37"/>
  <c r="AP190" i="37"/>
  <c r="AO190" i="37"/>
  <c r="AS189" i="37"/>
  <c r="AR189" i="37"/>
  <c r="AQ189" i="37"/>
  <c r="AP189" i="37"/>
  <c r="AO189" i="37"/>
  <c r="AS187" i="37"/>
  <c r="AR187" i="37"/>
  <c r="AQ187" i="37"/>
  <c r="AP187" i="37"/>
  <c r="AO187" i="37"/>
  <c r="AO186" i="37"/>
  <c r="AP186" i="37"/>
  <c r="AQ186" i="37"/>
  <c r="AR186" i="37"/>
  <c r="AS186" i="37"/>
  <c r="AS185" i="37"/>
  <c r="AR185" i="37"/>
  <c r="AQ185" i="37"/>
  <c r="AP185" i="37"/>
  <c r="AO185" i="37"/>
  <c r="AS184" i="37"/>
  <c r="AR184" i="37"/>
  <c r="AQ184" i="37"/>
  <c r="AP184" i="37"/>
  <c r="AO184" i="37"/>
  <c r="AS181" i="37"/>
  <c r="AR181" i="37"/>
  <c r="AQ181" i="37"/>
  <c r="AP181" i="37"/>
  <c r="AO181" i="37"/>
  <c r="AS180" i="37"/>
  <c r="AR180" i="37"/>
  <c r="AQ180" i="37"/>
  <c r="AP180" i="37"/>
  <c r="AO180" i="37"/>
  <c r="AS178" i="37"/>
  <c r="AR178" i="37"/>
  <c r="AQ178" i="37"/>
  <c r="AP178" i="37"/>
  <c r="AO178" i="37"/>
  <c r="AS177" i="37"/>
  <c r="AR177" i="37"/>
  <c r="AQ177" i="37"/>
  <c r="AP177" i="37"/>
  <c r="AO177" i="37"/>
  <c r="AS175" i="37"/>
  <c r="AR175" i="37"/>
  <c r="AQ175" i="37"/>
  <c r="AP175" i="37"/>
  <c r="AO175" i="37"/>
  <c r="AO174" i="37"/>
  <c r="AP174" i="37"/>
  <c r="AQ174" i="37"/>
  <c r="AR174" i="37"/>
  <c r="AS174" i="37"/>
  <c r="AS173" i="37"/>
  <c r="AR173" i="37"/>
  <c r="AQ173" i="37"/>
  <c r="AP173" i="37"/>
  <c r="AO173" i="37"/>
  <c r="AS172" i="37"/>
  <c r="AR172" i="37"/>
  <c r="AQ172" i="37"/>
  <c r="AP172" i="37"/>
  <c r="AO172" i="37"/>
  <c r="AS169" i="37"/>
  <c r="AR169" i="37"/>
  <c r="AQ169" i="37"/>
  <c r="AP169" i="37"/>
  <c r="AO169" i="37"/>
  <c r="AS168" i="37"/>
  <c r="AR168" i="37"/>
  <c r="AQ168" i="37"/>
  <c r="AP168" i="37"/>
  <c r="AO168" i="37"/>
  <c r="AS166" i="37"/>
  <c r="AR166" i="37"/>
  <c r="AQ166" i="37"/>
  <c r="AP166" i="37"/>
  <c r="AO166" i="37"/>
  <c r="AS165" i="37"/>
  <c r="AR165" i="37"/>
  <c r="AQ165" i="37"/>
  <c r="AP165" i="37"/>
  <c r="AO165" i="37"/>
  <c r="AS163" i="37"/>
  <c r="AR163" i="37"/>
  <c r="AQ163" i="37"/>
  <c r="AP163" i="37"/>
  <c r="AO163" i="37"/>
  <c r="AO162" i="37"/>
  <c r="AP162" i="37"/>
  <c r="AQ162" i="37"/>
  <c r="AR162" i="37"/>
  <c r="AS162" i="37"/>
  <c r="AS161" i="37"/>
  <c r="AR161" i="37"/>
  <c r="AQ161" i="37"/>
  <c r="AP161" i="37"/>
  <c r="AO161" i="37"/>
  <c r="AS160" i="37"/>
  <c r="AR160" i="37"/>
  <c r="AQ160" i="37"/>
  <c r="AP160" i="37"/>
  <c r="AO160" i="37"/>
  <c r="AS157" i="37"/>
  <c r="AR157" i="37"/>
  <c r="AQ157" i="37"/>
  <c r="AP157" i="37"/>
  <c r="AO157" i="37"/>
  <c r="AS156" i="37"/>
  <c r="AR156" i="37"/>
  <c r="AQ156" i="37"/>
  <c r="AP156" i="37"/>
  <c r="AO156" i="37"/>
  <c r="AS154" i="37"/>
  <c r="AR154" i="37"/>
  <c r="AQ154" i="37"/>
  <c r="AP154" i="37"/>
  <c r="AO154" i="37"/>
  <c r="AS153" i="37"/>
  <c r="AR153" i="37"/>
  <c r="AQ153" i="37"/>
  <c r="AP153" i="37"/>
  <c r="AO153" i="37"/>
  <c r="AS151" i="37"/>
  <c r="AR151" i="37"/>
  <c r="AQ151" i="37"/>
  <c r="AP151" i="37"/>
  <c r="AO151" i="37"/>
  <c r="AO150" i="37"/>
  <c r="AP150" i="37"/>
  <c r="AQ150" i="37"/>
  <c r="AR150" i="37"/>
  <c r="AS150" i="37"/>
  <c r="AS149" i="37"/>
  <c r="AR149" i="37"/>
  <c r="AQ149" i="37"/>
  <c r="AP149" i="37"/>
  <c r="AO149" i="37"/>
  <c r="AS148" i="37"/>
  <c r="AR148" i="37"/>
  <c r="AQ148" i="37"/>
  <c r="AP148" i="37"/>
  <c r="AO148" i="37"/>
  <c r="AS145" i="37"/>
  <c r="AR145" i="37"/>
  <c r="AQ145" i="37"/>
  <c r="AP145" i="37"/>
  <c r="AO145" i="37"/>
  <c r="AS144" i="37"/>
  <c r="AR144" i="37"/>
  <c r="AQ144" i="37"/>
  <c r="AP144" i="37"/>
  <c r="AO144" i="37"/>
  <c r="AS142" i="37"/>
  <c r="AR142" i="37"/>
  <c r="AQ142" i="37"/>
  <c r="AP142" i="37"/>
  <c r="AO142" i="37"/>
  <c r="AS141" i="37"/>
  <c r="AR141" i="37"/>
  <c r="AQ141" i="37"/>
  <c r="AP141" i="37"/>
  <c r="AO141" i="37"/>
  <c r="AS139" i="37"/>
  <c r="AR139" i="37"/>
  <c r="AQ139" i="37"/>
  <c r="AP139" i="37"/>
  <c r="AO139" i="37"/>
  <c r="AO138" i="37"/>
  <c r="AP138" i="37"/>
  <c r="AQ138" i="37"/>
  <c r="AR138" i="37"/>
  <c r="AS138" i="37"/>
  <c r="AS137" i="37"/>
  <c r="AR137" i="37"/>
  <c r="AQ137" i="37"/>
  <c r="AP137" i="37"/>
  <c r="AO137" i="37"/>
  <c r="AS136" i="37"/>
  <c r="AR136" i="37"/>
  <c r="AQ136" i="37"/>
  <c r="AP136" i="37"/>
  <c r="AO136" i="37"/>
  <c r="AS133" i="37"/>
  <c r="AR133" i="37"/>
  <c r="AQ133" i="37"/>
  <c r="AP133" i="37"/>
  <c r="AO133" i="37"/>
  <c r="AS132" i="37"/>
  <c r="AR132" i="37"/>
  <c r="AQ132" i="37"/>
  <c r="AP132" i="37"/>
  <c r="AO132" i="37"/>
  <c r="AS130" i="37"/>
  <c r="AR130" i="37"/>
  <c r="AQ130" i="37"/>
  <c r="AP130" i="37"/>
  <c r="AO130" i="37"/>
  <c r="AS129" i="37"/>
  <c r="AR129" i="37"/>
  <c r="AQ129" i="37"/>
  <c r="AP129" i="37"/>
  <c r="AO129" i="37"/>
  <c r="AS127" i="37"/>
  <c r="AR127" i="37"/>
  <c r="AQ127" i="37"/>
  <c r="AP127" i="37"/>
  <c r="AO127" i="37"/>
  <c r="AO126" i="37"/>
  <c r="AP126" i="37"/>
  <c r="AQ126" i="37"/>
  <c r="AR126" i="37"/>
  <c r="AS126" i="37"/>
  <c r="AS125" i="37"/>
  <c r="AR125" i="37"/>
  <c r="AQ125" i="37"/>
  <c r="AP125" i="37"/>
  <c r="AO125" i="37"/>
  <c r="AS124" i="37"/>
  <c r="AR124" i="37"/>
  <c r="AQ124" i="37"/>
  <c r="AP124" i="37"/>
  <c r="AO124" i="37"/>
  <c r="AS121" i="37"/>
  <c r="AR121" i="37"/>
  <c r="AQ121" i="37"/>
  <c r="AP121" i="37"/>
  <c r="AO121" i="37"/>
  <c r="AS120" i="37"/>
  <c r="AR120" i="37"/>
  <c r="AQ120" i="37"/>
  <c r="AP120" i="37"/>
  <c r="AO120" i="37"/>
  <c r="AS118" i="37"/>
  <c r="AR118" i="37"/>
  <c r="AQ118" i="37"/>
  <c r="AP118" i="37"/>
  <c r="AO118" i="37"/>
  <c r="AS117" i="37"/>
  <c r="AR117" i="37"/>
  <c r="AQ117" i="37"/>
  <c r="AP117" i="37"/>
  <c r="AO117" i="37"/>
  <c r="AS115" i="37"/>
  <c r="AR115" i="37"/>
  <c r="AQ115" i="37"/>
  <c r="AP115" i="37"/>
  <c r="AO115" i="37"/>
  <c r="AO114" i="37"/>
  <c r="AP114" i="37"/>
  <c r="AQ114" i="37"/>
  <c r="AR114" i="37"/>
  <c r="AS114" i="37"/>
  <c r="AS113" i="37"/>
  <c r="AR113" i="37"/>
  <c r="AQ113" i="37"/>
  <c r="AP113" i="37"/>
  <c r="AO113" i="37"/>
  <c r="AS112" i="37"/>
  <c r="AR112" i="37"/>
  <c r="AQ112" i="37"/>
  <c r="AP112" i="37"/>
  <c r="AO112" i="37"/>
  <c r="AS109" i="37"/>
  <c r="AR109" i="37"/>
  <c r="AQ109" i="37"/>
  <c r="AP109" i="37"/>
  <c r="AO109" i="37"/>
  <c r="AS108" i="37"/>
  <c r="AR108" i="37"/>
  <c r="AQ108" i="37"/>
  <c r="AP108" i="37"/>
  <c r="AO108" i="37"/>
  <c r="AS106" i="37"/>
  <c r="AR106" i="37"/>
  <c r="AQ106" i="37"/>
  <c r="AP106" i="37"/>
  <c r="AO106" i="37"/>
  <c r="AS105" i="37"/>
  <c r="AR105" i="37"/>
  <c r="AQ105" i="37"/>
  <c r="AP105" i="37"/>
  <c r="AO105" i="37"/>
  <c r="AS103" i="37"/>
  <c r="AR103" i="37"/>
  <c r="AQ103" i="37"/>
  <c r="AP103" i="37"/>
  <c r="AO103" i="37"/>
  <c r="AO102" i="37"/>
  <c r="AP102" i="37"/>
  <c r="AQ102" i="37"/>
  <c r="AR102" i="37"/>
  <c r="AS102" i="37"/>
  <c r="AS101" i="37"/>
  <c r="AR101" i="37"/>
  <c r="AQ101" i="37"/>
  <c r="AP101" i="37"/>
  <c r="AO101" i="37"/>
  <c r="AS100" i="37"/>
  <c r="AR100" i="37"/>
  <c r="AQ100" i="37"/>
  <c r="AP100" i="37"/>
  <c r="AO100" i="37"/>
  <c r="AS97" i="37"/>
  <c r="AR97" i="37"/>
  <c r="AQ97" i="37"/>
  <c r="AP97" i="37"/>
  <c r="AO97" i="37"/>
  <c r="AS96" i="37"/>
  <c r="AR96" i="37"/>
  <c r="AQ96" i="37"/>
  <c r="AP96" i="37"/>
  <c r="AO96" i="37"/>
  <c r="AS94" i="37"/>
  <c r="AR94" i="37"/>
  <c r="AQ94" i="37"/>
  <c r="AP94" i="37"/>
  <c r="AO94" i="37"/>
  <c r="AS93" i="37"/>
  <c r="AR93" i="37"/>
  <c r="AQ93" i="37"/>
  <c r="AP93" i="37"/>
  <c r="AO93" i="37"/>
  <c r="AS91" i="37"/>
  <c r="AR91" i="37"/>
  <c r="AQ91" i="37"/>
  <c r="AP91" i="37"/>
  <c r="AO91" i="37"/>
  <c r="AO90" i="37"/>
  <c r="AP90" i="37"/>
  <c r="AQ90" i="37"/>
  <c r="AR90" i="37"/>
  <c r="AS90" i="37"/>
  <c r="AS89" i="37"/>
  <c r="AR89" i="37"/>
  <c r="AQ89" i="37"/>
  <c r="AP89" i="37"/>
  <c r="AO89" i="37"/>
  <c r="AS88" i="37"/>
  <c r="AR88" i="37"/>
  <c r="AQ88" i="37"/>
  <c r="AP88" i="37"/>
  <c r="AO88" i="37"/>
  <c r="AS85" i="37"/>
  <c r="AR85" i="37"/>
  <c r="AQ85" i="37"/>
  <c r="AP85" i="37"/>
  <c r="AO85" i="37"/>
  <c r="AS84" i="37"/>
  <c r="AR84" i="37"/>
  <c r="AQ84" i="37"/>
  <c r="AP84" i="37"/>
  <c r="AO84" i="37"/>
  <c r="AS82" i="37"/>
  <c r="AR82" i="37"/>
  <c r="AQ82" i="37"/>
  <c r="AP82" i="37"/>
  <c r="AO82" i="37"/>
  <c r="AS81" i="37"/>
  <c r="AR81" i="37"/>
  <c r="AQ81" i="37"/>
  <c r="AP81" i="37"/>
  <c r="AO81" i="37"/>
  <c r="AS79" i="37"/>
  <c r="AR79" i="37"/>
  <c r="AQ79" i="37"/>
  <c r="AP79" i="37"/>
  <c r="AO79" i="37"/>
  <c r="AO78" i="37"/>
  <c r="AP78" i="37"/>
  <c r="AQ78" i="37"/>
  <c r="AR78" i="37"/>
  <c r="AS78" i="37"/>
  <c r="AS77" i="37"/>
  <c r="AR77" i="37"/>
  <c r="AQ77" i="37"/>
  <c r="AP77" i="37"/>
  <c r="AO77" i="37"/>
  <c r="AS76" i="37"/>
  <c r="AR76" i="37"/>
  <c r="AQ76" i="37"/>
  <c r="AP76" i="37"/>
  <c r="AO76" i="37"/>
  <c r="AS73" i="37"/>
  <c r="AR73" i="37"/>
  <c r="AQ73" i="37"/>
  <c r="AP73" i="37"/>
  <c r="AO73" i="37"/>
  <c r="AS72" i="37"/>
  <c r="AR72" i="37"/>
  <c r="AQ72" i="37"/>
  <c r="AP72" i="37"/>
  <c r="AO72" i="37"/>
  <c r="AS70" i="37"/>
  <c r="AR70" i="37"/>
  <c r="AQ70" i="37"/>
  <c r="AP70" i="37"/>
  <c r="AO70" i="37"/>
  <c r="AS69" i="37"/>
  <c r="AR69" i="37"/>
  <c r="AQ69" i="37"/>
  <c r="AP69" i="37"/>
  <c r="AO69" i="37"/>
  <c r="AS67" i="37"/>
  <c r="AR67" i="37"/>
  <c r="AQ67" i="37"/>
  <c r="AP67" i="37"/>
  <c r="AO67" i="37"/>
  <c r="AO66" i="37"/>
  <c r="AP66" i="37"/>
  <c r="AQ66" i="37"/>
  <c r="AR66" i="37"/>
  <c r="AS66" i="37"/>
  <c r="AS65" i="37"/>
  <c r="AR65" i="37"/>
  <c r="AQ65" i="37"/>
  <c r="AP65" i="37"/>
  <c r="AO65" i="37"/>
  <c r="AS64" i="37"/>
  <c r="AR64" i="37"/>
  <c r="AQ64" i="37"/>
  <c r="AP64" i="37"/>
  <c r="AO64" i="37"/>
  <c r="AS61" i="37"/>
  <c r="AR61" i="37"/>
  <c r="AQ61" i="37"/>
  <c r="AP61" i="37"/>
  <c r="AO61" i="37"/>
  <c r="AS60" i="37"/>
  <c r="AR60" i="37"/>
  <c r="AQ60" i="37"/>
  <c r="AP60" i="37"/>
  <c r="AO60" i="37"/>
  <c r="AS58" i="37"/>
  <c r="AR58" i="37"/>
  <c r="AQ58" i="37"/>
  <c r="AP58" i="37"/>
  <c r="AO58" i="37"/>
  <c r="AS57" i="37"/>
  <c r="AR57" i="37"/>
  <c r="AQ57" i="37"/>
  <c r="AP57" i="37"/>
  <c r="AO57" i="37"/>
  <c r="AS54" i="37"/>
  <c r="AS55" i="37"/>
  <c r="AQ54" i="37"/>
  <c r="AQ55" i="37"/>
  <c r="AO54" i="37"/>
  <c r="AO55" i="37"/>
  <c r="AS46" i="37"/>
  <c r="AS53" i="37"/>
  <c r="AS45" i="37"/>
  <c r="AS52" i="37"/>
  <c r="AR45" i="37"/>
  <c r="AR52" i="37"/>
  <c r="AQ45" i="37"/>
  <c r="AQ52" i="37"/>
  <c r="AP45" i="37"/>
  <c r="AP52" i="37"/>
  <c r="AO45" i="37"/>
  <c r="AO52" i="37"/>
  <c r="AS49" i="37"/>
  <c r="AS48" i="37"/>
  <c r="AQ42" i="37"/>
  <c r="AQ43" i="37"/>
  <c r="AP42" i="37"/>
  <c r="AP43" i="37"/>
  <c r="AQ34" i="37"/>
  <c r="AQ41" i="37"/>
  <c r="AP34" i="37"/>
  <c r="AP41" i="37"/>
  <c r="AS33" i="37"/>
  <c r="AS40" i="37"/>
  <c r="AR33" i="37"/>
  <c r="AR40" i="37"/>
  <c r="AQ33" i="37"/>
  <c r="AQ40" i="37"/>
  <c r="AP33" i="37"/>
  <c r="AP40" i="37"/>
  <c r="AO33" i="37"/>
  <c r="AO40" i="37"/>
  <c r="AS37" i="37"/>
  <c r="AQ37" i="37"/>
  <c r="AP37" i="37"/>
  <c r="AQ36" i="37"/>
  <c r="AP36" i="37"/>
  <c r="AO36" i="37"/>
  <c r="AQ30" i="37"/>
  <c r="AQ31" i="37"/>
  <c r="AS22" i="37"/>
  <c r="AS29" i="37"/>
  <c r="AS21" i="37"/>
  <c r="AS28" i="37"/>
  <c r="AR21" i="37"/>
  <c r="AR28" i="37"/>
  <c r="AQ21" i="37"/>
  <c r="AQ28" i="37"/>
  <c r="AP21" i="37"/>
  <c r="AP28" i="37"/>
  <c r="AO21" i="37"/>
  <c r="AO28" i="37"/>
  <c r="AS25" i="37"/>
  <c r="AO25" i="37"/>
  <c r="AO24" i="37"/>
  <c r="AS18" i="37"/>
  <c r="AS19" i="37"/>
  <c r="AR18" i="37"/>
  <c r="AR19" i="37"/>
  <c r="AQ18" i="37"/>
  <c r="AQ19" i="37"/>
  <c r="AP18" i="37"/>
  <c r="AP19" i="37"/>
  <c r="AO18" i="37"/>
  <c r="AO19" i="37"/>
  <c r="AS10" i="37"/>
  <c r="AS17" i="37"/>
  <c r="AR10" i="37"/>
  <c r="AR17" i="37"/>
  <c r="AQ10" i="37"/>
  <c r="AQ17" i="37"/>
  <c r="AP10" i="37"/>
  <c r="AP17" i="37"/>
  <c r="AO10" i="37"/>
  <c r="AO17" i="37"/>
  <c r="AS9" i="37"/>
  <c r="AS16" i="37"/>
  <c r="AR9" i="37"/>
  <c r="AR16" i="37"/>
  <c r="AQ9" i="37"/>
  <c r="AQ16" i="37"/>
  <c r="AP9" i="37"/>
  <c r="AP16" i="37"/>
  <c r="AO9" i="37"/>
  <c r="AO16" i="37"/>
  <c r="AS13" i="37"/>
  <c r="AR13" i="37"/>
  <c r="AQ13" i="37"/>
  <c r="AP13" i="37"/>
  <c r="AO13" i="37"/>
  <c r="AS12" i="37"/>
  <c r="AR12" i="37"/>
  <c r="AQ12" i="37"/>
  <c r="AP12" i="37"/>
  <c r="AO12" i="37"/>
  <c r="M198" i="2"/>
  <c r="M199" i="2"/>
  <c r="M200" i="2"/>
  <c r="M201" i="2"/>
  <c r="E191" i="2"/>
  <c r="M191" i="2"/>
  <c r="E190" i="2"/>
  <c r="M190" i="2"/>
  <c r="E189" i="2"/>
  <c r="M189" i="2"/>
  <c r="E187" i="2"/>
  <c r="M187" i="2"/>
  <c r="E188" i="2"/>
  <c r="M188" i="2"/>
  <c r="E178" i="2"/>
  <c r="E179" i="2"/>
  <c r="M179" i="2"/>
  <c r="E180" i="2"/>
  <c r="M180" i="2"/>
  <c r="E181" i="2"/>
  <c r="M181" i="2"/>
  <c r="E163" i="2"/>
  <c r="M163" i="2"/>
  <c r="E164" i="2"/>
  <c r="M164" i="2"/>
  <c r="E165" i="2"/>
  <c r="M165" i="2"/>
  <c r="E166" i="2"/>
  <c r="M166" i="2"/>
  <c r="E167" i="2"/>
  <c r="M167" i="2"/>
  <c r="E168" i="2"/>
  <c r="M168" i="2"/>
  <c r="E169" i="2"/>
  <c r="M169" i="2"/>
  <c r="E170" i="2"/>
  <c r="M170" i="2"/>
  <c r="E171" i="2"/>
  <c r="M171" i="2"/>
  <c r="A122" i="35"/>
  <c r="AP46" i="34"/>
  <c r="AP53" i="34"/>
  <c r="AO21" i="34"/>
  <c r="AO28" i="34"/>
  <c r="AP21" i="34"/>
  <c r="AP28" i="34"/>
  <c r="AQ21" i="34"/>
  <c r="AQ28" i="34"/>
  <c r="AR21" i="34"/>
  <c r="AR28" i="34"/>
  <c r="AS21" i="34"/>
  <c r="AS28" i="34"/>
  <c r="AP240" i="36"/>
  <c r="AQ246" i="36"/>
  <c r="AQ247" i="36"/>
  <c r="AR246" i="36"/>
  <c r="AR247" i="36"/>
  <c r="AP198" i="36"/>
  <c r="AP199" i="36"/>
  <c r="AQ198" i="36"/>
  <c r="AQ199" i="36"/>
  <c r="AR204" i="36"/>
  <c r="AS204" i="36"/>
  <c r="AQ234" i="36"/>
  <c r="AQ235" i="36"/>
  <c r="AP142" i="36"/>
  <c r="AP149" i="36"/>
  <c r="AR156" i="36"/>
  <c r="AR174" i="36"/>
  <c r="AR175" i="36"/>
  <c r="AR178" i="36"/>
  <c r="AR185" i="36"/>
  <c r="AS106" i="36"/>
  <c r="AS113" i="36"/>
  <c r="AS138" i="36"/>
  <c r="AS139" i="36"/>
  <c r="AQ49" i="36"/>
  <c r="AR48" i="36"/>
  <c r="AR78" i="36"/>
  <c r="AR79" i="36"/>
  <c r="AO268" i="34"/>
  <c r="AP268" i="34"/>
  <c r="AQ268" i="34"/>
  <c r="AR268" i="34"/>
  <c r="AS268" i="34"/>
  <c r="AO269" i="34"/>
  <c r="AP269" i="34"/>
  <c r="AQ269" i="34"/>
  <c r="AR269" i="34"/>
  <c r="AS269" i="34"/>
  <c r="AO270" i="34"/>
  <c r="AP270" i="34"/>
  <c r="AQ270" i="34"/>
  <c r="AR270" i="34"/>
  <c r="AS270" i="34"/>
  <c r="AO271" i="34"/>
  <c r="AP271" i="34"/>
  <c r="AQ271" i="34"/>
  <c r="AR271" i="34"/>
  <c r="AS271" i="34"/>
  <c r="AO264" i="34"/>
  <c r="AP264" i="34"/>
  <c r="AQ264" i="34"/>
  <c r="AR264" i="34"/>
  <c r="AS264" i="34"/>
  <c r="AO265" i="34"/>
  <c r="AP265" i="34"/>
  <c r="AQ265" i="34"/>
  <c r="AR265" i="34"/>
  <c r="AS265" i="34"/>
  <c r="AO256" i="34"/>
  <c r="AP256" i="34"/>
  <c r="AQ256" i="34"/>
  <c r="AR256" i="34"/>
  <c r="AS256" i="34"/>
  <c r="AO257" i="34"/>
  <c r="AP257" i="34"/>
  <c r="AQ257" i="34"/>
  <c r="AR257" i="34"/>
  <c r="AS257" i="34"/>
  <c r="AO258" i="34"/>
  <c r="AP258" i="34"/>
  <c r="AQ258" i="34"/>
  <c r="AR258" i="34"/>
  <c r="AS258" i="34"/>
  <c r="AO259" i="34"/>
  <c r="AP259" i="34"/>
  <c r="AQ259" i="34"/>
  <c r="AR259" i="34"/>
  <c r="AS259" i="34"/>
  <c r="AO261" i="34"/>
  <c r="AP261" i="34"/>
  <c r="AQ261" i="34"/>
  <c r="AR261" i="34"/>
  <c r="AS261" i="34"/>
  <c r="AO262" i="34"/>
  <c r="AP262" i="34"/>
  <c r="AQ262" i="34"/>
  <c r="AR262" i="34"/>
  <c r="AS262" i="34"/>
  <c r="AO252" i="34"/>
  <c r="AP252" i="34"/>
  <c r="AQ252" i="34"/>
  <c r="AR252" i="34"/>
  <c r="AS252" i="34"/>
  <c r="AO253" i="34"/>
  <c r="AP253" i="34"/>
  <c r="AQ253" i="34"/>
  <c r="AR253" i="34"/>
  <c r="AS253" i="34"/>
  <c r="AO249" i="34"/>
  <c r="AP249" i="34"/>
  <c r="AQ249" i="34"/>
  <c r="AR249" i="34"/>
  <c r="AS249" i="34"/>
  <c r="AO250" i="34"/>
  <c r="AP250" i="34"/>
  <c r="AQ250" i="34"/>
  <c r="AR250" i="34"/>
  <c r="AS250" i="34"/>
  <c r="AS42" i="34"/>
  <c r="AS43" i="34"/>
  <c r="AP49" i="34"/>
  <c r="AO9" i="34"/>
  <c r="AO16" i="34"/>
  <c r="AP9" i="34"/>
  <c r="AP16" i="34"/>
  <c r="AQ9" i="34"/>
  <c r="AQ16" i="34"/>
  <c r="AR9" i="34"/>
  <c r="AR16" i="34"/>
  <c r="AS9" i="34"/>
  <c r="AS16" i="34"/>
  <c r="AO10" i="34"/>
  <c r="AO17" i="34"/>
  <c r="AP10" i="34"/>
  <c r="AP17" i="34"/>
  <c r="AQ10" i="34"/>
  <c r="AQ17" i="34"/>
  <c r="AR10" i="34"/>
  <c r="AR17" i="34"/>
  <c r="AS10" i="34"/>
  <c r="AS17" i="34"/>
  <c r="AO12" i="34"/>
  <c r="AP12" i="34"/>
  <c r="AQ12" i="34"/>
  <c r="AR12" i="34"/>
  <c r="AS12" i="34"/>
  <c r="AO13" i="34"/>
  <c r="AP13" i="34"/>
  <c r="AQ13" i="34"/>
  <c r="AR13" i="34"/>
  <c r="AS13" i="34"/>
  <c r="AO18" i="34"/>
  <c r="AP18" i="34"/>
  <c r="AP19" i="34"/>
  <c r="AQ18" i="34"/>
  <c r="AQ19" i="34"/>
  <c r="AR18" i="34"/>
  <c r="AR19" i="34"/>
  <c r="AS18" i="34"/>
  <c r="AS19" i="34"/>
  <c r="AO30" i="34"/>
  <c r="AO31" i="34"/>
  <c r="AP42" i="34"/>
  <c r="AP43" i="34"/>
  <c r="AS37" i="34"/>
  <c r="AO33" i="34"/>
  <c r="AO40" i="34"/>
  <c r="AP33" i="34"/>
  <c r="AP40" i="34"/>
  <c r="AQ33" i="34"/>
  <c r="AQ40" i="34"/>
  <c r="AR33" i="34"/>
  <c r="AR40" i="34"/>
  <c r="AS33" i="34"/>
  <c r="AS40" i="34"/>
  <c r="AO45" i="34"/>
  <c r="AO52" i="34"/>
  <c r="AP45" i="34"/>
  <c r="AP52" i="34"/>
  <c r="AQ45" i="34"/>
  <c r="AQ52" i="34"/>
  <c r="AR45" i="34"/>
  <c r="AR52" i="34"/>
  <c r="AS45" i="34"/>
  <c r="AS52" i="34"/>
  <c r="AQ54" i="34"/>
  <c r="AQ55" i="34"/>
  <c r="AS54" i="34"/>
  <c r="AS55" i="34"/>
  <c r="AO57" i="34"/>
  <c r="AP57" i="34"/>
  <c r="AQ57" i="34"/>
  <c r="AR57" i="34"/>
  <c r="AS57" i="34"/>
  <c r="AO58" i="34"/>
  <c r="AP58" i="34"/>
  <c r="AQ58" i="34"/>
  <c r="AR58" i="34"/>
  <c r="AS58" i="34"/>
  <c r="AO60" i="34"/>
  <c r="AP60" i="34"/>
  <c r="AQ60" i="34"/>
  <c r="AR60" i="34"/>
  <c r="AS60" i="34"/>
  <c r="AO61" i="34"/>
  <c r="AP61" i="34"/>
  <c r="AQ61" i="34"/>
  <c r="AR61" i="34"/>
  <c r="AS61" i="34"/>
  <c r="AO64" i="34"/>
  <c r="AP64" i="34"/>
  <c r="AQ64" i="34"/>
  <c r="AR64" i="34"/>
  <c r="AS64" i="34"/>
  <c r="AO65" i="34"/>
  <c r="AP65" i="34"/>
  <c r="AQ65" i="34"/>
  <c r="AR65" i="34"/>
  <c r="AS65" i="34"/>
  <c r="AO66" i="34"/>
  <c r="AP66" i="34"/>
  <c r="AQ66" i="34"/>
  <c r="AR66" i="34"/>
  <c r="AS66" i="34"/>
  <c r="AO67" i="34"/>
  <c r="AP67" i="34"/>
  <c r="AQ67" i="34"/>
  <c r="AR67" i="34"/>
  <c r="AS67" i="34"/>
  <c r="AO69" i="34"/>
  <c r="AP69" i="34"/>
  <c r="AQ69" i="34"/>
  <c r="AR69" i="34"/>
  <c r="AS69" i="34"/>
  <c r="AO70" i="34"/>
  <c r="AP70" i="34"/>
  <c r="AQ70" i="34"/>
  <c r="AR70" i="34"/>
  <c r="AS70" i="34"/>
  <c r="AO72" i="34"/>
  <c r="AP72" i="34"/>
  <c r="AQ72" i="34"/>
  <c r="AR72" i="34"/>
  <c r="AS72" i="34"/>
  <c r="AO73" i="34"/>
  <c r="AP73" i="34"/>
  <c r="AQ73" i="34"/>
  <c r="AR73" i="34"/>
  <c r="AS73" i="34"/>
  <c r="AO76" i="34"/>
  <c r="AP76" i="34"/>
  <c r="AQ76" i="34"/>
  <c r="AR76" i="34"/>
  <c r="AS76" i="34"/>
  <c r="AO77" i="34"/>
  <c r="AP77" i="34"/>
  <c r="AQ77" i="34"/>
  <c r="AR77" i="34"/>
  <c r="AS77" i="34"/>
  <c r="AO78" i="34"/>
  <c r="AP78" i="34"/>
  <c r="AQ78" i="34"/>
  <c r="AR78" i="34"/>
  <c r="AS78" i="34"/>
  <c r="AO79" i="34"/>
  <c r="AP79" i="34"/>
  <c r="AQ79" i="34"/>
  <c r="AR79" i="34"/>
  <c r="AS79" i="34"/>
  <c r="AO81" i="34"/>
  <c r="AP81" i="34"/>
  <c r="AQ81" i="34"/>
  <c r="AR81" i="34"/>
  <c r="AS81" i="34"/>
  <c r="AO82" i="34"/>
  <c r="AP82" i="34"/>
  <c r="AQ82" i="34"/>
  <c r="AR82" i="34"/>
  <c r="AS82" i="34"/>
  <c r="AO84" i="34"/>
  <c r="AP84" i="34"/>
  <c r="AQ84" i="34"/>
  <c r="AR84" i="34"/>
  <c r="AS84" i="34"/>
  <c r="AO85" i="34"/>
  <c r="AP85" i="34"/>
  <c r="AQ85" i="34"/>
  <c r="AR85" i="34"/>
  <c r="AS85" i="34"/>
  <c r="AO88" i="34"/>
  <c r="AP88" i="34"/>
  <c r="AQ88" i="34"/>
  <c r="AR88" i="34"/>
  <c r="AS88" i="34"/>
  <c r="AO89" i="34"/>
  <c r="AP89" i="34"/>
  <c r="AQ89" i="34"/>
  <c r="AR89" i="34"/>
  <c r="AS89" i="34"/>
  <c r="AO90" i="34"/>
  <c r="AP90" i="34"/>
  <c r="AQ90" i="34"/>
  <c r="AR90" i="34"/>
  <c r="AS90" i="34"/>
  <c r="AO91" i="34"/>
  <c r="AP91" i="34"/>
  <c r="AQ91" i="34"/>
  <c r="AR91" i="34"/>
  <c r="AS91" i="34"/>
  <c r="AO93" i="34"/>
  <c r="AP93" i="34"/>
  <c r="AQ93" i="34"/>
  <c r="AR93" i="34"/>
  <c r="AS93" i="34"/>
  <c r="AO94" i="34"/>
  <c r="AP94" i="34"/>
  <c r="AQ94" i="34"/>
  <c r="AR94" i="34"/>
  <c r="AS94" i="34"/>
  <c r="AO96" i="34"/>
  <c r="AP96" i="34"/>
  <c r="AQ96" i="34"/>
  <c r="AR96" i="34"/>
  <c r="AS96" i="34"/>
  <c r="AO97" i="34"/>
  <c r="AP97" i="34"/>
  <c r="AQ97" i="34"/>
  <c r="AR97" i="34"/>
  <c r="AS97" i="34"/>
  <c r="AO100" i="34"/>
  <c r="AP100" i="34"/>
  <c r="AQ100" i="34"/>
  <c r="AR100" i="34"/>
  <c r="AS100" i="34"/>
  <c r="AO101" i="34"/>
  <c r="AP101" i="34"/>
  <c r="AQ101" i="34"/>
  <c r="AR101" i="34"/>
  <c r="AS101" i="34"/>
  <c r="AO102" i="34"/>
  <c r="AP102" i="34"/>
  <c r="AQ102" i="34"/>
  <c r="AR102" i="34"/>
  <c r="AS102" i="34"/>
  <c r="AO103" i="34"/>
  <c r="AP103" i="34"/>
  <c r="AQ103" i="34"/>
  <c r="AR103" i="34"/>
  <c r="AS103" i="34"/>
  <c r="AO105" i="34"/>
  <c r="AP105" i="34"/>
  <c r="AQ105" i="34"/>
  <c r="AR105" i="34"/>
  <c r="AS105" i="34"/>
  <c r="AO106" i="34"/>
  <c r="AP106" i="34"/>
  <c r="AQ106" i="34"/>
  <c r="AR106" i="34"/>
  <c r="AS106" i="34"/>
  <c r="AO108" i="34"/>
  <c r="AP108" i="34"/>
  <c r="AQ108" i="34"/>
  <c r="AR108" i="34"/>
  <c r="AS108" i="34"/>
  <c r="AO109" i="34"/>
  <c r="AP109" i="34"/>
  <c r="AQ109" i="34"/>
  <c r="AR109" i="34"/>
  <c r="AS109" i="34"/>
  <c r="AO112" i="34"/>
  <c r="AP112" i="34"/>
  <c r="AQ112" i="34"/>
  <c r="AR112" i="34"/>
  <c r="AS112" i="34"/>
  <c r="AO113" i="34"/>
  <c r="AP113" i="34"/>
  <c r="AQ113" i="34"/>
  <c r="AR113" i="34"/>
  <c r="AS113" i="34"/>
  <c r="AO114" i="34"/>
  <c r="AP114" i="34"/>
  <c r="AQ114" i="34"/>
  <c r="AR114" i="34"/>
  <c r="AS114" i="34"/>
  <c r="AO115" i="34"/>
  <c r="AP115" i="34"/>
  <c r="AQ115" i="34"/>
  <c r="AR115" i="34"/>
  <c r="AS115" i="34"/>
  <c r="AO117" i="34"/>
  <c r="AP117" i="34"/>
  <c r="AQ117" i="34"/>
  <c r="AR117" i="34"/>
  <c r="AS117" i="34"/>
  <c r="AO118" i="34"/>
  <c r="AP118" i="34"/>
  <c r="AQ118" i="34"/>
  <c r="AR118" i="34"/>
  <c r="AS118" i="34"/>
  <c r="AO120" i="34"/>
  <c r="AP120" i="34"/>
  <c r="AQ120" i="34"/>
  <c r="AR120" i="34"/>
  <c r="AS120" i="34"/>
  <c r="AO121" i="34"/>
  <c r="AP121" i="34"/>
  <c r="AQ121" i="34"/>
  <c r="AR121" i="34"/>
  <c r="AS121" i="34"/>
  <c r="AO124" i="34"/>
  <c r="AP124" i="34"/>
  <c r="AQ124" i="34"/>
  <c r="AR124" i="34"/>
  <c r="AS124" i="34"/>
  <c r="AO125" i="34"/>
  <c r="AP125" i="34"/>
  <c r="AQ125" i="34"/>
  <c r="AR125" i="34"/>
  <c r="AS125" i="34"/>
  <c r="AO126" i="34"/>
  <c r="AP126" i="34"/>
  <c r="AQ126" i="34"/>
  <c r="AR126" i="34"/>
  <c r="AS126" i="34"/>
  <c r="AO127" i="34"/>
  <c r="AP127" i="34"/>
  <c r="AQ127" i="34"/>
  <c r="AR127" i="34"/>
  <c r="AS127" i="34"/>
  <c r="AO129" i="34"/>
  <c r="AP129" i="34"/>
  <c r="AQ129" i="34"/>
  <c r="AR129" i="34"/>
  <c r="AS129" i="34"/>
  <c r="AO130" i="34"/>
  <c r="AP130" i="34"/>
  <c r="AQ130" i="34"/>
  <c r="AR130" i="34"/>
  <c r="AS130" i="34"/>
  <c r="AO132" i="34"/>
  <c r="AP132" i="34"/>
  <c r="AQ132" i="34"/>
  <c r="AR132" i="34"/>
  <c r="AS132" i="34"/>
  <c r="AO133" i="34"/>
  <c r="AP133" i="34"/>
  <c r="AQ133" i="34"/>
  <c r="AR133" i="34"/>
  <c r="AS133" i="34"/>
  <c r="AO136" i="34"/>
  <c r="AP136" i="34"/>
  <c r="AQ136" i="34"/>
  <c r="AR136" i="34"/>
  <c r="AS136" i="34"/>
  <c r="AO137" i="34"/>
  <c r="AP137" i="34"/>
  <c r="AQ137" i="34"/>
  <c r="AR137" i="34"/>
  <c r="AS137" i="34"/>
  <c r="AO138" i="34"/>
  <c r="AP138" i="34"/>
  <c r="AQ138" i="34"/>
  <c r="AR138" i="34"/>
  <c r="AS138" i="34"/>
  <c r="AO139" i="34"/>
  <c r="AP139" i="34"/>
  <c r="AQ139" i="34"/>
  <c r="AR139" i="34"/>
  <c r="AS139" i="34"/>
  <c r="AO141" i="34"/>
  <c r="AP141" i="34"/>
  <c r="AQ141" i="34"/>
  <c r="AR141" i="34"/>
  <c r="AS141" i="34"/>
  <c r="AO142" i="34"/>
  <c r="AP142" i="34"/>
  <c r="AQ142" i="34"/>
  <c r="AR142" i="34"/>
  <c r="AS142" i="34"/>
  <c r="AO144" i="34"/>
  <c r="AP144" i="34"/>
  <c r="AQ144" i="34"/>
  <c r="AR144" i="34"/>
  <c r="AS144" i="34"/>
  <c r="AO145" i="34"/>
  <c r="AP145" i="34"/>
  <c r="AQ145" i="34"/>
  <c r="AR145" i="34"/>
  <c r="AS145" i="34"/>
  <c r="AO148" i="34"/>
  <c r="AP148" i="34"/>
  <c r="AQ148" i="34"/>
  <c r="AR148" i="34"/>
  <c r="AS148" i="34"/>
  <c r="AO149" i="34"/>
  <c r="AP149" i="34"/>
  <c r="AQ149" i="34"/>
  <c r="AR149" i="34"/>
  <c r="AS149" i="34"/>
  <c r="AO150" i="34"/>
  <c r="AP150" i="34"/>
  <c r="AQ150" i="34"/>
  <c r="AR150" i="34"/>
  <c r="AS150" i="34"/>
  <c r="AO151" i="34"/>
  <c r="AP151" i="34"/>
  <c r="AQ151" i="34"/>
  <c r="AR151" i="34"/>
  <c r="AS151" i="34"/>
  <c r="AO153" i="34"/>
  <c r="AP153" i="34"/>
  <c r="AQ153" i="34"/>
  <c r="AR153" i="34"/>
  <c r="AS153" i="34"/>
  <c r="AO154" i="34"/>
  <c r="AP154" i="34"/>
  <c r="AQ154" i="34"/>
  <c r="AR154" i="34"/>
  <c r="AS154" i="34"/>
  <c r="AO156" i="34"/>
  <c r="AP156" i="34"/>
  <c r="AQ156" i="34"/>
  <c r="AR156" i="34"/>
  <c r="AS156" i="34"/>
  <c r="AO157" i="34"/>
  <c r="AP157" i="34"/>
  <c r="AQ157" i="34"/>
  <c r="AR157" i="34"/>
  <c r="AS157" i="34"/>
  <c r="AO160" i="34"/>
  <c r="AP160" i="34"/>
  <c r="AQ160" i="34"/>
  <c r="AR160" i="34"/>
  <c r="AS160" i="34"/>
  <c r="AO161" i="34"/>
  <c r="AP161" i="34"/>
  <c r="AQ161" i="34"/>
  <c r="AR161" i="34"/>
  <c r="AS161" i="34"/>
  <c r="AO162" i="34"/>
  <c r="AP162" i="34"/>
  <c r="AQ162" i="34"/>
  <c r="AR162" i="34"/>
  <c r="AS162" i="34"/>
  <c r="AO163" i="34"/>
  <c r="AP163" i="34"/>
  <c r="AQ163" i="34"/>
  <c r="AR163" i="34"/>
  <c r="AS163" i="34"/>
  <c r="AO165" i="34"/>
  <c r="AP165" i="34"/>
  <c r="AQ165" i="34"/>
  <c r="AR165" i="34"/>
  <c r="AS165" i="34"/>
  <c r="AO166" i="34"/>
  <c r="AP166" i="34"/>
  <c r="AQ166" i="34"/>
  <c r="AR166" i="34"/>
  <c r="AS166" i="34"/>
  <c r="AO168" i="34"/>
  <c r="AP168" i="34"/>
  <c r="AQ168" i="34"/>
  <c r="AR168" i="34"/>
  <c r="AS168" i="34"/>
  <c r="AO169" i="34"/>
  <c r="AP169" i="34"/>
  <c r="AQ169" i="34"/>
  <c r="AR169" i="34"/>
  <c r="AS169" i="34"/>
  <c r="AO172" i="34"/>
  <c r="AP172" i="34"/>
  <c r="AQ172" i="34"/>
  <c r="AR172" i="34"/>
  <c r="AS172" i="34"/>
  <c r="AO173" i="34"/>
  <c r="AP173" i="34"/>
  <c r="AQ173" i="34"/>
  <c r="AR173" i="34"/>
  <c r="AS173" i="34"/>
  <c r="AO174" i="34"/>
  <c r="AP174" i="34"/>
  <c r="AQ174" i="34"/>
  <c r="AR174" i="34"/>
  <c r="AS174" i="34"/>
  <c r="AO175" i="34"/>
  <c r="AP175" i="34"/>
  <c r="AQ175" i="34"/>
  <c r="AR175" i="34"/>
  <c r="AS175" i="34"/>
  <c r="AO177" i="34"/>
  <c r="AP177" i="34"/>
  <c r="AQ177" i="34"/>
  <c r="AR177" i="34"/>
  <c r="AS177" i="34"/>
  <c r="AO178" i="34"/>
  <c r="AP178" i="34"/>
  <c r="AQ178" i="34"/>
  <c r="AR178" i="34"/>
  <c r="AS178" i="34"/>
  <c r="AO180" i="34"/>
  <c r="AP180" i="34"/>
  <c r="AQ180" i="34"/>
  <c r="AR180" i="34"/>
  <c r="AS180" i="34"/>
  <c r="AO181" i="34"/>
  <c r="AP181" i="34"/>
  <c r="AQ181" i="34"/>
  <c r="AR181" i="34"/>
  <c r="AS181" i="34"/>
  <c r="AO184" i="34"/>
  <c r="AP184" i="34"/>
  <c r="AQ184" i="34"/>
  <c r="AR184" i="34"/>
  <c r="AS184" i="34"/>
  <c r="AO185" i="34"/>
  <c r="AP185" i="34"/>
  <c r="AQ185" i="34"/>
  <c r="AR185" i="34"/>
  <c r="AS185" i="34"/>
  <c r="AO186" i="34"/>
  <c r="AP186" i="34"/>
  <c r="AQ186" i="34"/>
  <c r="AR186" i="34"/>
  <c r="AS186" i="34"/>
  <c r="AO187" i="34"/>
  <c r="AP187" i="34"/>
  <c r="AQ187" i="34"/>
  <c r="AR187" i="34"/>
  <c r="AS187" i="34"/>
  <c r="AO189" i="34"/>
  <c r="AP189" i="34"/>
  <c r="AQ189" i="34"/>
  <c r="AR189" i="34"/>
  <c r="AS189" i="34"/>
  <c r="AO190" i="34"/>
  <c r="AP190" i="34"/>
  <c r="AQ190" i="34"/>
  <c r="AR190" i="34"/>
  <c r="AS190" i="34"/>
  <c r="AO192" i="34"/>
  <c r="AP192" i="34"/>
  <c r="AQ192" i="34"/>
  <c r="AR192" i="34"/>
  <c r="AS192" i="34"/>
  <c r="AO193" i="34"/>
  <c r="AP193" i="34"/>
  <c r="AQ193" i="34"/>
  <c r="AR193" i="34"/>
  <c r="AS193" i="34"/>
  <c r="AO196" i="34"/>
  <c r="AP196" i="34"/>
  <c r="AQ196" i="34"/>
  <c r="AR196" i="34"/>
  <c r="AS196" i="34"/>
  <c r="AO197" i="34"/>
  <c r="AP197" i="34"/>
  <c r="AQ197" i="34"/>
  <c r="AR197" i="34"/>
  <c r="AS197" i="34"/>
  <c r="AO198" i="34"/>
  <c r="AP198" i="34"/>
  <c r="AQ198" i="34"/>
  <c r="AR198" i="34"/>
  <c r="AS198" i="34"/>
  <c r="AO199" i="34"/>
  <c r="AP199" i="34"/>
  <c r="AQ199" i="34"/>
  <c r="AR199" i="34"/>
  <c r="AS199" i="34"/>
  <c r="AO201" i="34"/>
  <c r="AP201" i="34"/>
  <c r="AQ201" i="34"/>
  <c r="AR201" i="34"/>
  <c r="AS201" i="34"/>
  <c r="AO202" i="34"/>
  <c r="AP202" i="34"/>
  <c r="AQ202" i="34"/>
  <c r="AR202" i="34"/>
  <c r="AS202" i="34"/>
  <c r="AO204" i="34"/>
  <c r="AP204" i="34"/>
  <c r="AQ204" i="34"/>
  <c r="AR204" i="34"/>
  <c r="AS204" i="34"/>
  <c r="AO205" i="34"/>
  <c r="AP205" i="34"/>
  <c r="AQ205" i="34"/>
  <c r="AR205" i="34"/>
  <c r="AS205" i="34"/>
  <c r="AO208" i="34"/>
  <c r="AP208" i="34"/>
  <c r="AQ208" i="34"/>
  <c r="AR208" i="34"/>
  <c r="AS208" i="34"/>
  <c r="AO209" i="34"/>
  <c r="AP209" i="34"/>
  <c r="AQ209" i="34"/>
  <c r="AR209" i="34"/>
  <c r="AS209" i="34"/>
  <c r="AO210" i="34"/>
  <c r="AP210" i="34"/>
  <c r="AQ210" i="34"/>
  <c r="AR210" i="34"/>
  <c r="AS210" i="34"/>
  <c r="AO211" i="34"/>
  <c r="AP211" i="34"/>
  <c r="AQ211" i="34"/>
  <c r="AR211" i="34"/>
  <c r="AS211" i="34"/>
  <c r="AO213" i="34"/>
  <c r="AP213" i="34"/>
  <c r="AQ213" i="34"/>
  <c r="AR213" i="34"/>
  <c r="AS213" i="34"/>
  <c r="AO214" i="34"/>
  <c r="AP214" i="34"/>
  <c r="AQ214" i="34"/>
  <c r="AR214" i="34"/>
  <c r="AS214" i="34"/>
  <c r="AO216" i="34"/>
  <c r="AP216" i="34"/>
  <c r="AQ216" i="34"/>
  <c r="AR216" i="34"/>
  <c r="AS216" i="34"/>
  <c r="AO217" i="34"/>
  <c r="AP217" i="34"/>
  <c r="AQ217" i="34"/>
  <c r="AR217" i="34"/>
  <c r="AS217" i="34"/>
  <c r="AO220" i="34"/>
  <c r="AP220" i="34"/>
  <c r="AQ220" i="34"/>
  <c r="AR220" i="34"/>
  <c r="AS220" i="34"/>
  <c r="AO221" i="34"/>
  <c r="AP221" i="34"/>
  <c r="AQ221" i="34"/>
  <c r="AR221" i="34"/>
  <c r="AS221" i="34"/>
  <c r="AO222" i="34"/>
  <c r="AP222" i="34"/>
  <c r="AQ222" i="34"/>
  <c r="AR222" i="34"/>
  <c r="AS222" i="34"/>
  <c r="AO223" i="34"/>
  <c r="AP223" i="34"/>
  <c r="AQ223" i="34"/>
  <c r="AR223" i="34"/>
  <c r="AS223" i="34"/>
  <c r="AO225" i="34"/>
  <c r="AP225" i="34"/>
  <c r="AQ225" i="34"/>
  <c r="AR225" i="34"/>
  <c r="AS225" i="34"/>
  <c r="AO226" i="34"/>
  <c r="AP226" i="34"/>
  <c r="AQ226" i="34"/>
  <c r="AR226" i="34"/>
  <c r="AS226" i="34"/>
  <c r="AO228" i="34"/>
  <c r="AP228" i="34"/>
  <c r="AQ228" i="34"/>
  <c r="AR228" i="34"/>
  <c r="AS228" i="34"/>
  <c r="AO229" i="34"/>
  <c r="AP229" i="34"/>
  <c r="AQ229" i="34"/>
  <c r="AR229" i="34"/>
  <c r="AS229" i="34"/>
  <c r="AO232" i="34"/>
  <c r="AP232" i="34"/>
  <c r="AQ232" i="34"/>
  <c r="AR232" i="34"/>
  <c r="AS232" i="34"/>
  <c r="AO233" i="34"/>
  <c r="AP233" i="34"/>
  <c r="AQ233" i="34"/>
  <c r="AR233" i="34"/>
  <c r="AS233" i="34"/>
  <c r="AO234" i="34"/>
  <c r="AP234" i="34"/>
  <c r="AQ234" i="34"/>
  <c r="AR234" i="34"/>
  <c r="AS234" i="34"/>
  <c r="AO235" i="34"/>
  <c r="AP235" i="34"/>
  <c r="AQ235" i="34"/>
  <c r="AR235" i="34"/>
  <c r="AS235" i="34"/>
  <c r="AO237" i="34"/>
  <c r="AP237" i="34"/>
  <c r="AQ237" i="34"/>
  <c r="AR237" i="34"/>
  <c r="AS237" i="34"/>
  <c r="AO238" i="34"/>
  <c r="AP238" i="34"/>
  <c r="AQ238" i="34"/>
  <c r="AR238" i="34"/>
  <c r="AS238" i="34"/>
  <c r="AO240" i="34"/>
  <c r="AP240" i="34"/>
  <c r="AQ240" i="34"/>
  <c r="AR240" i="34"/>
  <c r="AS240" i="34"/>
  <c r="AO241" i="34"/>
  <c r="AP241" i="34"/>
  <c r="AQ241" i="34"/>
  <c r="AR241" i="34"/>
  <c r="AS241" i="34"/>
  <c r="AO244" i="34"/>
  <c r="AP244" i="34"/>
  <c r="AQ244" i="34"/>
  <c r="AR244" i="34"/>
  <c r="AS244" i="34"/>
  <c r="AO245" i="34"/>
  <c r="AP245" i="34"/>
  <c r="AQ245" i="34"/>
  <c r="AR245" i="34"/>
  <c r="AS245" i="34"/>
  <c r="AO246" i="34"/>
  <c r="AP246" i="34"/>
  <c r="AQ246" i="34"/>
  <c r="AR246" i="34"/>
  <c r="AS246" i="34"/>
  <c r="AO247" i="34"/>
  <c r="AP247" i="34"/>
  <c r="AQ247" i="34"/>
  <c r="AR247" i="34"/>
  <c r="AS247" i="34"/>
  <c r="AP37" i="34"/>
  <c r="AR54" i="34"/>
  <c r="AR55" i="34"/>
  <c r="AP30" i="34"/>
  <c r="AP31" i="34"/>
  <c r="AP22" i="34"/>
  <c r="AP29" i="34"/>
  <c r="AS46" i="34"/>
  <c r="AS53" i="34"/>
  <c r="AO22" i="34"/>
  <c r="AO29" i="34"/>
  <c r="AS34" i="34"/>
  <c r="AS41" i="34"/>
  <c r="AS36" i="34"/>
  <c r="AQ42" i="34"/>
  <c r="AQ43" i="34"/>
  <c r="AP9" i="36"/>
  <c r="AP16" i="36"/>
  <c r="AQ9" i="36"/>
  <c r="AQ16" i="36"/>
  <c r="AR9" i="36"/>
  <c r="AR16" i="36"/>
  <c r="AS9" i="36"/>
  <c r="AS16" i="36"/>
  <c r="AP10" i="36"/>
  <c r="AP17" i="36"/>
  <c r="AQ10" i="36"/>
  <c r="AQ17" i="36"/>
  <c r="AR10" i="36"/>
  <c r="AR17" i="36"/>
  <c r="AS10" i="36"/>
  <c r="AS17" i="36"/>
  <c r="AP12" i="36"/>
  <c r="AQ12" i="36"/>
  <c r="AR12" i="36"/>
  <c r="AS12" i="36"/>
  <c r="AP13" i="36"/>
  <c r="AQ13" i="36"/>
  <c r="AR13" i="36"/>
  <c r="AS13" i="36"/>
  <c r="AP18" i="36"/>
  <c r="AP19" i="36"/>
  <c r="AQ18" i="36"/>
  <c r="AQ19" i="36"/>
  <c r="AR18" i="36"/>
  <c r="AR19" i="36"/>
  <c r="AS18" i="36"/>
  <c r="AS19" i="36"/>
  <c r="AP21" i="36"/>
  <c r="AP28" i="36"/>
  <c r="AQ21" i="36"/>
  <c r="AQ28" i="36"/>
  <c r="AR21" i="36"/>
  <c r="AR28" i="36"/>
  <c r="AS21" i="36"/>
  <c r="AS28" i="36"/>
  <c r="AP33" i="36"/>
  <c r="AP40" i="36"/>
  <c r="AQ33" i="36"/>
  <c r="AQ40" i="36"/>
  <c r="AR33" i="36"/>
  <c r="AR40" i="36"/>
  <c r="AS33" i="36"/>
  <c r="AS40" i="36"/>
  <c r="AP45" i="36"/>
  <c r="AP52" i="36"/>
  <c r="AQ45" i="36"/>
  <c r="AQ52" i="36"/>
  <c r="AR45" i="36"/>
  <c r="AR52" i="36"/>
  <c r="AS45" i="36"/>
  <c r="AS52" i="36"/>
  <c r="AP57" i="36"/>
  <c r="AP64" i="36"/>
  <c r="AQ57" i="36"/>
  <c r="AQ64" i="36"/>
  <c r="AR57" i="36"/>
  <c r="AR64" i="36"/>
  <c r="AS57" i="36"/>
  <c r="AS64" i="36"/>
  <c r="AP69" i="36"/>
  <c r="AP76" i="36"/>
  <c r="AQ69" i="36"/>
  <c r="AQ76" i="36"/>
  <c r="AR69" i="36"/>
  <c r="AR76" i="36"/>
  <c r="AS69" i="36"/>
  <c r="AS76" i="36"/>
  <c r="AP81" i="36"/>
  <c r="AP88" i="36"/>
  <c r="AQ81" i="36"/>
  <c r="AQ88" i="36"/>
  <c r="AR81" i="36"/>
  <c r="AR88" i="36"/>
  <c r="AS81" i="36"/>
  <c r="AS88" i="36"/>
  <c r="AP93" i="36"/>
  <c r="AP100" i="36"/>
  <c r="AQ93" i="36"/>
  <c r="AQ100" i="36"/>
  <c r="AR93" i="36"/>
  <c r="AR100" i="36"/>
  <c r="AS93" i="36"/>
  <c r="AS100" i="36"/>
  <c r="AP105" i="36"/>
  <c r="AP112" i="36"/>
  <c r="AQ105" i="36"/>
  <c r="AQ112" i="36"/>
  <c r="AR105" i="36"/>
  <c r="AR112" i="36"/>
  <c r="AS105" i="36"/>
  <c r="AS112" i="36"/>
  <c r="AP117" i="36"/>
  <c r="AP124" i="36"/>
  <c r="AQ117" i="36"/>
  <c r="AQ124" i="36"/>
  <c r="AR117" i="36"/>
  <c r="AR124" i="36"/>
  <c r="AS117" i="36"/>
  <c r="AS124" i="36"/>
  <c r="AP129" i="36"/>
  <c r="AP136" i="36"/>
  <c r="AQ129" i="36"/>
  <c r="AQ136" i="36"/>
  <c r="AR129" i="36"/>
  <c r="AR136" i="36"/>
  <c r="AS129" i="36"/>
  <c r="AS136" i="36"/>
  <c r="AP141" i="36"/>
  <c r="AP148" i="36"/>
  <c r="AQ141" i="36"/>
  <c r="AQ148" i="36"/>
  <c r="AR141" i="36"/>
  <c r="AR148" i="36"/>
  <c r="AS141" i="36"/>
  <c r="AS148" i="36"/>
  <c r="AP153" i="36"/>
  <c r="AP160" i="36"/>
  <c r="AQ153" i="36"/>
  <c r="AQ160" i="36"/>
  <c r="AR153" i="36"/>
  <c r="AR160" i="36"/>
  <c r="AS153" i="36"/>
  <c r="AS160" i="36"/>
  <c r="AP165" i="36"/>
  <c r="AP172" i="36"/>
  <c r="AQ165" i="36"/>
  <c r="AQ172" i="36"/>
  <c r="AR165" i="36"/>
  <c r="AR172" i="36"/>
  <c r="AS165" i="36"/>
  <c r="AS172" i="36"/>
  <c r="AP177" i="36"/>
  <c r="AP184" i="36"/>
  <c r="AQ177" i="36"/>
  <c r="AQ184" i="36"/>
  <c r="AR177" i="36"/>
  <c r="AR184" i="36"/>
  <c r="AS177" i="36"/>
  <c r="AS184" i="36"/>
  <c r="AP189" i="36"/>
  <c r="AP196" i="36"/>
  <c r="AQ189" i="36"/>
  <c r="AQ196" i="36"/>
  <c r="AR189" i="36"/>
  <c r="AR196" i="36"/>
  <c r="AS189" i="36"/>
  <c r="AS196" i="36"/>
  <c r="AP201" i="36"/>
  <c r="AP208" i="36"/>
  <c r="AQ201" i="36"/>
  <c r="AQ208" i="36"/>
  <c r="AR201" i="36"/>
  <c r="AR208" i="36"/>
  <c r="AS201" i="36"/>
  <c r="AS208" i="36"/>
  <c r="AP213" i="36"/>
  <c r="AP220" i="36"/>
  <c r="AQ213" i="36"/>
  <c r="AQ220" i="36"/>
  <c r="AR213" i="36"/>
  <c r="AR220" i="36"/>
  <c r="AS213" i="36"/>
  <c r="AS220" i="36"/>
  <c r="AP225" i="36"/>
  <c r="AP232" i="36"/>
  <c r="AQ225" i="36"/>
  <c r="AQ232" i="36"/>
  <c r="AR225" i="36"/>
  <c r="AR232" i="36"/>
  <c r="AS225" i="36"/>
  <c r="AS232" i="36"/>
  <c r="AP237" i="36"/>
  <c r="AP244" i="36"/>
  <c r="AP245" i="36"/>
  <c r="AQ237" i="36"/>
  <c r="AQ244" i="36"/>
  <c r="AQ245" i="36"/>
  <c r="AR237" i="36"/>
  <c r="AR244" i="36"/>
  <c r="AR245" i="36"/>
  <c r="AS237" i="36"/>
  <c r="AS244" i="36"/>
  <c r="AS245" i="36"/>
  <c r="AP238" i="36"/>
  <c r="AQ238" i="36"/>
  <c r="AR238" i="36"/>
  <c r="AS238" i="36"/>
  <c r="AP239" i="36"/>
  <c r="AQ239" i="36"/>
  <c r="AR239" i="36"/>
  <c r="AS239" i="36"/>
  <c r="AP249" i="36"/>
  <c r="AP256" i="36"/>
  <c r="AP257" i="36"/>
  <c r="AQ249" i="36"/>
  <c r="AQ256" i="36"/>
  <c r="AQ257" i="36"/>
  <c r="AR249" i="36"/>
  <c r="AR256" i="36"/>
  <c r="AR257" i="36"/>
  <c r="AS249" i="36"/>
  <c r="AS256" i="36"/>
  <c r="AS257" i="36"/>
  <c r="AP250" i="36"/>
  <c r="AQ250" i="36"/>
  <c r="AR250" i="36"/>
  <c r="AS250" i="36"/>
  <c r="AP251" i="36"/>
  <c r="AQ251" i="36"/>
  <c r="AR251" i="36"/>
  <c r="AS251" i="36"/>
  <c r="AX62" i="35"/>
  <c r="AX63" i="35"/>
  <c r="AW62" i="35"/>
  <c r="AW63" i="35"/>
  <c r="AV62" i="35"/>
  <c r="AV63" i="35"/>
  <c r="AU62" i="35"/>
  <c r="AU63" i="35"/>
  <c r="AT62" i="35"/>
  <c r="AT63" i="35"/>
  <c r="AS62" i="35"/>
  <c r="AS63" i="35"/>
  <c r="AR62" i="35"/>
  <c r="AR63" i="35"/>
  <c r="AQ62" i="35"/>
  <c r="AQ63" i="35"/>
  <c r="AX61" i="35"/>
  <c r="AW61" i="35"/>
  <c r="AV61" i="35"/>
  <c r="AU61" i="35"/>
  <c r="AT61" i="35"/>
  <c r="AS61" i="35"/>
  <c r="AR61" i="35"/>
  <c r="AQ61" i="35"/>
  <c r="AX60" i="35"/>
  <c r="AW60" i="35"/>
  <c r="AV60" i="35"/>
  <c r="AU60" i="35"/>
  <c r="AT60" i="35"/>
  <c r="AS60" i="35"/>
  <c r="AR60" i="35"/>
  <c r="AQ60" i="35"/>
  <c r="AX52" i="35"/>
  <c r="AX53" i="35"/>
  <c r="AV52" i="35"/>
  <c r="AV53" i="35"/>
  <c r="AU52" i="35"/>
  <c r="AU53" i="35"/>
  <c r="AT52" i="35"/>
  <c r="AT53" i="35"/>
  <c r="AR52" i="35"/>
  <c r="AR53" i="35"/>
  <c r="AW52" i="35"/>
  <c r="AW53" i="35"/>
  <c r="AS52" i="35"/>
  <c r="AS53" i="35"/>
  <c r="AQ52" i="35"/>
  <c r="AQ53" i="35"/>
  <c r="AX51" i="35"/>
  <c r="AW51" i="35"/>
  <c r="AV51" i="35"/>
  <c r="AU51" i="35"/>
  <c r="AT51" i="35"/>
  <c r="AS51" i="35"/>
  <c r="AR51" i="35"/>
  <c r="AQ51" i="35"/>
  <c r="AX50" i="35"/>
  <c r="AW50" i="35"/>
  <c r="AV50" i="35"/>
  <c r="AU50" i="35"/>
  <c r="AT50" i="35"/>
  <c r="AS50" i="35"/>
  <c r="AR50" i="35"/>
  <c r="AQ50" i="35"/>
  <c r="AX42" i="35"/>
  <c r="AX43" i="35"/>
  <c r="AW42" i="35"/>
  <c r="AW43" i="35"/>
  <c r="AV42" i="35"/>
  <c r="AV43" i="35"/>
  <c r="AU42" i="35"/>
  <c r="AU43" i="35"/>
  <c r="AT42" i="35"/>
  <c r="AT43" i="35"/>
  <c r="AS42" i="35"/>
  <c r="AS43" i="35"/>
  <c r="AR42" i="35"/>
  <c r="AR43" i="35"/>
  <c r="AQ42" i="35"/>
  <c r="AQ43" i="35"/>
  <c r="AX41" i="35"/>
  <c r="AW41" i="35"/>
  <c r="AV41" i="35"/>
  <c r="AU41" i="35"/>
  <c r="AT41" i="35"/>
  <c r="AS41" i="35"/>
  <c r="AR41" i="35"/>
  <c r="AQ41" i="35"/>
  <c r="AX40" i="35"/>
  <c r="AW40" i="35"/>
  <c r="AV40" i="35"/>
  <c r="AU40" i="35"/>
  <c r="AT40" i="35"/>
  <c r="AS40" i="35"/>
  <c r="AR40" i="35"/>
  <c r="AQ40" i="35"/>
  <c r="AX32" i="35"/>
  <c r="AX33" i="35"/>
  <c r="AW32" i="35"/>
  <c r="AW33" i="35"/>
  <c r="AV32" i="35"/>
  <c r="AV33" i="35"/>
  <c r="AU32" i="35"/>
  <c r="AU33" i="35"/>
  <c r="AT32" i="35"/>
  <c r="AT33" i="35"/>
  <c r="AS32" i="35"/>
  <c r="AS33" i="35"/>
  <c r="AR32" i="35"/>
  <c r="AR33" i="35"/>
  <c r="AQ32" i="35"/>
  <c r="AQ33" i="35"/>
  <c r="AX31" i="35"/>
  <c r="AW31" i="35"/>
  <c r="AV31" i="35"/>
  <c r="AU31" i="35"/>
  <c r="AT31" i="35"/>
  <c r="AS31" i="35"/>
  <c r="AR31" i="35"/>
  <c r="AQ31" i="35"/>
  <c r="AX30" i="35"/>
  <c r="AW30" i="35"/>
  <c r="AV30" i="35"/>
  <c r="AU30" i="35"/>
  <c r="AT30" i="35"/>
  <c r="AS30" i="35"/>
  <c r="AR30" i="35"/>
  <c r="AQ30" i="35"/>
  <c r="X2" i="2"/>
  <c r="AQ10" i="35"/>
  <c r="AR10" i="35"/>
  <c r="AS10" i="35"/>
  <c r="AT10" i="35"/>
  <c r="AU10" i="35"/>
  <c r="AV10" i="35"/>
  <c r="AW10" i="35"/>
  <c r="AX10" i="35"/>
  <c r="AQ11" i="35"/>
  <c r="AR11" i="35"/>
  <c r="AS11" i="35"/>
  <c r="AT11" i="35"/>
  <c r="AU11" i="35"/>
  <c r="AV11" i="35"/>
  <c r="AW11" i="35"/>
  <c r="AX11" i="35"/>
  <c r="AQ12" i="35"/>
  <c r="AQ13" i="35"/>
  <c r="AR12" i="35"/>
  <c r="AR13" i="35"/>
  <c r="AS12" i="35"/>
  <c r="AS13" i="35"/>
  <c r="AT12" i="35"/>
  <c r="AT13" i="35"/>
  <c r="AU12" i="35"/>
  <c r="AU13" i="35"/>
  <c r="AV12" i="35"/>
  <c r="AV13" i="35"/>
  <c r="AW12" i="35"/>
  <c r="AW13" i="35"/>
  <c r="AX12" i="35"/>
  <c r="AX13" i="35"/>
  <c r="AQ20" i="35"/>
  <c r="AR20" i="35"/>
  <c r="AS20" i="35"/>
  <c r="AT20" i="35"/>
  <c r="AU20" i="35"/>
  <c r="AV20" i="35"/>
  <c r="AW20" i="35"/>
  <c r="AX20" i="35"/>
  <c r="AQ21" i="35"/>
  <c r="AR21" i="35"/>
  <c r="AS21" i="35"/>
  <c r="AT21" i="35"/>
  <c r="AU21" i="35"/>
  <c r="AV21" i="35"/>
  <c r="AW21" i="35"/>
  <c r="AX21" i="35"/>
  <c r="AQ22" i="35"/>
  <c r="AQ23" i="35"/>
  <c r="AR22" i="35"/>
  <c r="AR23" i="35"/>
  <c r="AS22" i="35"/>
  <c r="AS23" i="35"/>
  <c r="AT22" i="35"/>
  <c r="AT23" i="35"/>
  <c r="AU22" i="35"/>
  <c r="AU23" i="35"/>
  <c r="AV22" i="35"/>
  <c r="AV23" i="35"/>
  <c r="AW22" i="35"/>
  <c r="AW23" i="35"/>
  <c r="AX22" i="35"/>
  <c r="AX23" i="35"/>
  <c r="AQ70" i="35"/>
  <c r="AR70" i="35"/>
  <c r="AS70" i="35"/>
  <c r="AT70" i="35"/>
  <c r="AU70" i="35"/>
  <c r="AV70" i="35"/>
  <c r="AW70" i="35"/>
  <c r="AX70" i="35"/>
  <c r="AQ71" i="35"/>
  <c r="AR71" i="35"/>
  <c r="AS71" i="35"/>
  <c r="AT71" i="35"/>
  <c r="AU71" i="35"/>
  <c r="AV71" i="35"/>
  <c r="AW71" i="35"/>
  <c r="AX71" i="35"/>
  <c r="AQ72" i="35"/>
  <c r="AQ73" i="35"/>
  <c r="AR72" i="35"/>
  <c r="AR73" i="35"/>
  <c r="AS72" i="35"/>
  <c r="AS73" i="35"/>
  <c r="AT72" i="35"/>
  <c r="AT73" i="35"/>
  <c r="AU72" i="35"/>
  <c r="AU73" i="35"/>
  <c r="AV72" i="35"/>
  <c r="AV73" i="35"/>
  <c r="AW72" i="35"/>
  <c r="AW73" i="35"/>
  <c r="AX72" i="35"/>
  <c r="AX73" i="35"/>
  <c r="AQ80" i="35"/>
  <c r="AR80" i="35"/>
  <c r="AS80" i="35"/>
  <c r="AT80" i="35"/>
  <c r="AU80" i="35"/>
  <c r="AV80" i="35"/>
  <c r="AW80" i="35"/>
  <c r="AX80" i="35"/>
  <c r="AQ81" i="35"/>
  <c r="AR81" i="35"/>
  <c r="AS81" i="35"/>
  <c r="AT81" i="35"/>
  <c r="AU81" i="35"/>
  <c r="AV81" i="35"/>
  <c r="AW81" i="35"/>
  <c r="AX81" i="35"/>
  <c r="AQ82" i="35"/>
  <c r="AQ83" i="35"/>
  <c r="AR82" i="35"/>
  <c r="AR83" i="35"/>
  <c r="AS82" i="35"/>
  <c r="AS83" i="35"/>
  <c r="AT82" i="35"/>
  <c r="AT83" i="35"/>
  <c r="AU82" i="35"/>
  <c r="AU83" i="35"/>
  <c r="AV82" i="35"/>
  <c r="AV83" i="35"/>
  <c r="AW82" i="35"/>
  <c r="AW83" i="35"/>
  <c r="AX82" i="35"/>
  <c r="AX83" i="35"/>
  <c r="AQ90" i="35"/>
  <c r="AR90" i="35"/>
  <c r="AS90" i="35"/>
  <c r="AT90" i="35"/>
  <c r="AU90" i="35"/>
  <c r="AV90" i="35"/>
  <c r="AW90" i="35"/>
  <c r="AX90" i="35"/>
  <c r="AQ91" i="35"/>
  <c r="AR91" i="35"/>
  <c r="AS91" i="35"/>
  <c r="AT91" i="35"/>
  <c r="AU91" i="35"/>
  <c r="AV91" i="35"/>
  <c r="AW91" i="35"/>
  <c r="AX91" i="35"/>
  <c r="AQ92" i="35"/>
  <c r="AQ93" i="35"/>
  <c r="AR92" i="35"/>
  <c r="AR93" i="35"/>
  <c r="AS92" i="35"/>
  <c r="AS93" i="35"/>
  <c r="AT92" i="35"/>
  <c r="AT93" i="35"/>
  <c r="AU92" i="35"/>
  <c r="AU93" i="35"/>
  <c r="AV92" i="35"/>
  <c r="AV93" i="35"/>
  <c r="AW92" i="35"/>
  <c r="AW93" i="35"/>
  <c r="AX92" i="35"/>
  <c r="AX93" i="35"/>
  <c r="AQ100" i="35"/>
  <c r="AR100" i="35"/>
  <c r="AS100" i="35"/>
  <c r="AT100" i="35"/>
  <c r="AU100" i="35"/>
  <c r="AV100" i="35"/>
  <c r="AW100" i="35"/>
  <c r="AX100" i="35"/>
  <c r="AQ101" i="35"/>
  <c r="AR101" i="35"/>
  <c r="AS101" i="35"/>
  <c r="AT101" i="35"/>
  <c r="AU101" i="35"/>
  <c r="AV101" i="35"/>
  <c r="AW101" i="35"/>
  <c r="AX101" i="35"/>
  <c r="AQ102" i="35"/>
  <c r="AQ103" i="35"/>
  <c r="AR102" i="35"/>
  <c r="AR103" i="35"/>
  <c r="AS102" i="35"/>
  <c r="AS103" i="35"/>
  <c r="AT102" i="35"/>
  <c r="AT103" i="35"/>
  <c r="AU102" i="35"/>
  <c r="AU103" i="35"/>
  <c r="AV102" i="35"/>
  <c r="AV103" i="35"/>
  <c r="AW102" i="35"/>
  <c r="AW103" i="35"/>
  <c r="AX102" i="35"/>
  <c r="AX103" i="35"/>
  <c r="AQ110" i="35"/>
  <c r="AR110" i="35"/>
  <c r="AS110" i="35"/>
  <c r="AT110" i="35"/>
  <c r="AU110" i="35"/>
  <c r="AV110" i="35"/>
  <c r="AW110" i="35"/>
  <c r="AX110" i="35"/>
  <c r="AQ111" i="35"/>
  <c r="AR111" i="35"/>
  <c r="AS111" i="35"/>
  <c r="AT111" i="35"/>
  <c r="AU111" i="35"/>
  <c r="AV111" i="35"/>
  <c r="AW111" i="35"/>
  <c r="AX111" i="35"/>
  <c r="AQ112" i="35"/>
  <c r="AQ113" i="35"/>
  <c r="AR112" i="35"/>
  <c r="AR113" i="35"/>
  <c r="AS112" i="35"/>
  <c r="AS113" i="35"/>
  <c r="AT112" i="35"/>
  <c r="AT113" i="35"/>
  <c r="AU112" i="35"/>
  <c r="AU113" i="35"/>
  <c r="AV112" i="35"/>
  <c r="AV113" i="35"/>
  <c r="AW112" i="35"/>
  <c r="AW113" i="35"/>
  <c r="AX112" i="35"/>
  <c r="AX113" i="35"/>
  <c r="AQ121" i="35"/>
  <c r="AR121" i="35"/>
  <c r="AS121" i="35"/>
  <c r="AT121" i="35"/>
  <c r="AU121" i="35"/>
  <c r="AV121" i="35"/>
  <c r="AW121" i="35"/>
  <c r="AX121" i="35"/>
  <c r="AQ122" i="35"/>
  <c r="AQ123" i="35"/>
  <c r="AR122" i="35"/>
  <c r="AR123" i="35"/>
  <c r="AS122" i="35"/>
  <c r="AS123" i="35"/>
  <c r="AT122" i="35"/>
  <c r="AT123" i="35"/>
  <c r="AU122" i="35"/>
  <c r="AU123" i="35"/>
  <c r="AV122" i="35"/>
  <c r="AV123" i="35"/>
  <c r="AW122" i="35"/>
  <c r="AW123" i="35"/>
  <c r="AX122" i="35"/>
  <c r="AX123" i="35"/>
  <c r="AQ130" i="35"/>
  <c r="AR130" i="35"/>
  <c r="AS130" i="35"/>
  <c r="AT130" i="35"/>
  <c r="AU130" i="35"/>
  <c r="AV130" i="35"/>
  <c r="AW130" i="35"/>
  <c r="AX130" i="35"/>
  <c r="AQ131" i="35"/>
  <c r="AR131" i="35"/>
  <c r="AS131" i="35"/>
  <c r="AT131" i="35"/>
  <c r="AU131" i="35"/>
  <c r="AV131" i="35"/>
  <c r="AW131" i="35"/>
  <c r="AX131" i="35"/>
  <c r="AQ132" i="35"/>
  <c r="AQ133" i="35"/>
  <c r="AR132" i="35"/>
  <c r="AR133" i="35"/>
  <c r="AS132" i="35"/>
  <c r="AS133" i="35"/>
  <c r="AT132" i="35"/>
  <c r="AT133" i="35"/>
  <c r="AU132" i="35"/>
  <c r="AU133" i="35"/>
  <c r="AV132" i="35"/>
  <c r="AV133" i="35"/>
  <c r="AW132" i="35"/>
  <c r="AW133" i="35"/>
  <c r="AX132" i="35"/>
  <c r="AX133" i="35"/>
  <c r="AQ140" i="35"/>
  <c r="AR140" i="35"/>
  <c r="AS140" i="35"/>
  <c r="AT140" i="35"/>
  <c r="AU140" i="35"/>
  <c r="AV140" i="35"/>
  <c r="AW140" i="35"/>
  <c r="AX140" i="35"/>
  <c r="AQ141" i="35"/>
  <c r="AR141" i="35"/>
  <c r="AS141" i="35"/>
  <c r="AT141" i="35"/>
  <c r="AU141" i="35"/>
  <c r="AV141" i="35"/>
  <c r="AW141" i="35"/>
  <c r="AX141" i="35"/>
  <c r="AQ142" i="35"/>
  <c r="AQ143" i="35"/>
  <c r="AR142" i="35"/>
  <c r="AR143" i="35"/>
  <c r="AS142" i="35"/>
  <c r="AS143" i="35"/>
  <c r="AT142" i="35"/>
  <c r="AT143" i="35"/>
  <c r="AU142" i="35"/>
  <c r="AU143" i="35"/>
  <c r="AV142" i="35"/>
  <c r="AV143" i="35"/>
  <c r="AW142" i="35"/>
  <c r="AW143" i="35"/>
  <c r="AX142" i="35"/>
  <c r="AX143" i="35"/>
  <c r="AQ150" i="35"/>
  <c r="AR150" i="35"/>
  <c r="AS150" i="35"/>
  <c r="AT150" i="35"/>
  <c r="AU150" i="35"/>
  <c r="AV150" i="35"/>
  <c r="AW150" i="35"/>
  <c r="AX150" i="35"/>
  <c r="AQ151" i="35"/>
  <c r="AR151" i="35"/>
  <c r="AS151" i="35"/>
  <c r="AT151" i="35"/>
  <c r="AU151" i="35"/>
  <c r="AV151" i="35"/>
  <c r="AW151" i="35"/>
  <c r="AX151" i="35"/>
  <c r="AQ152" i="35"/>
  <c r="AQ153" i="35"/>
  <c r="AR152" i="35"/>
  <c r="AR153" i="35"/>
  <c r="AS152" i="35"/>
  <c r="AS153" i="35"/>
  <c r="AT152" i="35"/>
  <c r="AT153" i="35"/>
  <c r="AU152" i="35"/>
  <c r="AU153" i="35"/>
  <c r="AV152" i="35"/>
  <c r="AV153" i="35"/>
  <c r="AW152" i="35"/>
  <c r="AW153" i="35"/>
  <c r="AX152" i="35"/>
  <c r="AX153" i="35"/>
  <c r="Z1" i="2"/>
  <c r="AQ42" i="36"/>
  <c r="AQ43" i="36"/>
  <c r="AR166" i="36"/>
  <c r="AR173" i="36"/>
  <c r="AP30" i="36"/>
  <c r="AP31" i="36"/>
  <c r="AS94" i="36"/>
  <c r="AS101" i="36"/>
  <c r="AQ241" i="36"/>
  <c r="AP46" i="36"/>
  <c r="AP53" i="36"/>
  <c r="AP246" i="36"/>
  <c r="AP247" i="36"/>
  <c r="AQ94" i="36"/>
  <c r="AQ101" i="36"/>
  <c r="AP144" i="36"/>
  <c r="AQ106" i="36"/>
  <c r="AQ113" i="36"/>
  <c r="AS84" i="36"/>
  <c r="AO42" i="34"/>
  <c r="AO43" i="34"/>
  <c r="AR25" i="34"/>
  <c r="AR48" i="34"/>
  <c r="AS229" i="36"/>
  <c r="A82" i="35"/>
  <c r="A42" i="35"/>
  <c r="A152" i="35"/>
  <c r="A22" i="35"/>
  <c r="A111" i="35"/>
  <c r="A62" i="35"/>
  <c r="A60" i="35"/>
  <c r="A63" i="35"/>
  <c r="A102" i="35"/>
  <c r="A52" i="35"/>
  <c r="A12" i="35"/>
  <c r="A72" i="35"/>
  <c r="A92" i="35"/>
  <c r="A91" i="35"/>
  <c r="A101" i="35"/>
  <c r="AP82" i="36"/>
  <c r="AP89" i="36"/>
  <c r="AP84" i="36"/>
  <c r="AR205" i="36"/>
  <c r="AR210" i="36"/>
  <c r="AR211" i="36"/>
  <c r="AS150" i="36"/>
  <c r="AS151" i="36"/>
  <c r="AS253" i="36"/>
  <c r="AQ204" i="36"/>
  <c r="AQ210" i="36"/>
  <c r="AQ211" i="36"/>
  <c r="AQ202" i="36"/>
  <c r="AQ209" i="36"/>
  <c r="AR169" i="36"/>
  <c r="AQ61" i="36"/>
  <c r="AP102" i="36"/>
  <c r="AP103" i="36"/>
  <c r="AQ174" i="36"/>
  <c r="AQ175" i="36"/>
  <c r="AQ169" i="36"/>
  <c r="AQ168" i="36"/>
  <c r="AQ166" i="36"/>
  <c r="AQ173" i="36"/>
  <c r="AQ78" i="36"/>
  <c r="AQ79" i="36"/>
  <c r="AS46" i="36"/>
  <c r="AS53" i="36"/>
  <c r="AS49" i="36"/>
  <c r="AR145" i="36"/>
  <c r="AP58" i="36"/>
  <c r="AP65" i="36"/>
  <c r="AQ193" i="36"/>
  <c r="AS109" i="36"/>
  <c r="AS30" i="34"/>
  <c r="AS31" i="34"/>
  <c r="AS24" i="34"/>
  <c r="AO54" i="34"/>
  <c r="AO55" i="34"/>
  <c r="AO48" i="34"/>
  <c r="AO49" i="34"/>
  <c r="AO46" i="34"/>
  <c r="AO53" i="34"/>
  <c r="AQ37" i="34"/>
  <c r="AP24" i="34"/>
  <c r="AQ34" i="34"/>
  <c r="AQ41" i="34"/>
  <c r="AR22" i="34"/>
  <c r="AR29" i="34"/>
  <c r="AR24" i="34"/>
  <c r="AR30" i="34"/>
  <c r="AR31" i="34"/>
  <c r="AQ36" i="34"/>
  <c r="AO24" i="34"/>
  <c r="AO25" i="34"/>
  <c r="A15" i="34"/>
  <c r="AP205" i="36"/>
  <c r="AR96" i="36"/>
  <c r="AR102" i="36"/>
  <c r="AR103" i="36"/>
  <c r="AS202" i="36"/>
  <c r="AS209" i="36"/>
  <c r="AQ46" i="36"/>
  <c r="AQ53" i="36"/>
  <c r="AQ48" i="36"/>
  <c r="AQ54" i="36"/>
  <c r="AQ55" i="36"/>
  <c r="AQ97" i="36"/>
  <c r="AR46" i="36"/>
  <c r="AR53" i="36"/>
  <c r="AR168" i="36"/>
  <c r="AP54" i="36"/>
  <c r="AP55" i="36"/>
  <c r="AS48" i="36"/>
  <c r="AS54" i="36"/>
  <c r="AS55" i="36"/>
  <c r="AQ82" i="36"/>
  <c r="AQ89" i="36"/>
  <c r="AQ90" i="36"/>
  <c r="AQ91" i="36"/>
  <c r="AQ66" i="36"/>
  <c r="AQ67" i="36"/>
  <c r="AQ58" i="36"/>
  <c r="AQ65" i="36"/>
  <c r="AQ60" i="36"/>
  <c r="AP241" i="36"/>
  <c r="AP60" i="36"/>
  <c r="AP66" i="36"/>
  <c r="AP67" i="36"/>
  <c r="AP61" i="36"/>
  <c r="AS190" i="36"/>
  <c r="AS197" i="36"/>
  <c r="AR61" i="36"/>
  <c r="AR60" i="36"/>
  <c r="AR66" i="36"/>
  <c r="AR67" i="36"/>
  <c r="AR132" i="36"/>
  <c r="AR133" i="36"/>
  <c r="AS66" i="36"/>
  <c r="AS67" i="36"/>
  <c r="AQ217" i="36"/>
  <c r="AQ214" i="36"/>
  <c r="AQ221" i="36"/>
  <c r="AQ222" i="36"/>
  <c r="AQ223" i="36"/>
  <c r="AR114" i="36"/>
  <c r="AR115" i="36"/>
  <c r="AS198" i="36"/>
  <c r="AS199" i="36"/>
  <c r="AQ154" i="36"/>
  <c r="AQ161" i="36"/>
  <c r="AR229" i="36"/>
  <c r="AP106" i="36"/>
  <c r="AP113" i="36"/>
  <c r="AP108" i="36"/>
  <c r="AP154" i="36"/>
  <c r="AP161" i="36"/>
  <c r="AR58" i="36"/>
  <c r="AR65" i="36"/>
  <c r="AS82" i="36"/>
  <c r="AS89" i="36"/>
  <c r="AP229" i="36"/>
  <c r="AR202" i="36"/>
  <c r="AR209" i="36"/>
  <c r="AS78" i="36"/>
  <c r="AS79" i="36"/>
  <c r="AS70" i="36"/>
  <c r="AS77" i="36"/>
  <c r="AS24" i="36"/>
  <c r="AR121" i="36"/>
  <c r="AR126" i="36"/>
  <c r="AR127" i="36"/>
  <c r="AR36" i="36"/>
  <c r="AR42" i="36"/>
  <c r="AR43" i="36"/>
  <c r="AR37" i="36"/>
  <c r="AR34" i="36"/>
  <c r="AR41" i="36"/>
  <c r="AR30" i="36"/>
  <c r="AR31" i="36"/>
  <c r="AS72" i="36"/>
  <c r="AQ24" i="36"/>
  <c r="AS73" i="36"/>
  <c r="AQ22" i="36"/>
  <c r="AQ29" i="36"/>
  <c r="AS222" i="36"/>
  <c r="AS223" i="36"/>
  <c r="AS214" i="36"/>
  <c r="AS221" i="36"/>
  <c r="A15" i="36"/>
  <c r="AQ30" i="36"/>
  <c r="AQ31" i="36"/>
  <c r="AQ25" i="36"/>
  <c r="AP25" i="36"/>
  <c r="AP24" i="36"/>
  <c r="AP22" i="36"/>
  <c r="AP29" i="36"/>
  <c r="AQ138" i="36"/>
  <c r="AQ139" i="36"/>
  <c r="AQ130" i="36"/>
  <c r="AQ137" i="36"/>
  <c r="AQ132" i="36"/>
  <c r="AS241" i="36"/>
  <c r="AS240" i="36"/>
  <c r="AR181" i="36"/>
  <c r="AR186" i="36"/>
  <c r="AR187" i="36"/>
  <c r="AS192" i="36"/>
  <c r="AR240" i="36"/>
  <c r="AR241" i="36"/>
  <c r="AP186" i="36"/>
  <c r="AP187" i="36"/>
  <c r="AP178" i="36"/>
  <c r="AP185" i="36"/>
  <c r="AQ157" i="36"/>
  <c r="AQ156" i="36"/>
  <c r="AQ162" i="36"/>
  <c r="AQ163" i="36"/>
  <c r="AS226" i="36"/>
  <c r="AS233" i="36"/>
  <c r="AS234" i="36"/>
  <c r="AS235" i="36"/>
  <c r="AS228" i="36"/>
  <c r="AP109" i="36"/>
  <c r="AQ178" i="36"/>
  <c r="AQ185" i="36"/>
  <c r="AS90" i="36"/>
  <c r="AS91" i="36"/>
  <c r="AS85" i="36"/>
  <c r="AQ120" i="36"/>
  <c r="AQ118" i="36"/>
  <c r="AQ125" i="36"/>
  <c r="AS96" i="36"/>
  <c r="AS97" i="36"/>
  <c r="AS102" i="36"/>
  <c r="AS103" i="36"/>
  <c r="AR97" i="36"/>
  <c r="AR94" i="36"/>
  <c r="AR101" i="36"/>
  <c r="AS132" i="36"/>
  <c r="AS133" i="36"/>
  <c r="AS130" i="36"/>
  <c r="AS137" i="36"/>
  <c r="AR138" i="36"/>
  <c r="AR139" i="36"/>
  <c r="AR130" i="36"/>
  <c r="AR137" i="36"/>
  <c r="AR70" i="36"/>
  <c r="AR77" i="36"/>
  <c r="AR72" i="36"/>
  <c r="AR73" i="36"/>
  <c r="AQ22" i="34"/>
  <c r="AQ29" i="34"/>
  <c r="AQ24" i="34"/>
  <c r="AQ30" i="34"/>
  <c r="AQ31" i="34"/>
  <c r="AQ25" i="34"/>
  <c r="AS210" i="36"/>
  <c r="AS211" i="36"/>
  <c r="AS205" i="36"/>
  <c r="AR36" i="34"/>
  <c r="AR37" i="34"/>
  <c r="AR42" i="34"/>
  <c r="AR43" i="34"/>
  <c r="AR34" i="34"/>
  <c r="AR41" i="34"/>
  <c r="AP145" i="36"/>
  <c r="AP150" i="36"/>
  <c r="AP151" i="36"/>
  <c r="AS258" i="36"/>
  <c r="AS259" i="36"/>
  <c r="AS252" i="36"/>
  <c r="AP97" i="36"/>
  <c r="AR154" i="36"/>
  <c r="AR161" i="36"/>
  <c r="AR157" i="36"/>
  <c r="AR162" i="36"/>
  <c r="AR163" i="36"/>
  <c r="AP132" i="36"/>
  <c r="AP78" i="36"/>
  <c r="AP79" i="36"/>
  <c r="AP156" i="36"/>
  <c r="AR25" i="36"/>
  <c r="AR22" i="36"/>
  <c r="AR29" i="36"/>
  <c r="AR24" i="36"/>
  <c r="AQ228" i="36"/>
  <c r="AQ229" i="36"/>
  <c r="AQ226" i="36"/>
  <c r="AQ233" i="36"/>
  <c r="AP48" i="36"/>
  <c r="AR82" i="36"/>
  <c r="AR89" i="36"/>
  <c r="AR85" i="36"/>
  <c r="AP166" i="36"/>
  <c r="AP173" i="36"/>
  <c r="AP168" i="36"/>
  <c r="AP174" i="36"/>
  <c r="AP175" i="36"/>
  <c r="AP169" i="36"/>
  <c r="AP34" i="36"/>
  <c r="AP41" i="36"/>
  <c r="AP48" i="34"/>
  <c r="AP54" i="34"/>
  <c r="AP55" i="34"/>
  <c r="AO37" i="34"/>
  <c r="AQ84" i="36"/>
  <c r="AQ85" i="36"/>
  <c r="AP36" i="34"/>
  <c r="AP34" i="34"/>
  <c r="AP41" i="34"/>
  <c r="AP49" i="36"/>
  <c r="AQ121" i="36"/>
  <c r="AQ126" i="36"/>
  <c r="AQ127" i="36"/>
  <c r="AP25" i="34"/>
  <c r="AQ144" i="36"/>
  <c r="AQ142" i="36"/>
  <c r="AQ149" i="36"/>
  <c r="Y2" i="2"/>
  <c r="AA1" i="2"/>
  <c r="Z2" i="2"/>
  <c r="AB1" i="2"/>
  <c r="AA2" i="2"/>
  <c r="AB2" i="2"/>
  <c r="AC1" i="2"/>
  <c r="AD1" i="2"/>
  <c r="AC2" i="2"/>
  <c r="AD2" i="2"/>
  <c r="AE1" i="2"/>
  <c r="AE2" i="2"/>
  <c r="AF1" i="2"/>
  <c r="AF2" i="2"/>
  <c r="A10" i="35"/>
  <c r="P2" i="35"/>
  <c r="A7" i="35"/>
  <c r="A70" i="35"/>
  <c r="J2" i="35"/>
  <c r="A90" i="35"/>
  <c r="A93" i="35"/>
  <c r="Y2" i="35"/>
  <c r="M178" i="2"/>
  <c r="AJ17" i="2"/>
  <c r="AJ18" i="2"/>
  <c r="AQ3" i="35"/>
  <c r="AR3" i="35"/>
  <c r="AS3" i="35"/>
  <c r="AT3" i="35"/>
  <c r="AU3" i="35"/>
  <c r="AV3" i="35"/>
  <c r="AW3" i="35"/>
  <c r="AX3" i="35"/>
  <c r="M34" i="41"/>
  <c r="M41" i="41"/>
  <c r="M42" i="41"/>
  <c r="M43" i="41"/>
  <c r="AD73" i="41"/>
  <c r="AE73" i="41"/>
  <c r="AF73" i="41"/>
  <c r="AG73" i="41"/>
  <c r="AH73" i="41"/>
  <c r="AI73" i="41"/>
  <c r="AJ73" i="41"/>
  <c r="AC58" i="41"/>
  <c r="AD58" i="41"/>
  <c r="AD65" i="41"/>
  <c r="AD66" i="41"/>
  <c r="AD67" i="41"/>
  <c r="AM60" i="41"/>
  <c r="AM58" i="41"/>
  <c r="AM65" i="41"/>
  <c r="AC65" i="41"/>
  <c r="AC66" i="41"/>
  <c r="AC67" i="41"/>
  <c r="AG84" i="41"/>
  <c r="AH84" i="41"/>
  <c r="AH90" i="41"/>
  <c r="AH91" i="41"/>
  <c r="AC85" i="41"/>
  <c r="AD85" i="41"/>
  <c r="AE85" i="41"/>
  <c r="AF85" i="41"/>
  <c r="AG85" i="41"/>
  <c r="AH85" i="41"/>
  <c r="AI85" i="41"/>
  <c r="Z70" i="41"/>
  <c r="Z77" i="41"/>
  <c r="Z73" i="41"/>
  <c r="AN61" i="41"/>
  <c r="AM61" i="41"/>
  <c r="AL54" i="41"/>
  <c r="AL55" i="41"/>
  <c r="AA46" i="41"/>
  <c r="AB46" i="41"/>
  <c r="AB53" i="41"/>
  <c r="Z48" i="41"/>
  <c r="AA48" i="41"/>
  <c r="AB48" i="41"/>
  <c r="AB54" i="41"/>
  <c r="AB55" i="41"/>
  <c r="AA22" i="41"/>
  <c r="AA29" i="41"/>
  <c r="Z24" i="41"/>
  <c r="AA24" i="41"/>
  <c r="AC37" i="41"/>
  <c r="AD37" i="41"/>
  <c r="AE37" i="41"/>
  <c r="AF37" i="41"/>
  <c r="AH37" i="41"/>
  <c r="AH42" i="41"/>
  <c r="AH43" i="41"/>
  <c r="V37" i="41"/>
  <c r="W37" i="41"/>
  <c r="X37" i="41"/>
  <c r="X42" i="41"/>
  <c r="X43" i="41"/>
  <c r="AL22" i="41"/>
  <c r="AL29" i="41"/>
  <c r="AL24" i="41"/>
  <c r="AL25" i="41"/>
  <c r="AB22" i="41"/>
  <c r="AB29" i="41"/>
  <c r="AB24" i="41"/>
  <c r="AL36" i="41"/>
  <c r="AK37" i="41"/>
  <c r="Q37" i="41"/>
  <c r="AL37" i="41"/>
  <c r="AI37" i="41"/>
  <c r="AJ37" i="41"/>
  <c r="AG78" i="41"/>
  <c r="AG79" i="41"/>
  <c r="V70" i="41"/>
  <c r="W70" i="41"/>
  <c r="W77" i="41"/>
  <c r="V72" i="41"/>
  <c r="W72" i="41"/>
  <c r="W78" i="41"/>
  <c r="W79" i="41"/>
  <c r="M78" i="41"/>
  <c r="M79" i="41"/>
  <c r="W54" i="41"/>
  <c r="W55" i="41"/>
  <c r="L48" i="41"/>
  <c r="M48" i="41"/>
  <c r="M54" i="41"/>
  <c r="M55" i="41"/>
  <c r="R37" i="41"/>
  <c r="Y37" i="41"/>
  <c r="AG24" i="41"/>
  <c r="AH24" i="41"/>
  <c r="AI24" i="41"/>
  <c r="AJ24" i="41"/>
  <c r="AF25" i="41"/>
  <c r="AG25" i="41"/>
  <c r="AH25" i="41"/>
  <c r="AI25" i="41"/>
  <c r="AJ25" i="41"/>
  <c r="AH89" i="40"/>
  <c r="V37" i="40"/>
  <c r="W37" i="40"/>
  <c r="X37" i="40"/>
  <c r="Y37" i="40"/>
  <c r="AF25" i="40"/>
  <c r="AG25" i="40"/>
  <c r="AH25" i="40"/>
  <c r="AI25" i="40"/>
  <c r="AF24" i="40"/>
  <c r="AG24" i="40"/>
  <c r="AH24" i="40"/>
  <c r="AI24" i="40"/>
  <c r="AF22" i="40"/>
  <c r="AH22" i="40"/>
  <c r="AI22" i="40"/>
  <c r="AI29" i="40"/>
  <c r="V25" i="40"/>
  <c r="W25" i="40"/>
  <c r="X25" i="40"/>
  <c r="Y25" i="40"/>
  <c r="W24" i="40"/>
  <c r="X24" i="40"/>
  <c r="Y24" i="40"/>
  <c r="W22" i="40"/>
  <c r="X22" i="40"/>
  <c r="Y22" i="40"/>
  <c r="Y29" i="40"/>
  <c r="Y30" i="40"/>
  <c r="Y31" i="40"/>
  <c r="O29" i="40"/>
  <c r="R70" i="40"/>
  <c r="R77" i="40"/>
  <c r="AL72" i="40"/>
  <c r="AL70" i="40"/>
  <c r="AL77" i="40"/>
  <c r="AL73" i="40"/>
  <c r="Z48" i="40"/>
  <c r="AA48" i="40"/>
  <c r="AI49" i="40"/>
  <c r="AJ49" i="40"/>
  <c r="AH46" i="40"/>
  <c r="AI46" i="40"/>
  <c r="AJ53" i="40"/>
  <c r="Z53" i="40"/>
  <c r="Z54" i="40"/>
  <c r="Z55" i="40"/>
  <c r="AK106" i="40"/>
  <c r="AK113" i="40"/>
  <c r="AF94" i="40"/>
  <c r="AG94" i="40"/>
  <c r="AG101" i="40"/>
  <c r="AC96" i="40"/>
  <c r="AD96" i="40"/>
  <c r="AE96" i="40"/>
  <c r="AF96" i="40"/>
  <c r="AG96" i="40"/>
  <c r="AG102" i="40"/>
  <c r="AG103" i="40"/>
  <c r="AK85" i="40"/>
  <c r="R61" i="40"/>
  <c r="AK49" i="40"/>
  <c r="AC41" i="40"/>
  <c r="AC36" i="40"/>
  <c r="AC42" i="40"/>
  <c r="AC43" i="40"/>
  <c r="AC37" i="40"/>
  <c r="Z109" i="40"/>
  <c r="AA109" i="40"/>
  <c r="AB109" i="40"/>
  <c r="V101" i="40"/>
  <c r="V102" i="40"/>
  <c r="V103" i="40"/>
  <c r="Z97" i="40"/>
  <c r="AA97" i="40"/>
  <c r="AB97" i="40"/>
  <c r="AK58" i="40"/>
  <c r="AK65" i="40"/>
  <c r="AK60" i="40"/>
  <c r="AH53" i="40"/>
  <c r="Z37" i="40"/>
  <c r="AA37" i="40"/>
  <c r="AL97" i="40"/>
  <c r="R78" i="40"/>
  <c r="R79" i="40"/>
  <c r="AK48" i="40"/>
  <c r="AI30" i="40"/>
  <c r="AI31" i="40"/>
  <c r="Z24" i="40"/>
  <c r="AA24" i="40"/>
  <c r="AA22" i="40"/>
  <c r="AA29" i="40"/>
  <c r="AA30" i="40"/>
  <c r="AA31" i="40"/>
  <c r="AC94" i="40"/>
  <c r="AD101" i="40"/>
  <c r="AD102" i="40"/>
  <c r="AD103" i="40"/>
  <c r="R90" i="40"/>
  <c r="R91" i="40"/>
  <c r="AC85" i="40"/>
  <c r="AD85" i="40"/>
  <c r="AE85" i="40"/>
  <c r="AF85" i="40"/>
  <c r="AH85" i="40"/>
  <c r="AI48" i="40"/>
  <c r="AJ48" i="40"/>
  <c r="O30" i="40"/>
  <c r="O31" i="40"/>
  <c r="Z25" i="40"/>
  <c r="Z29" i="40"/>
  <c r="Z30" i="40"/>
  <c r="Z31" i="40"/>
  <c r="AL30" i="40"/>
  <c r="AL31" i="40"/>
  <c r="AB22" i="40"/>
  <c r="AB29" i="40"/>
  <c r="AB24" i="40"/>
  <c r="AB30" i="40"/>
  <c r="AB31" i="40"/>
  <c r="AH29" i="40"/>
  <c r="AP70" i="40"/>
  <c r="AP77" i="40"/>
  <c r="AS37" i="40"/>
  <c r="AS36" i="40"/>
  <c r="AS34" i="40"/>
  <c r="AS41" i="40"/>
  <c r="Y252" i="36"/>
  <c r="Y258" i="36"/>
  <c r="Y259" i="36"/>
  <c r="Y241" i="36"/>
  <c r="AO234" i="36"/>
  <c r="AO235" i="36"/>
  <c r="AM229" i="36"/>
  <c r="AA216" i="36"/>
  <c r="AA222" i="36"/>
  <c r="AA223" i="36"/>
  <c r="AK204" i="36"/>
  <c r="AK205" i="36"/>
  <c r="AF180" i="36"/>
  <c r="AG180" i="36"/>
  <c r="AH180" i="36"/>
  <c r="AF181" i="36"/>
  <c r="AG181" i="36"/>
  <c r="AH181" i="36"/>
  <c r="AH186" i="36"/>
  <c r="AH187" i="36"/>
  <c r="N178" i="36"/>
  <c r="N185" i="36"/>
  <c r="N186" i="36"/>
  <c r="N187" i="36"/>
  <c r="AN154" i="36"/>
  <c r="AN161" i="36"/>
  <c r="AK145" i="36"/>
  <c r="AK132" i="36"/>
  <c r="AK229" i="36"/>
  <c r="AE193" i="36"/>
  <c r="AF193" i="36"/>
  <c r="AG193" i="36"/>
  <c r="AH193" i="36"/>
  <c r="AE190" i="36"/>
  <c r="AF190" i="36"/>
  <c r="AG190" i="36"/>
  <c r="AH190" i="36"/>
  <c r="AH197" i="36"/>
  <c r="AH192" i="36"/>
  <c r="AF185" i="36"/>
  <c r="AG185" i="36"/>
  <c r="AG186" i="36"/>
  <c r="AG187" i="36"/>
  <c r="AL133" i="36"/>
  <c r="AL138" i="36"/>
  <c r="AL139" i="36"/>
  <c r="AK109" i="36"/>
  <c r="AK108" i="36"/>
  <c r="AA108" i="36"/>
  <c r="AA113" i="36"/>
  <c r="AA114" i="36"/>
  <c r="AA115" i="36"/>
  <c r="AF186" i="36"/>
  <c r="AF187" i="36"/>
  <c r="U154" i="36"/>
  <c r="V154" i="36"/>
  <c r="W154" i="36"/>
  <c r="X154" i="36"/>
  <c r="X161" i="36"/>
  <c r="AA133" i="36"/>
  <c r="T157" i="36"/>
  <c r="U157" i="36"/>
  <c r="V157" i="36"/>
  <c r="W157" i="36"/>
  <c r="V161" i="36"/>
  <c r="AB142" i="36"/>
  <c r="AC142" i="36"/>
  <c r="AC149" i="36"/>
  <c r="AB144" i="36"/>
  <c r="AC144" i="36"/>
  <c r="AB121" i="36"/>
  <c r="AJ241" i="36"/>
  <c r="AI138" i="36"/>
  <c r="AI139" i="36"/>
  <c r="AI133" i="36"/>
  <c r="AA120" i="36"/>
  <c r="AA126" i="36"/>
  <c r="AA127" i="36"/>
  <c r="AA149" i="36"/>
  <c r="AG130" i="36"/>
  <c r="AH137" i="36"/>
  <c r="AG132" i="36"/>
  <c r="AH132" i="36"/>
  <c r="AH138" i="36"/>
  <c r="AH139" i="36"/>
  <c r="Y121" i="36"/>
  <c r="Z121" i="36"/>
  <c r="AO202" i="36"/>
  <c r="AO209" i="36"/>
  <c r="AB241" i="36"/>
  <c r="K234" i="36"/>
  <c r="K235" i="36"/>
  <c r="AG221" i="36"/>
  <c r="AG222" i="36"/>
  <c r="AG223" i="36"/>
  <c r="AA217" i="36"/>
  <c r="K210" i="36"/>
  <c r="K211" i="36"/>
  <c r="AA205" i="36"/>
  <c r="T204" i="36"/>
  <c r="T210" i="36"/>
  <c r="T211" i="36"/>
  <c r="T197" i="36"/>
  <c r="X186" i="36"/>
  <c r="AK166" i="36"/>
  <c r="AK173" i="36"/>
  <c r="M162" i="36"/>
  <c r="M163" i="36"/>
  <c r="AK133" i="36"/>
  <c r="AI130" i="36"/>
  <c r="AI137" i="36"/>
  <c r="Z253" i="36"/>
  <c r="AM252" i="36"/>
  <c r="AA241" i="36"/>
  <c r="AN240" i="36"/>
  <c r="U233" i="36"/>
  <c r="U234" i="36"/>
  <c r="U235" i="36"/>
  <c r="Y217" i="36"/>
  <c r="Z217" i="36"/>
  <c r="AM202" i="36"/>
  <c r="AM209" i="36"/>
  <c r="W190" i="36"/>
  <c r="X197" i="36"/>
  <c r="W192" i="36"/>
  <c r="X192" i="36"/>
  <c r="X198" i="36"/>
  <c r="X199" i="36"/>
  <c r="W185" i="36"/>
  <c r="W186" i="36"/>
  <c r="W187" i="36"/>
  <c r="U169" i="36"/>
  <c r="V169" i="36"/>
  <c r="W169" i="36"/>
  <c r="W174" i="36"/>
  <c r="W175" i="36"/>
  <c r="M173" i="36"/>
  <c r="M174" i="36"/>
  <c r="M175" i="36"/>
  <c r="AL156" i="36"/>
  <c r="AL157" i="36"/>
  <c r="AB156" i="36"/>
  <c r="AB161" i="36"/>
  <c r="AA144" i="36"/>
  <c r="AJ133" i="36"/>
  <c r="AD252" i="36"/>
  <c r="AD258" i="36"/>
  <c r="AD259" i="36"/>
  <c r="AM240" i="36"/>
  <c r="T233" i="36"/>
  <c r="T228" i="36"/>
  <c r="T234" i="36"/>
  <c r="T235" i="36"/>
  <c r="V186" i="36"/>
  <c r="V187" i="36"/>
  <c r="AO154" i="36"/>
  <c r="AO161" i="36"/>
  <c r="AA150" i="36"/>
  <c r="AA151" i="36"/>
  <c r="AL132" i="36"/>
  <c r="AM126" i="36"/>
  <c r="AM127" i="36"/>
  <c r="V108" i="36"/>
  <c r="W108" i="36"/>
  <c r="AK78" i="36"/>
  <c r="AK79" i="36"/>
  <c r="AB84" i="36"/>
  <c r="AB82" i="36"/>
  <c r="AB89" i="36"/>
  <c r="AB85" i="36"/>
  <c r="AK72" i="36"/>
  <c r="AO78" i="36"/>
  <c r="AO79" i="36"/>
  <c r="AO72" i="36"/>
  <c r="K77" i="36"/>
  <c r="K78" i="36"/>
  <c r="K79" i="36"/>
  <c r="AA53" i="36"/>
  <c r="AA48" i="36"/>
  <c r="AA54" i="36"/>
  <c r="AA55" i="36"/>
  <c r="AE41" i="36"/>
  <c r="AE42" i="36"/>
  <c r="AE43" i="36"/>
  <c r="U37" i="36"/>
  <c r="AL89" i="36"/>
  <c r="Y82" i="36"/>
  <c r="Y89" i="36"/>
  <c r="W58" i="36"/>
  <c r="W65" i="36"/>
  <c r="W66" i="36"/>
  <c r="W67" i="36"/>
  <c r="M66" i="36"/>
  <c r="M67" i="36"/>
  <c r="AN36" i="36"/>
  <c r="V82" i="36"/>
  <c r="W82" i="36"/>
  <c r="X89" i="36"/>
  <c r="X90" i="36"/>
  <c r="X91" i="36"/>
  <c r="AC121" i="36"/>
  <c r="AD121" i="36"/>
  <c r="AJ84" i="36"/>
  <c r="AJ73" i="36"/>
  <c r="AJ70" i="36"/>
  <c r="AJ77" i="36"/>
  <c r="Y73" i="36"/>
  <c r="Z73" i="36"/>
  <c r="Z70" i="36"/>
  <c r="Z77" i="36"/>
  <c r="Z72" i="36"/>
  <c r="Z78" i="36"/>
  <c r="Z79" i="36"/>
  <c r="AO58" i="36"/>
  <c r="AO65" i="36"/>
  <c r="AB60" i="36"/>
  <c r="AC60" i="36"/>
  <c r="AD126" i="36"/>
  <c r="AD127" i="36"/>
  <c r="AI78" i="36"/>
  <c r="AI79" i="36"/>
  <c r="AI70" i="36"/>
  <c r="AI77" i="36"/>
  <c r="AK46" i="36"/>
  <c r="AK53" i="36"/>
  <c r="AO48" i="36"/>
  <c r="AO54" i="36"/>
  <c r="AO55" i="36"/>
  <c r="AB34" i="36"/>
  <c r="AC34" i="36"/>
  <c r="AD34" i="36"/>
  <c r="AD41" i="36"/>
  <c r="AB36" i="36"/>
  <c r="AC36" i="36"/>
  <c r="AD36" i="36"/>
  <c r="AD42" i="36"/>
  <c r="AD43" i="36"/>
  <c r="W106" i="36"/>
  <c r="W113" i="36"/>
  <c r="W114" i="36"/>
  <c r="W115" i="36"/>
  <c r="K102" i="36"/>
  <c r="K103" i="36"/>
  <c r="AI73" i="36"/>
  <c r="W72" i="36"/>
  <c r="X72" i="36"/>
  <c r="X78" i="36"/>
  <c r="X79" i="36"/>
  <c r="AN22" i="36"/>
  <c r="AN29" i="36"/>
  <c r="AL29" i="36"/>
  <c r="AL25" i="36"/>
  <c r="AI34" i="36"/>
  <c r="AI41" i="36"/>
  <c r="AA253" i="36"/>
  <c r="AN252" i="36"/>
  <c r="AN241" i="36"/>
  <c r="AC241" i="36"/>
  <c r="AD241" i="36"/>
  <c r="Y229" i="36"/>
  <c r="Z229" i="36"/>
  <c r="W193" i="36"/>
  <c r="W197" i="36"/>
  <c r="M198" i="36"/>
  <c r="M199" i="36"/>
  <c r="AN222" i="36"/>
  <c r="AN223" i="36"/>
  <c r="AN214" i="36"/>
  <c r="AN221" i="36"/>
  <c r="AN216" i="36"/>
  <c r="AB216" i="36"/>
  <c r="AC216" i="36"/>
  <c r="AD216" i="36"/>
  <c r="AD222" i="36"/>
  <c r="AD223" i="36"/>
  <c r="AJ202" i="36"/>
  <c r="AJ209" i="36"/>
  <c r="Z202" i="36"/>
  <c r="Z209" i="36"/>
  <c r="Z204" i="36"/>
  <c r="Z210" i="36"/>
  <c r="Z211" i="36"/>
  <c r="Y205" i="36"/>
  <c r="Z205" i="36"/>
  <c r="AJ156" i="36"/>
  <c r="AJ154" i="36"/>
  <c r="AJ161" i="36"/>
  <c r="AJ162" i="36"/>
  <c r="AJ163" i="36"/>
  <c r="Y154" i="36"/>
  <c r="Z154" i="36"/>
  <c r="Z161" i="36"/>
  <c r="AL252" i="36"/>
  <c r="AL226" i="36"/>
  <c r="AL233" i="36"/>
  <c r="AL228" i="36"/>
  <c r="AL229" i="36"/>
  <c r="AB217" i="36"/>
  <c r="AC217" i="36"/>
  <c r="AI204" i="36"/>
  <c r="AI202" i="36"/>
  <c r="AI209" i="36"/>
  <c r="AI210" i="36"/>
  <c r="AI211" i="36"/>
  <c r="AJ157" i="36"/>
  <c r="AA229" i="36"/>
  <c r="AM186" i="36"/>
  <c r="AM187" i="36"/>
  <c r="AB178" i="36"/>
  <c r="AC178" i="36"/>
  <c r="AC185" i="36"/>
  <c r="AB180" i="36"/>
  <c r="AC180" i="36"/>
  <c r="AC186" i="36"/>
  <c r="AC187" i="36"/>
  <c r="AM198" i="36"/>
  <c r="AM199" i="36"/>
  <c r="AK181" i="36"/>
  <c r="AA185" i="36"/>
  <c r="AA180" i="36"/>
  <c r="AA186" i="36"/>
  <c r="AA187" i="36"/>
  <c r="AF173" i="36"/>
  <c r="AF174" i="36"/>
  <c r="AF175" i="36"/>
  <c r="AE133" i="36"/>
  <c r="AF133" i="36"/>
  <c r="AG133" i="36"/>
  <c r="W137" i="36"/>
  <c r="W138" i="36"/>
  <c r="W139" i="36"/>
  <c r="AM258" i="36"/>
  <c r="AM259" i="36"/>
  <c r="AC258" i="36"/>
  <c r="AC259" i="36"/>
  <c r="AO253" i="36"/>
  <c r="L246" i="36"/>
  <c r="L247" i="36"/>
  <c r="V241" i="36"/>
  <c r="W241" i="36"/>
  <c r="X241" i="36"/>
  <c r="AI234" i="36"/>
  <c r="AI235" i="36"/>
  <c r="Y233" i="36"/>
  <c r="Y234" i="36"/>
  <c r="Y235" i="36"/>
  <c r="AJ226" i="36"/>
  <c r="AJ233" i="36"/>
  <c r="U204" i="36"/>
  <c r="V204" i="36"/>
  <c r="W204" i="36"/>
  <c r="AM192" i="36"/>
  <c r="AM178" i="36"/>
  <c r="AM185" i="36"/>
  <c r="AJ178" i="36"/>
  <c r="AJ185" i="36"/>
  <c r="AJ180" i="36"/>
  <c r="AJ181" i="36"/>
  <c r="AJ186" i="36"/>
  <c r="AJ187" i="36"/>
  <c r="Z178" i="36"/>
  <c r="Z185" i="36"/>
  <c r="AJ144" i="36"/>
  <c r="AJ150" i="36"/>
  <c r="AJ151" i="36"/>
  <c r="AJ142" i="36"/>
  <c r="AJ149" i="36"/>
  <c r="AJ145" i="36"/>
  <c r="Y142" i="36"/>
  <c r="Z142" i="36"/>
  <c r="Z149" i="36"/>
  <c r="Y145" i="36"/>
  <c r="Z145" i="36"/>
  <c r="AL258" i="36"/>
  <c r="AL259" i="36"/>
  <c r="AB258" i="36"/>
  <c r="AB259" i="36"/>
  <c r="AO246" i="36"/>
  <c r="AO247" i="36"/>
  <c r="U246" i="36"/>
  <c r="U247" i="36"/>
  <c r="K246" i="36"/>
  <c r="K247" i="36"/>
  <c r="AO217" i="36"/>
  <c r="AI205" i="36"/>
  <c r="AB169" i="36"/>
  <c r="AC169" i="36"/>
  <c r="AD169" i="36"/>
  <c r="AB166" i="36"/>
  <c r="AC166" i="36"/>
  <c r="AD166" i="36"/>
  <c r="AD173" i="36"/>
  <c r="AO132" i="36"/>
  <c r="U137" i="36"/>
  <c r="U138" i="36"/>
  <c r="U139" i="36"/>
  <c r="K137" i="36"/>
  <c r="K138" i="36"/>
  <c r="K139" i="36"/>
  <c r="AM214" i="36"/>
  <c r="AM221" i="36"/>
  <c r="AB193" i="36"/>
  <c r="AC193" i="36"/>
  <c r="AK192" i="36"/>
  <c r="AI193" i="36"/>
  <c r="AI198" i="36"/>
  <c r="AI199" i="36"/>
  <c r="AG142" i="36"/>
  <c r="AH149" i="36"/>
  <c r="AF144" i="36"/>
  <c r="AG144" i="36"/>
  <c r="AH144" i="36"/>
  <c r="AF145" i="36"/>
  <c r="AG145" i="36"/>
  <c r="AH145" i="36"/>
  <c r="AH150" i="36"/>
  <c r="AH151" i="36"/>
  <c r="AL217" i="36"/>
  <c r="AL202" i="36"/>
  <c r="AL209" i="36"/>
  <c r="AL210" i="36"/>
  <c r="AL211" i="36"/>
  <c r="AL204" i="36"/>
  <c r="AL205" i="36"/>
  <c r="AM190" i="36"/>
  <c r="AM197" i="36"/>
  <c r="AM181" i="36"/>
  <c r="AC137" i="36"/>
  <c r="AC138" i="36"/>
  <c r="AC139" i="36"/>
  <c r="AB197" i="36"/>
  <c r="AM169" i="36"/>
  <c r="V162" i="36"/>
  <c r="V163" i="36"/>
  <c r="AF150" i="36"/>
  <c r="AF151" i="36"/>
  <c r="AL173" i="36"/>
  <c r="AE162" i="36"/>
  <c r="AE163" i="36"/>
  <c r="K161" i="36"/>
  <c r="K162" i="36"/>
  <c r="K163" i="36"/>
  <c r="AO150" i="36"/>
  <c r="AO151" i="36"/>
  <c r="AO142" i="36"/>
  <c r="AO149" i="36"/>
  <c r="AE150" i="36"/>
  <c r="AE151" i="36"/>
  <c r="U149" i="36"/>
  <c r="U150" i="36"/>
  <c r="U151" i="36"/>
  <c r="K142" i="36"/>
  <c r="K149" i="36"/>
  <c r="K150" i="36"/>
  <c r="K151" i="36"/>
  <c r="AK174" i="36"/>
  <c r="AK175" i="36"/>
  <c r="AK169" i="36"/>
  <c r="AA169" i="36"/>
  <c r="AN156" i="36"/>
  <c r="AN162" i="36"/>
  <c r="AN163" i="36"/>
  <c r="T154" i="36"/>
  <c r="T161" i="36"/>
  <c r="T162" i="36"/>
  <c r="T163" i="36"/>
  <c r="V150" i="36"/>
  <c r="V151" i="36"/>
  <c r="AN198" i="36"/>
  <c r="AN199" i="36"/>
  <c r="AN193" i="36"/>
  <c r="AD192" i="36"/>
  <c r="AD198" i="36"/>
  <c r="AD199" i="36"/>
  <c r="AD193" i="36"/>
  <c r="T198" i="36"/>
  <c r="T199" i="36"/>
  <c r="V145" i="36"/>
  <c r="AN181" i="36"/>
  <c r="AD181" i="36"/>
  <c r="AB162" i="36"/>
  <c r="AB163" i="36"/>
  <c r="W145" i="36"/>
  <c r="Y118" i="36"/>
  <c r="Y125" i="36"/>
  <c r="Y126" i="36"/>
  <c r="Y127" i="36"/>
  <c r="AI48" i="36"/>
  <c r="AI54" i="36"/>
  <c r="AI55" i="36"/>
  <c r="AI49" i="36"/>
  <c r="AI46" i="36"/>
  <c r="AI53" i="36"/>
  <c r="Y46" i="36"/>
  <c r="Y53" i="36"/>
  <c r="Y48" i="36"/>
  <c r="Y54" i="36"/>
  <c r="Y55" i="36"/>
  <c r="Y49" i="36"/>
  <c r="AK84" i="36"/>
  <c r="AA89" i="36"/>
  <c r="AA84" i="36"/>
  <c r="AA90" i="36"/>
  <c r="AA91" i="36"/>
  <c r="AF77" i="36"/>
  <c r="W77" i="36"/>
  <c r="L77" i="36"/>
  <c r="M78" i="36"/>
  <c r="M79" i="36"/>
  <c r="AJ138" i="36"/>
  <c r="AJ139" i="36"/>
  <c r="AJ132" i="36"/>
  <c r="Y130" i="36"/>
  <c r="Z130" i="36"/>
  <c r="Z137" i="36"/>
  <c r="Y132" i="36"/>
  <c r="Z132" i="36"/>
  <c r="Z138" i="36"/>
  <c r="Z139" i="36"/>
  <c r="AI118" i="36"/>
  <c r="AI125" i="36"/>
  <c r="AG121" i="36"/>
  <c r="AH121" i="36"/>
  <c r="AI90" i="36"/>
  <c r="AI91" i="36"/>
  <c r="AI85" i="36"/>
  <c r="AH133" i="36"/>
  <c r="AJ96" i="36"/>
  <c r="AJ94" i="36"/>
  <c r="AJ101" i="36"/>
  <c r="Z96" i="36"/>
  <c r="AL96" i="36"/>
  <c r="L113" i="36"/>
  <c r="L114" i="36"/>
  <c r="L115" i="36"/>
  <c r="AB125" i="36"/>
  <c r="AO108" i="36"/>
  <c r="AO109" i="36"/>
  <c r="AO114" i="36"/>
  <c r="AO115" i="36"/>
  <c r="AO106" i="36"/>
  <c r="AO113" i="36"/>
  <c r="AE113" i="36"/>
  <c r="AE114" i="36"/>
  <c r="AE115" i="36"/>
  <c r="AN96" i="36"/>
  <c r="AN97" i="36"/>
  <c r="AN94" i="36"/>
  <c r="AN101" i="36"/>
  <c r="AN102" i="36"/>
  <c r="AN103" i="36"/>
  <c r="AD96" i="36"/>
  <c r="AD94" i="36"/>
  <c r="AD101" i="36"/>
  <c r="AD102" i="36"/>
  <c r="AD103" i="36"/>
  <c r="AD97" i="36"/>
  <c r="AF82" i="36"/>
  <c r="AG82" i="36"/>
  <c r="AG89" i="36"/>
  <c r="W89" i="36"/>
  <c r="M90" i="36"/>
  <c r="M91" i="36"/>
  <c r="AN70" i="36"/>
  <c r="AN77" i="36"/>
  <c r="AN72" i="36"/>
  <c r="AD70" i="36"/>
  <c r="AD77" i="36"/>
  <c r="AD72" i="36"/>
  <c r="AD73" i="36"/>
  <c r="AD78" i="36"/>
  <c r="AD79" i="36"/>
  <c r="T77" i="36"/>
  <c r="T72" i="36"/>
  <c r="T78" i="36"/>
  <c r="T79" i="36"/>
  <c r="AB126" i="36"/>
  <c r="AB127" i="36"/>
  <c r="AN108" i="36"/>
  <c r="AN106" i="36"/>
  <c r="AN113" i="36"/>
  <c r="AD108" i="36"/>
  <c r="AD109" i="36"/>
  <c r="AD114" i="36"/>
  <c r="AD115" i="36"/>
  <c r="T113" i="36"/>
  <c r="T114" i="36"/>
  <c r="T115" i="36"/>
  <c r="AM46" i="36"/>
  <c r="AM53" i="36"/>
  <c r="AM49" i="36"/>
  <c r="AB48" i="36"/>
  <c r="AC48" i="36"/>
  <c r="AC46" i="36"/>
  <c r="AC53" i="36"/>
  <c r="AG34" i="36"/>
  <c r="AH41" i="36"/>
  <c r="AH36" i="36"/>
  <c r="AH42" i="36"/>
  <c r="AH43" i="36"/>
  <c r="AE37" i="36"/>
  <c r="AF37" i="36"/>
  <c r="AG37" i="36"/>
  <c r="AH37" i="36"/>
  <c r="X36" i="36"/>
  <c r="X41" i="36"/>
  <c r="X42" i="36"/>
  <c r="X43" i="36"/>
  <c r="V37" i="36"/>
  <c r="W37" i="36"/>
  <c r="X37" i="36"/>
  <c r="AK114" i="36"/>
  <c r="AK115" i="36"/>
  <c r="L78" i="36"/>
  <c r="L79" i="36"/>
  <c r="AG101" i="36"/>
  <c r="AG102" i="36"/>
  <c r="AG103" i="36"/>
  <c r="AG97" i="36"/>
  <c r="AH97" i="36"/>
  <c r="AB90" i="36"/>
  <c r="AB91" i="36"/>
  <c r="AM60" i="36"/>
  <c r="AM66" i="36"/>
  <c r="AM67" i="36"/>
  <c r="AM58" i="36"/>
  <c r="AM65" i="36"/>
  <c r="AB58" i="36"/>
  <c r="AC58" i="36"/>
  <c r="AC65" i="36"/>
  <c r="AC66" i="36"/>
  <c r="AC67" i="36"/>
  <c r="W97" i="36"/>
  <c r="M101" i="36"/>
  <c r="M96" i="36"/>
  <c r="M102" i="36"/>
  <c r="M103" i="36"/>
  <c r="AN84" i="36"/>
  <c r="AN85" i="36"/>
  <c r="AN90" i="36"/>
  <c r="AN91" i="36"/>
  <c r="AC85" i="36"/>
  <c r="AD85" i="36"/>
  <c r="AL61" i="36"/>
  <c r="AL66" i="36"/>
  <c r="AL67" i="36"/>
  <c r="AL60" i="36"/>
  <c r="AL65" i="36"/>
  <c r="AB61" i="36"/>
  <c r="AB65" i="36"/>
  <c r="AB66" i="36"/>
  <c r="AB67" i="36"/>
  <c r="AK106" i="36"/>
  <c r="AK113" i="36"/>
  <c r="AE102" i="36"/>
  <c r="AE103" i="36"/>
  <c r="AI106" i="36"/>
  <c r="AI113" i="36"/>
  <c r="AI108" i="36"/>
  <c r="AI109" i="36"/>
  <c r="Y114" i="36"/>
  <c r="Y115" i="36"/>
  <c r="AN48" i="36"/>
  <c r="AE60" i="36"/>
  <c r="AF60" i="36"/>
  <c r="AG60" i="36"/>
  <c r="AF84" i="36"/>
  <c r="AG84" i="36"/>
  <c r="AH84" i="36"/>
  <c r="AH78" i="36"/>
  <c r="AH79" i="36"/>
  <c r="V66" i="36"/>
  <c r="V67" i="36"/>
  <c r="W61" i="36"/>
  <c r="AK58" i="36"/>
  <c r="AK65" i="36"/>
  <c r="AK60" i="36"/>
  <c r="AA61" i="36"/>
  <c r="AK73" i="36"/>
  <c r="AA72" i="36"/>
  <c r="AA77" i="36"/>
  <c r="AA78" i="36"/>
  <c r="AA79" i="36"/>
  <c r="AJ48" i="36"/>
  <c r="Z49" i="36"/>
  <c r="Z46" i="36"/>
  <c r="Z53" i="36"/>
  <c r="AM34" i="36"/>
  <c r="AM41" i="36"/>
  <c r="Y42" i="36"/>
  <c r="Y43" i="36"/>
  <c r="Y37" i="36"/>
  <c r="U22" i="36"/>
  <c r="V22" i="36"/>
  <c r="V29" i="36"/>
  <c r="V30" i="36"/>
  <c r="V31" i="36"/>
  <c r="X61" i="36"/>
  <c r="AH60" i="36"/>
  <c r="K65" i="36"/>
  <c r="K66" i="36"/>
  <c r="K67" i="36"/>
  <c r="AJ25" i="36"/>
  <c r="AJ24" i="36"/>
  <c r="AM36" i="36"/>
  <c r="AM42" i="36"/>
  <c r="AM43" i="36"/>
  <c r="AG25" i="36"/>
  <c r="W22" i="36"/>
  <c r="W29" i="36"/>
  <c r="V25" i="36"/>
  <c r="W25" i="36"/>
  <c r="W30" i="36"/>
  <c r="W31" i="36"/>
  <c r="M30" i="36"/>
  <c r="M31" i="36"/>
  <c r="AE49" i="36"/>
  <c r="AF49" i="36"/>
  <c r="AG49" i="36"/>
  <c r="AH49" i="36"/>
  <c r="X48" i="36"/>
  <c r="X54" i="36"/>
  <c r="X55" i="36"/>
  <c r="AK42" i="36"/>
  <c r="AK43" i="36"/>
  <c r="U49" i="36"/>
  <c r="V49" i="36"/>
  <c r="W49" i="36"/>
  <c r="AN24" i="36"/>
  <c r="T29" i="36"/>
  <c r="T24" i="36"/>
  <c r="T30" i="36"/>
  <c r="T31" i="36"/>
  <c r="AF22" i="36"/>
  <c r="AG22" i="36"/>
  <c r="AH22" i="36"/>
  <c r="AH29" i="36"/>
  <c r="AE24" i="36"/>
  <c r="AF24" i="36"/>
  <c r="AG24" i="36"/>
  <c r="AH24" i="36"/>
  <c r="AH30" i="36"/>
  <c r="AH31" i="36"/>
  <c r="X29" i="36"/>
  <c r="X30" i="36"/>
  <c r="X31" i="36"/>
  <c r="AN54" i="37"/>
  <c r="AN55" i="37"/>
  <c r="AE49" i="37"/>
  <c r="AF49" i="37"/>
  <c r="AN48" i="37"/>
  <c r="T41" i="37"/>
  <c r="T42" i="37"/>
  <c r="T43" i="37"/>
  <c r="AN30" i="37"/>
  <c r="AN31" i="37"/>
  <c r="AA24" i="37"/>
  <c r="AB24" i="37"/>
  <c r="AC24" i="37"/>
  <c r="AD24" i="37"/>
  <c r="AC22" i="37"/>
  <c r="AD29" i="37"/>
  <c r="AD30" i="37"/>
  <c r="AD31" i="37"/>
  <c r="AN24" i="37"/>
  <c r="AE46" i="37"/>
  <c r="AF46" i="37"/>
  <c r="AF53" i="37"/>
  <c r="AF41" i="37"/>
  <c r="AE48" i="37"/>
  <c r="AF48" i="37"/>
  <c r="AF54" i="37"/>
  <c r="AF55" i="37"/>
  <c r="AA36" i="37"/>
  <c r="AB36" i="37"/>
  <c r="AC36" i="37"/>
  <c r="AD36" i="37"/>
  <c r="AE36" i="37"/>
  <c r="AF36" i="37"/>
  <c r="AF42" i="37"/>
  <c r="AF43" i="37"/>
  <c r="J18" i="37"/>
  <c r="J19" i="37"/>
  <c r="L124" i="37"/>
  <c r="K124" i="37"/>
  <c r="L148" i="37"/>
  <c r="K148" i="37"/>
  <c r="J58" i="37"/>
  <c r="J65" i="37"/>
  <c r="J66" i="37"/>
  <c r="J67" i="37"/>
  <c r="J16" i="37"/>
  <c r="L127" i="37"/>
  <c r="J64" i="37"/>
  <c r="K57" i="37"/>
  <c r="J101" i="37"/>
  <c r="J124" i="37"/>
  <c r="K101" i="37"/>
  <c r="K102" i="37"/>
  <c r="K103" i="37"/>
  <c r="J106" i="37"/>
  <c r="J76" i="37"/>
  <c r="K213" i="37"/>
  <c r="J220" i="37"/>
  <c r="K76" i="37"/>
  <c r="J137" i="37"/>
  <c r="J138" i="37"/>
  <c r="J139" i="37"/>
  <c r="L112" i="37"/>
  <c r="K112" i="37"/>
  <c r="L137" i="37"/>
  <c r="L138" i="37"/>
  <c r="L139" i="37"/>
  <c r="K208" i="37"/>
  <c r="J233" i="37"/>
  <c r="K233" i="37"/>
  <c r="L233" i="37"/>
  <c r="J234" i="37"/>
  <c r="J235" i="37"/>
  <c r="J238" i="37"/>
  <c r="K125" i="37"/>
  <c r="K126" i="37"/>
  <c r="K127" i="37"/>
  <c r="J221" i="37"/>
  <c r="J222" i="37"/>
  <c r="J223" i="37"/>
  <c r="J237" i="37"/>
  <c r="AM54" i="34"/>
  <c r="AM55" i="34"/>
  <c r="AC53" i="34"/>
  <c r="AC54" i="34"/>
  <c r="AC55" i="34"/>
  <c r="S53" i="34"/>
  <c r="S54" i="34"/>
  <c r="S55" i="34"/>
  <c r="AM48" i="34"/>
  <c r="K53" i="34"/>
  <c r="AM42" i="34"/>
  <c r="AM43" i="34"/>
  <c r="AC42" i="34"/>
  <c r="AC43" i="34"/>
  <c r="S41" i="34"/>
  <c r="S42" i="34"/>
  <c r="S43" i="34"/>
  <c r="AM36" i="34"/>
  <c r="K41" i="34"/>
  <c r="AC29" i="34"/>
  <c r="AC30" i="34"/>
  <c r="AC31" i="34"/>
  <c r="S30" i="34"/>
  <c r="S31" i="34"/>
  <c r="AE29" i="34"/>
  <c r="K29" i="34"/>
  <c r="AC49" i="34"/>
  <c r="AD49" i="34"/>
  <c r="AE49" i="34"/>
  <c r="AF49" i="34"/>
  <c r="AG49" i="34"/>
  <c r="V49" i="34"/>
  <c r="W49" i="34"/>
  <c r="AB37" i="34"/>
  <c r="AC37" i="34"/>
  <c r="AD37" i="34"/>
  <c r="AE37" i="34"/>
  <c r="AF37" i="34"/>
  <c r="AG37" i="34"/>
  <c r="W37" i="34"/>
  <c r="AF25" i="34"/>
  <c r="AG25" i="34"/>
  <c r="T25" i="34"/>
  <c r="U25" i="34"/>
  <c r="V25" i="34"/>
  <c r="W25" i="34"/>
  <c r="AH54" i="34"/>
  <c r="AH55" i="34"/>
  <c r="X53" i="34"/>
  <c r="X54" i="34"/>
  <c r="X55" i="34"/>
  <c r="AH48" i="34"/>
  <c r="AH42" i="34"/>
  <c r="AH43" i="34"/>
  <c r="X41" i="34"/>
  <c r="X42" i="34"/>
  <c r="X43" i="34"/>
  <c r="N42" i="34"/>
  <c r="N43" i="34"/>
  <c r="AH36" i="34"/>
  <c r="AH30" i="34"/>
  <c r="AH31" i="34"/>
  <c r="X29" i="34"/>
  <c r="X30" i="34"/>
  <c r="X31" i="34"/>
  <c r="AH24" i="34"/>
  <c r="AN1" i="34"/>
  <c r="AO1" i="34"/>
  <c r="AP1" i="34"/>
  <c r="AQ1" i="34"/>
  <c r="AR1" i="34"/>
  <c r="AS1" i="34"/>
  <c r="AF54" i="34"/>
  <c r="AF55" i="34"/>
  <c r="V54" i="34"/>
  <c r="V55" i="34"/>
  <c r="L53" i="34"/>
  <c r="L54" i="34"/>
  <c r="L55" i="34"/>
  <c r="AF42" i="34"/>
  <c r="AF43" i="34"/>
  <c r="V36" i="34"/>
  <c r="V42" i="34"/>
  <c r="V43" i="34"/>
  <c r="L41" i="34"/>
  <c r="L42" i="34"/>
  <c r="L43" i="34"/>
  <c r="AF30" i="34"/>
  <c r="AF31" i="34"/>
  <c r="T22" i="34"/>
  <c r="U22" i="34"/>
  <c r="V22" i="34"/>
  <c r="V29" i="34"/>
  <c r="V24" i="34"/>
  <c r="V30" i="34"/>
  <c r="V31" i="34"/>
  <c r="L30" i="34"/>
  <c r="L31" i="34"/>
  <c r="U54" i="34"/>
  <c r="U55" i="34"/>
  <c r="K54" i="34"/>
  <c r="K55" i="34"/>
  <c r="AE41" i="34"/>
  <c r="AE42" i="34"/>
  <c r="AE43" i="34"/>
  <c r="U42" i="34"/>
  <c r="U43" i="34"/>
  <c r="K42" i="34"/>
  <c r="K43" i="34"/>
  <c r="AE30" i="34"/>
  <c r="AE31" i="34"/>
  <c r="K30" i="34"/>
  <c r="K31" i="34"/>
  <c r="AN37" i="34"/>
  <c r="AD53" i="34"/>
  <c r="AD54" i="34"/>
  <c r="AD55" i="34"/>
  <c r="T54" i="34"/>
  <c r="T55" i="34"/>
  <c r="J54" i="34"/>
  <c r="J55" i="34"/>
  <c r="AD42" i="34"/>
  <c r="AD43" i="34"/>
  <c r="T41" i="34"/>
  <c r="T42" i="34"/>
  <c r="T43" i="34"/>
  <c r="J41" i="34"/>
  <c r="J42" i="34"/>
  <c r="J43" i="34"/>
  <c r="AD30" i="34"/>
  <c r="AD31" i="34"/>
  <c r="J29" i="34"/>
  <c r="J30" i="34"/>
  <c r="J31" i="34"/>
  <c r="AN54" i="34"/>
  <c r="AN55" i="34"/>
  <c r="AN48" i="34"/>
  <c r="AN36" i="34"/>
  <c r="AQ138" i="39"/>
  <c r="AQ139" i="39"/>
  <c r="AQ130" i="39"/>
  <c r="AQ137" i="39"/>
  <c r="AP138" i="39"/>
  <c r="AP139" i="39"/>
  <c r="AQ133" i="39"/>
  <c r="AN132" i="39"/>
  <c r="AO132" i="39"/>
  <c r="AP132" i="39"/>
  <c r="AN137" i="39"/>
  <c r="AR108" i="39"/>
  <c r="AN109" i="39"/>
  <c r="AR106" i="39"/>
  <c r="AR113" i="39"/>
  <c r="AR114" i="39"/>
  <c r="AR115" i="39"/>
  <c r="AN108" i="39"/>
  <c r="AR109" i="39"/>
  <c r="AN113" i="39"/>
  <c r="AN101" i="39"/>
  <c r="AN102" i="39"/>
  <c r="AN103" i="39"/>
  <c r="AN96" i="39"/>
  <c r="AR90" i="39"/>
  <c r="AR91" i="39"/>
  <c r="AN60" i="39"/>
  <c r="AN65" i="39"/>
  <c r="AP58" i="39"/>
  <c r="AP65" i="39"/>
  <c r="AS48" i="39"/>
  <c r="AQ54" i="39"/>
  <c r="AQ55" i="39"/>
  <c r="AR48" i="39"/>
  <c r="AR46" i="39"/>
  <c r="AR53" i="39"/>
  <c r="AR54" i="39"/>
  <c r="AR55" i="39"/>
  <c r="AS54" i="39"/>
  <c r="AS55" i="39"/>
  <c r="AS46" i="39"/>
  <c r="AS53" i="39"/>
  <c r="AS49" i="39"/>
  <c r="AO34" i="39"/>
  <c r="AO41" i="39"/>
  <c r="AN37" i="39"/>
  <c r="AO37" i="39"/>
  <c r="AN36" i="39"/>
  <c r="AN42" i="39"/>
  <c r="AN43" i="39"/>
  <c r="AS24" i="39"/>
  <c r="AS30" i="39"/>
  <c r="AS31" i="39"/>
  <c r="AP264" i="38"/>
  <c r="AP262" i="38"/>
  <c r="AP269" i="38"/>
  <c r="AP253" i="38"/>
  <c r="AP258" i="38"/>
  <c r="AP259" i="38"/>
  <c r="AP252" i="38"/>
  <c r="AP250" i="38"/>
  <c r="AP257" i="38"/>
  <c r="AS258" i="38"/>
  <c r="AS259" i="38"/>
  <c r="AS252" i="38"/>
  <c r="AS246" i="38"/>
  <c r="AS247" i="38"/>
  <c r="AS241" i="38"/>
  <c r="AS238" i="38"/>
  <c r="AS245" i="38"/>
  <c r="AN226" i="38"/>
  <c r="AN233" i="38"/>
  <c r="AR222" i="38"/>
  <c r="AR223" i="38"/>
  <c r="AP214" i="38"/>
  <c r="AP221" i="38"/>
  <c r="AR217" i="38"/>
  <c r="AO216" i="38"/>
  <c r="AQ214" i="38"/>
  <c r="AQ221" i="38"/>
  <c r="AR214" i="38"/>
  <c r="AR221" i="38"/>
  <c r="AQ216" i="38"/>
  <c r="AQ217" i="38"/>
  <c r="AR216" i="38"/>
  <c r="AS210" i="38"/>
  <c r="AS211" i="38"/>
  <c r="AN193" i="38"/>
  <c r="AO193" i="38"/>
  <c r="AN192" i="38"/>
  <c r="AR198" i="38"/>
  <c r="AR199" i="38"/>
  <c r="AR192" i="38"/>
  <c r="AS192" i="38"/>
  <c r="AS190" i="38"/>
  <c r="AS197" i="38"/>
  <c r="AS198" i="38"/>
  <c r="AS199" i="38"/>
  <c r="AO181" i="38"/>
  <c r="AO186" i="38"/>
  <c r="AO187" i="38"/>
  <c r="AP169" i="38"/>
  <c r="AP168" i="38"/>
  <c r="AP166" i="38"/>
  <c r="AP173" i="38"/>
  <c r="AN156" i="38"/>
  <c r="AP162" i="38"/>
  <c r="AP163" i="38"/>
  <c r="AP157" i="38"/>
  <c r="AR154" i="38"/>
  <c r="AR161" i="38"/>
  <c r="AP154" i="38"/>
  <c r="AP161" i="38"/>
  <c r="AP156" i="38"/>
  <c r="AR145" i="38"/>
  <c r="AS145" i="38"/>
  <c r="AS150" i="38"/>
  <c r="AS151" i="38"/>
  <c r="AR142" i="38"/>
  <c r="AR149" i="38"/>
  <c r="AP109" i="38"/>
  <c r="AP114" i="38"/>
  <c r="AP115" i="38"/>
  <c r="AP106" i="38"/>
  <c r="AP113" i="38"/>
  <c r="AP108" i="38"/>
  <c r="AN109" i="38"/>
  <c r="AQ84" i="38"/>
  <c r="AQ82" i="38"/>
  <c r="AQ89" i="38"/>
  <c r="AQ85" i="38"/>
  <c r="AS85" i="38"/>
  <c r="AR72" i="38"/>
  <c r="AR70" i="38"/>
  <c r="AR77" i="38"/>
  <c r="AO73" i="38"/>
  <c r="AO78" i="38"/>
  <c r="AO79" i="38"/>
  <c r="AQ72" i="38"/>
  <c r="AP73" i="38"/>
  <c r="AP78" i="38"/>
  <c r="AP79" i="38"/>
  <c r="AQ73" i="38"/>
  <c r="AO70" i="38"/>
  <c r="AO77" i="38"/>
  <c r="AS66" i="38"/>
  <c r="AS67" i="38"/>
  <c r="AS60" i="38"/>
  <c r="AQ48" i="38"/>
  <c r="AS48" i="38"/>
  <c r="AN22" i="38"/>
  <c r="AN29" i="38"/>
  <c r="AN25" i="38"/>
  <c r="AO24" i="38"/>
  <c r="AO22" i="38"/>
  <c r="AO29" i="38"/>
  <c r="AO30" i="38"/>
  <c r="AO31" i="38"/>
  <c r="AR30" i="38"/>
  <c r="AR31" i="38"/>
  <c r="AN30" i="38"/>
  <c r="AN31" i="38"/>
  <c r="AO114" i="40"/>
  <c r="AO115" i="40"/>
  <c r="AO108" i="40"/>
  <c r="AO109" i="40"/>
  <c r="AO106" i="40"/>
  <c r="AO113" i="40"/>
  <c r="AM97" i="40"/>
  <c r="AN96" i="40"/>
  <c r="AN94" i="40"/>
  <c r="AN101" i="40"/>
  <c r="AP73" i="40"/>
  <c r="AP78" i="40"/>
  <c r="AP79" i="40"/>
  <c r="AP72" i="40"/>
  <c r="AS49" i="40"/>
  <c r="AS46" i="40"/>
  <c r="AS53" i="40"/>
  <c r="AN42" i="40"/>
  <c r="AN43" i="40"/>
  <c r="AN37" i="40"/>
  <c r="AN36" i="40"/>
  <c r="AM36" i="40"/>
  <c r="AN41" i="40"/>
  <c r="AP25" i="40"/>
  <c r="AP22" i="40"/>
  <c r="AP29" i="40"/>
  <c r="AM24" i="40"/>
  <c r="AM22" i="40"/>
  <c r="AM29" i="40"/>
  <c r="AO24" i="40"/>
  <c r="AM109" i="40"/>
  <c r="AO42" i="41"/>
  <c r="AO43" i="41"/>
  <c r="AP42" i="41"/>
  <c r="AP43" i="41"/>
  <c r="AP36" i="41"/>
  <c r="AO37" i="41"/>
  <c r="AP37" i="41"/>
  <c r="AP34" i="41"/>
  <c r="AP41" i="41"/>
  <c r="AS22" i="41"/>
  <c r="AS29" i="41"/>
  <c r="AO97" i="41"/>
  <c r="AQ48" i="41"/>
  <c r="AS61" i="41"/>
  <c r="AO36" i="41"/>
  <c r="AS58" i="41"/>
  <c r="AS65" i="41"/>
  <c r="AS54" i="41"/>
  <c r="AS55" i="41"/>
  <c r="AR49" i="41"/>
  <c r="AP94" i="41"/>
  <c r="AP101" i="41"/>
  <c r="AS46" i="41"/>
  <c r="AS53" i="41"/>
  <c r="AQ61" i="41"/>
  <c r="AP58" i="41"/>
  <c r="AP65" i="41"/>
  <c r="AR84" i="41"/>
  <c r="AO96" i="41"/>
  <c r="AR90" i="41"/>
  <c r="AR91" i="41"/>
  <c r="AQ94" i="41"/>
  <c r="AQ101" i="41"/>
  <c r="AS48" i="41"/>
  <c r="AQ58" i="41"/>
  <c r="AQ65" i="41"/>
  <c r="AQ66" i="41"/>
  <c r="AQ67" i="41"/>
  <c r="AR82" i="41"/>
  <c r="AR89" i="41"/>
  <c r="AQ102" i="41"/>
  <c r="AQ103" i="41"/>
  <c r="AO94" i="41"/>
  <c r="AO101" i="41"/>
  <c r="AO102" i="41"/>
  <c r="AO103" i="41"/>
  <c r="L136" i="37"/>
  <c r="K136" i="37"/>
  <c r="K149" i="37"/>
  <c r="K150" i="37"/>
  <c r="K151" i="37"/>
  <c r="L149" i="37"/>
  <c r="L150" i="37"/>
  <c r="L151" i="37"/>
  <c r="K77" i="37"/>
  <c r="J77" i="37"/>
  <c r="L77" i="37"/>
  <c r="K78" i="37"/>
  <c r="K79" i="37"/>
  <c r="J78" i="37"/>
  <c r="J79" i="37"/>
  <c r="L18" i="37"/>
  <c r="L19" i="37"/>
  <c r="L64" i="37"/>
  <c r="K64" i="37"/>
  <c r="L90" i="37"/>
  <c r="L91" i="37"/>
  <c r="K238" i="37"/>
  <c r="L245" i="37"/>
  <c r="L246" i="37"/>
  <c r="K245" i="37"/>
  <c r="K246" i="37"/>
  <c r="K247" i="37"/>
  <c r="K106" i="37"/>
  <c r="L113" i="37"/>
  <c r="L114" i="37"/>
  <c r="K113" i="37"/>
  <c r="K114" i="37"/>
  <c r="K115" i="37"/>
  <c r="J113" i="37"/>
  <c r="J114" i="37"/>
  <c r="J115" i="37"/>
  <c r="J149" i="37"/>
  <c r="J150" i="37"/>
  <c r="J151" i="37"/>
  <c r="J232" i="37"/>
  <c r="J90" i="37"/>
  <c r="J91" i="37"/>
  <c r="J244" i="37"/>
  <c r="K237" i="37"/>
  <c r="K209" i="37"/>
  <c r="K210" i="37"/>
  <c r="K211" i="37"/>
  <c r="J209" i="37"/>
  <c r="J210" i="37"/>
  <c r="J211" i="37"/>
  <c r="J245" i="37"/>
  <c r="J246" i="37"/>
  <c r="J247" i="37"/>
  <c r="L223" i="37"/>
  <c r="K58" i="37"/>
  <c r="L65" i="37"/>
  <c r="L66" i="37"/>
  <c r="L220" i="37"/>
  <c r="K220" i="37"/>
  <c r="J102" i="37"/>
  <c r="J103" i="37"/>
  <c r="K234" i="37"/>
  <c r="K235" i="37"/>
  <c r="K137" i="37"/>
  <c r="K138" i="37"/>
  <c r="K139" i="37"/>
  <c r="K90" i="37"/>
  <c r="K91" i="37"/>
  <c r="K232" i="37"/>
  <c r="J52" i="37"/>
  <c r="L209" i="37"/>
  <c r="K244" i="37"/>
  <c r="L244" i="37"/>
  <c r="L101" i="37"/>
  <c r="L67" i="37"/>
  <c r="L115" i="37"/>
  <c r="K65" i="37"/>
  <c r="L247" i="37"/>
  <c r="L78" i="37"/>
  <c r="L79" i="37"/>
  <c r="L234" i="37"/>
  <c r="L235" i="37"/>
  <c r="J28" i="37"/>
  <c r="L210" i="37"/>
  <c r="L211" i="37"/>
  <c r="J100" i="37"/>
  <c r="J197" i="37"/>
  <c r="J198" i="37"/>
  <c r="J199" i="37"/>
  <c r="K28" i="37"/>
  <c r="K66" i="37"/>
  <c r="K67" i="37"/>
  <c r="L232" i="37"/>
  <c r="J185" i="37"/>
  <c r="J186" i="37"/>
  <c r="J187" i="37"/>
  <c r="L102" i="37"/>
  <c r="L103" i="37"/>
  <c r="K52" i="37"/>
  <c r="J196" i="37"/>
  <c r="J29" i="37"/>
  <c r="L185" i="37"/>
  <c r="L186" i="37"/>
  <c r="L187" i="37"/>
  <c r="K185" i="37"/>
  <c r="K186" i="37"/>
  <c r="K187" i="37"/>
  <c r="K100" i="37"/>
  <c r="L28" i="37"/>
  <c r="J41" i="37"/>
  <c r="J42" i="37"/>
  <c r="J43" i="37"/>
  <c r="J40" i="37"/>
  <c r="K197" i="37"/>
  <c r="K198" i="37"/>
  <c r="K199" i="37"/>
  <c r="J172" i="37"/>
  <c r="J88" i="37"/>
  <c r="K196" i="37"/>
  <c r="J53" i="37"/>
  <c r="K161" i="37"/>
  <c r="K162" i="37"/>
  <c r="K163" i="37"/>
  <c r="L196" i="37"/>
  <c r="K173" i="37"/>
  <c r="K174" i="37"/>
  <c r="K175" i="37"/>
  <c r="J173" i="37"/>
  <c r="J174" i="37"/>
  <c r="J175" i="37"/>
  <c r="L100" i="37"/>
  <c r="L55" i="37"/>
  <c r="J54" i="37"/>
  <c r="J55" i="37"/>
  <c r="K172" i="37"/>
  <c r="L88" i="37"/>
  <c r="K88" i="37"/>
  <c r="J30" i="37"/>
  <c r="J31" i="37"/>
  <c r="K29" i="37"/>
  <c r="K41" i="37"/>
  <c r="J161" i="37"/>
  <c r="J162" i="37"/>
  <c r="J163" i="37"/>
  <c r="L41" i="37"/>
  <c r="K36" i="37"/>
  <c r="L36" i="37"/>
  <c r="L42" i="37"/>
  <c r="L43" i="37"/>
  <c r="J184" i="37"/>
  <c r="L40" i="37"/>
  <c r="L161" i="37"/>
  <c r="L162" i="37"/>
  <c r="L163" i="37"/>
  <c r="J160" i="37"/>
  <c r="K42" i="37"/>
  <c r="K43" i="37"/>
  <c r="L29" i="37"/>
  <c r="L30" i="37"/>
  <c r="L31" i="37"/>
  <c r="L197" i="37"/>
  <c r="L172" i="37"/>
  <c r="K160" i="37"/>
  <c r="L173" i="37"/>
  <c r="L174" i="37"/>
  <c r="L175" i="37"/>
  <c r="K30" i="37"/>
  <c r="K31" i="37"/>
  <c r="L198" i="37"/>
  <c r="L199" i="37"/>
  <c r="L184" i="37"/>
  <c r="K184" i="37"/>
  <c r="L160" i="37"/>
  <c r="AO48" i="37"/>
  <c r="AO49" i="37"/>
  <c r="M49" i="37"/>
  <c r="O48" i="37"/>
  <c r="AC42" i="37"/>
  <c r="AC43" i="37"/>
  <c r="AK41" i="37"/>
  <c r="AB41" i="37"/>
  <c r="N37" i="37"/>
  <c r="AB42" i="37"/>
  <c r="AB43" i="37"/>
  <c r="AA41" i="37"/>
  <c r="AR42" i="37"/>
  <c r="AR43" i="37"/>
  <c r="AN37" i="37"/>
  <c r="AS42" i="37"/>
  <c r="AS43" i="37"/>
  <c r="AK36" i="37"/>
  <c r="AL37" i="37"/>
  <c r="W37" i="37"/>
  <c r="AR30" i="37"/>
  <c r="AR31" i="37"/>
  <c r="AE22" i="37"/>
  <c r="AF22" i="37"/>
  <c r="AF29" i="37"/>
  <c r="AE24" i="37"/>
  <c r="AF24" i="37"/>
  <c r="AF30" i="37"/>
  <c r="AF31" i="37"/>
  <c r="AR24" i="37"/>
  <c r="AS30" i="37"/>
  <c r="AS31" i="37"/>
  <c r="O25" i="37"/>
  <c r="X24" i="37"/>
  <c r="T24" i="37"/>
  <c r="U24" i="37"/>
  <c r="V24" i="37"/>
  <c r="W24" i="37"/>
  <c r="O24" i="37"/>
  <c r="O22" i="37"/>
  <c r="O29" i="37"/>
  <c r="O30" i="37"/>
  <c r="O31" i="37"/>
  <c r="W29" i="37"/>
  <c r="W30" i="37"/>
  <c r="W31" i="37"/>
  <c r="AR25" i="37"/>
  <c r="AR22" i="37"/>
  <c r="AR29" i="37"/>
  <c r="X22" i="37"/>
  <c r="X29" i="37"/>
  <c r="M24" i="37"/>
  <c r="M22" i="37"/>
  <c r="M29" i="37"/>
  <c r="L2" i="37"/>
  <c r="T46" i="37"/>
  <c r="U46" i="37"/>
  <c r="V46" i="37"/>
  <c r="V53" i="37"/>
  <c r="V48" i="37"/>
  <c r="V54" i="37"/>
  <c r="V55" i="37"/>
  <c r="AQ25" i="37"/>
  <c r="AO30" i="37"/>
  <c r="AO31" i="37"/>
  <c r="AR36" i="37"/>
  <c r="AR54" i="37"/>
  <c r="AR55" i="37"/>
  <c r="AK54" i="37"/>
  <c r="AK55" i="37"/>
  <c r="AI34" i="37"/>
  <c r="AI41" i="37"/>
  <c r="K37" i="37"/>
  <c r="L37" i="37"/>
  <c r="W53" i="37"/>
  <c r="AN42" i="37"/>
  <c r="AN43" i="37"/>
  <c r="AQ48" i="37"/>
  <c r="AI46" i="37"/>
  <c r="AI53" i="37"/>
  <c r="P49" i="37"/>
  <c r="AH42" i="37"/>
  <c r="AH43" i="37"/>
  <c r="M36" i="37"/>
  <c r="P53" i="37"/>
  <c r="P54" i="37"/>
  <c r="P55" i="37"/>
  <c r="K53" i="37"/>
  <c r="K54" i="37"/>
  <c r="K55" i="37"/>
  <c r="AN22" i="37"/>
  <c r="AN29" i="37"/>
  <c r="AG36" i="37"/>
  <c r="AG42" i="37"/>
  <c r="AG43" i="37"/>
  <c r="U22" i="37"/>
  <c r="V22" i="37"/>
  <c r="V29" i="37"/>
  <c r="AI48" i="37"/>
  <c r="AA42" i="37"/>
  <c r="AA43" i="37"/>
  <c r="Y34" i="37"/>
  <c r="Z34" i="37"/>
  <c r="Z41" i="37"/>
  <c r="AJ22" i="37"/>
  <c r="AJ29" i="37"/>
  <c r="U29" i="37"/>
  <c r="U30" i="37"/>
  <c r="U31" i="37"/>
  <c r="V30" i="37"/>
  <c r="V31" i="37"/>
  <c r="AQ24" i="37"/>
  <c r="AR37" i="37"/>
  <c r="Z42" i="37"/>
  <c r="Z43" i="37"/>
  <c r="M34" i="37"/>
  <c r="M41" i="37"/>
  <c r="AI22" i="37"/>
  <c r="AI29" i="37"/>
  <c r="N24" i="37"/>
  <c r="AG258" i="36"/>
  <c r="AG259" i="36"/>
  <c r="AE253" i="36"/>
  <c r="AF253" i="36"/>
  <c r="AG253" i="36"/>
  <c r="AQ258" i="36"/>
  <c r="AQ259" i="36"/>
  <c r="AR253" i="36"/>
  <c r="AQ252" i="36"/>
  <c r="Z252" i="36"/>
  <c r="Z258" i="36"/>
  <c r="Z259" i="36"/>
  <c r="AQ253" i="36"/>
  <c r="Y240" i="36"/>
  <c r="Z240" i="36"/>
  <c r="Z246" i="36"/>
  <c r="Z247" i="36"/>
  <c r="AO240" i="36"/>
  <c r="Z241" i="36"/>
  <c r="W246" i="36"/>
  <c r="W247" i="36"/>
  <c r="O241" i="36"/>
  <c r="P241" i="36"/>
  <c r="Q241" i="36"/>
  <c r="AH241" i="36"/>
  <c r="AJ246" i="36"/>
  <c r="AJ247" i="36"/>
  <c r="N241" i="36"/>
  <c r="AC246" i="36"/>
  <c r="AC247" i="36"/>
  <c r="AH240" i="36"/>
  <c r="AH246" i="36"/>
  <c r="AH247" i="36"/>
  <c r="AO228" i="36"/>
  <c r="AG233" i="36"/>
  <c r="AG234" i="36"/>
  <c r="AG235" i="36"/>
  <c r="AN226" i="36"/>
  <c r="AN233" i="36"/>
  <c r="AO229" i="36"/>
  <c r="AN228" i="36"/>
  <c r="X228" i="36"/>
  <c r="O229" i="36"/>
  <c r="X229" i="36"/>
  <c r="AM226" i="36"/>
  <c r="AM233" i="36"/>
  <c r="AJ229" i="36"/>
  <c r="AO226" i="36"/>
  <c r="AO233" i="36"/>
  <c r="AB233" i="36"/>
  <c r="AJ228" i="36"/>
  <c r="AM228" i="36"/>
  <c r="AM234" i="36"/>
  <c r="AM235" i="36"/>
  <c r="X234" i="36"/>
  <c r="X235" i="36"/>
  <c r="O228" i="36"/>
  <c r="AO216" i="36"/>
  <c r="AS216" i="36"/>
  <c r="AO222" i="36"/>
  <c r="AO223" i="36"/>
  <c r="AM217" i="36"/>
  <c r="AO214" i="36"/>
  <c r="AO221" i="36"/>
  <c r="N214" i="36"/>
  <c r="N221" i="36"/>
  <c r="N222" i="36"/>
  <c r="N223" i="36"/>
  <c r="AM216" i="36"/>
  <c r="AM222" i="36"/>
  <c r="AM223" i="36"/>
  <c r="W221" i="36"/>
  <c r="W222" i="36"/>
  <c r="W223" i="36"/>
  <c r="AS217" i="36"/>
  <c r="U221" i="36"/>
  <c r="U222" i="36"/>
  <c r="U223" i="36"/>
  <c r="AF222" i="36"/>
  <c r="AF223" i="36"/>
  <c r="M209" i="36"/>
  <c r="M210" i="36"/>
  <c r="M211" i="36"/>
  <c r="AJ205" i="36"/>
  <c r="AO210" i="36"/>
  <c r="AO211" i="36"/>
  <c r="AP204" i="36"/>
  <c r="AE202" i="36"/>
  <c r="AE209" i="36"/>
  <c r="U202" i="36"/>
  <c r="V202" i="36"/>
  <c r="W202" i="36"/>
  <c r="W209" i="36"/>
  <c r="AF202" i="36"/>
  <c r="AG202" i="36"/>
  <c r="AG209" i="36"/>
  <c r="AE204" i="36"/>
  <c r="AF204" i="36"/>
  <c r="AG204" i="36"/>
  <c r="AG210" i="36"/>
  <c r="AG211" i="36"/>
  <c r="AJ204" i="36"/>
  <c r="AA209" i="36"/>
  <c r="AA204" i="36"/>
  <c r="AA210" i="36"/>
  <c r="AA211" i="36"/>
  <c r="M205" i="36"/>
  <c r="X209" i="36"/>
  <c r="AJ210" i="36"/>
  <c r="AJ211" i="36"/>
  <c r="U205" i="36"/>
  <c r="V205" i="36"/>
  <c r="W205" i="36"/>
  <c r="X204" i="36"/>
  <c r="X210" i="36"/>
  <c r="X211" i="36"/>
  <c r="W210" i="36"/>
  <c r="W211" i="36"/>
  <c r="AF209" i="36"/>
  <c r="AF210" i="36"/>
  <c r="AF211" i="36"/>
  <c r="AO205" i="36"/>
  <c r="AQ205" i="36"/>
  <c r="AO204" i="36"/>
  <c r="AA193" i="36"/>
  <c r="AS193" i="36"/>
  <c r="AJ192" i="36"/>
  <c r="AP193" i="36"/>
  <c r="AL193" i="36"/>
  <c r="Y190" i="36"/>
  <c r="Z190" i="36"/>
  <c r="Z197" i="36"/>
  <c r="Y192" i="36"/>
  <c r="Z192" i="36"/>
  <c r="Z198" i="36"/>
  <c r="Z199" i="36"/>
  <c r="AP190" i="36"/>
  <c r="AP197" i="36"/>
  <c r="AK193" i="36"/>
  <c r="AL192" i="36"/>
  <c r="AJ198" i="36"/>
  <c r="AJ199" i="36"/>
  <c r="AP192" i="36"/>
  <c r="AJ193" i="36"/>
  <c r="AA192" i="36"/>
  <c r="AB198" i="36"/>
  <c r="AB199" i="36"/>
  <c r="AJ190" i="36"/>
  <c r="AJ197" i="36"/>
  <c r="W198" i="36"/>
  <c r="W199" i="36"/>
  <c r="K185" i="36"/>
  <c r="AQ186" i="36"/>
  <c r="AQ187" i="36"/>
  <c r="T185" i="36"/>
  <c r="T180" i="36"/>
  <c r="T186" i="36"/>
  <c r="T187" i="36"/>
  <c r="AD180" i="36"/>
  <c r="Z181" i="36"/>
  <c r="AI181" i="36"/>
  <c r="M185" i="36"/>
  <c r="M180" i="36"/>
  <c r="M186" i="36"/>
  <c r="M187" i="36"/>
  <c r="M181" i="36"/>
  <c r="Z180" i="36"/>
  <c r="Z186" i="36"/>
  <c r="Z187" i="36"/>
  <c r="AL178" i="36"/>
  <c r="AL185" i="36"/>
  <c r="AI180" i="36"/>
  <c r="AQ181" i="36"/>
  <c r="K186" i="36"/>
  <c r="K187" i="36"/>
  <c r="AQ180" i="36"/>
  <c r="AA181" i="36"/>
  <c r="AR180" i="36"/>
  <c r="AI174" i="36"/>
  <c r="AI175" i="36"/>
  <c r="AM168" i="36"/>
  <c r="AB168" i="36"/>
  <c r="AC168" i="36"/>
  <c r="AD168" i="36"/>
  <c r="AD174" i="36"/>
  <c r="AD175" i="36"/>
  <c r="V174" i="36"/>
  <c r="V175" i="36"/>
  <c r="K173" i="36"/>
  <c r="K174" i="36"/>
  <c r="K175" i="36"/>
  <c r="AS166" i="36"/>
  <c r="AS173" i="36"/>
  <c r="AO169" i="36"/>
  <c r="U173" i="36"/>
  <c r="AM166" i="36"/>
  <c r="AM173" i="36"/>
  <c r="AI168" i="36"/>
  <c r="AM174" i="36"/>
  <c r="AM175" i="36"/>
  <c r="Y168" i="36"/>
  <c r="Z168" i="36"/>
  <c r="AC173" i="36"/>
  <c r="AC174" i="36"/>
  <c r="AC175" i="36"/>
  <c r="U174" i="36"/>
  <c r="U175" i="36"/>
  <c r="Y166" i="36"/>
  <c r="Z166" i="36"/>
  <c r="Z173" i="36"/>
  <c r="AI169" i="36"/>
  <c r="AN174" i="36"/>
  <c r="AN175" i="36"/>
  <c r="AS168" i="36"/>
  <c r="AN166" i="36"/>
  <c r="AN173" i="36"/>
  <c r="AN168" i="36"/>
  <c r="Z174" i="36"/>
  <c r="Z175" i="36"/>
  <c r="AN169" i="36"/>
  <c r="Y169" i="36"/>
  <c r="Z169" i="36"/>
  <c r="AI166" i="36"/>
  <c r="AI173" i="36"/>
  <c r="U161" i="36"/>
  <c r="U162" i="36"/>
  <c r="U163" i="36"/>
  <c r="Y156" i="36"/>
  <c r="Z156" i="36"/>
  <c r="W156" i="36"/>
  <c r="X156" i="36"/>
  <c r="X162" i="36"/>
  <c r="X163" i="36"/>
  <c r="Y157" i="36"/>
  <c r="AM156" i="36"/>
  <c r="AF162" i="36"/>
  <c r="AF163" i="36"/>
  <c r="AO157" i="36"/>
  <c r="AM162" i="36"/>
  <c r="AM163" i="36"/>
  <c r="Y161" i="36"/>
  <c r="N157" i="36"/>
  <c r="AG161" i="36"/>
  <c r="AG162" i="36"/>
  <c r="AG163" i="36"/>
  <c r="AO156" i="36"/>
  <c r="W161" i="36"/>
  <c r="W162" i="36"/>
  <c r="W163" i="36"/>
  <c r="X157" i="36"/>
  <c r="N156" i="36"/>
  <c r="Z157" i="36"/>
  <c r="Z162" i="36"/>
  <c r="Z163" i="36"/>
  <c r="AM157" i="36"/>
  <c r="AD161" i="36"/>
  <c r="AC156" i="36"/>
  <c r="AD156" i="36"/>
  <c r="AD162" i="36"/>
  <c r="AD163" i="36"/>
  <c r="AM154" i="36"/>
  <c r="AM161" i="36"/>
  <c r="AN142" i="36"/>
  <c r="AN149" i="36"/>
  <c r="N142" i="36"/>
  <c r="N149" i="36"/>
  <c r="AB145" i="36"/>
  <c r="AC145" i="36"/>
  <c r="AD145" i="36"/>
  <c r="AQ145" i="36"/>
  <c r="AG149" i="36"/>
  <c r="AG150" i="36"/>
  <c r="AG151" i="36"/>
  <c r="L142" i="36"/>
  <c r="L149" i="36"/>
  <c r="AD142" i="36"/>
  <c r="AD149" i="36"/>
  <c r="AD144" i="36"/>
  <c r="AD150" i="36"/>
  <c r="AD151" i="36"/>
  <c r="AB149" i="36"/>
  <c r="AB150" i="36"/>
  <c r="AB151" i="36"/>
  <c r="L150" i="36"/>
  <c r="L151" i="36"/>
  <c r="AL142" i="36"/>
  <c r="AL149" i="36"/>
  <c r="AN144" i="36"/>
  <c r="AM145" i="36"/>
  <c r="AL144" i="36"/>
  <c r="N144" i="36"/>
  <c r="AC150" i="36"/>
  <c r="AC151" i="36"/>
  <c r="AQ150" i="36"/>
  <c r="AQ151" i="36"/>
  <c r="AN150" i="36"/>
  <c r="AN151" i="36"/>
  <c r="AN145" i="36"/>
  <c r="AM144" i="36"/>
  <c r="AM150" i="36"/>
  <c r="AM151" i="36"/>
  <c r="Y137" i="36"/>
  <c r="AO133" i="36"/>
  <c r="AG137" i="36"/>
  <c r="AG138" i="36"/>
  <c r="AG139" i="36"/>
  <c r="N130" i="36"/>
  <c r="N137" i="36"/>
  <c r="N138" i="36"/>
  <c r="N139" i="36"/>
  <c r="N132" i="36"/>
  <c r="M137" i="36"/>
  <c r="AO130" i="36"/>
  <c r="AO137" i="36"/>
  <c r="L132" i="36"/>
  <c r="M132" i="36"/>
  <c r="M138" i="36"/>
  <c r="M139" i="36"/>
  <c r="N133" i="36"/>
  <c r="AO138" i="36"/>
  <c r="AO139" i="36"/>
  <c r="V138" i="36"/>
  <c r="V139" i="36"/>
  <c r="M133" i="36"/>
  <c r="AI132" i="36"/>
  <c r="AQ133" i="36"/>
  <c r="L138" i="36"/>
  <c r="L139" i="36"/>
  <c r="AJ121" i="36"/>
  <c r="AC125" i="36"/>
  <c r="AJ120" i="36"/>
  <c r="AF125" i="36"/>
  <c r="AF126" i="36"/>
  <c r="AF127" i="36"/>
  <c r="AJ118" i="36"/>
  <c r="AJ125" i="36"/>
  <c r="AL121" i="36"/>
  <c r="AL126" i="36"/>
  <c r="AL127" i="36"/>
  <c r="AL120" i="36"/>
  <c r="AO126" i="36"/>
  <c r="AO127" i="36"/>
  <c r="U125" i="36"/>
  <c r="U126" i="36"/>
  <c r="U127" i="36"/>
  <c r="L121" i="36"/>
  <c r="AR118" i="36"/>
  <c r="AR125" i="36"/>
  <c r="AK118" i="36"/>
  <c r="AK125" i="36"/>
  <c r="U121" i="36"/>
  <c r="V121" i="36"/>
  <c r="W121" i="36"/>
  <c r="L126" i="36"/>
  <c r="L127" i="36"/>
  <c r="AC126" i="36"/>
  <c r="AC127" i="36"/>
  <c r="AR120" i="36"/>
  <c r="AJ126" i="36"/>
  <c r="AJ127" i="36"/>
  <c r="AI114" i="36"/>
  <c r="AI115" i="36"/>
  <c r="X106" i="36"/>
  <c r="X113" i="36"/>
  <c r="X108" i="36"/>
  <c r="X114" i="36"/>
  <c r="X115" i="36"/>
  <c r="AA109" i="36"/>
  <c r="AR108" i="36"/>
  <c r="Y109" i="36"/>
  <c r="Z109" i="36"/>
  <c r="AJ108" i="36"/>
  <c r="V109" i="36"/>
  <c r="W109" i="36"/>
  <c r="X109" i="36"/>
  <c r="AR109" i="36"/>
  <c r="Z106" i="36"/>
  <c r="Z113" i="36"/>
  <c r="Z108" i="36"/>
  <c r="Z114" i="36"/>
  <c r="Z115" i="36"/>
  <c r="AR106" i="36"/>
  <c r="AR113" i="36"/>
  <c r="AQ109" i="36"/>
  <c r="AS114" i="36"/>
  <c r="AS115" i="36"/>
  <c r="AQ114" i="36"/>
  <c r="AQ115" i="36"/>
  <c r="AQ108" i="36"/>
  <c r="AS108" i="36"/>
  <c r="AJ114" i="36"/>
  <c r="AJ115" i="36"/>
  <c r="AJ102" i="36"/>
  <c r="AJ103" i="36"/>
  <c r="AO96" i="36"/>
  <c r="N94" i="36"/>
  <c r="N101" i="36"/>
  <c r="N102" i="36"/>
  <c r="N97" i="36"/>
  <c r="X97" i="36"/>
  <c r="AF101" i="36"/>
  <c r="AF102" i="36"/>
  <c r="AF103" i="36"/>
  <c r="W101" i="36"/>
  <c r="W102" i="36"/>
  <c r="W103" i="36"/>
  <c r="AJ97" i="36"/>
  <c r="N96" i="36"/>
  <c r="AL90" i="36"/>
  <c r="AL91" i="36"/>
  <c r="Y84" i="36"/>
  <c r="Z84" i="36"/>
  <c r="AR90" i="36"/>
  <c r="AR91" i="36"/>
  <c r="T89" i="36"/>
  <c r="T84" i="36"/>
  <c r="T90" i="36"/>
  <c r="T91" i="36"/>
  <c r="V85" i="36"/>
  <c r="Y85" i="36"/>
  <c r="Z85" i="36"/>
  <c r="AL84" i="36"/>
  <c r="AP90" i="36"/>
  <c r="AP91" i="36"/>
  <c r="T85" i="36"/>
  <c r="N85" i="36"/>
  <c r="Z82" i="36"/>
  <c r="Z89" i="36"/>
  <c r="Z90" i="36"/>
  <c r="Z91" i="36"/>
  <c r="AP85" i="36"/>
  <c r="L90" i="36"/>
  <c r="L91" i="36"/>
  <c r="AI84" i="36"/>
  <c r="V89" i="36"/>
  <c r="AG90" i="36"/>
  <c r="AG91" i="36"/>
  <c r="AI82" i="36"/>
  <c r="AI89" i="36"/>
  <c r="AC82" i="36"/>
  <c r="AC89" i="36"/>
  <c r="AC84" i="36"/>
  <c r="AC90" i="36"/>
  <c r="AC91" i="36"/>
  <c r="AR84" i="36"/>
  <c r="V90" i="36"/>
  <c r="V91" i="36"/>
  <c r="AS58" i="36"/>
  <c r="AS65" i="36"/>
  <c r="AJ66" i="36"/>
  <c r="AJ67" i="36"/>
  <c r="T65" i="36"/>
  <c r="T60" i="36"/>
  <c r="T66" i="36"/>
  <c r="T67" i="36"/>
  <c r="T61" i="36"/>
  <c r="AJ58" i="36"/>
  <c r="AJ65" i="36"/>
  <c r="AK61" i="36"/>
  <c r="AI58" i="36"/>
  <c r="AI65" i="36"/>
  <c r="AS61" i="36"/>
  <c r="AS60" i="36"/>
  <c r="AJ61" i="36"/>
  <c r="AJ60" i="36"/>
  <c r="T48" i="36"/>
  <c r="AL54" i="36"/>
  <c r="AL55" i="36"/>
  <c r="T46" i="36"/>
  <c r="T53" i="36"/>
  <c r="T54" i="36"/>
  <c r="T55" i="36"/>
  <c r="AM54" i="36"/>
  <c r="AM55" i="36"/>
  <c r="AK54" i="36"/>
  <c r="AK55" i="36"/>
  <c r="AK49" i="36"/>
  <c r="AM48" i="36"/>
  <c r="AL48" i="36"/>
  <c r="AE54" i="36"/>
  <c r="AE55" i="36"/>
  <c r="U53" i="36"/>
  <c r="AC49" i="36"/>
  <c r="T49" i="36"/>
  <c r="AB54" i="36"/>
  <c r="AB55" i="36"/>
  <c r="AN49" i="36"/>
  <c r="AD49" i="36"/>
  <c r="AD46" i="36"/>
  <c r="AD53" i="36"/>
  <c r="AC54" i="36"/>
  <c r="AC55" i="36"/>
  <c r="AL49" i="36"/>
  <c r="AD48" i="36"/>
  <c r="Z34" i="36"/>
  <c r="Z41" i="36"/>
  <c r="Z36" i="36"/>
  <c r="Z42" i="36"/>
  <c r="Z43" i="36"/>
  <c r="AP36" i="36"/>
  <c r="AS34" i="36"/>
  <c r="AS41" i="36"/>
  <c r="AO36" i="36"/>
  <c r="AA37" i="36"/>
  <c r="Z37" i="36"/>
  <c r="M41" i="36"/>
  <c r="M42" i="36"/>
  <c r="M43" i="36"/>
  <c r="AK36" i="36"/>
  <c r="AJ42" i="36"/>
  <c r="AJ43" i="36"/>
  <c r="AA36" i="36"/>
  <c r="U41" i="36"/>
  <c r="AK34" i="36"/>
  <c r="AK41" i="36"/>
  <c r="AG41" i="36"/>
  <c r="AG42" i="36"/>
  <c r="AG43" i="36"/>
  <c r="N34" i="36"/>
  <c r="N41" i="36"/>
  <c r="N37" i="36"/>
  <c r="O37" i="36"/>
  <c r="AS36" i="36"/>
  <c r="AP42" i="36"/>
  <c r="AP43" i="36"/>
  <c r="AS42" i="36"/>
  <c r="AS43" i="36"/>
  <c r="AO37" i="36"/>
  <c r="AO34" i="36"/>
  <c r="AO41" i="36"/>
  <c r="AP37" i="36"/>
  <c r="U42" i="36"/>
  <c r="U43" i="36"/>
  <c r="N36" i="36"/>
  <c r="O36" i="36"/>
  <c r="AC22" i="36"/>
  <c r="AC29" i="36"/>
  <c r="AB24" i="36"/>
  <c r="AC24" i="36"/>
  <c r="AC30" i="36"/>
  <c r="AC31" i="36"/>
  <c r="AE30" i="36"/>
  <c r="AE31" i="36"/>
  <c r="Z22" i="36"/>
  <c r="Z29" i="36"/>
  <c r="K29" i="36"/>
  <c r="K30" i="36"/>
  <c r="K31" i="36"/>
  <c r="Y25" i="36"/>
  <c r="Z25" i="36"/>
  <c r="AS22" i="36"/>
  <c r="AS29" i="36"/>
  <c r="AS25" i="36"/>
  <c r="AF29" i="36"/>
  <c r="AF30" i="36"/>
  <c r="AF31" i="36"/>
  <c r="AS30" i="36"/>
  <c r="AS31" i="36"/>
  <c r="AC25" i="36"/>
  <c r="L29" i="36"/>
  <c r="L30" i="36"/>
  <c r="L31" i="36"/>
  <c r="P70" i="41"/>
  <c r="P77" i="41"/>
  <c r="AD101" i="41"/>
  <c r="AD102" i="41"/>
  <c r="AD103" i="41"/>
  <c r="AJ96" i="41"/>
  <c r="AM90" i="41"/>
  <c r="AM91" i="41"/>
  <c r="L90" i="41"/>
  <c r="L91" i="41"/>
  <c r="S85" i="41"/>
  <c r="AF78" i="41"/>
  <c r="AF79" i="41"/>
  <c r="X70" i="41"/>
  <c r="Y70" i="41"/>
  <c r="Y77" i="41"/>
  <c r="X72" i="41"/>
  <c r="Y72" i="41"/>
  <c r="Y78" i="41"/>
  <c r="Y79" i="41"/>
  <c r="P72" i="41"/>
  <c r="Y34" i="41"/>
  <c r="Y41" i="41"/>
  <c r="Y36" i="41"/>
  <c r="Y42" i="41"/>
  <c r="Y43" i="41"/>
  <c r="Z37" i="41"/>
  <c r="AA37" i="41"/>
  <c r="R34" i="41"/>
  <c r="R41" i="41"/>
  <c r="AF22" i="41"/>
  <c r="AH22" i="41"/>
  <c r="AI22" i="41"/>
  <c r="AJ29" i="41"/>
  <c r="M29" i="41"/>
  <c r="M30" i="41"/>
  <c r="M31" i="41"/>
  <c r="AR54" i="41"/>
  <c r="AR55" i="41"/>
  <c r="P97" i="41"/>
  <c r="AL90" i="41"/>
  <c r="AL91" i="41"/>
  <c r="S84" i="41"/>
  <c r="S90" i="41"/>
  <c r="S91" i="41"/>
  <c r="R85" i="41"/>
  <c r="AC70" i="41"/>
  <c r="AE77" i="41"/>
  <c r="AE78" i="41"/>
  <c r="AE79" i="41"/>
  <c r="Z58" i="41"/>
  <c r="Z65" i="41"/>
  <c r="S61" i="41"/>
  <c r="AI29" i="41"/>
  <c r="AI30" i="41"/>
  <c r="AI31" i="41"/>
  <c r="AQ54" i="41"/>
  <c r="AQ55" i="41"/>
  <c r="N97" i="41"/>
  <c r="P96" i="41"/>
  <c r="AK90" i="41"/>
  <c r="AK91" i="41"/>
  <c r="Z85" i="41"/>
  <c r="Z61" i="41"/>
  <c r="Z60" i="41"/>
  <c r="AA60" i="41"/>
  <c r="AI34" i="41"/>
  <c r="AJ34" i="41"/>
  <c r="AJ41" i="41"/>
  <c r="AJ42" i="41"/>
  <c r="AJ43" i="41"/>
  <c r="AH29" i="41"/>
  <c r="AH30" i="41"/>
  <c r="AH31" i="41"/>
  <c r="P94" i="41"/>
  <c r="P101" i="41"/>
  <c r="P102" i="41"/>
  <c r="P103" i="41"/>
  <c r="V85" i="41"/>
  <c r="W85" i="41"/>
  <c r="X85" i="41"/>
  <c r="Y85" i="41"/>
  <c r="R82" i="41"/>
  <c r="R89" i="41"/>
  <c r="R90" i="41"/>
  <c r="R91" i="41"/>
  <c r="X77" i="41"/>
  <c r="O73" i="41"/>
  <c r="AA58" i="41"/>
  <c r="AA65" i="41"/>
  <c r="AA66" i="41"/>
  <c r="AA67" i="41"/>
  <c r="Q61" i="41"/>
  <c r="AJ46" i="41"/>
  <c r="AJ53" i="41"/>
  <c r="AJ48" i="41"/>
  <c r="AJ54" i="41"/>
  <c r="AJ55" i="41"/>
  <c r="AL49" i="41"/>
  <c r="S49" i="41"/>
  <c r="S48" i="41"/>
  <c r="L30" i="41"/>
  <c r="L31" i="41"/>
  <c r="Z89" i="41"/>
  <c r="AM102" i="41"/>
  <c r="AM103" i="41"/>
  <c r="AI82" i="41"/>
  <c r="AI89" i="41"/>
  <c r="AK85" i="41"/>
  <c r="V73" i="41"/>
  <c r="W73" i="41"/>
  <c r="V109" i="40"/>
  <c r="AJ24" i="40"/>
  <c r="W82" i="40"/>
  <c r="W89" i="40"/>
  <c r="W84" i="40"/>
  <c r="W90" i="40"/>
  <c r="W91" i="40"/>
  <c r="AP61" i="40"/>
  <c r="AN114" i="40"/>
  <c r="AN115" i="40"/>
  <c r="AH94" i="40"/>
  <c r="AI94" i="40"/>
  <c r="AJ94" i="40"/>
  <c r="AJ101" i="40"/>
  <c r="AH96" i="40"/>
  <c r="AI96" i="40"/>
  <c r="AJ96" i="40"/>
  <c r="AJ102" i="40"/>
  <c r="AJ103" i="40"/>
  <c r="AK94" i="40"/>
  <c r="AK101" i="40"/>
  <c r="P72" i="40"/>
  <c r="P78" i="40"/>
  <c r="P79" i="40"/>
  <c r="Q72" i="40"/>
  <c r="AI65" i="40"/>
  <c r="AI66" i="40"/>
  <c r="AI67" i="40"/>
  <c r="AH54" i="40"/>
  <c r="AH55" i="40"/>
  <c r="AD36" i="40"/>
  <c r="AE36" i="40"/>
  <c r="AF36" i="40"/>
  <c r="AF42" i="40"/>
  <c r="AF43" i="40"/>
  <c r="AD37" i="40"/>
  <c r="AE37" i="40"/>
  <c r="AF37" i="40"/>
  <c r="V113" i="40"/>
  <c r="AG36" i="40"/>
  <c r="AH36" i="40"/>
  <c r="AJ25" i="40"/>
  <c r="AL109" i="40"/>
  <c r="AL108" i="40"/>
  <c r="AS60" i="40"/>
  <c r="AQ82" i="40"/>
  <c r="AQ89" i="40"/>
  <c r="AM70" i="40"/>
  <c r="AM77" i="40"/>
  <c r="P109" i="40"/>
  <c r="AI101" i="40"/>
  <c r="AI102" i="40"/>
  <c r="AI103" i="40"/>
  <c r="AE42" i="40"/>
  <c r="AE43" i="40"/>
  <c r="L41" i="40"/>
  <c r="O65" i="40"/>
  <c r="AN109" i="40"/>
  <c r="Z113" i="40"/>
  <c r="M113" i="40"/>
  <c r="M114" i="40"/>
  <c r="M115" i="40"/>
  <c r="AE113" i="40"/>
  <c r="AD108" i="40"/>
  <c r="AE108" i="40"/>
  <c r="AE114" i="40"/>
  <c r="AE115" i="40"/>
  <c r="AA101" i="40"/>
  <c r="AA102" i="40"/>
  <c r="AA103" i="40"/>
  <c r="AK97" i="40"/>
  <c r="R94" i="40"/>
  <c r="R101" i="40"/>
  <c r="R102" i="40"/>
  <c r="R103" i="40"/>
  <c r="Q85" i="40"/>
  <c r="L84" i="40"/>
  <c r="M84" i="40"/>
  <c r="N84" i="40"/>
  <c r="N90" i="40"/>
  <c r="N91" i="40"/>
  <c r="AL36" i="40"/>
  <c r="X29" i="40"/>
  <c r="X30" i="40"/>
  <c r="X31" i="40"/>
  <c r="M24" i="40"/>
  <c r="N24" i="40"/>
  <c r="L65" i="40"/>
  <c r="AN108" i="40"/>
  <c r="L113" i="40"/>
  <c r="L114" i="40"/>
  <c r="L115" i="40"/>
  <c r="AF108" i="40"/>
  <c r="W113" i="40"/>
  <c r="X82" i="40"/>
  <c r="X89" i="40"/>
  <c r="X84" i="40"/>
  <c r="X90" i="40"/>
  <c r="X91" i="40"/>
  <c r="R73" i="40"/>
  <c r="Q70" i="40"/>
  <c r="Q77" i="40"/>
  <c r="O66" i="40"/>
  <c r="O67" i="40"/>
  <c r="AP90" i="40"/>
  <c r="AP91" i="40"/>
  <c r="Q73" i="40"/>
  <c r="AM42" i="40"/>
  <c r="AM43" i="40"/>
  <c r="AS106" i="40"/>
  <c r="AS113" i="40"/>
  <c r="AQ85" i="40"/>
  <c r="AM25" i="40"/>
  <c r="AN106" i="40"/>
  <c r="AN113" i="40"/>
  <c r="AM73" i="40"/>
  <c r="AL106" i="40"/>
  <c r="AL113" i="40"/>
  <c r="AD113" i="40"/>
  <c r="AD114" i="40"/>
  <c r="AD115" i="40"/>
  <c r="AK96" i="40"/>
  <c r="M85" i="40"/>
  <c r="N85" i="40"/>
  <c r="P73" i="40"/>
  <c r="X48" i="40"/>
  <c r="X54" i="40"/>
  <c r="X55" i="40"/>
  <c r="P37" i="40"/>
  <c r="S53" i="40"/>
  <c r="AP84" i="40"/>
  <c r="AS54" i="40"/>
  <c r="AS55" i="40"/>
  <c r="AM30" i="40"/>
  <c r="AM31" i="40"/>
  <c r="W114" i="40"/>
  <c r="W115" i="40"/>
  <c r="V85" i="40"/>
  <c r="W85" i="40"/>
  <c r="X85" i="40"/>
  <c r="AA70" i="40"/>
  <c r="AA77" i="40"/>
  <c r="L66" i="40"/>
  <c r="L67" i="40"/>
  <c r="Y60" i="40"/>
  <c r="V41" i="40"/>
  <c r="V36" i="40"/>
  <c r="V42" i="40"/>
  <c r="V43" i="40"/>
  <c r="AL34" i="40"/>
  <c r="AL41" i="40"/>
  <c r="AM37" i="40"/>
  <c r="V114" i="40"/>
  <c r="V115" i="40"/>
  <c r="AN82" i="40"/>
  <c r="AN89" i="40"/>
  <c r="AN84" i="40"/>
  <c r="AO61" i="40"/>
  <c r="AO66" i="40"/>
  <c r="AO67" i="40"/>
  <c r="AM85" i="40"/>
  <c r="AN66" i="40"/>
  <c r="AN67" i="40"/>
  <c r="AN61" i="40"/>
  <c r="AN60" i="40"/>
  <c r="AD65" i="40"/>
  <c r="AP37" i="40"/>
  <c r="AP42" i="40"/>
  <c r="AP43" i="40"/>
  <c r="M22" i="40"/>
  <c r="M29" i="40"/>
  <c r="M30" i="40"/>
  <c r="M31" i="40"/>
  <c r="AM96" i="40"/>
  <c r="AM102" i="40"/>
  <c r="AM103" i="40"/>
  <c r="AM94" i="40"/>
  <c r="AM101" i="40"/>
  <c r="L94" i="40"/>
  <c r="M94" i="40"/>
  <c r="N101" i="40"/>
  <c r="L96" i="40"/>
  <c r="M96" i="40"/>
  <c r="N96" i="40"/>
  <c r="N102" i="40"/>
  <c r="N103" i="40"/>
  <c r="L97" i="40"/>
  <c r="M97" i="40"/>
  <c r="N97" i="40"/>
  <c r="W70" i="40"/>
  <c r="X70" i="40"/>
  <c r="X77" i="40"/>
  <c r="V72" i="40"/>
  <c r="W72" i="40"/>
  <c r="X72" i="40"/>
  <c r="X78" i="40"/>
  <c r="X79" i="40"/>
  <c r="Q46" i="40"/>
  <c r="Q53" i="40"/>
  <c r="Q54" i="40"/>
  <c r="Q55" i="40"/>
  <c r="AO37" i="40"/>
  <c r="AO42" i="40"/>
  <c r="AO43" i="40"/>
  <c r="AK30" i="40"/>
  <c r="AK31" i="40"/>
  <c r="L25" i="40"/>
  <c r="W77" i="40"/>
  <c r="W78" i="40"/>
  <c r="W79" i="40"/>
  <c r="AI53" i="40"/>
  <c r="AI54" i="40"/>
  <c r="AI55" i="40"/>
  <c r="P53" i="40"/>
  <c r="O49" i="40"/>
  <c r="P49" i="40"/>
  <c r="P48" i="40"/>
  <c r="P54" i="40"/>
  <c r="P55" i="40"/>
  <c r="M41" i="40"/>
  <c r="M42" i="40"/>
  <c r="M43" i="40"/>
  <c r="AS25" i="40"/>
  <c r="AS30" i="40"/>
  <c r="AS31" i="40"/>
  <c r="AS24" i="40"/>
  <c r="AS97" i="40"/>
  <c r="AS96" i="40"/>
  <c r="M101" i="40"/>
  <c r="M102" i="40"/>
  <c r="M103" i="40"/>
  <c r="M25" i="40"/>
  <c r="AR54" i="40"/>
  <c r="AR55" i="40"/>
  <c r="AR49" i="40"/>
  <c r="AR46" i="40"/>
  <c r="AR53" i="40"/>
  <c r="Y46" i="40"/>
  <c r="Y53" i="40"/>
  <c r="Y48" i="40"/>
  <c r="Y54" i="40"/>
  <c r="Y55" i="40"/>
  <c r="O2" i="40"/>
  <c r="O48" i="40"/>
  <c r="O54" i="40"/>
  <c r="O55" i="40"/>
  <c r="AR30" i="40"/>
  <c r="AR31" i="40"/>
  <c r="AR24" i="40"/>
  <c r="AR25" i="40"/>
  <c r="AJ29" i="40"/>
  <c r="AJ30" i="40"/>
  <c r="AJ31" i="40"/>
  <c r="AC30" i="40"/>
  <c r="AC31" i="40"/>
  <c r="AC70" i="40"/>
  <c r="AD70" i="40"/>
  <c r="AD77" i="40"/>
  <c r="AD78" i="40"/>
  <c r="AD79" i="40"/>
  <c r="AK25" i="40"/>
  <c r="AN58" i="40"/>
  <c r="AN65" i="40"/>
  <c r="AD66" i="40"/>
  <c r="AD67" i="40"/>
  <c r="AQ49" i="40"/>
  <c r="AQ46" i="40"/>
  <c r="AQ53" i="40"/>
  <c r="V49" i="40"/>
  <c r="W49" i="40"/>
  <c r="X49" i="40"/>
  <c r="AQ109" i="40"/>
  <c r="AC113" i="40"/>
  <c r="AC114" i="40"/>
  <c r="AC115" i="40"/>
  <c r="AP49" i="40"/>
  <c r="AP46" i="40"/>
  <c r="AP53" i="40"/>
  <c r="AP48" i="40"/>
  <c r="S96" i="40"/>
  <c r="S101" i="40"/>
  <c r="S97" i="40"/>
  <c r="AK73" i="40"/>
  <c r="AK78" i="40"/>
  <c r="AK79" i="40"/>
  <c r="AC77" i="40"/>
  <c r="AC78" i="40"/>
  <c r="AC79" i="40"/>
  <c r="AP36" i="40"/>
  <c r="AP108" i="40"/>
  <c r="AP109" i="40"/>
  <c r="AB106" i="40"/>
  <c r="AB113" i="40"/>
  <c r="Z108" i="40"/>
  <c r="AA108" i="40"/>
  <c r="AB108" i="40"/>
  <c r="AB114" i="40"/>
  <c r="AB115" i="40"/>
  <c r="S109" i="40"/>
  <c r="AB37" i="40"/>
  <c r="S36" i="40"/>
  <c r="S37" i="40"/>
  <c r="S34" i="40"/>
  <c r="S41" i="40"/>
  <c r="S42" i="40"/>
  <c r="S43" i="40"/>
  <c r="M89" i="40"/>
  <c r="M90" i="40"/>
  <c r="M91" i="40"/>
  <c r="AO36" i="40"/>
  <c r="R109" i="40"/>
  <c r="R108" i="40"/>
  <c r="R114" i="40"/>
  <c r="R115" i="40"/>
  <c r="Z36" i="40"/>
  <c r="AA36" i="40"/>
  <c r="AA41" i="40"/>
  <c r="L89" i="40"/>
  <c r="L90" i="40"/>
  <c r="L91" i="40"/>
  <c r="Q108" i="40"/>
  <c r="Q109" i="40"/>
  <c r="V97" i="40"/>
  <c r="W97" i="40"/>
  <c r="X97" i="40"/>
  <c r="Y97" i="40"/>
  <c r="S29" i="40"/>
  <c r="AO133" i="39"/>
  <c r="AN49" i="39"/>
  <c r="AN53" i="39"/>
  <c r="AI118" i="39"/>
  <c r="AJ125" i="39"/>
  <c r="AH120" i="39"/>
  <c r="AI120" i="39"/>
  <c r="AJ120" i="39"/>
  <c r="AJ126" i="39"/>
  <c r="AJ127" i="39"/>
  <c r="AF121" i="39"/>
  <c r="AG121" i="39"/>
  <c r="AH121" i="39"/>
  <c r="AH89" i="39"/>
  <c r="Q82" i="39"/>
  <c r="Q89" i="39"/>
  <c r="Q90" i="39"/>
  <c r="Q91" i="39"/>
  <c r="AC72" i="39"/>
  <c r="AE34" i="39"/>
  <c r="AF34" i="39"/>
  <c r="AG41" i="39"/>
  <c r="AF36" i="39"/>
  <c r="AG36" i="39"/>
  <c r="AG42" i="39"/>
  <c r="AG43" i="39"/>
  <c r="W22" i="39"/>
  <c r="X22" i="39"/>
  <c r="Y22" i="39"/>
  <c r="Y29" i="39"/>
  <c r="W24" i="39"/>
  <c r="X24" i="39"/>
  <c r="Y24" i="39"/>
  <c r="Y30" i="39"/>
  <c r="Y31" i="39"/>
  <c r="AK25" i="39"/>
  <c r="AO138" i="39"/>
  <c r="AO139" i="39"/>
  <c r="AP61" i="39"/>
  <c r="AL133" i="39"/>
  <c r="AC106" i="39"/>
  <c r="AC113" i="39"/>
  <c r="AC108" i="39"/>
  <c r="AC114" i="39"/>
  <c r="AC115" i="39"/>
  <c r="V77" i="39"/>
  <c r="V78" i="39"/>
  <c r="V79" i="39"/>
  <c r="AE41" i="39"/>
  <c r="AE42" i="39"/>
  <c r="AE43" i="39"/>
  <c r="AP66" i="39"/>
  <c r="AP67" i="39"/>
  <c r="AR22" i="39"/>
  <c r="AR29" i="39"/>
  <c r="AM132" i="39"/>
  <c r="M130" i="39"/>
  <c r="M137" i="39"/>
  <c r="Q120" i="39"/>
  <c r="AM114" i="39"/>
  <c r="AM115" i="39"/>
  <c r="M106" i="39"/>
  <c r="M113" i="39"/>
  <c r="AD113" i="39"/>
  <c r="AA101" i="39"/>
  <c r="AE70" i="39"/>
  <c r="AF70" i="39"/>
  <c r="AF77" i="39"/>
  <c r="AF78" i="39"/>
  <c r="AF79" i="39"/>
  <c r="AE77" i="39"/>
  <c r="AG60" i="39"/>
  <c r="AH60" i="39"/>
  <c r="AI60" i="39"/>
  <c r="AM46" i="39"/>
  <c r="AM53" i="39"/>
  <c r="AK30" i="39"/>
  <c r="AK31" i="39"/>
  <c r="R25" i="39"/>
  <c r="AP60" i="39"/>
  <c r="AA130" i="39"/>
  <c r="AB130" i="39"/>
  <c r="AB137" i="39"/>
  <c r="Z132" i="39"/>
  <c r="AA132" i="39"/>
  <c r="AB132" i="39"/>
  <c r="AB138" i="39"/>
  <c r="AB139" i="39"/>
  <c r="AL132" i="39"/>
  <c r="W121" i="39"/>
  <c r="X121" i="39"/>
  <c r="Y121" i="39"/>
  <c r="N106" i="39"/>
  <c r="N113" i="39"/>
  <c r="AE97" i="39"/>
  <c r="AF97" i="39"/>
  <c r="AG97" i="39"/>
  <c r="AH97" i="39"/>
  <c r="AI97" i="39"/>
  <c r="AJ97" i="39"/>
  <c r="AE78" i="39"/>
  <c r="AE79" i="39"/>
  <c r="AC70" i="39"/>
  <c r="AC77" i="39"/>
  <c r="Z65" i="39"/>
  <c r="Z66" i="39"/>
  <c r="Z67" i="39"/>
  <c r="Y61" i="39"/>
  <c r="AM49" i="39"/>
  <c r="AC48" i="39"/>
  <c r="AE22" i="39"/>
  <c r="AF22" i="39"/>
  <c r="AG22" i="39"/>
  <c r="AH22" i="39"/>
  <c r="AI22" i="39"/>
  <c r="AJ29" i="39"/>
  <c r="AF24" i="39"/>
  <c r="AG24" i="39"/>
  <c r="AH24" i="39"/>
  <c r="AI24" i="39"/>
  <c r="AJ24" i="39"/>
  <c r="AJ30" i="39"/>
  <c r="AJ31" i="39"/>
  <c r="Q25" i="39"/>
  <c r="AK24" i="39"/>
  <c r="Q22" i="39"/>
  <c r="Q29" i="39"/>
  <c r="Q30" i="39"/>
  <c r="Q31" i="39"/>
  <c r="AO84" i="39"/>
  <c r="AO130" i="39"/>
  <c r="AO137" i="39"/>
  <c r="AM109" i="39"/>
  <c r="Z96" i="39"/>
  <c r="AA96" i="39"/>
  <c r="AB96" i="39"/>
  <c r="AB102" i="39"/>
  <c r="AB103" i="39"/>
  <c r="Q96" i="39"/>
  <c r="AD77" i="39"/>
  <c r="AD72" i="39"/>
  <c r="AD78" i="39"/>
  <c r="AD79" i="39"/>
  <c r="X58" i="39"/>
  <c r="Y58" i="39"/>
  <c r="Y65" i="39"/>
  <c r="X60" i="39"/>
  <c r="Y60" i="39"/>
  <c r="Y66" i="39"/>
  <c r="Y67" i="39"/>
  <c r="AL49" i="39"/>
  <c r="S53" i="39"/>
  <c r="Q24" i="39"/>
  <c r="AO36" i="39"/>
  <c r="AN48" i="39"/>
  <c r="AQ120" i="39"/>
  <c r="AA118" i="39"/>
  <c r="AA125" i="39"/>
  <c r="Z120" i="39"/>
  <c r="AA120" i="39"/>
  <c r="AA126" i="39"/>
  <c r="AA127" i="39"/>
  <c r="W113" i="39"/>
  <c r="W114" i="39"/>
  <c r="W115" i="39"/>
  <c r="AA102" i="39"/>
  <c r="AA103" i="39"/>
  <c r="AM82" i="39"/>
  <c r="AM89" i="39"/>
  <c r="W82" i="39"/>
  <c r="X82" i="39"/>
  <c r="X89" i="39"/>
  <c r="AC78" i="39"/>
  <c r="AC79" i="39"/>
  <c r="V73" i="39"/>
  <c r="Q46" i="39"/>
  <c r="Q53" i="39"/>
  <c r="Q54" i="39"/>
  <c r="Q55" i="39"/>
  <c r="AK22" i="39"/>
  <c r="AK29" i="39"/>
  <c r="AP72" i="39"/>
  <c r="AO90" i="39"/>
  <c r="AO91" i="39"/>
  <c r="AR94" i="39"/>
  <c r="AR101" i="39"/>
  <c r="AO42" i="39"/>
  <c r="AO43" i="39"/>
  <c r="AR30" i="39"/>
  <c r="AR31" i="39"/>
  <c r="AS60" i="39"/>
  <c r="AP70" i="39"/>
  <c r="AP77" i="39"/>
  <c r="AR102" i="39"/>
  <c r="AR103" i="39"/>
  <c r="AM138" i="39"/>
  <c r="AM139" i="39"/>
  <c r="Z133" i="39"/>
  <c r="AA133" i="39"/>
  <c r="AB133" i="39"/>
  <c r="Z125" i="39"/>
  <c r="Z126" i="39"/>
  <c r="Z127" i="39"/>
  <c r="AD108" i="39"/>
  <c r="AM106" i="39"/>
  <c r="AM113" i="39"/>
  <c r="Z101" i="39"/>
  <c r="Z102" i="39"/>
  <c r="Z103" i="39"/>
  <c r="AH94" i="39"/>
  <c r="AI94" i="39"/>
  <c r="AJ94" i="39"/>
  <c r="AJ101" i="39"/>
  <c r="X85" i="39"/>
  <c r="Q84" i="39"/>
  <c r="S72" i="39"/>
  <c r="AH58" i="39"/>
  <c r="AI58" i="39"/>
  <c r="AJ58" i="39"/>
  <c r="AJ65" i="39"/>
  <c r="AJ60" i="39"/>
  <c r="AJ66" i="39"/>
  <c r="AJ67" i="39"/>
  <c r="S49" i="39"/>
  <c r="AR24" i="39"/>
  <c r="AO85" i="39"/>
  <c r="AL138" i="39"/>
  <c r="AL139" i="39"/>
  <c r="V137" i="39"/>
  <c r="W120" i="39"/>
  <c r="X120" i="39"/>
  <c r="X126" i="39"/>
  <c r="X127" i="39"/>
  <c r="AE106" i="39"/>
  <c r="AF106" i="39"/>
  <c r="AF113" i="39"/>
  <c r="AF114" i="39"/>
  <c r="AF115" i="39"/>
  <c r="AL106" i="39"/>
  <c r="AL113" i="39"/>
  <c r="Y96" i="39"/>
  <c r="AH101" i="39"/>
  <c r="AI65" i="39"/>
  <c r="AI66" i="39"/>
  <c r="AI67" i="39"/>
  <c r="Q65" i="39"/>
  <c r="R49" i="39"/>
  <c r="AM48" i="39"/>
  <c r="V37" i="39"/>
  <c r="W37" i="39"/>
  <c r="X37" i="39"/>
  <c r="Y25" i="39"/>
  <c r="AM37" i="39"/>
  <c r="Y37" i="39"/>
  <c r="AA22" i="39"/>
  <c r="AA29" i="39"/>
  <c r="AI133" i="39"/>
  <c r="W137" i="39"/>
  <c r="R24" i="39"/>
  <c r="AI132" i="39"/>
  <c r="AI138" i="39"/>
  <c r="AI139" i="39"/>
  <c r="S133" i="39"/>
  <c r="Z36" i="39"/>
  <c r="AA36" i="39"/>
  <c r="AB36" i="39"/>
  <c r="AF41" i="39"/>
  <c r="AA24" i="39"/>
  <c r="AA30" i="39"/>
  <c r="AA31" i="39"/>
  <c r="AM22" i="39"/>
  <c r="AM29" i="39"/>
  <c r="X29" i="39"/>
  <c r="Y120" i="39"/>
  <c r="AE125" i="39"/>
  <c r="AM42" i="39"/>
  <c r="AM43" i="39"/>
  <c r="X34" i="39"/>
  <c r="Y34" i="39"/>
  <c r="Y41" i="39"/>
  <c r="V36" i="39"/>
  <c r="W36" i="39"/>
  <c r="X36" i="39"/>
  <c r="Y36" i="39"/>
  <c r="Y42" i="39"/>
  <c r="Y43" i="39"/>
  <c r="AA34" i="39"/>
  <c r="AB34" i="39"/>
  <c r="AB41" i="39"/>
  <c r="X30" i="39"/>
  <c r="X31" i="39"/>
  <c r="R22" i="39"/>
  <c r="R29" i="39"/>
  <c r="R30" i="39"/>
  <c r="R31" i="39"/>
  <c r="AM24" i="39"/>
  <c r="AH34" i="39"/>
  <c r="AI34" i="39"/>
  <c r="AI41" i="39"/>
  <c r="AH36" i="39"/>
  <c r="AI36" i="39"/>
  <c r="AI42" i="39"/>
  <c r="AI43" i="39"/>
  <c r="O233" i="38"/>
  <c r="V192" i="38"/>
  <c r="W192" i="38"/>
  <c r="W197" i="38"/>
  <c r="N190" i="38"/>
  <c r="N197" i="38"/>
  <c r="M192" i="38"/>
  <c r="N192" i="38"/>
  <c r="N198" i="38"/>
  <c r="N199" i="38"/>
  <c r="X149" i="38"/>
  <c r="X150" i="38"/>
  <c r="X151" i="38"/>
  <c r="O144" i="38"/>
  <c r="AD108" i="38"/>
  <c r="AE108" i="38"/>
  <c r="AE106" i="38"/>
  <c r="AE113" i="38"/>
  <c r="AE114" i="38"/>
  <c r="AE115" i="38"/>
  <c r="L108" i="38"/>
  <c r="L113" i="38"/>
  <c r="L114" i="38"/>
  <c r="L115" i="38"/>
  <c r="L109" i="38"/>
  <c r="AB96" i="38"/>
  <c r="AC96" i="38"/>
  <c r="AC102" i="38"/>
  <c r="AC103" i="38"/>
  <c r="AL49" i="38"/>
  <c r="AL54" i="38"/>
  <c r="AL55" i="38"/>
  <c r="S48" i="38"/>
  <c r="O168" i="38"/>
  <c r="O173" i="38"/>
  <c r="AD114" i="38"/>
  <c r="AD115" i="38"/>
  <c r="AL96" i="38"/>
  <c r="AM85" i="38"/>
  <c r="AM90" i="38"/>
  <c r="AM91" i="38"/>
  <c r="L65" i="38"/>
  <c r="AK49" i="38"/>
  <c r="AD25" i="38"/>
  <c r="M29" i="38"/>
  <c r="M30" i="38"/>
  <c r="M31" i="38"/>
  <c r="W233" i="38"/>
  <c r="M197" i="38"/>
  <c r="M169" i="38"/>
  <c r="N169" i="38"/>
  <c r="V145" i="38"/>
  <c r="W145" i="38"/>
  <c r="W149" i="38"/>
  <c r="AK96" i="38"/>
  <c r="AB101" i="38"/>
  <c r="AB102" i="38"/>
  <c r="AB103" i="38"/>
  <c r="AB97" i="38"/>
  <c r="AD58" i="38"/>
  <c r="AD65" i="38"/>
  <c r="AD66" i="38"/>
  <c r="AD67" i="38"/>
  <c r="AD61" i="38"/>
  <c r="Q48" i="38"/>
  <c r="AM25" i="38"/>
  <c r="AM24" i="38"/>
  <c r="W41" i="38"/>
  <c r="W42" i="38"/>
  <c r="W43" i="38"/>
  <c r="AM190" i="38"/>
  <c r="AM197" i="38"/>
  <c r="AM198" i="38"/>
  <c r="AM199" i="38"/>
  <c r="V169" i="38"/>
  <c r="AB106" i="38"/>
  <c r="AB113" i="38"/>
  <c r="Z108" i="38"/>
  <c r="AA108" i="38"/>
  <c r="AB108" i="38"/>
  <c r="AB114" i="38"/>
  <c r="AB115" i="38"/>
  <c r="Z109" i="38"/>
  <c r="AA109" i="38"/>
  <c r="AB109" i="38"/>
  <c r="S106" i="38"/>
  <c r="S113" i="38"/>
  <c r="S108" i="38"/>
  <c r="AD72" i="38"/>
  <c r="AD77" i="38"/>
  <c r="AD78" i="38"/>
  <c r="AD79" i="38"/>
  <c r="AP145" i="38"/>
  <c r="AP150" i="38"/>
  <c r="AP151" i="38"/>
  <c r="AQ210" i="38"/>
  <c r="AQ211" i="38"/>
  <c r="AO162" i="38"/>
  <c r="AO163" i="38"/>
  <c r="AO154" i="38"/>
  <c r="AO161" i="38"/>
  <c r="AF217" i="38"/>
  <c r="AG217" i="38"/>
  <c r="AH217" i="38"/>
  <c r="AI217" i="38"/>
  <c r="AJ217" i="38"/>
  <c r="AD192" i="38"/>
  <c r="AD198" i="38"/>
  <c r="AD199" i="38"/>
  <c r="M65" i="38"/>
  <c r="Z49" i="38"/>
  <c r="AA49" i="38"/>
  <c r="AB49" i="38"/>
  <c r="AL25" i="38"/>
  <c r="AL22" i="38"/>
  <c r="AL29" i="38"/>
  <c r="AL24" i="38"/>
  <c r="AE34" i="38"/>
  <c r="AE41" i="38"/>
  <c r="AE42" i="38"/>
  <c r="AE43" i="38"/>
  <c r="AD37" i="38"/>
  <c r="AE37" i="38"/>
  <c r="O214" i="38"/>
  <c r="O221" i="38"/>
  <c r="O216" i="38"/>
  <c r="O217" i="38"/>
  <c r="O222" i="38"/>
  <c r="O223" i="38"/>
  <c r="M209" i="38"/>
  <c r="M210" i="38"/>
  <c r="M211" i="38"/>
  <c r="Z192" i="38"/>
  <c r="AA192" i="38"/>
  <c r="AB192" i="38"/>
  <c r="AC192" i="38"/>
  <c r="M174" i="38"/>
  <c r="M175" i="38"/>
  <c r="AK106" i="38"/>
  <c r="AK113" i="38"/>
  <c r="AB72" i="38"/>
  <c r="AC72" i="38"/>
  <c r="AB70" i="38"/>
  <c r="AC70" i="38"/>
  <c r="AC77" i="38"/>
  <c r="AC78" i="38"/>
  <c r="AC79" i="38"/>
  <c r="AB58" i="38"/>
  <c r="AB65" i="38"/>
  <c r="AB66" i="38"/>
  <c r="AB67" i="38"/>
  <c r="Z61" i="38"/>
  <c r="AA61" i="38"/>
  <c r="AB61" i="38"/>
  <c r="AS96" i="38"/>
  <c r="AO229" i="38"/>
  <c r="AO226" i="38"/>
  <c r="AO233" i="38"/>
  <c r="V253" i="38"/>
  <c r="W253" i="38"/>
  <c r="X253" i="38"/>
  <c r="Y253" i="38"/>
  <c r="V229" i="38"/>
  <c r="W229" i="38"/>
  <c r="AF233" i="38"/>
  <c r="AD73" i="38"/>
  <c r="S53" i="38"/>
  <c r="M37" i="38"/>
  <c r="N37" i="38"/>
  <c r="L210" i="38"/>
  <c r="L211" i="38"/>
  <c r="Z180" i="38"/>
  <c r="AA180" i="38"/>
  <c r="AA178" i="38"/>
  <c r="AA185" i="38"/>
  <c r="AA186" i="38"/>
  <c r="AA187" i="38"/>
  <c r="AK133" i="38"/>
  <c r="S73" i="38"/>
  <c r="AK60" i="38"/>
  <c r="AK58" i="38"/>
  <c r="AK65" i="38"/>
  <c r="AQ204" i="38"/>
  <c r="AP229" i="38"/>
  <c r="AL265" i="38"/>
  <c r="O228" i="38"/>
  <c r="O234" i="38"/>
  <c r="O235" i="38"/>
  <c r="V197" i="38"/>
  <c r="O174" i="38"/>
  <c r="O175" i="38"/>
  <c r="M66" i="38"/>
  <c r="M67" i="38"/>
  <c r="AL46" i="38"/>
  <c r="AL53" i="38"/>
  <c r="R46" i="38"/>
  <c r="R53" i="38"/>
  <c r="Z185" i="38"/>
  <c r="Z186" i="38"/>
  <c r="Z187" i="38"/>
  <c r="AK168" i="38"/>
  <c r="AC166" i="38"/>
  <c r="AC173" i="38"/>
  <c r="AI154" i="38"/>
  <c r="AI161" i="38"/>
  <c r="Q130" i="38"/>
  <c r="Q137" i="38"/>
  <c r="Q138" i="38"/>
  <c r="Q139" i="38"/>
  <c r="AJ118" i="38"/>
  <c r="AJ125" i="38"/>
  <c r="AJ120" i="38"/>
  <c r="AJ126" i="38"/>
  <c r="AJ127" i="38"/>
  <c r="Z120" i="38"/>
  <c r="AA120" i="38"/>
  <c r="AB120" i="38"/>
  <c r="AB126" i="38"/>
  <c r="AB127" i="38"/>
  <c r="S120" i="38"/>
  <c r="S121" i="38"/>
  <c r="AI70" i="38"/>
  <c r="AJ77" i="38"/>
  <c r="AF73" i="38"/>
  <c r="AG73" i="38"/>
  <c r="AH73" i="38"/>
  <c r="AI73" i="38"/>
  <c r="AJ73" i="38"/>
  <c r="AH72" i="38"/>
  <c r="AI72" i="38"/>
  <c r="AJ72" i="38"/>
  <c r="AN229" i="38"/>
  <c r="AI257" i="38"/>
  <c r="AI258" i="38"/>
  <c r="AI259" i="38"/>
  <c r="AH233" i="38"/>
  <c r="AH228" i="38"/>
  <c r="AH234" i="38"/>
  <c r="AH235" i="38"/>
  <c r="AJ214" i="38"/>
  <c r="AJ221" i="38"/>
  <c r="AJ222" i="38"/>
  <c r="AJ223" i="38"/>
  <c r="N174" i="38"/>
  <c r="N175" i="38"/>
  <c r="W150" i="38"/>
  <c r="W151" i="38"/>
  <c r="S97" i="38"/>
  <c r="L66" i="38"/>
  <c r="L67" i="38"/>
  <c r="AL61" i="38"/>
  <c r="Q46" i="38"/>
  <c r="Q53" i="38"/>
  <c r="Q54" i="38"/>
  <c r="Q55" i="38"/>
  <c r="AM214" i="38"/>
  <c r="AM221" i="38"/>
  <c r="R145" i="38"/>
  <c r="R142" i="38"/>
  <c r="R149" i="38"/>
  <c r="R144" i="38"/>
  <c r="Z161" i="38"/>
  <c r="Z162" i="38"/>
  <c r="Z163" i="38"/>
  <c r="Q154" i="38"/>
  <c r="Q161" i="38"/>
  <c r="Q162" i="38"/>
  <c r="Q157" i="38"/>
  <c r="AF82" i="38"/>
  <c r="AG89" i="38"/>
  <c r="AG90" i="38"/>
  <c r="AG91" i="38"/>
  <c r="W82" i="38"/>
  <c r="X82" i="38"/>
  <c r="Y82" i="38"/>
  <c r="Y89" i="38"/>
  <c r="W85" i="38"/>
  <c r="X85" i="38"/>
  <c r="Y85" i="38"/>
  <c r="Q84" i="38"/>
  <c r="AO157" i="38"/>
  <c r="AG253" i="38"/>
  <c r="AH253" i="38"/>
  <c r="AI253" i="38"/>
  <c r="W234" i="38"/>
  <c r="W235" i="38"/>
  <c r="AL216" i="38"/>
  <c r="AL217" i="38"/>
  <c r="AD214" i="38"/>
  <c r="AD221" i="38"/>
  <c r="L221" i="38"/>
  <c r="Q214" i="38"/>
  <c r="Q221" i="38"/>
  <c r="R214" i="38"/>
  <c r="R221" i="38"/>
  <c r="W221" i="38"/>
  <c r="AC214" i="38"/>
  <c r="AC221" i="38"/>
  <c r="W180" i="38"/>
  <c r="X180" i="38"/>
  <c r="Y180" i="38"/>
  <c r="V178" i="38"/>
  <c r="X178" i="38"/>
  <c r="Y178" i="38"/>
  <c r="Y185" i="38"/>
  <c r="Y186" i="38"/>
  <c r="Y187" i="38"/>
  <c r="V181" i="38"/>
  <c r="W181" i="38"/>
  <c r="X181" i="38"/>
  <c r="Y181" i="38"/>
  <c r="Y157" i="38"/>
  <c r="X156" i="38"/>
  <c r="Y156" i="38"/>
  <c r="P162" i="38"/>
  <c r="P163" i="38"/>
  <c r="P154" i="38"/>
  <c r="P161" i="38"/>
  <c r="P157" i="38"/>
  <c r="P84" i="38"/>
  <c r="P90" i="38"/>
  <c r="AS97" i="38"/>
  <c r="AS94" i="38"/>
  <c r="AS101" i="38"/>
  <c r="AL267" i="38"/>
  <c r="AF234" i="38"/>
  <c r="AF235" i="38"/>
  <c r="AL58" i="38"/>
  <c r="AL65" i="38"/>
  <c r="AC216" i="38"/>
  <c r="O197" i="38"/>
  <c r="O192" i="38"/>
  <c r="O198" i="38"/>
  <c r="O199" i="38"/>
  <c r="Y150" i="38"/>
  <c r="Y151" i="38"/>
  <c r="AG156" i="38"/>
  <c r="AG161" i="38"/>
  <c r="AG162" i="38"/>
  <c r="AG163" i="38"/>
  <c r="X161" i="38"/>
  <c r="X162" i="38"/>
  <c r="X163" i="38"/>
  <c r="AD94" i="38"/>
  <c r="AD101" i="38"/>
  <c r="AD102" i="38"/>
  <c r="AD103" i="38"/>
  <c r="AD173" i="38"/>
  <c r="AD168" i="38"/>
  <c r="AD174" i="38"/>
  <c r="AD175" i="38"/>
  <c r="AF142" i="38"/>
  <c r="AF149" i="38"/>
  <c r="P132" i="38"/>
  <c r="Q25" i="38"/>
  <c r="AI37" i="38"/>
  <c r="AJ37" i="38"/>
  <c r="AK193" i="38"/>
  <c r="Q186" i="38"/>
  <c r="Q187" i="38"/>
  <c r="AF166" i="38"/>
  <c r="AH166" i="38"/>
  <c r="AI166" i="38"/>
  <c r="AJ166" i="38"/>
  <c r="AJ173" i="38"/>
  <c r="AF168" i="38"/>
  <c r="AG168" i="38"/>
  <c r="AH168" i="38"/>
  <c r="AI168" i="38"/>
  <c r="AJ168" i="38"/>
  <c r="AJ174" i="38"/>
  <c r="AJ175" i="38"/>
  <c r="O132" i="38"/>
  <c r="O137" i="38"/>
  <c r="O133" i="38"/>
  <c r="M125" i="38"/>
  <c r="L121" i="38"/>
  <c r="M121" i="38"/>
  <c r="O245" i="38"/>
  <c r="AH22" i="38"/>
  <c r="AH29" i="38"/>
  <c r="AL204" i="38"/>
  <c r="AA190" i="38"/>
  <c r="AA197" i="38"/>
  <c r="S193" i="38"/>
  <c r="P180" i="38"/>
  <c r="AE161" i="38"/>
  <c r="AD156" i="38"/>
  <c r="AE156" i="38"/>
  <c r="AE162" i="38"/>
  <c r="AE163" i="38"/>
  <c r="AD157" i="38"/>
  <c r="AE157" i="38"/>
  <c r="R114" i="38"/>
  <c r="R115" i="38"/>
  <c r="R106" i="38"/>
  <c r="R113" i="38"/>
  <c r="AN240" i="38"/>
  <c r="AB267" i="38"/>
  <c r="AD265" i="38"/>
  <c r="V264" i="38"/>
  <c r="W264" i="38"/>
  <c r="X264" i="38"/>
  <c r="Y264" i="38"/>
  <c r="AF257" i="38"/>
  <c r="AF258" i="38"/>
  <c r="AF259" i="38"/>
  <c r="Z217" i="38"/>
  <c r="AA217" i="38"/>
  <c r="P178" i="38"/>
  <c r="P185" i="38"/>
  <c r="O138" i="38"/>
  <c r="O139" i="38"/>
  <c r="X130" i="38"/>
  <c r="Y130" i="38"/>
  <c r="Y137" i="38"/>
  <c r="R121" i="38"/>
  <c r="N238" i="38"/>
  <c r="N245" i="38"/>
  <c r="AF30" i="38"/>
  <c r="AF31" i="38"/>
  <c r="O25" i="38"/>
  <c r="O24" i="38"/>
  <c r="O30" i="38"/>
  <c r="O31" i="38"/>
  <c r="Q42" i="38"/>
  <c r="Q43" i="38"/>
  <c r="Q37" i="38"/>
  <c r="AH205" i="38"/>
  <c r="AI205" i="38"/>
  <c r="AJ205" i="38"/>
  <c r="W185" i="38"/>
  <c r="W186" i="38"/>
  <c r="W187" i="38"/>
  <c r="Z169" i="38"/>
  <c r="R168" i="38"/>
  <c r="R166" i="38"/>
  <c r="R173" i="38"/>
  <c r="Y120" i="38"/>
  <c r="Y126" i="38"/>
  <c r="Y127" i="38"/>
  <c r="Q108" i="38"/>
  <c r="AS228" i="38"/>
  <c r="AN258" i="38"/>
  <c r="AN259" i="38"/>
  <c r="AN245" i="38"/>
  <c r="N262" i="38"/>
  <c r="N269" i="38"/>
  <c r="N270" i="38"/>
  <c r="N271" i="38"/>
  <c r="P240" i="38"/>
  <c r="AJ233" i="38"/>
  <c r="R205" i="38"/>
  <c r="AA198" i="38"/>
  <c r="AA199" i="38"/>
  <c r="AH169" i="38"/>
  <c r="AI169" i="38"/>
  <c r="AJ169" i="38"/>
  <c r="AF144" i="38"/>
  <c r="X137" i="38"/>
  <c r="AE25" i="38"/>
  <c r="AE29" i="38"/>
  <c r="AD24" i="38"/>
  <c r="AE24" i="38"/>
  <c r="AE30" i="38"/>
  <c r="AE31" i="38"/>
  <c r="V29" i="38"/>
  <c r="P36" i="38"/>
  <c r="P34" i="38"/>
  <c r="P41" i="38"/>
  <c r="P42" i="38"/>
  <c r="P43" i="38"/>
  <c r="Z233" i="38"/>
  <c r="Z209" i="38"/>
  <c r="AH193" i="38"/>
  <c r="AI178" i="38"/>
  <c r="AJ185" i="38"/>
  <c r="AI180" i="38"/>
  <c r="AJ180" i="38"/>
  <c r="AJ186" i="38"/>
  <c r="AJ187" i="38"/>
  <c r="AC156" i="38"/>
  <c r="AC162" i="38"/>
  <c r="AC163" i="38"/>
  <c r="AC157" i="38"/>
  <c r="AD118" i="38"/>
  <c r="AE118" i="38"/>
  <c r="AE125" i="38"/>
  <c r="AD120" i="38"/>
  <c r="AE120" i="38"/>
  <c r="AE126" i="38"/>
  <c r="AE127" i="38"/>
  <c r="P94" i="38"/>
  <c r="P101" i="38"/>
  <c r="AS169" i="38"/>
  <c r="AS166" i="38"/>
  <c r="AS173" i="38"/>
  <c r="AN253" i="38"/>
  <c r="AL270" i="38"/>
  <c r="AL271" i="38"/>
  <c r="M269" i="38"/>
  <c r="M270" i="38"/>
  <c r="M271" i="38"/>
  <c r="P267" i="38"/>
  <c r="P246" i="38"/>
  <c r="P247" i="38"/>
  <c r="O240" i="38"/>
  <c r="Q181" i="38"/>
  <c r="N156" i="38"/>
  <c r="AK252" i="38"/>
  <c r="X34" i="38"/>
  <c r="X41" i="38"/>
  <c r="X42" i="38"/>
  <c r="X43" i="38"/>
  <c r="O37" i="38"/>
  <c r="X192" i="38"/>
  <c r="X198" i="38"/>
  <c r="X199" i="38"/>
  <c r="AQ22" i="38"/>
  <c r="AQ29" i="38"/>
  <c r="AP132" i="38"/>
  <c r="AN252" i="38"/>
  <c r="P264" i="38"/>
  <c r="O246" i="38"/>
  <c r="O247" i="38"/>
  <c r="N240" i="38"/>
  <c r="AK192" i="38"/>
  <c r="P181" i="38"/>
  <c r="S169" i="38"/>
  <c r="S173" i="38"/>
  <c r="S174" i="38"/>
  <c r="S175" i="38"/>
  <c r="W133" i="38"/>
  <c r="X133" i="38"/>
  <c r="X132" i="38"/>
  <c r="M126" i="38"/>
  <c r="M127" i="38"/>
  <c r="AJ253" i="38"/>
  <c r="AM22" i="38"/>
  <c r="AM29" i="38"/>
  <c r="L29" i="38"/>
  <c r="AM36" i="38"/>
  <c r="V205" i="38"/>
  <c r="W205" i="38"/>
  <c r="X205" i="38"/>
  <c r="AF173" i="38"/>
  <c r="AF174" i="38"/>
  <c r="AF175" i="38"/>
  <c r="AF109" i="38"/>
  <c r="AG109" i="38"/>
  <c r="AF106" i="38"/>
  <c r="AG113" i="38"/>
  <c r="AP217" i="38"/>
  <c r="AP222" i="38"/>
  <c r="AP223" i="38"/>
  <c r="AN257" i="38"/>
  <c r="AD264" i="38"/>
  <c r="AD270" i="38"/>
  <c r="AD271" i="38"/>
  <c r="N267" i="38"/>
  <c r="P265" i="38"/>
  <c r="AM264" i="38"/>
  <c r="N246" i="38"/>
  <c r="N247" i="38"/>
  <c r="M234" i="38"/>
  <c r="M235" i="38"/>
  <c r="AA221" i="38"/>
  <c r="AA222" i="38"/>
  <c r="AA223" i="38"/>
  <c r="R204" i="38"/>
  <c r="R210" i="38"/>
  <c r="R211" i="38"/>
  <c r="AK198" i="38"/>
  <c r="AK199" i="38"/>
  <c r="AB193" i="38"/>
  <c r="AC193" i="38"/>
  <c r="AB190" i="38"/>
  <c r="AC190" i="38"/>
  <c r="AC197" i="38"/>
  <c r="L173" i="38"/>
  <c r="L174" i="38"/>
  <c r="L175" i="38"/>
  <c r="AF150" i="38"/>
  <c r="AF151" i="38"/>
  <c r="X138" i="38"/>
  <c r="X139" i="38"/>
  <c r="AI36" i="38"/>
  <c r="AJ36" i="38"/>
  <c r="AJ42" i="38"/>
  <c r="AJ43" i="38"/>
  <c r="S238" i="38"/>
  <c r="S245" i="38"/>
  <c r="S246" i="38"/>
  <c r="S247" i="38"/>
  <c r="S25" i="38"/>
  <c r="M41" i="38"/>
  <c r="M42" i="38"/>
  <c r="M43" i="38"/>
  <c r="AE197" i="38"/>
  <c r="AE192" i="38"/>
  <c r="AE198" i="38"/>
  <c r="AE199" i="38"/>
  <c r="W169" i="38"/>
  <c r="W173" i="38"/>
  <c r="V168" i="38"/>
  <c r="W168" i="38"/>
  <c r="W174" i="38"/>
  <c r="W175" i="38"/>
  <c r="AQ25" i="38"/>
  <c r="AO144" i="38"/>
  <c r="AS174" i="38"/>
  <c r="AS175" i="38"/>
  <c r="AQ250" i="38"/>
  <c r="AQ257" i="38"/>
  <c r="AP174" i="38"/>
  <c r="AP175" i="38"/>
  <c r="O253" i="38"/>
  <c r="O252" i="38"/>
  <c r="AD229" i="38"/>
  <c r="AI228" i="38"/>
  <c r="AJ228" i="38"/>
  <c r="N154" i="38"/>
  <c r="N161" i="38"/>
  <c r="P130" i="38"/>
  <c r="P137" i="38"/>
  <c r="P138" i="38"/>
  <c r="P139" i="38"/>
  <c r="AK25" i="38"/>
  <c r="AK30" i="38"/>
  <c r="AK31" i="38"/>
  <c r="AG149" i="38"/>
  <c r="AG144" i="38"/>
  <c r="Q144" i="38"/>
  <c r="Q150" i="38"/>
  <c r="Q151" i="38"/>
  <c r="AM97" i="38"/>
  <c r="AF197" i="36"/>
  <c r="AF198" i="36"/>
  <c r="AF199" i="36"/>
  <c r="Z118" i="36"/>
  <c r="Z125" i="36"/>
  <c r="AE197" i="36"/>
  <c r="AE198" i="36"/>
  <c r="AE199" i="36"/>
  <c r="N193" i="36"/>
  <c r="O193" i="36"/>
  <c r="N190" i="36"/>
  <c r="O190" i="36"/>
  <c r="O197" i="36"/>
  <c r="N192" i="36"/>
  <c r="AI157" i="36"/>
  <c r="AI156" i="36"/>
  <c r="AN133" i="36"/>
  <c r="AN138" i="36"/>
  <c r="AN139" i="36"/>
  <c r="AN130" i="36"/>
  <c r="AN137" i="36"/>
  <c r="U209" i="36"/>
  <c r="AM133" i="36"/>
  <c r="AR142" i="36"/>
  <c r="AR149" i="36"/>
  <c r="T149" i="36"/>
  <c r="T144" i="36"/>
  <c r="AQ102" i="36"/>
  <c r="AQ103" i="36"/>
  <c r="AQ96" i="36"/>
  <c r="AA97" i="36"/>
  <c r="AA96" i="36"/>
  <c r="AA101" i="36"/>
  <c r="AA102" i="36"/>
  <c r="AA103" i="36"/>
  <c r="AM70" i="36"/>
  <c r="AM77" i="36"/>
  <c r="AM72" i="36"/>
  <c r="AM78" i="36"/>
  <c r="AM79" i="36"/>
  <c r="AM73" i="36"/>
  <c r="AF58" i="36"/>
  <c r="AG58" i="36"/>
  <c r="AG65" i="36"/>
  <c r="Y58" i="36"/>
  <c r="Z58" i="36"/>
  <c r="Z65" i="36"/>
  <c r="Z48" i="36"/>
  <c r="U210" i="36"/>
  <c r="U211" i="36"/>
  <c r="AE258" i="36"/>
  <c r="AE259" i="36"/>
  <c r="AI162" i="36"/>
  <c r="AI163" i="36"/>
  <c r="M145" i="36"/>
  <c r="M149" i="36"/>
  <c r="M150" i="36"/>
  <c r="AP114" i="36"/>
  <c r="AP115" i="36"/>
  <c r="AP96" i="36"/>
  <c r="AO60" i="36"/>
  <c r="AO61" i="36"/>
  <c r="Y65" i="36"/>
  <c r="Y60" i="36"/>
  <c r="Y66" i="36"/>
  <c r="Y67" i="36"/>
  <c r="Y61" i="36"/>
  <c r="AG66" i="36"/>
  <c r="AG67" i="36"/>
  <c r="T150" i="36"/>
  <c r="T151" i="36"/>
  <c r="N109" i="36"/>
  <c r="O109" i="36"/>
  <c r="P109" i="36"/>
  <c r="Q109" i="36"/>
  <c r="N108" i="36"/>
  <c r="O108" i="36"/>
  <c r="P108" i="36"/>
  <c r="Q108" i="36"/>
  <c r="N106" i="36"/>
  <c r="O106" i="36"/>
  <c r="AO102" i="36"/>
  <c r="AO103" i="36"/>
  <c r="AO94" i="36"/>
  <c r="AO101" i="36"/>
  <c r="K89" i="36"/>
  <c r="K90" i="36"/>
  <c r="K91" i="36"/>
  <c r="AL72" i="36"/>
  <c r="AL78" i="36"/>
  <c r="AL79" i="36"/>
  <c r="AL73" i="36"/>
  <c r="AF65" i="36"/>
  <c r="AF66" i="36"/>
  <c r="AF67" i="36"/>
  <c r="X65" i="36"/>
  <c r="X66" i="36"/>
  <c r="X67" i="36"/>
  <c r="AD25" i="36"/>
  <c r="AM37" i="36"/>
  <c r="AP181" i="36"/>
  <c r="AP180" i="36"/>
  <c r="N121" i="36"/>
  <c r="N120" i="36"/>
  <c r="N126" i="36"/>
  <c r="Z54" i="36"/>
  <c r="Z55" i="36"/>
  <c r="AM138" i="36"/>
  <c r="AM139" i="36"/>
  <c r="AR54" i="36"/>
  <c r="AR55" i="36"/>
  <c r="AB37" i="36"/>
  <c r="AC37" i="36"/>
  <c r="AD37" i="36"/>
  <c r="AQ216" i="36"/>
  <c r="Y173" i="36"/>
  <c r="M125" i="36"/>
  <c r="M121" i="36"/>
  <c r="M120" i="36"/>
  <c r="M126" i="36"/>
  <c r="M127" i="36"/>
  <c r="AR150" i="36"/>
  <c r="AR151" i="36"/>
  <c r="AL24" i="36"/>
  <c r="AL30" i="36"/>
  <c r="AL31" i="36"/>
  <c r="AO178" i="36"/>
  <c r="AO185" i="36"/>
  <c r="AO181" i="36"/>
  <c r="AO186" i="36"/>
  <c r="AO187" i="36"/>
  <c r="X168" i="36"/>
  <c r="X174" i="36"/>
  <c r="X175" i="36"/>
  <c r="AH125" i="36"/>
  <c r="AH126" i="36"/>
  <c r="AH127" i="36"/>
  <c r="AG197" i="36"/>
  <c r="AE173" i="36"/>
  <c r="AG126" i="36"/>
  <c r="AG127" i="36"/>
  <c r="AN61" i="36"/>
  <c r="AE66" i="36"/>
  <c r="AE67" i="36"/>
  <c r="AG54" i="36"/>
  <c r="AG55" i="36"/>
  <c r="W85" i="36"/>
  <c r="AM61" i="36"/>
  <c r="X49" i="36"/>
  <c r="O48" i="36"/>
  <c r="O49" i="36"/>
  <c r="K41" i="36"/>
  <c r="K42" i="36"/>
  <c r="K43" i="36"/>
  <c r="AO90" i="36"/>
  <c r="AO91" i="36"/>
  <c r="AF53" i="36"/>
  <c r="AF54" i="36"/>
  <c r="AF55" i="36"/>
  <c r="AG29" i="36"/>
  <c r="AG30" i="36"/>
  <c r="AG31" i="36"/>
  <c r="X25" i="36"/>
  <c r="AN82" i="36"/>
  <c r="AN89" i="36"/>
  <c r="AF89" i="36"/>
  <c r="M2" i="36"/>
  <c r="L97" i="36"/>
  <c r="M97" i="36"/>
  <c r="AM90" i="36"/>
  <c r="AM91" i="36"/>
  <c r="AN25" i="36"/>
  <c r="T96" i="36"/>
  <c r="AN78" i="36"/>
  <c r="AN79" i="36"/>
  <c r="AN73" i="36"/>
  <c r="AK258" i="36"/>
  <c r="AK259" i="36"/>
  <c r="AK253" i="36"/>
  <c r="AK252" i="36"/>
  <c r="AK222" i="36"/>
  <c r="AK223" i="36"/>
  <c r="AK216" i="36"/>
  <c r="AK214" i="36"/>
  <c r="AK221" i="36"/>
  <c r="AE205" i="36"/>
  <c r="AF205" i="36"/>
  <c r="AG205" i="36"/>
  <c r="AH205" i="36"/>
  <c r="AH204" i="36"/>
  <c r="AH209" i="36"/>
  <c r="AH210" i="36"/>
  <c r="AH211" i="36"/>
  <c r="AB209" i="36"/>
  <c r="AB210" i="36"/>
  <c r="AB211" i="36"/>
  <c r="AE246" i="36"/>
  <c r="AE247" i="36"/>
  <c r="AR228" i="36"/>
  <c r="AR234" i="36"/>
  <c r="AR235" i="36"/>
  <c r="AR226" i="36"/>
  <c r="AR233" i="36"/>
  <c r="AD226" i="36"/>
  <c r="AD233" i="36"/>
  <c r="AD228" i="36"/>
  <c r="AD234" i="36"/>
  <c r="AD235" i="36"/>
  <c r="AD229" i="36"/>
  <c r="AR258" i="36"/>
  <c r="AR259" i="36"/>
  <c r="AK228" i="36"/>
  <c r="AK234" i="36"/>
  <c r="AK235" i="36"/>
  <c r="AK226" i="36"/>
  <c r="AK233" i="36"/>
  <c r="AP217" i="36"/>
  <c r="AP222" i="36"/>
  <c r="AP223" i="36"/>
  <c r="AJ214" i="36"/>
  <c r="AJ221" i="36"/>
  <c r="AJ216" i="36"/>
  <c r="AJ217" i="36"/>
  <c r="K221" i="36"/>
  <c r="K222" i="36"/>
  <c r="K223" i="36"/>
  <c r="K217" i="36"/>
  <c r="AM210" i="36"/>
  <c r="AM211" i="36"/>
  <c r="AM204" i="36"/>
  <c r="AM205" i="36"/>
  <c r="N204" i="36"/>
  <c r="N205" i="36"/>
  <c r="N202" i="36"/>
  <c r="N209" i="36"/>
  <c r="N210" i="36"/>
  <c r="N211" i="36"/>
  <c r="AP214" i="36"/>
  <c r="AP221" i="36"/>
  <c r="AR252" i="36"/>
  <c r="L217" i="36"/>
  <c r="V41" i="36"/>
  <c r="V42" i="36"/>
  <c r="V43" i="36"/>
  <c r="AP216" i="36"/>
  <c r="AR216" i="36"/>
  <c r="AR222" i="36"/>
  <c r="AR223" i="36"/>
  <c r="AE221" i="36"/>
  <c r="AE222" i="36"/>
  <c r="AE223" i="36"/>
  <c r="AR214" i="36"/>
  <c r="AR221" i="36"/>
  <c r="AB41" i="36"/>
  <c r="AB42" i="36"/>
  <c r="AB43" i="36"/>
  <c r="O34" i="36"/>
  <c r="O41" i="36"/>
  <c r="N229" i="36"/>
  <c r="AI22" i="36"/>
  <c r="AI29" i="36"/>
  <c r="AI24" i="36"/>
  <c r="AI25" i="36"/>
  <c r="AI30" i="36"/>
  <c r="AI31" i="36"/>
  <c r="U29" i="36"/>
  <c r="U30" i="36"/>
  <c r="U31" i="36"/>
  <c r="AB30" i="36"/>
  <c r="AI36" i="36"/>
  <c r="AI37" i="36"/>
  <c r="AI42" i="36"/>
  <c r="AI43" i="36"/>
  <c r="AA41" i="36"/>
  <c r="AA42" i="36"/>
  <c r="AA43" i="36"/>
  <c r="AO24" i="36"/>
  <c r="AO30" i="36"/>
  <c r="AO31" i="36"/>
  <c r="AO22" i="36"/>
  <c r="AO29" i="36"/>
  <c r="AN42" i="36"/>
  <c r="AN43" i="36"/>
  <c r="AD29" i="36"/>
  <c r="AD24" i="36"/>
  <c r="AD30" i="36"/>
  <c r="AD31" i="36"/>
  <c r="AL41" i="36"/>
  <c r="AL36" i="36"/>
  <c r="AJ22" i="36"/>
  <c r="AJ29" i="36"/>
  <c r="K2" i="37"/>
  <c r="J2" i="37"/>
  <c r="AN49" i="37"/>
  <c r="AH48" i="37"/>
  <c r="AH46" i="37"/>
  <c r="AH53" i="37"/>
  <c r="O49" i="37"/>
  <c r="AH30" i="37"/>
  <c r="AH31" i="37"/>
  <c r="AI54" i="37"/>
  <c r="AI55" i="37"/>
  <c r="X46" i="37"/>
  <c r="Y46" i="37"/>
  <c r="Y53" i="37"/>
  <c r="Y37" i="37"/>
  <c r="Z37" i="37"/>
  <c r="AC29" i="37"/>
  <c r="AC30" i="37"/>
  <c r="AC31" i="37"/>
  <c r="X30" i="37"/>
  <c r="X31" i="37"/>
  <c r="Y54" i="37"/>
  <c r="Y55" i="37"/>
  <c r="X53" i="37"/>
  <c r="U37" i="37"/>
  <c r="AL30" i="37"/>
  <c r="AL31" i="37"/>
  <c r="AM54" i="37"/>
  <c r="AM55" i="37"/>
  <c r="Y49" i="37"/>
  <c r="AB30" i="37"/>
  <c r="AB31" i="37"/>
  <c r="AL22" i="37"/>
  <c r="AL29" i="37"/>
  <c r="X54" i="37"/>
  <c r="X55" i="37"/>
  <c r="S53" i="37"/>
  <c r="AM25" i="37"/>
  <c r="AH25" i="37"/>
  <c r="AI49" i="37"/>
  <c r="AK42" i="37"/>
  <c r="AK43" i="37"/>
  <c r="N22" i="37"/>
  <c r="N29" i="37"/>
  <c r="N30" i="37"/>
  <c r="N31" i="37"/>
  <c r="P22" i="34"/>
  <c r="P29" i="34"/>
  <c r="M53" i="34"/>
  <c r="M54" i="34"/>
  <c r="N48" i="34"/>
  <c r="Y34" i="34"/>
  <c r="Z41" i="34"/>
  <c r="Y30" i="34"/>
  <c r="Y31" i="34"/>
  <c r="AM25" i="34"/>
  <c r="Y49" i="34"/>
  <c r="Z49" i="34"/>
  <c r="AG53" i="34"/>
  <c r="AI42" i="34"/>
  <c r="AI43" i="34"/>
  <c r="R42" i="34"/>
  <c r="R43" i="34"/>
  <c r="AI37" i="34"/>
  <c r="AB41" i="34"/>
  <c r="K2" i="34"/>
  <c r="T29" i="34"/>
  <c r="T30" i="34"/>
  <c r="T31" i="34"/>
  <c r="AO36" i="34"/>
  <c r="AS25" i="34"/>
  <c r="AQ46" i="34"/>
  <c r="AQ53" i="34"/>
  <c r="AS22" i="34"/>
  <c r="AS29" i="34"/>
  <c r="AK54" i="34"/>
  <c r="AK55" i="34"/>
  <c r="R36" i="34"/>
  <c r="P37" i="34"/>
  <c r="AI25" i="34"/>
  <c r="U29" i="34"/>
  <c r="P25" i="34"/>
  <c r="AR46" i="34"/>
  <c r="AR53" i="34"/>
  <c r="AK49" i="34"/>
  <c r="N46" i="34"/>
  <c r="N53" i="34"/>
  <c r="N54" i="34"/>
  <c r="N55" i="34"/>
  <c r="AK36" i="34"/>
  <c r="W24" i="34"/>
  <c r="AG29" i="34"/>
  <c r="AB42" i="34"/>
  <c r="AB43" i="34"/>
  <c r="P36" i="34"/>
  <c r="P42" i="34"/>
  <c r="P43" i="34"/>
  <c r="W30" i="34"/>
  <c r="W31" i="34"/>
  <c r="P24" i="34"/>
  <c r="N25" i="34"/>
  <c r="AE53" i="34"/>
  <c r="AG54" i="34"/>
  <c r="AG55" i="34"/>
  <c r="AI36" i="34"/>
  <c r="R34" i="34"/>
  <c r="R41" i="34"/>
  <c r="AM22" i="34"/>
  <c r="AM29" i="34"/>
  <c r="U30" i="34"/>
  <c r="U31" i="34"/>
  <c r="AM30" i="34"/>
  <c r="AM31" i="34"/>
  <c r="AR49" i="34"/>
  <c r="AE54" i="34"/>
  <c r="AE55" i="34"/>
  <c r="V37" i="34"/>
  <c r="AQ49" i="34"/>
  <c r="AG30" i="34"/>
  <c r="AG31" i="34"/>
  <c r="AQ48" i="34"/>
  <c r="AI34" i="34"/>
  <c r="AI41" i="34"/>
  <c r="J2" i="34"/>
  <c r="A71" i="35"/>
  <c r="A17" i="35"/>
  <c r="A100" i="35"/>
  <c r="A103" i="35"/>
  <c r="A30" i="35"/>
  <c r="A33" i="35"/>
  <c r="A132" i="35"/>
  <c r="A151" i="35"/>
  <c r="AS132" i="39"/>
  <c r="W138" i="39"/>
  <c r="W139" i="39"/>
  <c r="AK132" i="39"/>
  <c r="AE137" i="39"/>
  <c r="AR133" i="39"/>
  <c r="V138" i="39"/>
  <c r="V139" i="39"/>
  <c r="AJ132" i="39"/>
  <c r="AC130" i="39"/>
  <c r="AC137" i="39"/>
  <c r="AS133" i="39"/>
  <c r="AR130" i="39"/>
  <c r="AR137" i="39"/>
  <c r="AQ132" i="39"/>
  <c r="AE138" i="39"/>
  <c r="AE139" i="39"/>
  <c r="AS130" i="39"/>
  <c r="AS137" i="39"/>
  <c r="AD137" i="39"/>
  <c r="AD132" i="39"/>
  <c r="AD138" i="39"/>
  <c r="AD139" i="39"/>
  <c r="AC138" i="39"/>
  <c r="AC139" i="39"/>
  <c r="AC133" i="39"/>
  <c r="AB120" i="39"/>
  <c r="R120" i="39"/>
  <c r="R118" i="39"/>
  <c r="R125" i="39"/>
  <c r="R126" i="39"/>
  <c r="R127" i="39"/>
  <c r="AB118" i="39"/>
  <c r="AB125" i="39"/>
  <c r="AF126" i="39"/>
  <c r="AF127" i="39"/>
  <c r="AQ121" i="39"/>
  <c r="AQ118" i="39"/>
  <c r="AQ125" i="39"/>
  <c r="AC121" i="39"/>
  <c r="S121" i="39"/>
  <c r="AK118" i="39"/>
  <c r="AK125" i="39"/>
  <c r="AQ126" i="39"/>
  <c r="AQ127" i="39"/>
  <c r="AC118" i="39"/>
  <c r="AC125" i="39"/>
  <c r="AC120" i="39"/>
  <c r="AC126" i="39"/>
  <c r="AC127" i="39"/>
  <c r="Z121" i="39"/>
  <c r="AA121" i="39"/>
  <c r="AB121" i="39"/>
  <c r="R121" i="39"/>
  <c r="AB126" i="39"/>
  <c r="AB127" i="39"/>
  <c r="AK121" i="39"/>
  <c r="AI121" i="39"/>
  <c r="AJ121" i="39"/>
  <c r="AL114" i="39"/>
  <c r="AL115" i="39"/>
  <c r="AJ106" i="39"/>
  <c r="AJ113" i="39"/>
  <c r="S113" i="39"/>
  <c r="AA114" i="39"/>
  <c r="AA115" i="39"/>
  <c r="AL109" i="39"/>
  <c r="AJ109" i="39"/>
  <c r="S108" i="39"/>
  <c r="AH113" i="39"/>
  <c r="AH114" i="39"/>
  <c r="AH115" i="39"/>
  <c r="AG113" i="39"/>
  <c r="AJ108" i="39"/>
  <c r="AQ96" i="39"/>
  <c r="AP102" i="39"/>
  <c r="AP103" i="39"/>
  <c r="AI101" i="39"/>
  <c r="AI102" i="39"/>
  <c r="AI103" i="39"/>
  <c r="Y94" i="39"/>
  <c r="Y101" i="39"/>
  <c r="Y102" i="39"/>
  <c r="Y103" i="39"/>
  <c r="AP94" i="39"/>
  <c r="AP101" i="39"/>
  <c r="AH102" i="39"/>
  <c r="AH103" i="39"/>
  <c r="AG101" i="39"/>
  <c r="AQ102" i="39"/>
  <c r="AQ103" i="39"/>
  <c r="AG102" i="39"/>
  <c r="AG103" i="39"/>
  <c r="R97" i="39"/>
  <c r="AO97" i="39"/>
  <c r="AQ94" i="39"/>
  <c r="AQ101" i="39"/>
  <c r="Q97" i="39"/>
  <c r="AQ97" i="39"/>
  <c r="Y97" i="39"/>
  <c r="AC96" i="39"/>
  <c r="R94" i="39"/>
  <c r="R101" i="39"/>
  <c r="R102" i="39"/>
  <c r="R103" i="39"/>
  <c r="AC102" i="39"/>
  <c r="AC103" i="39"/>
  <c r="R96" i="39"/>
  <c r="Q94" i="39"/>
  <c r="Q101" i="39"/>
  <c r="Q102" i="39"/>
  <c r="Q103" i="39"/>
  <c r="AH90" i="39"/>
  <c r="AH91" i="39"/>
  <c r="N82" i="39"/>
  <c r="P89" i="39"/>
  <c r="N89" i="39"/>
  <c r="Z89" i="39"/>
  <c r="AM85" i="39"/>
  <c r="AK82" i="39"/>
  <c r="AK89" i="39"/>
  <c r="AS84" i="39"/>
  <c r="V84" i="39"/>
  <c r="V90" i="39"/>
  <c r="V91" i="39"/>
  <c r="AB85" i="39"/>
  <c r="AM90" i="39"/>
  <c r="AM91" i="39"/>
  <c r="AM84" i="39"/>
  <c r="AK90" i="39"/>
  <c r="AK91" i="39"/>
  <c r="AK84" i="39"/>
  <c r="Z90" i="39"/>
  <c r="Z91" i="39"/>
  <c r="AN73" i="39"/>
  <c r="AN78" i="39"/>
  <c r="AN79" i="39"/>
  <c r="W73" i="39"/>
  <c r="X73" i="39"/>
  <c r="Y73" i="39"/>
  <c r="AO73" i="39"/>
  <c r="AF73" i="39"/>
  <c r="AG73" i="39"/>
  <c r="AH73" i="39"/>
  <c r="AG77" i="39"/>
  <c r="AP73" i="39"/>
  <c r="AO78" i="39"/>
  <c r="AO79" i="39"/>
  <c r="Q72" i="39"/>
  <c r="AN77" i="39"/>
  <c r="AP78" i="39"/>
  <c r="AP79" i="39"/>
  <c r="Q78" i="39"/>
  <c r="Q79" i="39"/>
  <c r="Q70" i="39"/>
  <c r="Q77" i="39"/>
  <c r="AN72" i="39"/>
  <c r="AO70" i="39"/>
  <c r="AO77" i="39"/>
  <c r="Z77" i="39"/>
  <c r="Z78" i="39"/>
  <c r="Z79" i="39"/>
  <c r="X72" i="39"/>
  <c r="Y72" i="39"/>
  <c r="X70" i="39"/>
  <c r="Y70" i="39"/>
  <c r="Y77" i="39"/>
  <c r="Y78" i="39"/>
  <c r="Y79" i="39"/>
  <c r="AG65" i="39"/>
  <c r="AQ60" i="39"/>
  <c r="AG66" i="39"/>
  <c r="AG67" i="39"/>
  <c r="S61" i="39"/>
  <c r="AK58" i="39"/>
  <c r="AK65" i="39"/>
  <c r="R61" i="39"/>
  <c r="AR60" i="39"/>
  <c r="AE65" i="39"/>
  <c r="AE66" i="39"/>
  <c r="AE67" i="39"/>
  <c r="AK61" i="39"/>
  <c r="Q61" i="39"/>
  <c r="AQ61" i="39"/>
  <c r="AC58" i="39"/>
  <c r="AD65" i="39"/>
  <c r="AD66" i="39"/>
  <c r="AD67" i="39"/>
  <c r="R66" i="39"/>
  <c r="R67" i="39"/>
  <c r="R60" i="39"/>
  <c r="S65" i="39"/>
  <c r="AK66" i="39"/>
  <c r="AK67" i="39"/>
  <c r="Q66" i="39"/>
  <c r="Q67" i="39"/>
  <c r="AK60" i="39"/>
  <c r="Q60" i="39"/>
  <c r="R58" i="39"/>
  <c r="R65" i="39"/>
  <c r="AI49" i="39"/>
  <c r="AL48" i="39"/>
  <c r="Z48" i="39"/>
  <c r="AA48" i="39"/>
  <c r="AB48" i="39"/>
  <c r="R48" i="39"/>
  <c r="AC46" i="39"/>
  <c r="AD53" i="39"/>
  <c r="AD48" i="39"/>
  <c r="AD54" i="39"/>
  <c r="AD55" i="39"/>
  <c r="AQ46" i="39"/>
  <c r="AQ53" i="39"/>
  <c r="AC53" i="39"/>
  <c r="AC54" i="39"/>
  <c r="AC55" i="39"/>
  <c r="AL54" i="39"/>
  <c r="AL55" i="39"/>
  <c r="Z46" i="39"/>
  <c r="AA46" i="39"/>
  <c r="AB46" i="39"/>
  <c r="AB53" i="39"/>
  <c r="AB54" i="39"/>
  <c r="AB55" i="39"/>
  <c r="AH48" i="39"/>
  <c r="AI48" i="39"/>
  <c r="R46" i="39"/>
  <c r="R53" i="39"/>
  <c r="R54" i="39"/>
  <c r="R55" i="39"/>
  <c r="AC49" i="39"/>
  <c r="AD49" i="39"/>
  <c r="AL46" i="39"/>
  <c r="AL53" i="39"/>
  <c r="AA53" i="39"/>
  <c r="M53" i="39"/>
  <c r="Q36" i="39"/>
  <c r="AR37" i="39"/>
  <c r="AL42" i="39"/>
  <c r="AL43" i="39"/>
  <c r="Q34" i="39"/>
  <c r="Q41" i="39"/>
  <c r="Q42" i="39"/>
  <c r="Q43" i="39"/>
  <c r="AS37" i="39"/>
  <c r="AK42" i="39"/>
  <c r="AK43" i="39"/>
  <c r="AA41" i="39"/>
  <c r="AA42" i="39"/>
  <c r="AA43" i="39"/>
  <c r="AD37" i="39"/>
  <c r="AR34" i="39"/>
  <c r="AR41" i="39"/>
  <c r="M37" i="39"/>
  <c r="N37" i="39"/>
  <c r="AK34" i="39"/>
  <c r="AK41" i="39"/>
  <c r="AH41" i="39"/>
  <c r="AH42" i="39"/>
  <c r="AH43" i="39"/>
  <c r="X41" i="39"/>
  <c r="X42" i="39"/>
  <c r="X43" i="39"/>
  <c r="AK37" i="39"/>
  <c r="Q37" i="39"/>
  <c r="W42" i="39"/>
  <c r="W43" i="39"/>
  <c r="AD36" i="39"/>
  <c r="AR36" i="39"/>
  <c r="AN24" i="39"/>
  <c r="AG25" i="39"/>
  <c r="AH25" i="39"/>
  <c r="AI25" i="39"/>
  <c r="AC24" i="39"/>
  <c r="S24" i="39"/>
  <c r="AG29" i="39"/>
  <c r="AB24" i="39"/>
  <c r="AQ22" i="39"/>
  <c r="AQ29" i="39"/>
  <c r="AC22" i="39"/>
  <c r="AD29" i="39"/>
  <c r="AD24" i="39"/>
  <c r="AD30" i="39"/>
  <c r="AD31" i="39"/>
  <c r="S22" i="39"/>
  <c r="S29" i="39"/>
  <c r="S30" i="39"/>
  <c r="S31" i="39"/>
  <c r="AB22" i="39"/>
  <c r="AB29" i="39"/>
  <c r="AB30" i="39"/>
  <c r="AB31" i="39"/>
  <c r="AI29" i="39"/>
  <c r="AI30" i="39"/>
  <c r="AI31" i="39"/>
  <c r="AB25" i="39"/>
  <c r="AQ25" i="39"/>
  <c r="AQ30" i="39"/>
  <c r="AQ31" i="39"/>
  <c r="AQ270" i="38"/>
  <c r="AQ271" i="38"/>
  <c r="Z270" i="38"/>
  <c r="Z271" i="38"/>
  <c r="L267" i="38"/>
  <c r="AN267" i="38"/>
  <c r="AN264" i="38"/>
  <c r="Z267" i="38"/>
  <c r="V267" i="38"/>
  <c r="AK267" i="38"/>
  <c r="AE250" i="38"/>
  <c r="AE257" i="38"/>
  <c r="AD252" i="38"/>
  <c r="AE252" i="38"/>
  <c r="AE258" i="38"/>
  <c r="AE259" i="38"/>
  <c r="Q250" i="38"/>
  <c r="Q257" i="38"/>
  <c r="Q258" i="38"/>
  <c r="Q259" i="38"/>
  <c r="AD257" i="38"/>
  <c r="AD258" i="38"/>
  <c r="AD259" i="38"/>
  <c r="AB250" i="38"/>
  <c r="AC250" i="38"/>
  <c r="AC257" i="38"/>
  <c r="AA252" i="38"/>
  <c r="AB252" i="38"/>
  <c r="AC252" i="38"/>
  <c r="AC258" i="38"/>
  <c r="AC259" i="38"/>
  <c r="O258" i="38"/>
  <c r="O259" i="38"/>
  <c r="N257" i="38"/>
  <c r="N258" i="38"/>
  <c r="N259" i="38"/>
  <c r="Q252" i="38"/>
  <c r="AD253" i="38"/>
  <c r="AE253" i="38"/>
  <c r="Q253" i="38"/>
  <c r="M253" i="38"/>
  <c r="N253" i="38"/>
  <c r="AL252" i="38"/>
  <c r="AB257" i="38"/>
  <c r="AB258" i="38"/>
  <c r="AB259" i="38"/>
  <c r="S252" i="38"/>
  <c r="AG257" i="38"/>
  <c r="AK258" i="38"/>
  <c r="AK259" i="38"/>
  <c r="S257" i="38"/>
  <c r="Z257" i="38"/>
  <c r="Z258" i="38"/>
  <c r="Z259" i="38"/>
  <c r="AG258" i="38"/>
  <c r="AG259" i="38"/>
  <c r="M258" i="38"/>
  <c r="M259" i="38"/>
  <c r="AM253" i="38"/>
  <c r="AM250" i="38"/>
  <c r="AM257" i="38"/>
  <c r="AK241" i="38"/>
  <c r="R240" i="38"/>
  <c r="L245" i="38"/>
  <c r="L246" i="38"/>
  <c r="L247" i="38"/>
  <c r="AH241" i="38"/>
  <c r="AI241" i="38"/>
  <c r="AJ241" i="38"/>
  <c r="V241" i="38"/>
  <c r="W241" i="38"/>
  <c r="X241" i="38"/>
  <c r="AK240" i="38"/>
  <c r="R238" i="38"/>
  <c r="R245" i="38"/>
  <c r="R246" i="38"/>
  <c r="R247" i="38"/>
  <c r="AE238" i="38"/>
  <c r="AE245" i="38"/>
  <c r="AD240" i="38"/>
  <c r="AE240" i="38"/>
  <c r="AE246" i="38"/>
  <c r="AE247" i="38"/>
  <c r="Y240" i="38"/>
  <c r="AD246" i="38"/>
  <c r="AD247" i="38"/>
  <c r="AD241" i="38"/>
  <c r="AE241" i="38"/>
  <c r="L222" i="38"/>
  <c r="L223" i="38"/>
  <c r="Q216" i="38"/>
  <c r="AB217" i="38"/>
  <c r="AC217" i="38"/>
  <c r="AC222" i="38"/>
  <c r="AC223" i="38"/>
  <c r="R217" i="38"/>
  <c r="Q217" i="38"/>
  <c r="AD202" i="38"/>
  <c r="AD209" i="38"/>
  <c r="AA202" i="38"/>
  <c r="AB202" i="38"/>
  <c r="AC202" i="38"/>
  <c r="AC209" i="38"/>
  <c r="AA204" i="38"/>
  <c r="AB204" i="38"/>
  <c r="AC204" i="38"/>
  <c r="AC210" i="38"/>
  <c r="AC211" i="38"/>
  <c r="AB205" i="38"/>
  <c r="AC205" i="38"/>
  <c r="Q202" i="38"/>
  <c r="Q209" i="38"/>
  <c r="AL210" i="38"/>
  <c r="AL211" i="38"/>
  <c r="Q210" i="38"/>
  <c r="Q211" i="38"/>
  <c r="Q205" i="38"/>
  <c r="AL202" i="38"/>
  <c r="AL209" i="38"/>
  <c r="P202" i="38"/>
  <c r="P209" i="38"/>
  <c r="AL205" i="38"/>
  <c r="P205" i="38"/>
  <c r="AO204" i="38"/>
  <c r="AS202" i="38"/>
  <c r="AS209" i="38"/>
  <c r="AN210" i="38"/>
  <c r="AN211" i="38"/>
  <c r="Q204" i="38"/>
  <c r="P198" i="38"/>
  <c r="P199" i="38"/>
  <c r="M198" i="38"/>
  <c r="M199" i="38"/>
  <c r="V193" i="38"/>
  <c r="W193" i="38"/>
  <c r="AL192" i="38"/>
  <c r="AF190" i="38"/>
  <c r="AF197" i="38"/>
  <c r="W198" i="38"/>
  <c r="W199" i="38"/>
  <c r="P192" i="38"/>
  <c r="S197" i="38"/>
  <c r="AF198" i="38"/>
  <c r="AF199" i="38"/>
  <c r="V198" i="38"/>
  <c r="V199" i="38"/>
  <c r="AC198" i="38"/>
  <c r="AC199" i="38"/>
  <c r="AL193" i="38"/>
  <c r="AL190" i="38"/>
  <c r="AL197" i="38"/>
  <c r="AO180" i="38"/>
  <c r="AF185" i="38"/>
  <c r="AF186" i="38"/>
  <c r="AF187" i="38"/>
  <c r="V185" i="38"/>
  <c r="V186" i="38"/>
  <c r="V187" i="38"/>
  <c r="AR180" i="38"/>
  <c r="AE185" i="38"/>
  <c r="AD180" i="38"/>
  <c r="AE180" i="38"/>
  <c r="AE186" i="38"/>
  <c r="AE187" i="38"/>
  <c r="AQ186" i="38"/>
  <c r="AQ187" i="38"/>
  <c r="AD181" i="38"/>
  <c r="AE181" i="38"/>
  <c r="AK186" i="38"/>
  <c r="AK187" i="38"/>
  <c r="X166" i="38"/>
  <c r="X173" i="38"/>
  <c r="X168" i="38"/>
  <c r="X174" i="38"/>
  <c r="X175" i="38"/>
  <c r="V173" i="38"/>
  <c r="V174" i="38"/>
  <c r="V175" i="38"/>
  <c r="AQ174" i="38"/>
  <c r="AQ175" i="38"/>
  <c r="AA169" i="38"/>
  <c r="AB169" i="38"/>
  <c r="AC169" i="38"/>
  <c r="R169" i="38"/>
  <c r="AC174" i="38"/>
  <c r="AC175" i="38"/>
  <c r="R174" i="38"/>
  <c r="R175" i="38"/>
  <c r="N162" i="38"/>
  <c r="N163" i="38"/>
  <c r="AJ161" i="38"/>
  <c r="N157" i="38"/>
  <c r="V149" i="38"/>
  <c r="V150" i="38"/>
  <c r="V151" i="38"/>
  <c r="P145" i="38"/>
  <c r="AK145" i="38"/>
  <c r="O145" i="38"/>
  <c r="AH142" i="38"/>
  <c r="AI142" i="38"/>
  <c r="AI149" i="38"/>
  <c r="AD149" i="38"/>
  <c r="AD150" i="38"/>
  <c r="AD151" i="38"/>
  <c r="N145" i="38"/>
  <c r="O149" i="38"/>
  <c r="AB149" i="38"/>
  <c r="AB144" i="38"/>
  <c r="AB150" i="38"/>
  <c r="AB151" i="38"/>
  <c r="O150" i="38"/>
  <c r="O151" i="38"/>
  <c r="P144" i="38"/>
  <c r="AQ133" i="38"/>
  <c r="AI130" i="38"/>
  <c r="AI137" i="38"/>
  <c r="AF132" i="38"/>
  <c r="AG132" i="38"/>
  <c r="AH132" i="38"/>
  <c r="AI132" i="38"/>
  <c r="AI138" i="38"/>
  <c r="AI139" i="38"/>
  <c r="AG133" i="38"/>
  <c r="AH133" i="38"/>
  <c r="AI133" i="38"/>
  <c r="AJ137" i="38"/>
  <c r="R132" i="38"/>
  <c r="AQ132" i="38"/>
  <c r="AQ138" i="38"/>
  <c r="AQ139" i="38"/>
  <c r="R138" i="38"/>
  <c r="R139" i="38"/>
  <c r="R133" i="38"/>
  <c r="Z132" i="38"/>
  <c r="AA132" i="38"/>
  <c r="AB132" i="38"/>
  <c r="AB130" i="38"/>
  <c r="AB137" i="38"/>
  <c r="AB138" i="38"/>
  <c r="AB139" i="38"/>
  <c r="Z133" i="38"/>
  <c r="AA133" i="38"/>
  <c r="AB133" i="38"/>
  <c r="AA138" i="38"/>
  <c r="AA139" i="38"/>
  <c r="Z138" i="38"/>
  <c r="Z139" i="38"/>
  <c r="AJ132" i="38"/>
  <c r="Y132" i="38"/>
  <c r="AJ138" i="38"/>
  <c r="AJ139" i="38"/>
  <c r="Y138" i="38"/>
  <c r="Y139" i="38"/>
  <c r="Y133" i="38"/>
  <c r="AL118" i="38"/>
  <c r="AL125" i="38"/>
  <c r="S125" i="38"/>
  <c r="AL126" i="38"/>
  <c r="AL127" i="38"/>
  <c r="AL121" i="38"/>
  <c r="O121" i="38"/>
  <c r="Z125" i="38"/>
  <c r="Z126" i="38"/>
  <c r="Z127" i="38"/>
  <c r="AF121" i="38"/>
  <c r="AG121" i="38"/>
  <c r="AH121" i="38"/>
  <c r="AI121" i="38"/>
  <c r="AJ121" i="38"/>
  <c r="V121" i="38"/>
  <c r="W121" i="38"/>
  <c r="X121" i="38"/>
  <c r="Y121" i="38"/>
  <c r="N121" i="38"/>
  <c r="AM114" i="38"/>
  <c r="AM115" i="38"/>
  <c r="AA114" i="38"/>
  <c r="AA115" i="38"/>
  <c r="Y109" i="38"/>
  <c r="M109" i="38"/>
  <c r="N109" i="38"/>
  <c r="AM108" i="38"/>
  <c r="Z113" i="38"/>
  <c r="Z114" i="38"/>
  <c r="Z115" i="38"/>
  <c r="X106" i="38"/>
  <c r="Y106" i="38"/>
  <c r="Y113" i="38"/>
  <c r="V108" i="38"/>
  <c r="W108" i="38"/>
  <c r="X108" i="38"/>
  <c r="Y108" i="38"/>
  <c r="Y114" i="38"/>
  <c r="Y115" i="38"/>
  <c r="AH109" i="38"/>
  <c r="AI109" i="38"/>
  <c r="M108" i="38"/>
  <c r="N108" i="38"/>
  <c r="N114" i="38"/>
  <c r="N115" i="38"/>
  <c r="AH106" i="38"/>
  <c r="AI106" i="38"/>
  <c r="AI113" i="38"/>
  <c r="AH108" i="38"/>
  <c r="AI108" i="38"/>
  <c r="AI114" i="38"/>
  <c r="AI115" i="38"/>
  <c r="M114" i="38"/>
  <c r="M115" i="38"/>
  <c r="R102" i="38"/>
  <c r="R103" i="38"/>
  <c r="AK97" i="38"/>
  <c r="P97" i="38"/>
  <c r="AQ97" i="38"/>
  <c r="AO94" i="38"/>
  <c r="AO101" i="38"/>
  <c r="AN97" i="38"/>
  <c r="O102" i="38"/>
  <c r="O103" i="38"/>
  <c r="R96" i="38"/>
  <c r="AN96" i="38"/>
  <c r="AH96" i="38"/>
  <c r="AI96" i="38"/>
  <c r="AI102" i="38"/>
  <c r="AI103" i="38"/>
  <c r="P96" i="38"/>
  <c r="AQ102" i="38"/>
  <c r="AQ103" i="38"/>
  <c r="AN102" i="38"/>
  <c r="AN103" i="38"/>
  <c r="L101" i="38"/>
  <c r="L102" i="38"/>
  <c r="L103" i="38"/>
  <c r="AK82" i="38"/>
  <c r="AK89" i="38"/>
  <c r="AA89" i="38"/>
  <c r="AA90" i="38"/>
  <c r="AA91" i="38"/>
  <c r="AE84" i="38"/>
  <c r="W89" i="38"/>
  <c r="L89" i="38"/>
  <c r="AK90" i="38"/>
  <c r="AK91" i="38"/>
  <c r="AK85" i="38"/>
  <c r="AH82" i="38"/>
  <c r="AH89" i="38"/>
  <c r="AH90" i="38"/>
  <c r="AH91" i="38"/>
  <c r="W84" i="38"/>
  <c r="W90" i="38"/>
  <c r="W91" i="38"/>
  <c r="L90" i="38"/>
  <c r="L91" i="38"/>
  <c r="AH85" i="38"/>
  <c r="AK84" i="38"/>
  <c r="AE85" i="38"/>
  <c r="AB77" i="38"/>
  <c r="AB78" i="38"/>
  <c r="AB79" i="38"/>
  <c r="N72" i="38"/>
  <c r="AM70" i="38"/>
  <c r="AM77" i="38"/>
  <c r="N70" i="38"/>
  <c r="N77" i="38"/>
  <c r="N78" i="38"/>
  <c r="N79" i="38"/>
  <c r="AM73" i="38"/>
  <c r="AF65" i="38"/>
  <c r="O65" i="38"/>
  <c r="O60" i="38"/>
  <c r="O66" i="38"/>
  <c r="O67" i="38"/>
  <c r="AF61" i="38"/>
  <c r="AG61" i="38"/>
  <c r="V61" i="38"/>
  <c r="AG65" i="38"/>
  <c r="AG66" i="38"/>
  <c r="V66" i="38"/>
  <c r="V67" i="38"/>
  <c r="AH60" i="38"/>
  <c r="AM58" i="38"/>
  <c r="AM65" i="38"/>
  <c r="O53" i="38"/>
  <c r="AQ49" i="38"/>
  <c r="AA46" i="38"/>
  <c r="AB46" i="38"/>
  <c r="AC46" i="38"/>
  <c r="AC53" i="38"/>
  <c r="Z48" i="38"/>
  <c r="AA48" i="38"/>
  <c r="AB48" i="38"/>
  <c r="AC48" i="38"/>
  <c r="AC54" i="38"/>
  <c r="AC55" i="38"/>
  <c r="AG49" i="38"/>
  <c r="AH49" i="38"/>
  <c r="AI49" i="38"/>
  <c r="AJ49" i="38"/>
  <c r="O49" i="38"/>
  <c r="AH53" i="38"/>
  <c r="AQ54" i="38"/>
  <c r="AQ55" i="38"/>
  <c r="N49" i="38"/>
  <c r="AQ46" i="38"/>
  <c r="AQ53" i="38"/>
  <c r="O48" i="38"/>
  <c r="O54" i="38"/>
  <c r="O55" i="38"/>
  <c r="N54" i="38"/>
  <c r="N55" i="38"/>
  <c r="AN42" i="38"/>
  <c r="AN43" i="38"/>
  <c r="O36" i="38"/>
  <c r="O41" i="38"/>
  <c r="O42" i="38"/>
  <c r="O43" i="38"/>
  <c r="AN41" i="38"/>
  <c r="AN37" i="38"/>
  <c r="AB37" i="38"/>
  <c r="AC37" i="38"/>
  <c r="S41" i="38"/>
  <c r="M2" i="38"/>
  <c r="AH24" i="38"/>
  <c r="AH30" i="38"/>
  <c r="AH31" i="38"/>
  <c r="L30" i="38"/>
  <c r="L31" i="38"/>
  <c r="AB25" i="38"/>
  <c r="Q22" i="38"/>
  <c r="Q29" i="38"/>
  <c r="Q30" i="38"/>
  <c r="Q31" i="38"/>
  <c r="V30" i="38"/>
  <c r="V31" i="38"/>
  <c r="Q24" i="38"/>
  <c r="AD29" i="38"/>
  <c r="AD30" i="38"/>
  <c r="AD31" i="38"/>
  <c r="AG25" i="38"/>
  <c r="AH25" i="38"/>
  <c r="AI25" i="38"/>
  <c r="AI24" i="38"/>
  <c r="AJ24" i="38"/>
  <c r="AH264" i="38"/>
  <c r="AI264" i="38"/>
  <c r="AI270" i="38"/>
  <c r="AI271" i="38"/>
  <c r="AH269" i="38"/>
  <c r="AH270" i="38"/>
  <c r="AH271" i="38"/>
  <c r="S264" i="38"/>
  <c r="S265" i="38"/>
  <c r="AF269" i="38"/>
  <c r="AF270" i="38"/>
  <c r="AF271" i="38"/>
  <c r="S262" i="38"/>
  <c r="S269" i="38"/>
  <c r="S270" i="38"/>
  <c r="S271" i="38"/>
  <c r="AE264" i="38"/>
  <c r="AE270" i="38"/>
  <c r="AE271" i="38"/>
  <c r="Q262" i="38"/>
  <c r="Q269" i="38"/>
  <c r="AE267" i="38"/>
  <c r="S267" i="38"/>
  <c r="W269" i="38"/>
  <c r="W267" i="38"/>
  <c r="W270" i="38"/>
  <c r="W271" i="38"/>
  <c r="AH113" i="38"/>
  <c r="AH114" i="38"/>
  <c r="AH115" i="38"/>
  <c r="AK120" i="38"/>
  <c r="AK121" i="38"/>
  <c r="AK118" i="38"/>
  <c r="AK125" i="38"/>
  <c r="AC60" i="38"/>
  <c r="AC58" i="38"/>
  <c r="AC65" i="38"/>
  <c r="AC66" i="38"/>
  <c r="AC67" i="38"/>
  <c r="AC61" i="38"/>
  <c r="AA53" i="38"/>
  <c r="AA54" i="38"/>
  <c r="AA55" i="38"/>
  <c r="L49" i="38"/>
  <c r="L53" i="38"/>
  <c r="L54" i="38"/>
  <c r="L55" i="38"/>
  <c r="AR252" i="38"/>
  <c r="AR253" i="38"/>
  <c r="AA161" i="38"/>
  <c r="AA162" i="38"/>
  <c r="AA163" i="38"/>
  <c r="AP48" i="38"/>
  <c r="AP54" i="38"/>
  <c r="AP55" i="38"/>
  <c r="AA173" i="38"/>
  <c r="AA174" i="38"/>
  <c r="AA175" i="38"/>
  <c r="AR258" i="38"/>
  <c r="AR259" i="38"/>
  <c r="AH138" i="38"/>
  <c r="AH139" i="38"/>
  <c r="AF41" i="38"/>
  <c r="AF42" i="38"/>
  <c r="AF43" i="38"/>
  <c r="AM145" i="38"/>
  <c r="S145" i="38"/>
  <c r="AK157" i="38"/>
  <c r="AK162" i="38"/>
  <c r="AK163" i="38"/>
  <c r="AK156" i="38"/>
  <c r="AP49" i="38"/>
  <c r="AC22" i="38"/>
  <c r="AC29" i="38"/>
  <c r="AC24" i="38"/>
  <c r="AC30" i="38"/>
  <c r="AC31" i="38"/>
  <c r="AC25" i="38"/>
  <c r="Q193" i="38"/>
  <c r="Q190" i="38"/>
  <c r="Q197" i="38"/>
  <c r="Q198" i="38"/>
  <c r="Q199" i="38"/>
  <c r="Q192" i="38"/>
  <c r="N181" i="38"/>
  <c r="N178" i="38"/>
  <c r="N185" i="38"/>
  <c r="N180" i="38"/>
  <c r="N186" i="38"/>
  <c r="N187" i="38"/>
  <c r="V245" i="38"/>
  <c r="V246" i="38"/>
  <c r="V247" i="38"/>
  <c r="S209" i="38"/>
  <c r="S205" i="38"/>
  <c r="S204" i="38"/>
  <c r="AH245" i="38"/>
  <c r="AH246" i="38"/>
  <c r="AH247" i="38"/>
  <c r="AH61" i="38"/>
  <c r="AH66" i="38"/>
  <c r="AH67" i="38"/>
  <c r="AL262" i="38"/>
  <c r="AL269" i="38"/>
  <c r="Q96" i="38"/>
  <c r="Y270" i="38"/>
  <c r="Y271" i="38"/>
  <c r="Y267" i="38"/>
  <c r="Y265" i="38"/>
  <c r="V41" i="38"/>
  <c r="V42" i="38"/>
  <c r="V43" i="38"/>
  <c r="Q120" i="38"/>
  <c r="S85" i="38"/>
  <c r="S89" i="38"/>
  <c r="V125" i="38"/>
  <c r="V126" i="38"/>
  <c r="V127" i="38"/>
  <c r="V101" i="38"/>
  <c r="V102" i="38"/>
  <c r="V103" i="38"/>
  <c r="AK70" i="38"/>
  <c r="AK77" i="38"/>
  <c r="AK73" i="38"/>
  <c r="AK78" i="38"/>
  <c r="AK79" i="38"/>
  <c r="S29" i="38"/>
  <c r="S24" i="38"/>
  <c r="AC106" i="38"/>
  <c r="AC113" i="38"/>
  <c r="AC109" i="38"/>
  <c r="AC108" i="38"/>
  <c r="AC114" i="38"/>
  <c r="AC115" i="38"/>
  <c r="AC82" i="38"/>
  <c r="AC89" i="38"/>
  <c r="AC85" i="38"/>
  <c r="AC84" i="38"/>
  <c r="AC90" i="38"/>
  <c r="AC91" i="38"/>
  <c r="X25" i="38"/>
  <c r="AM37" i="38"/>
  <c r="AM42" i="38"/>
  <c r="AM43" i="38"/>
  <c r="AF118" i="38"/>
  <c r="AF125" i="38"/>
  <c r="AF126" i="38"/>
  <c r="AF127" i="38"/>
  <c r="A147" i="35"/>
  <c r="L101" i="40"/>
  <c r="L102" i="40"/>
  <c r="L103" i="40"/>
  <c r="AN97" i="40"/>
  <c r="AN102" i="40"/>
  <c r="AN103" i="40"/>
  <c r="AC101" i="40"/>
  <c r="AC102" i="40"/>
  <c r="AC103" i="40"/>
  <c r="AR102" i="40"/>
  <c r="AR103" i="40"/>
  <c r="R96" i="40"/>
  <c r="R97" i="40"/>
  <c r="Q96" i="40"/>
  <c r="Q97" i="40"/>
  <c r="AS94" i="40"/>
  <c r="AS101" i="40"/>
  <c r="P97" i="40"/>
  <c r="AQ90" i="40"/>
  <c r="AQ91" i="40"/>
  <c r="AP85" i="40"/>
  <c r="AE84" i="40"/>
  <c r="AF84" i="40"/>
  <c r="AG84" i="40"/>
  <c r="AH84" i="40"/>
  <c r="AI84" i="40"/>
  <c r="AJ84" i="40"/>
  <c r="AG89" i="40"/>
  <c r="Z82" i="40"/>
  <c r="AA82" i="40"/>
  <c r="AA89" i="40"/>
  <c r="AJ90" i="40"/>
  <c r="AJ91" i="40"/>
  <c r="Z85" i="40"/>
  <c r="AA85" i="40"/>
  <c r="AH90" i="40"/>
  <c r="AH91" i="40"/>
  <c r="S84" i="40"/>
  <c r="AR84" i="40"/>
  <c r="AI89" i="40"/>
  <c r="AI90" i="40"/>
  <c r="AI91" i="40"/>
  <c r="Z89" i="40"/>
  <c r="Z90" i="40"/>
  <c r="Z91" i="40"/>
  <c r="Y85" i="40"/>
  <c r="R84" i="40"/>
  <c r="AQ84" i="40"/>
  <c r="AG90" i="40"/>
  <c r="AG91" i="40"/>
  <c r="Y82" i="40"/>
  <c r="Y89" i="40"/>
  <c r="Y84" i="40"/>
  <c r="Y90" i="40"/>
  <c r="Y91" i="40"/>
  <c r="S82" i="40"/>
  <c r="S89" i="40"/>
  <c r="S90" i="40"/>
  <c r="S91" i="40"/>
  <c r="AI85" i="40"/>
  <c r="AJ85" i="40"/>
  <c r="O73" i="40"/>
  <c r="AK72" i="40"/>
  <c r="AK70" i="40"/>
  <c r="AK77" i="40"/>
  <c r="S72" i="40"/>
  <c r="AQ70" i="40"/>
  <c r="AQ77" i="40"/>
  <c r="AE77" i="40"/>
  <c r="AE78" i="40"/>
  <c r="AE79" i="40"/>
  <c r="O70" i="40"/>
  <c r="O77" i="40"/>
  <c r="O78" i="40"/>
  <c r="O79" i="40"/>
  <c r="AF70" i="40"/>
  <c r="AF77" i="40"/>
  <c r="AM66" i="40"/>
  <c r="AM67" i="40"/>
  <c r="S58" i="40"/>
  <c r="S65" i="40"/>
  <c r="AK61" i="40"/>
  <c r="R58" i="40"/>
  <c r="R65" i="40"/>
  <c r="R66" i="40"/>
  <c r="R67" i="40"/>
  <c r="AK66" i="40"/>
  <c r="AK67" i="40"/>
  <c r="AA58" i="40"/>
  <c r="AB58" i="40"/>
  <c r="AB65" i="40"/>
  <c r="AA60" i="40"/>
  <c r="AB60" i="40"/>
  <c r="AB66" i="40"/>
  <c r="AB67" i="40"/>
  <c r="Q58" i="40"/>
  <c r="Q65" i="40"/>
  <c r="Q66" i="40"/>
  <c r="AM61" i="40"/>
  <c r="AC65" i="40"/>
  <c r="AC66" i="40"/>
  <c r="AC67" i="40"/>
  <c r="AA65" i="40"/>
  <c r="AA66" i="40"/>
  <c r="AA67" i="40"/>
  <c r="S60" i="40"/>
  <c r="AM58" i="40"/>
  <c r="AM65" i="40"/>
  <c r="AM60" i="40"/>
  <c r="AA61" i="40"/>
  <c r="R60" i="40"/>
  <c r="R48" i="40"/>
  <c r="R49" i="40"/>
  <c r="Q48" i="40"/>
  <c r="Q49" i="40"/>
  <c r="Y49" i="40"/>
  <c r="AA46" i="40"/>
  <c r="AB46" i="40"/>
  <c r="AB53" i="40"/>
  <c r="AJ54" i="40"/>
  <c r="AJ55" i="40"/>
  <c r="AS48" i="40"/>
  <c r="L53" i="40"/>
  <c r="L54" i="40"/>
  <c r="L55" i="40"/>
  <c r="R46" i="40"/>
  <c r="R53" i="40"/>
  <c r="R54" i="40"/>
  <c r="R55" i="40"/>
  <c r="X34" i="40"/>
  <c r="X41" i="40"/>
  <c r="AD41" i="40"/>
  <c r="AK37" i="40"/>
  <c r="AK42" i="40"/>
  <c r="AK43" i="40"/>
  <c r="R37" i="40"/>
  <c r="AA42" i="40"/>
  <c r="AA43" i="40"/>
  <c r="R42" i="40"/>
  <c r="R43" i="40"/>
  <c r="AK34" i="40"/>
  <c r="AK41" i="40"/>
  <c r="R36" i="40"/>
  <c r="R34" i="40"/>
  <c r="R41" i="40"/>
  <c r="W36" i="40"/>
  <c r="X36" i="40"/>
  <c r="X42" i="40"/>
  <c r="X43" i="40"/>
  <c r="L42" i="40"/>
  <c r="L43" i="40"/>
  <c r="AK36" i="40"/>
  <c r="AD42" i="40"/>
  <c r="AD43" i="40"/>
  <c r="N29" i="40"/>
  <c r="N30" i="40"/>
  <c r="N31" i="40"/>
  <c r="AA25" i="40"/>
  <c r="AB25" i="40"/>
  <c r="S25" i="40"/>
  <c r="N25" i="40"/>
  <c r="AK24" i="40"/>
  <c r="AK22" i="40"/>
  <c r="AK29" i="40"/>
  <c r="S24" i="40"/>
  <c r="R22" i="40"/>
  <c r="R29" i="40"/>
  <c r="R30" i="40"/>
  <c r="R31" i="40"/>
  <c r="AN96" i="41"/>
  <c r="AA94" i="41"/>
  <c r="AA101" i="41"/>
  <c r="AA102" i="41"/>
  <c r="AA103" i="41"/>
  <c r="AR102" i="41"/>
  <c r="AR103" i="41"/>
  <c r="AM94" i="41"/>
  <c r="AM101" i="41"/>
  <c r="AM97" i="41"/>
  <c r="O96" i="41"/>
  <c r="AR96" i="41"/>
  <c r="AN97" i="41"/>
  <c r="AN102" i="41"/>
  <c r="AN103" i="41"/>
  <c r="M101" i="41"/>
  <c r="AN94" i="41"/>
  <c r="AN101" i="41"/>
  <c r="M102" i="41"/>
  <c r="M103" i="41"/>
  <c r="AM96" i="41"/>
  <c r="AH102" i="41"/>
  <c r="AH103" i="41"/>
  <c r="Q97" i="41"/>
  <c r="W101" i="41"/>
  <c r="Q96" i="41"/>
  <c r="Q102" i="41"/>
  <c r="Q103" i="41"/>
  <c r="O101" i="41"/>
  <c r="AF101" i="41"/>
  <c r="AF102" i="41"/>
  <c r="AF103" i="41"/>
  <c r="M2" i="41"/>
  <c r="Z90" i="41"/>
  <c r="Z91" i="41"/>
  <c r="Y84" i="41"/>
  <c r="Q82" i="41"/>
  <c r="Q89" i="41"/>
  <c r="AA85" i="41"/>
  <c r="AJ89" i="41"/>
  <c r="AI84" i="41"/>
  <c r="AJ84" i="41"/>
  <c r="AJ90" i="41"/>
  <c r="AJ91" i="41"/>
  <c r="Y82" i="41"/>
  <c r="Y89" i="41"/>
  <c r="Y90" i="41"/>
  <c r="Y91" i="41"/>
  <c r="AJ85" i="41"/>
  <c r="AI90" i="41"/>
  <c r="AI91" i="41"/>
  <c r="AA89" i="41"/>
  <c r="Q84" i="41"/>
  <c r="AB85" i="41"/>
  <c r="AA70" i="41"/>
  <c r="AB70" i="41"/>
  <c r="AB77" i="41"/>
  <c r="AB72" i="41"/>
  <c r="AB78" i="41"/>
  <c r="AB79" i="41"/>
  <c r="V77" i="41"/>
  <c r="V78" i="41"/>
  <c r="V79" i="41"/>
  <c r="AH70" i="41"/>
  <c r="AH77" i="41"/>
  <c r="AS72" i="41"/>
  <c r="AS70" i="41"/>
  <c r="AS77" i="41"/>
  <c r="AH78" i="41"/>
  <c r="AH79" i="41"/>
  <c r="O70" i="41"/>
  <c r="O77" i="41"/>
  <c r="O78" i="41"/>
  <c r="AM78" i="41"/>
  <c r="AM79" i="41"/>
  <c r="Z78" i="41"/>
  <c r="Z79" i="41"/>
  <c r="AM70" i="41"/>
  <c r="AM77" i="41"/>
  <c r="AL66" i="41"/>
  <c r="AL67" i="41"/>
  <c r="AK61" i="41"/>
  <c r="AK60" i="41"/>
  <c r="AB58" i="41"/>
  <c r="AB65" i="41"/>
  <c r="AK66" i="41"/>
  <c r="AK67" i="41"/>
  <c r="AN65" i="41"/>
  <c r="S65" i="41"/>
  <c r="AA61" i="41"/>
  <c r="AB61" i="41"/>
  <c r="AL58" i="41"/>
  <c r="AL65" i="41"/>
  <c r="S60" i="41"/>
  <c r="AK58" i="41"/>
  <c r="AK65" i="41"/>
  <c r="R60" i="41"/>
  <c r="R66" i="41"/>
  <c r="R67" i="41"/>
  <c r="AK54" i="41"/>
  <c r="AK55" i="41"/>
  <c r="AE53" i="41"/>
  <c r="AE54" i="41"/>
  <c r="AE55" i="41"/>
  <c r="AC53" i="41"/>
  <c r="N53" i="41"/>
  <c r="N2" i="41"/>
  <c r="N48" i="41"/>
  <c r="N54" i="41"/>
  <c r="N55" i="41"/>
  <c r="V53" i="41"/>
  <c r="AM54" i="41"/>
  <c r="AM55" i="41"/>
  <c r="AC54" i="41"/>
  <c r="AC55" i="41"/>
  <c r="L53" i="41"/>
  <c r="L54" i="41"/>
  <c r="L55" i="41"/>
  <c r="AM49" i="41"/>
  <c r="AM48" i="41"/>
  <c r="AM46" i="41"/>
  <c r="AM53" i="41"/>
  <c r="AS49" i="41"/>
  <c r="AK46" i="41"/>
  <c r="AK53" i="41"/>
  <c r="AK48" i="41"/>
  <c r="V54" i="41"/>
  <c r="V55" i="41"/>
  <c r="N49" i="41"/>
  <c r="AN36" i="41"/>
  <c r="AN34" i="41"/>
  <c r="AN41" i="41"/>
  <c r="AN37" i="41"/>
  <c r="AB34" i="41"/>
  <c r="AB41" i="41"/>
  <c r="AB42" i="41"/>
  <c r="AB43" i="41"/>
  <c r="Z41" i="41"/>
  <c r="V41" i="41"/>
  <c r="AS37" i="41"/>
  <c r="AR34" i="41"/>
  <c r="AR41" i="41"/>
  <c r="L41" i="41"/>
  <c r="AG41" i="41"/>
  <c r="AG42" i="41"/>
  <c r="AG43" i="41"/>
  <c r="AM37" i="41"/>
  <c r="P34" i="41"/>
  <c r="P41" i="41"/>
  <c r="AF41" i="41"/>
  <c r="AF42" i="41"/>
  <c r="AF43" i="41"/>
  <c r="P37" i="41"/>
  <c r="V42" i="41"/>
  <c r="V43" i="41"/>
  <c r="N41" i="41"/>
  <c r="N42" i="41"/>
  <c r="N43" i="41"/>
  <c r="AM36" i="41"/>
  <c r="L2" i="41"/>
  <c r="AS42" i="41"/>
  <c r="AS43" i="41"/>
  <c r="L42" i="41"/>
  <c r="L43" i="41"/>
  <c r="AK36" i="41"/>
  <c r="W22" i="41"/>
  <c r="X22" i="41"/>
  <c r="Y22" i="41"/>
  <c r="Y29" i="41"/>
  <c r="X29" i="41"/>
  <c r="Q24" i="41"/>
  <c r="P24" i="41"/>
  <c r="AP30" i="41"/>
  <c r="AP31" i="41"/>
  <c r="Z29" i="41"/>
  <c r="Z30" i="41"/>
  <c r="Z31" i="41"/>
  <c r="P22" i="41"/>
  <c r="P29" i="41"/>
  <c r="P30" i="41"/>
  <c r="P31" i="41"/>
  <c r="O24" i="41"/>
  <c r="V25" i="41"/>
  <c r="W25" i="41"/>
  <c r="X25" i="41"/>
  <c r="Y25" i="41"/>
  <c r="AO25" i="41"/>
  <c r="AN30" i="41"/>
  <c r="AN31" i="41"/>
  <c r="V24" i="41"/>
  <c r="W24" i="41"/>
  <c r="X24" i="41"/>
  <c r="Y24" i="41"/>
  <c r="Y30" i="41"/>
  <c r="Y31" i="41"/>
  <c r="Q22" i="41"/>
  <c r="Q29" i="41"/>
  <c r="Q30" i="41"/>
  <c r="Q31" i="41"/>
  <c r="O22" i="41"/>
  <c r="O29" i="41"/>
  <c r="X30" i="41"/>
  <c r="X31" i="41"/>
  <c r="AN29" i="41"/>
  <c r="AQ19" i="41"/>
  <c r="V2" i="35"/>
  <c r="L2" i="36"/>
  <c r="O2" i="41"/>
  <c r="L2" i="40"/>
  <c r="P2" i="40"/>
  <c r="M2" i="40"/>
  <c r="N2" i="40"/>
  <c r="M121" i="39"/>
  <c r="N121" i="39"/>
  <c r="O121" i="39"/>
  <c r="P121" i="39"/>
  <c r="M120" i="39"/>
  <c r="N120" i="39"/>
  <c r="O2" i="38"/>
  <c r="M151" i="36"/>
  <c r="K2" i="36"/>
  <c r="L2" i="34"/>
  <c r="N2" i="38"/>
  <c r="L2" i="38"/>
  <c r="Q48" i="37"/>
  <c r="Q36" i="37"/>
  <c r="Q24" i="37"/>
  <c r="AM49" i="37"/>
  <c r="AE41" i="37"/>
  <c r="S54" i="37"/>
  <c r="S55" i="37"/>
  <c r="AE42" i="37"/>
  <c r="AE43" i="37"/>
  <c r="AP22" i="37"/>
  <c r="AP29" i="37"/>
  <c r="Q46" i="37"/>
  <c r="Q53" i="37"/>
  <c r="Q54" i="37"/>
  <c r="Q55" i="37"/>
  <c r="Q34" i="37"/>
  <c r="Q41" i="37"/>
  <c r="Q42" i="37"/>
  <c r="Q43" i="37"/>
  <c r="Q22" i="37"/>
  <c r="Q29" i="37"/>
  <c r="Q30" i="37"/>
  <c r="Q31" i="37"/>
  <c r="S49" i="37"/>
  <c r="AO42" i="37"/>
  <c r="AO43" i="37"/>
  <c r="AO37" i="37"/>
  <c r="U42" i="37"/>
  <c r="U43" i="37"/>
  <c r="AM46" i="37"/>
  <c r="AM53" i="37"/>
  <c r="AR34" i="37"/>
  <c r="AR41" i="37"/>
  <c r="S240" i="36"/>
  <c r="S229" i="36"/>
  <c r="S217" i="36"/>
  <c r="S205" i="36"/>
  <c r="S193" i="36"/>
  <c r="S181" i="36"/>
  <c r="S169" i="36"/>
  <c r="S157" i="36"/>
  <c r="S145" i="36"/>
  <c r="S133" i="36"/>
  <c r="S121" i="36"/>
  <c r="S109" i="36"/>
  <c r="S97" i="36"/>
  <c r="S85" i="36"/>
  <c r="S73" i="36"/>
  <c r="S228" i="36"/>
  <c r="S216" i="36"/>
  <c r="S222" i="36"/>
  <c r="S223" i="36"/>
  <c r="S192" i="36"/>
  <c r="S180" i="36"/>
  <c r="S168" i="36"/>
  <c r="S156" i="36"/>
  <c r="S162" i="36"/>
  <c r="S163" i="36"/>
  <c r="S132" i="36"/>
  <c r="S120" i="36"/>
  <c r="S108" i="36"/>
  <c r="S96" i="36"/>
  <c r="S102" i="36"/>
  <c r="S103" i="36"/>
  <c r="S72" i="36"/>
  <c r="S60" i="36"/>
  <c r="S48" i="36"/>
  <c r="S36" i="36"/>
  <c r="S42" i="36"/>
  <c r="S43" i="36"/>
  <c r="R256" i="36"/>
  <c r="R257" i="36"/>
  <c r="R258" i="36"/>
  <c r="R259" i="36"/>
  <c r="R234" i="36"/>
  <c r="R235" i="36"/>
  <c r="R228" i="36"/>
  <c r="R216" i="36"/>
  <c r="R222" i="36"/>
  <c r="R223" i="36"/>
  <c r="R204" i="36"/>
  <c r="S204" i="36"/>
  <c r="R198" i="36"/>
  <c r="R199" i="36"/>
  <c r="R192" i="36"/>
  <c r="R180" i="36"/>
  <c r="R186" i="36"/>
  <c r="R187" i="36"/>
  <c r="R174" i="36"/>
  <c r="R175" i="36"/>
  <c r="R168" i="36"/>
  <c r="R156" i="36"/>
  <c r="R162" i="36"/>
  <c r="R163" i="36"/>
  <c r="R150" i="36"/>
  <c r="R151" i="36"/>
  <c r="R144" i="36"/>
  <c r="S144" i="36"/>
  <c r="R138" i="36"/>
  <c r="R139" i="36"/>
  <c r="R132" i="36"/>
  <c r="R120" i="36"/>
  <c r="R126" i="36"/>
  <c r="R127" i="36"/>
  <c r="R114" i="36"/>
  <c r="R115" i="36"/>
  <c r="R108" i="36"/>
  <c r="R96" i="36"/>
  <c r="R102" i="36"/>
  <c r="R103" i="36"/>
  <c r="R90" i="36"/>
  <c r="R91" i="36"/>
  <c r="R84" i="36"/>
  <c r="S84" i="36"/>
  <c r="R78" i="36"/>
  <c r="R79" i="36"/>
  <c r="R72" i="36"/>
  <c r="R60" i="36"/>
  <c r="R66" i="36"/>
  <c r="R67" i="36"/>
  <c r="R54" i="36"/>
  <c r="R55" i="36"/>
  <c r="R48" i="36"/>
  <c r="R36" i="36"/>
  <c r="R42" i="36"/>
  <c r="R43" i="36"/>
  <c r="R30" i="36"/>
  <c r="R31" i="36"/>
  <c r="R24" i="36"/>
  <c r="S24" i="36"/>
  <c r="S226" i="36"/>
  <c r="S233" i="36"/>
  <c r="S234" i="36"/>
  <c r="S235" i="36"/>
  <c r="S214" i="36"/>
  <c r="S221" i="36"/>
  <c r="S202" i="36"/>
  <c r="S209" i="36"/>
  <c r="S190" i="36"/>
  <c r="S197" i="36"/>
  <c r="S198" i="36"/>
  <c r="S199" i="36"/>
  <c r="S178" i="36"/>
  <c r="S185" i="36"/>
  <c r="S186" i="36"/>
  <c r="S187" i="36"/>
  <c r="S166" i="36"/>
  <c r="S173" i="36"/>
  <c r="S174" i="36"/>
  <c r="S175" i="36"/>
  <c r="S154" i="36"/>
  <c r="S161" i="36"/>
  <c r="S142" i="36"/>
  <c r="S149" i="36"/>
  <c r="S150" i="36"/>
  <c r="S151" i="36"/>
  <c r="S130" i="36"/>
  <c r="S137" i="36"/>
  <c r="S138" i="36"/>
  <c r="S139" i="36"/>
  <c r="S118" i="36"/>
  <c r="S125" i="36"/>
  <c r="S126" i="36"/>
  <c r="S127" i="36"/>
  <c r="S106" i="36"/>
  <c r="S113" i="36"/>
  <c r="S114" i="36"/>
  <c r="S115" i="36"/>
  <c r="S94" i="36"/>
  <c r="S101" i="36"/>
  <c r="S82" i="36"/>
  <c r="S89" i="36"/>
  <c r="S70" i="36"/>
  <c r="S77" i="36"/>
  <c r="S78" i="36"/>
  <c r="S79" i="36"/>
  <c r="S58" i="36"/>
  <c r="S65" i="36"/>
  <c r="S66" i="36"/>
  <c r="S67" i="36"/>
  <c r="S46" i="36"/>
  <c r="S53" i="36"/>
  <c r="S54" i="36"/>
  <c r="S55" i="36"/>
  <c r="S34" i="36"/>
  <c r="S41" i="36"/>
  <c r="S22" i="36"/>
  <c r="S29" i="36"/>
  <c r="S2" i="36"/>
  <c r="S246" i="36"/>
  <c r="S247" i="36"/>
  <c r="R246" i="36"/>
  <c r="R247" i="36"/>
  <c r="U241" i="38"/>
  <c r="U181" i="38"/>
  <c r="U73" i="38"/>
  <c r="U49" i="38"/>
  <c r="U25" i="38"/>
  <c r="U265" i="38"/>
  <c r="U205" i="38"/>
  <c r="U145" i="38"/>
  <c r="U85" i="38"/>
  <c r="U61" i="38"/>
  <c r="U37" i="38"/>
  <c r="AE265" i="38"/>
  <c r="W30" i="38"/>
  <c r="W31" i="38"/>
  <c r="AF97" i="38"/>
  <c r="AJ234" i="38"/>
  <c r="AJ235" i="38"/>
  <c r="AD267" i="38"/>
  <c r="W222" i="38"/>
  <c r="W223" i="38"/>
  <c r="AG29" i="38"/>
  <c r="AG30" i="38"/>
  <c r="AG31" i="38"/>
  <c r="AF267" i="38"/>
  <c r="AI267" i="38"/>
  <c r="AG101" i="38"/>
  <c r="AG102" i="38"/>
  <c r="AG103" i="38"/>
  <c r="AB90" i="38"/>
  <c r="AB91" i="38"/>
  <c r="AM49" i="38"/>
  <c r="AS222" i="38"/>
  <c r="AS223" i="38"/>
  <c r="AC253" i="38"/>
  <c r="AC226" i="38"/>
  <c r="AC233" i="38"/>
  <c r="AC228" i="38"/>
  <c r="AC234" i="38"/>
  <c r="AC235" i="38"/>
  <c r="AK150" i="38"/>
  <c r="AK151" i="38"/>
  <c r="X145" i="38"/>
  <c r="Y145" i="38"/>
  <c r="AK142" i="38"/>
  <c r="AK149" i="38"/>
  <c r="AQ262" i="38"/>
  <c r="AQ269" i="38"/>
  <c r="AM267" i="38"/>
  <c r="AM270" i="38"/>
  <c r="AM271" i="38"/>
  <c r="AQ126" i="38"/>
  <c r="AQ127" i="38"/>
  <c r="AA233" i="38"/>
  <c r="AA234" i="38"/>
  <c r="AA235" i="38"/>
  <c r="AL222" i="38"/>
  <c r="AL223" i="38"/>
  <c r="T2" i="39"/>
  <c r="U37" i="39"/>
  <c r="U25" i="39"/>
  <c r="U248" i="39"/>
  <c r="U249" i="39"/>
  <c r="V29" i="39"/>
  <c r="V30" i="39"/>
  <c r="V31" i="39"/>
  <c r="AK48" i="39"/>
  <c r="AD133" i="39"/>
  <c r="AF42" i="39"/>
  <c r="AF43" i="39"/>
  <c r="AM130" i="39"/>
  <c r="AM137" i="39"/>
  <c r="AM70" i="39"/>
  <c r="AM77" i="39"/>
  <c r="AO106" i="39"/>
  <c r="AO113" i="39"/>
  <c r="AM78" i="39"/>
  <c r="AM79" i="39"/>
  <c r="AM73" i="39"/>
  <c r="AM72" i="39"/>
  <c r="AO108" i="39"/>
  <c r="AD73" i="39"/>
  <c r="U138" i="39"/>
  <c r="U139" i="39"/>
  <c r="U120" i="39"/>
  <c r="U114" i="39"/>
  <c r="U115" i="39"/>
  <c r="U108" i="39"/>
  <c r="U96" i="39"/>
  <c r="U84" i="39"/>
  <c r="U90" i="39"/>
  <c r="U91" i="39"/>
  <c r="U78" i="39"/>
  <c r="U79" i="39"/>
  <c r="U72" i="39"/>
  <c r="U60" i="39"/>
  <c r="U48" i="39"/>
  <c r="U36" i="39"/>
  <c r="U24" i="39"/>
  <c r="AP30" i="39"/>
  <c r="AP31" i="39"/>
  <c r="U130" i="39"/>
  <c r="U137" i="39"/>
  <c r="U118" i="39"/>
  <c r="U125" i="39"/>
  <c r="U126" i="39"/>
  <c r="U127" i="39"/>
  <c r="U106" i="39"/>
  <c r="U113" i="39"/>
  <c r="U94" i="39"/>
  <c r="U101" i="39"/>
  <c r="U102" i="39"/>
  <c r="U103" i="39"/>
  <c r="U82" i="39"/>
  <c r="U89" i="39"/>
  <c r="U70" i="39"/>
  <c r="U77" i="39"/>
  <c r="U58" i="39"/>
  <c r="U65" i="39"/>
  <c r="U66" i="39"/>
  <c r="U67" i="39"/>
  <c r="U46" i="39"/>
  <c r="U53" i="39"/>
  <c r="U54" i="39"/>
  <c r="U55" i="39"/>
  <c r="U34" i="39"/>
  <c r="U41" i="39"/>
  <c r="U42" i="39"/>
  <c r="U43" i="39"/>
  <c r="U22" i="39"/>
  <c r="U29" i="39"/>
  <c r="U30" i="39"/>
  <c r="U31" i="39"/>
  <c r="X65" i="39"/>
  <c r="AK97" i="39"/>
  <c r="AK94" i="39"/>
  <c r="AK101" i="39"/>
  <c r="AP36" i="39"/>
  <c r="AS120" i="39"/>
  <c r="AL37" i="39"/>
  <c r="AP34" i="39"/>
  <c r="AP41" i="39"/>
  <c r="U2" i="39"/>
  <c r="AO114" i="39"/>
  <c r="AO115" i="39"/>
  <c r="X66" i="39"/>
  <c r="X67" i="39"/>
  <c r="AE113" i="39"/>
  <c r="AE114" i="39"/>
  <c r="AE115" i="39"/>
  <c r="AC29" i="39"/>
  <c r="AC30" i="39"/>
  <c r="AC31" i="39"/>
  <c r="AI125" i="39"/>
  <c r="AO109" i="39"/>
  <c r="AK102" i="39"/>
  <c r="AK103" i="39"/>
  <c r="AR61" i="39"/>
  <c r="AK46" i="39"/>
  <c r="AK53" i="39"/>
  <c r="AP37" i="39"/>
  <c r="AA54" i="39"/>
  <c r="AA55" i="39"/>
  <c r="AR66" i="39"/>
  <c r="AR67" i="39"/>
  <c r="Y118" i="39"/>
  <c r="Y125" i="39"/>
  <c r="AF29" i="39"/>
  <c r="AF30" i="39"/>
  <c r="AF31" i="39"/>
  <c r="AK54" i="39"/>
  <c r="AK55" i="39"/>
  <c r="Y126" i="39"/>
  <c r="Y127" i="39"/>
  <c r="AP24" i="39"/>
  <c r="AE126" i="39"/>
  <c r="AE127" i="39"/>
  <c r="AD114" i="39"/>
  <c r="AD115" i="39"/>
  <c r="AK96" i="39"/>
  <c r="AI73" i="39"/>
  <c r="AM34" i="39"/>
  <c r="AM41" i="39"/>
  <c r="AD125" i="39"/>
  <c r="AS118" i="39"/>
  <c r="AS125" i="39"/>
  <c r="U108" i="40"/>
  <c r="U96" i="40"/>
  <c r="U84" i="40"/>
  <c r="U72" i="40"/>
  <c r="U60" i="40"/>
  <c r="U48" i="40"/>
  <c r="U36" i="40"/>
  <c r="U42" i="40"/>
  <c r="U43" i="40"/>
  <c r="U24" i="40"/>
  <c r="U30" i="40"/>
  <c r="U31" i="40"/>
  <c r="AF78" i="40"/>
  <c r="AF79" i="40"/>
  <c r="AG106" i="40"/>
  <c r="AH106" i="40"/>
  <c r="AH113" i="40"/>
  <c r="AO97" i="40"/>
  <c r="W42" i="40"/>
  <c r="W43" i="40"/>
  <c r="AA90" i="40"/>
  <c r="AA91" i="40"/>
  <c r="AG108" i="40"/>
  <c r="AH108" i="40"/>
  <c r="A15" i="40"/>
  <c r="AK84" i="40"/>
  <c r="AB84" i="40"/>
  <c r="AI72" i="40"/>
  <c r="AJ72" i="40"/>
  <c r="AN29" i="40"/>
  <c r="AB61" i="40"/>
  <c r="AO96" i="40"/>
  <c r="U106" i="40"/>
  <c r="U113" i="40"/>
  <c r="U114" i="40"/>
  <c r="U115" i="40"/>
  <c r="U94" i="40"/>
  <c r="U101" i="40"/>
  <c r="U102" i="40"/>
  <c r="U103" i="40"/>
  <c r="U82" i="40"/>
  <c r="U89" i="40"/>
  <c r="U90" i="40"/>
  <c r="U91" i="40"/>
  <c r="U70" i="40"/>
  <c r="U77" i="40"/>
  <c r="U78" i="40"/>
  <c r="U79" i="40"/>
  <c r="U58" i="40"/>
  <c r="U65" i="40"/>
  <c r="U66" i="40"/>
  <c r="U67" i="40"/>
  <c r="U46" i="40"/>
  <c r="U53" i="40"/>
  <c r="U54" i="40"/>
  <c r="U55" i="40"/>
  <c r="U34" i="40"/>
  <c r="U41" i="40"/>
  <c r="U22" i="40"/>
  <c r="U29" i="40"/>
  <c r="AK82" i="40"/>
  <c r="AK89" i="40"/>
  <c r="AL61" i="40"/>
  <c r="AB48" i="40"/>
  <c r="AB54" i="40"/>
  <c r="AB55" i="40"/>
  <c r="AK90" i="40"/>
  <c r="AK91" i="40"/>
  <c r="AL58" i="40"/>
  <c r="AL65" i="40"/>
  <c r="AL60" i="40"/>
  <c r="AL46" i="40"/>
  <c r="AL53" i="40"/>
  <c r="AE53" i="40"/>
  <c r="AL66" i="40"/>
  <c r="AL67" i="40"/>
  <c r="V77" i="40"/>
  <c r="V78" i="40"/>
  <c r="V79" i="40"/>
  <c r="U25" i="40"/>
  <c r="AO70" i="40"/>
  <c r="AO77" i="40"/>
  <c r="T96" i="41"/>
  <c r="U96" i="41"/>
  <c r="U94" i="41"/>
  <c r="U101" i="41"/>
  <c r="U102" i="41"/>
  <c r="U103" i="41"/>
  <c r="U82" i="41"/>
  <c r="U89" i="41"/>
  <c r="U90" i="41"/>
  <c r="U91" i="41"/>
  <c r="U70" i="41"/>
  <c r="U77" i="41"/>
  <c r="U78" i="41"/>
  <c r="U79" i="41"/>
  <c r="U58" i="41"/>
  <c r="U65" i="41"/>
  <c r="U66" i="41"/>
  <c r="U67" i="41"/>
  <c r="U46" i="41"/>
  <c r="U53" i="41"/>
  <c r="U54" i="41"/>
  <c r="U55" i="41"/>
  <c r="U34" i="41"/>
  <c r="U41" i="41"/>
  <c r="U42" i="41"/>
  <c r="U43" i="41"/>
  <c r="U22" i="41"/>
  <c r="U29" i="41"/>
  <c r="U30" i="41"/>
  <c r="U31" i="41"/>
  <c r="AH114" i="40"/>
  <c r="AH115" i="40"/>
  <c r="AH34" i="40"/>
  <c r="AI34" i="40"/>
  <c r="AJ34" i="40"/>
  <c r="AJ41" i="40"/>
  <c r="V58" i="40"/>
  <c r="V65" i="40"/>
  <c r="AS73" i="40"/>
  <c r="AH101" i="40"/>
  <c r="AH102" i="40"/>
  <c r="AH103" i="40"/>
  <c r="AI106" i="40"/>
  <c r="AJ113" i="40"/>
  <c r="AI108" i="40"/>
  <c r="AJ108" i="40"/>
  <c r="AJ114" i="40"/>
  <c r="AJ115" i="40"/>
  <c r="AQ108" i="40"/>
  <c r="AL84" i="40"/>
  <c r="AM82" i="40"/>
  <c r="AM89" i="40"/>
  <c r="AH70" i="40"/>
  <c r="AI70" i="40"/>
  <c r="AJ77" i="40"/>
  <c r="Y72" i="40"/>
  <c r="AR108" i="40"/>
  <c r="AR72" i="40"/>
  <c r="AQ97" i="40"/>
  <c r="AP66" i="40"/>
  <c r="AP67" i="40"/>
  <c r="Z73" i="40"/>
  <c r="AA73" i="40"/>
  <c r="AB73" i="40"/>
  <c r="AI36" i="40"/>
  <c r="AO94" i="40"/>
  <c r="AO101" i="40"/>
  <c r="AL82" i="40"/>
  <c r="AL89" i="40"/>
  <c r="AH77" i="40"/>
  <c r="AG37" i="40"/>
  <c r="AE29" i="40"/>
  <c r="AE30" i="40"/>
  <c r="AE31" i="40"/>
  <c r="AO85" i="40"/>
  <c r="AQ30" i="40"/>
  <c r="AQ31" i="40"/>
  <c r="AJ36" i="40"/>
  <c r="AR66" i="40"/>
  <c r="AR67" i="40"/>
  <c r="AJ78" i="40"/>
  <c r="AJ79" i="40"/>
  <c r="AO82" i="40"/>
  <c r="AO89" i="40"/>
  <c r="AR58" i="40"/>
  <c r="AR65" i="40"/>
  <c r="AG29" i="40"/>
  <c r="AG30" i="40"/>
  <c r="AG31" i="40"/>
  <c r="AJ42" i="40"/>
  <c r="AJ43" i="40"/>
  <c r="AQ72" i="40"/>
  <c r="AL90" i="40"/>
  <c r="AL91" i="40"/>
  <c r="AG42" i="40"/>
  <c r="AG43" i="40"/>
  <c r="AO30" i="40"/>
  <c r="AO31" i="40"/>
  <c r="AP58" i="40"/>
  <c r="AP65" i="40"/>
  <c r="AQ96" i="40"/>
  <c r="AE101" i="40"/>
  <c r="AE102" i="40"/>
  <c r="AE103" i="40"/>
  <c r="AA53" i="40"/>
  <c r="AA54" i="40"/>
  <c r="AA55" i="40"/>
  <c r="AH37" i="40"/>
  <c r="AI37" i="40"/>
  <c r="AO84" i="40"/>
  <c r="AN49" i="40"/>
  <c r="X101" i="40"/>
  <c r="AL85" i="40"/>
  <c r="AH65" i="40"/>
  <c r="AH66" i="40"/>
  <c r="AH67" i="40"/>
  <c r="W29" i="40"/>
  <c r="W30" i="40"/>
  <c r="W31" i="40"/>
  <c r="Y34" i="40"/>
  <c r="Y41" i="40"/>
  <c r="AR96" i="40"/>
  <c r="AQ36" i="40"/>
  <c r="AQ42" i="40"/>
  <c r="AQ43" i="40"/>
  <c r="AC53" i="40"/>
  <c r="AR73" i="40"/>
  <c r="AA114" i="40"/>
  <c r="AA115" i="40"/>
  <c r="AH41" i="40"/>
  <c r="AH42" i="40"/>
  <c r="AH43" i="40"/>
  <c r="Z41" i="40"/>
  <c r="Z42" i="40"/>
  <c r="Z43" i="40"/>
  <c r="Z78" i="40"/>
  <c r="Z79" i="40"/>
  <c r="AS108" i="40"/>
  <c r="V66" i="40"/>
  <c r="V67" i="40"/>
  <c r="AN24" i="40"/>
  <c r="AQ22" i="40"/>
  <c r="AQ29" i="40"/>
  <c r="AQ24" i="40"/>
  <c r="AI113" i="40"/>
  <c r="AK54" i="40"/>
  <c r="AK55" i="40"/>
  <c r="AR61" i="40"/>
  <c r="AN48" i="40"/>
  <c r="AI77" i="40"/>
  <c r="AI78" i="40"/>
  <c r="AI79" i="40"/>
  <c r="AG65" i="40"/>
  <c r="AG66" i="40"/>
  <c r="AG67" i="40"/>
  <c r="AO90" i="40"/>
  <c r="AO91" i="40"/>
  <c r="AP24" i="40"/>
  <c r="AM46" i="40"/>
  <c r="AM53" i="40"/>
  <c r="AQ102" i="40"/>
  <c r="AQ103" i="40"/>
  <c r="AJ37" i="40"/>
  <c r="AI41" i="40"/>
  <c r="AI42" i="40"/>
  <c r="AI43" i="40"/>
  <c r="AI114" i="40"/>
  <c r="AI115" i="40"/>
  <c r="AB70" i="40"/>
  <c r="AB77" i="40"/>
  <c r="AF29" i="40"/>
  <c r="AS70" i="40"/>
  <c r="AS77" i="40"/>
  <c r="AL48" i="40"/>
  <c r="AQ37" i="40"/>
  <c r="AA49" i="40"/>
  <c r="AB49" i="40"/>
  <c r="Y36" i="40"/>
  <c r="Y42" i="40"/>
  <c r="Y43" i="40"/>
  <c r="AF89" i="40"/>
  <c r="AF90" i="40"/>
  <c r="AF91" i="40"/>
  <c r="AO58" i="40"/>
  <c r="AO65" i="40"/>
  <c r="AD29" i="40"/>
  <c r="AD30" i="40"/>
  <c r="AD31" i="40"/>
  <c r="V29" i="40"/>
  <c r="V30" i="40"/>
  <c r="V31" i="40"/>
  <c r="AE89" i="40"/>
  <c r="AE90" i="40"/>
  <c r="AE91" i="40"/>
  <c r="AA78" i="40"/>
  <c r="AA79" i="40"/>
  <c r="AR97" i="40"/>
  <c r="AG109" i="40"/>
  <c r="AH109" i="40"/>
  <c r="Z114" i="40"/>
  <c r="Z115" i="40"/>
  <c r="AO22" i="40"/>
  <c r="AO29" i="40"/>
  <c r="AM48" i="40"/>
  <c r="AQ94" i="40"/>
  <c r="AQ101" i="40"/>
  <c r="AF101" i="40"/>
  <c r="AK46" i="40"/>
  <c r="AK53" i="40"/>
  <c r="AQ61" i="40"/>
  <c r="AP102" i="40"/>
  <c r="AP103" i="40"/>
  <c r="AN54" i="40"/>
  <c r="AN55" i="40"/>
  <c r="W109" i="40"/>
  <c r="X109" i="40"/>
  <c r="AH78" i="40"/>
  <c r="AH79" i="40"/>
  <c r="W101" i="40"/>
  <c r="AS114" i="40"/>
  <c r="AS115" i="40"/>
  <c r="AQ25" i="40"/>
  <c r="AP94" i="40"/>
  <c r="AP101" i="40"/>
  <c r="AR106" i="40"/>
  <c r="AR113" i="40"/>
  <c r="AP30" i="40"/>
  <c r="AP31" i="40"/>
  <c r="AM54" i="40"/>
  <c r="AM55" i="40"/>
  <c r="AP60" i="40"/>
  <c r="Y109" i="40"/>
  <c r="AR37" i="40"/>
  <c r="AR60" i="40"/>
  <c r="AO102" i="40"/>
  <c r="AO103" i="40"/>
  <c r="AN46" i="40"/>
  <c r="AN53" i="40"/>
  <c r="AD54" i="40"/>
  <c r="AD55" i="40"/>
  <c r="AC54" i="40"/>
  <c r="AC55" i="40"/>
  <c r="AS78" i="40"/>
  <c r="AS79" i="40"/>
  <c r="AF102" i="40"/>
  <c r="AF103" i="40"/>
  <c r="AF30" i="40"/>
  <c r="AF31" i="40"/>
  <c r="AQ73" i="40"/>
  <c r="AQ78" i="40"/>
  <c r="AQ79" i="40"/>
  <c r="AS109" i="40"/>
  <c r="Y70" i="40"/>
  <c r="Y77" i="40"/>
  <c r="AR109" i="40"/>
  <c r="AO25" i="40"/>
  <c r="AM49" i="40"/>
  <c r="AS42" i="40"/>
  <c r="AS43" i="40"/>
  <c r="W102" i="40"/>
  <c r="W103" i="40"/>
  <c r="AI109" i="40"/>
  <c r="AQ34" i="40"/>
  <c r="AQ41" i="40"/>
  <c r="AQ60" i="40"/>
  <c r="AR114" i="40"/>
  <c r="AR115" i="40"/>
  <c r="AP97" i="40"/>
  <c r="AC89" i="40"/>
  <c r="AC90" i="40"/>
  <c r="AC91" i="40"/>
  <c r="AB78" i="40"/>
  <c r="AB79" i="40"/>
  <c r="W58" i="40"/>
  <c r="X58" i="40"/>
  <c r="X65" i="40"/>
  <c r="X66" i="40"/>
  <c r="X67" i="40"/>
  <c r="AF29" i="41"/>
  <c r="AK73" i="41"/>
  <c r="AR48" i="41"/>
  <c r="AM66" i="41"/>
  <c r="AM67" i="41"/>
  <c r="W42" i="41"/>
  <c r="W43" i="41"/>
  <c r="AR46" i="41"/>
  <c r="AR53" i="41"/>
  <c r="X73" i="41"/>
  <c r="AF97" i="41"/>
  <c r="AG97" i="41"/>
  <c r="AH97" i="41"/>
  <c r="AI97" i="41"/>
  <c r="AJ97" i="41"/>
  <c r="AO46" i="41"/>
  <c r="AO53" i="41"/>
  <c r="AN82" i="41"/>
  <c r="AN89" i="41"/>
  <c r="AO49" i="41"/>
  <c r="AP54" i="41"/>
  <c r="AP55" i="41"/>
  <c r="AR72" i="41"/>
  <c r="AR70" i="41"/>
  <c r="AR77" i="41"/>
  <c r="AD89" i="41"/>
  <c r="AD90" i="41"/>
  <c r="AD91" i="41"/>
  <c r="AG113" i="40"/>
  <c r="AF114" i="40"/>
  <c r="AF115" i="40"/>
  <c r="AL25" i="40"/>
  <c r="AP42" i="39"/>
  <c r="AP43" i="39"/>
  <c r="AQ109" i="39"/>
  <c r="AS126" i="39"/>
  <c r="AS127" i="39"/>
  <c r="AJ137" i="39"/>
  <c r="AJ138" i="39"/>
  <c r="AJ139" i="39"/>
  <c r="W101" i="39"/>
  <c r="AK73" i="39"/>
  <c r="AE102" i="39"/>
  <c r="AE103" i="39"/>
  <c r="AL72" i="39"/>
  <c r="AH65" i="39"/>
  <c r="AH66" i="39"/>
  <c r="AH67" i="39"/>
  <c r="AE53" i="39"/>
  <c r="AI126" i="39"/>
  <c r="AI127" i="39"/>
  <c r="X113" i="39"/>
  <c r="X114" i="39"/>
  <c r="X115" i="39"/>
  <c r="AD96" i="39"/>
  <c r="AD102" i="39"/>
  <c r="AD103" i="39"/>
  <c r="AC82" i="39"/>
  <c r="AD89" i="39"/>
  <c r="AC84" i="39"/>
  <c r="AD84" i="39"/>
  <c r="AD90" i="39"/>
  <c r="AD91" i="39"/>
  <c r="AL82" i="39"/>
  <c r="AL89" i="39"/>
  <c r="AK72" i="39"/>
  <c r="AO48" i="39"/>
  <c r="AS121" i="39"/>
  <c r="AR58" i="39"/>
  <c r="AR65" i="39"/>
  <c r="AH126" i="39"/>
  <c r="AH127" i="39"/>
  <c r="AJ72" i="39"/>
  <c r="W102" i="39"/>
  <c r="W103" i="39"/>
  <c r="AB73" i="39"/>
  <c r="AD42" i="39"/>
  <c r="AD43" i="39"/>
  <c r="AD42" i="38"/>
  <c r="AD43" i="38"/>
  <c r="AM82" i="38"/>
  <c r="AM89" i="38"/>
  <c r="AN216" i="38"/>
  <c r="AS61" i="38"/>
  <c r="AO252" i="38"/>
  <c r="AO258" i="38"/>
  <c r="AO259" i="38"/>
  <c r="AB229" i="38"/>
  <c r="AC229" i="38"/>
  <c r="AK222" i="38"/>
  <c r="AK223" i="38"/>
  <c r="AJ113" i="38"/>
  <c r="Z53" i="38"/>
  <c r="Z54" i="38"/>
  <c r="Z55" i="38"/>
  <c r="AQ241" i="38"/>
  <c r="AQ150" i="38"/>
  <c r="AQ151" i="38"/>
  <c r="AC97" i="38"/>
  <c r="AN214" i="38"/>
  <c r="AN221" i="38"/>
  <c r="Z234" i="38"/>
  <c r="Z235" i="38"/>
  <c r="AD222" i="38"/>
  <c r="AD223" i="38"/>
  <c r="Y205" i="38"/>
  <c r="AF137" i="38"/>
  <c r="AF113" i="38"/>
  <c r="V46" i="38"/>
  <c r="W46" i="38"/>
  <c r="X46" i="38"/>
  <c r="Y46" i="38"/>
  <c r="Y53" i="38"/>
  <c r="V48" i="38"/>
  <c r="W48" i="38"/>
  <c r="X48" i="38"/>
  <c r="Y48" i="38"/>
  <c r="Y54" i="38"/>
  <c r="Y55" i="38"/>
  <c r="AF238" i="38"/>
  <c r="AG245" i="38"/>
  <c r="Y162" i="38"/>
  <c r="Y163" i="38"/>
  <c r="AN36" i="38"/>
  <c r="AP22" i="38"/>
  <c r="AP29" i="38"/>
  <c r="AR178" i="38"/>
  <c r="AR185" i="38"/>
  <c r="AO253" i="38"/>
  <c r="W246" i="38"/>
  <c r="W247" i="38"/>
  <c r="V233" i="38"/>
  <c r="V234" i="38"/>
  <c r="V235" i="38"/>
  <c r="AK214" i="38"/>
  <c r="AK221" i="38"/>
  <c r="AK174" i="38"/>
  <c r="AK175" i="38"/>
  <c r="AG150" i="38"/>
  <c r="AG151" i="38"/>
  <c r="AL66" i="38"/>
  <c r="AL67" i="38"/>
  <c r="AB197" i="38"/>
  <c r="AH156" i="38"/>
  <c r="AK217" i="38"/>
  <c r="AB198" i="38"/>
  <c r="AB199" i="38"/>
  <c r="AK166" i="38"/>
  <c r="AK173" i="38"/>
  <c r="AG125" i="38"/>
  <c r="AG126" i="38"/>
  <c r="AG127" i="38"/>
  <c r="AH267" i="38"/>
  <c r="AS265" i="38"/>
  <c r="AQ265" i="38"/>
  <c r="V49" i="38"/>
  <c r="W49" i="38"/>
  <c r="X49" i="38"/>
  <c r="Y49" i="38"/>
  <c r="Z30" i="36"/>
  <c r="Z31" i="36"/>
  <c r="AA173" i="36"/>
  <c r="T49" i="37"/>
  <c r="U49" i="37"/>
  <c r="V49" i="37"/>
  <c r="AJ34" i="37"/>
  <c r="AJ41" i="37"/>
  <c r="A124" i="37"/>
  <c r="A183" i="37"/>
  <c r="A100" i="37"/>
  <c r="A15" i="37"/>
  <c r="R222" i="34"/>
  <c r="R223" i="34"/>
  <c r="R186" i="34"/>
  <c r="R187" i="34"/>
  <c r="R90" i="34"/>
  <c r="R91" i="34"/>
  <c r="R66" i="34"/>
  <c r="R67" i="34"/>
  <c r="R234" i="34"/>
  <c r="R235" i="34"/>
  <c r="R245" i="34"/>
  <c r="R246" i="34"/>
  <c r="R247" i="34"/>
  <c r="Q233" i="34"/>
  <c r="Q234" i="34"/>
  <c r="Q235" i="34"/>
  <c r="R252" i="34"/>
  <c r="R258" i="34"/>
  <c r="R154" i="34"/>
  <c r="R161" i="34"/>
  <c r="R162" i="34"/>
  <c r="R163" i="34"/>
  <c r="Q64" i="34"/>
  <c r="R149" i="34"/>
  <c r="R150" i="34"/>
  <c r="R151" i="34"/>
  <c r="R148" i="34"/>
  <c r="A148" i="34"/>
  <c r="R113" i="34"/>
  <c r="R114" i="34"/>
  <c r="R115" i="34"/>
  <c r="Q113" i="34"/>
  <c r="Q114" i="34"/>
  <c r="Q115" i="34"/>
  <c r="Q66" i="34"/>
  <c r="Q67" i="34"/>
  <c r="R9" i="34"/>
  <c r="R16" i="34"/>
  <c r="R33" i="34"/>
  <c r="R40" i="34"/>
  <c r="R137" i="34"/>
  <c r="R138" i="34"/>
  <c r="R139" i="34"/>
  <c r="R22" i="34"/>
  <c r="R29" i="34"/>
  <c r="A112" i="35"/>
  <c r="A130" i="35"/>
  <c r="A133" i="35"/>
  <c r="A48" i="35"/>
  <c r="X267" i="38"/>
  <c r="X269" i="38"/>
  <c r="X270" i="38"/>
  <c r="X271" i="38"/>
  <c r="AQ267" i="38"/>
  <c r="V269" i="38"/>
  <c r="AK264" i="38"/>
  <c r="AK265" i="38"/>
  <c r="V270" i="38"/>
  <c r="V271" i="38"/>
  <c r="AH257" i="38"/>
  <c r="AH258" i="38"/>
  <c r="AH259" i="38"/>
  <c r="X250" i="38"/>
  <c r="X257" i="38"/>
  <c r="X258" i="38"/>
  <c r="X259" i="38"/>
  <c r="AK253" i="38"/>
  <c r="AM238" i="38"/>
  <c r="AM245" i="38"/>
  <c r="AM246" i="38"/>
  <c r="AM247" i="38"/>
  <c r="Z241" i="38"/>
  <c r="AA241" i="38"/>
  <c r="AB241" i="38"/>
  <c r="AC241" i="38"/>
  <c r="AS229" i="38"/>
  <c r="Y228" i="38"/>
  <c r="AP226" i="38"/>
  <c r="AP233" i="38"/>
  <c r="AQ234" i="38"/>
  <c r="AQ235" i="38"/>
  <c r="AR234" i="38"/>
  <c r="AR235" i="38"/>
  <c r="AK234" i="38"/>
  <c r="AK235" i="38"/>
  <c r="X229" i="38"/>
  <c r="AI234" i="38"/>
  <c r="AI235" i="38"/>
  <c r="AP228" i="38"/>
  <c r="AS234" i="38"/>
  <c r="AS235" i="38"/>
  <c r="AR228" i="38"/>
  <c r="AR226" i="38"/>
  <c r="AR233" i="38"/>
  <c r="AI222" i="38"/>
  <c r="AI223" i="38"/>
  <c r="AS217" i="38"/>
  <c r="AS216" i="38"/>
  <c r="AS214" i="38"/>
  <c r="AS221" i="38"/>
  <c r="AS205" i="38"/>
  <c r="AM202" i="38"/>
  <c r="AM209" i="38"/>
  <c r="AK202" i="38"/>
  <c r="AK209" i="38"/>
  <c r="AA209" i="38"/>
  <c r="AS204" i="38"/>
  <c r="AM204" i="38"/>
  <c r="AM193" i="38"/>
  <c r="AP180" i="38"/>
  <c r="AP178" i="38"/>
  <c r="AP185" i="38"/>
  <c r="AQ180" i="38"/>
  <c r="AQ178" i="38"/>
  <c r="AQ185" i="38"/>
  <c r="AP181" i="38"/>
  <c r="AP186" i="38"/>
  <c r="AP187" i="38"/>
  <c r="AQ181" i="38"/>
  <c r="AM181" i="38"/>
  <c r="AM178" i="38"/>
  <c r="AM185" i="38"/>
  <c r="AN180" i="38"/>
  <c r="AN178" i="38"/>
  <c r="AN185" i="38"/>
  <c r="AN186" i="38"/>
  <c r="AN187" i="38"/>
  <c r="AN157" i="38"/>
  <c r="AM162" i="38"/>
  <c r="AM163" i="38"/>
  <c r="AQ162" i="38"/>
  <c r="AQ163" i="38"/>
  <c r="AN161" i="38"/>
  <c r="AM154" i="38"/>
  <c r="AM161" i="38"/>
  <c r="AM142" i="38"/>
  <c r="AM149" i="38"/>
  <c r="AH149" i="38"/>
  <c r="AH144" i="38"/>
  <c r="AH150" i="38"/>
  <c r="AH151" i="38"/>
  <c r="AQ145" i="38"/>
  <c r="AM150" i="38"/>
  <c r="AM151" i="38"/>
  <c r="M4" i="2"/>
  <c r="A150" i="35"/>
  <c r="AR118" i="38"/>
  <c r="AR125" i="38"/>
  <c r="AA125" i="38"/>
  <c r="AA126" i="38"/>
  <c r="AA127" i="38"/>
  <c r="AM121" i="38"/>
  <c r="AM118" i="38"/>
  <c r="AM125" i="38"/>
  <c r="A153" i="35"/>
  <c r="H2" i="35"/>
  <c r="X94" i="38"/>
  <c r="Y94" i="38"/>
  <c r="Y101" i="38"/>
  <c r="AJ101" i="38"/>
  <c r="AP94" i="38"/>
  <c r="AP101" i="38"/>
  <c r="AH101" i="38"/>
  <c r="AP96" i="38"/>
  <c r="AQ94" i="38"/>
  <c r="AQ101" i="38"/>
  <c r="AG97" i="38"/>
  <c r="AH97" i="38"/>
  <c r="W96" i="38"/>
  <c r="X96" i="38"/>
  <c r="Y96" i="38"/>
  <c r="Y102" i="38"/>
  <c r="Y103" i="38"/>
  <c r="AP102" i="38"/>
  <c r="AP103" i="38"/>
  <c r="AI84" i="38"/>
  <c r="S90" i="38"/>
  <c r="S91" i="38"/>
  <c r="Y70" i="38"/>
  <c r="Y77" i="38"/>
  <c r="AR73" i="38"/>
  <c r="AQ70" i="38"/>
  <c r="AQ77" i="38"/>
  <c r="AQ78" i="38"/>
  <c r="AQ79" i="38"/>
  <c r="AH78" i="38"/>
  <c r="AH79" i="38"/>
  <c r="AN78" i="38"/>
  <c r="AN79" i="38"/>
  <c r="AN66" i="38"/>
  <c r="AN67" i="38"/>
  <c r="AK66" i="38"/>
  <c r="AK67" i="38"/>
  <c r="AM46" i="38"/>
  <c r="AM53" i="38"/>
  <c r="AF53" i="38"/>
  <c r="AF54" i="38"/>
  <c r="AF55" i="38"/>
  <c r="AN54" i="38"/>
  <c r="AN55" i="38"/>
  <c r="AM48" i="38"/>
  <c r="AN53" i="38"/>
  <c r="AP46" i="38"/>
  <c r="AP53" i="38"/>
  <c r="AL34" i="38"/>
  <c r="AL41" i="38"/>
  <c r="AL42" i="38"/>
  <c r="AL43" i="38"/>
  <c r="Y36" i="38"/>
  <c r="AG114" i="38"/>
  <c r="AG115" i="38"/>
  <c r="S78" i="38"/>
  <c r="S79" i="38"/>
  <c r="AK210" i="38"/>
  <c r="AK211" i="38"/>
  <c r="AM186" i="38"/>
  <c r="AM187" i="38"/>
  <c r="AE94" i="38"/>
  <c r="AE101" i="38"/>
  <c r="AE96" i="38"/>
  <c r="AE102" i="38"/>
  <c r="AE103" i="38"/>
  <c r="S30" i="38"/>
  <c r="S31" i="38"/>
  <c r="S210" i="38"/>
  <c r="S211" i="38"/>
  <c r="S258" i="38"/>
  <c r="S259" i="38"/>
  <c r="AH162" i="38"/>
  <c r="AH163" i="38"/>
  <c r="AH102" i="38"/>
  <c r="AH103" i="38"/>
  <c r="S126" i="38"/>
  <c r="S127" i="38"/>
  <c r="AB265" i="38"/>
  <c r="AM180" i="38"/>
  <c r="S114" i="38"/>
  <c r="S115" i="38"/>
  <c r="AS270" i="38"/>
  <c r="AS271" i="38"/>
  <c r="AL246" i="38"/>
  <c r="AL247" i="38"/>
  <c r="AL241" i="38"/>
  <c r="AN222" i="38"/>
  <c r="AN223" i="38"/>
  <c r="AR114" i="38"/>
  <c r="AR115" i="38"/>
  <c r="AR132" i="38"/>
  <c r="AR138" i="38"/>
  <c r="AR139" i="38"/>
  <c r="AR150" i="38"/>
  <c r="AR151" i="38"/>
  <c r="AN48" i="38"/>
  <c r="AQ90" i="38"/>
  <c r="AQ91" i="38"/>
  <c r="AK246" i="38"/>
  <c r="AK247" i="38"/>
  <c r="V221" i="38"/>
  <c r="V222" i="38"/>
  <c r="V223" i="38"/>
  <c r="AE214" i="38"/>
  <c r="AE221" i="38"/>
  <c r="AI209" i="38"/>
  <c r="AI210" i="38"/>
  <c r="AI211" i="38"/>
  <c r="AI173" i="38"/>
  <c r="X53" i="38"/>
  <c r="X54" i="38"/>
  <c r="X55" i="38"/>
  <c r="AL238" i="38"/>
  <c r="AL245" i="38"/>
  <c r="A148" i="38"/>
  <c r="AO178" i="38"/>
  <c r="AO185" i="38"/>
  <c r="AS193" i="38"/>
  <c r="AR82" i="38"/>
  <c r="AR89" i="38"/>
  <c r="AR108" i="38"/>
  <c r="AS114" i="38"/>
  <c r="AS115" i="38"/>
  <c r="AR133" i="38"/>
  <c r="AQ168" i="38"/>
  <c r="AR78" i="38"/>
  <c r="AR79" i="38"/>
  <c r="AK205" i="38"/>
  <c r="AH186" i="38"/>
  <c r="AH187" i="38"/>
  <c r="AM157" i="38"/>
  <c r="AM156" i="38"/>
  <c r="AA149" i="38"/>
  <c r="AA150" i="38"/>
  <c r="AA151" i="38"/>
  <c r="AM126" i="38"/>
  <c r="AM127" i="38"/>
  <c r="AK109" i="38"/>
  <c r="AI77" i="38"/>
  <c r="W53" i="38"/>
  <c r="W54" i="38"/>
  <c r="W55" i="38"/>
  <c r="AK238" i="38"/>
  <c r="AK245" i="38"/>
  <c r="S54" i="38"/>
  <c r="S55" i="38"/>
  <c r="AN162" i="38"/>
  <c r="AN163" i="38"/>
  <c r="AR84" i="38"/>
  <c r="AS108" i="38"/>
  <c r="AS133" i="38"/>
  <c r="AR168" i="38"/>
  <c r="AQ166" i="38"/>
  <c r="AQ173" i="38"/>
  <c r="AN217" i="38"/>
  <c r="S233" i="38"/>
  <c r="S234" i="38"/>
  <c r="S235" i="38"/>
  <c r="AB209" i="38"/>
  <c r="AB210" i="38"/>
  <c r="AB211" i="38"/>
  <c r="AJ78" i="38"/>
  <c r="AJ79" i="38"/>
  <c r="V53" i="38"/>
  <c r="V54" i="38"/>
  <c r="V55" i="38"/>
  <c r="S241" i="38"/>
  <c r="AM240" i="38"/>
  <c r="AA210" i="38"/>
  <c r="AA211" i="38"/>
  <c r="X185" i="38"/>
  <c r="X186" i="38"/>
  <c r="X187" i="38"/>
  <c r="AK114" i="38"/>
  <c r="AK115" i="38"/>
  <c r="AI85" i="38"/>
  <c r="AI82" i="38"/>
  <c r="AI89" i="38"/>
  <c r="AI78" i="38"/>
  <c r="AI79" i="38"/>
  <c r="AL240" i="38"/>
  <c r="AL229" i="38"/>
  <c r="AK226" i="38"/>
  <c r="AK233" i="38"/>
  <c r="AE222" i="38"/>
  <c r="AE223" i="38"/>
  <c r="AE217" i="38"/>
  <c r="Z210" i="38"/>
  <c r="Z211" i="38"/>
  <c r="AI174" i="38"/>
  <c r="AI175" i="38"/>
  <c r="AK144" i="38"/>
  <c r="AI90" i="38"/>
  <c r="AI91" i="38"/>
  <c r="AM54" i="38"/>
  <c r="AM55" i="38"/>
  <c r="AD161" i="38"/>
  <c r="AM241" i="38"/>
  <c r="AK229" i="38"/>
  <c r="AL120" i="38"/>
  <c r="AI97" i="38"/>
  <c r="AK61" i="38"/>
  <c r="AH54" i="38"/>
  <c r="AH55" i="38"/>
  <c r="AC262" i="38"/>
  <c r="AC269" i="38"/>
  <c r="AC264" i="38"/>
  <c r="AC270" i="38"/>
  <c r="AC271" i="38"/>
  <c r="AC267" i="38"/>
  <c r="AM229" i="38"/>
  <c r="AM228" i="38"/>
  <c r="AM234" i="38"/>
  <c r="AM235" i="38"/>
  <c r="S217" i="38"/>
  <c r="AP202" i="38"/>
  <c r="AP209" i="38"/>
  <c r="AP205" i="38"/>
  <c r="AL138" i="38"/>
  <c r="AL139" i="38"/>
  <c r="AL133" i="38"/>
  <c r="V113" i="38"/>
  <c r="AN84" i="38"/>
  <c r="AN85" i="38"/>
  <c r="AN90" i="38"/>
  <c r="AN91" i="38"/>
  <c r="AR25" i="38"/>
  <c r="AR22" i="38"/>
  <c r="AR29" i="38"/>
  <c r="AI22" i="38"/>
  <c r="AI29" i="38"/>
  <c r="AI30" i="38"/>
  <c r="AI31" i="38"/>
  <c r="AK36" i="38"/>
  <c r="AK37" i="38"/>
  <c r="AB41" i="38"/>
  <c r="AB42" i="38"/>
  <c r="AB43" i="38"/>
  <c r="Z221" i="38"/>
  <c r="AO202" i="38"/>
  <c r="AO209" i="38"/>
  <c r="AO205" i="38"/>
  <c r="AO198" i="38"/>
  <c r="AO199" i="38"/>
  <c r="AO192" i="38"/>
  <c r="AO168" i="38"/>
  <c r="AC133" i="38"/>
  <c r="AC130" i="38"/>
  <c r="AC137" i="38"/>
  <c r="AC132" i="38"/>
  <c r="AR66" i="38"/>
  <c r="AR67" i="38"/>
  <c r="AR60" i="38"/>
  <c r="AI58" i="38"/>
  <c r="AJ65" i="38"/>
  <c r="AI60" i="38"/>
  <c r="AJ60" i="38"/>
  <c r="AJ66" i="38"/>
  <c r="AJ67" i="38"/>
  <c r="R60" i="38"/>
  <c r="R61" i="38"/>
  <c r="A15" i="38"/>
  <c r="AR238" i="38"/>
  <c r="AR245" i="38"/>
  <c r="Y25" i="38"/>
  <c r="Y22" i="38"/>
  <c r="Y29" i="38"/>
  <c r="Y24" i="38"/>
  <c r="Y30" i="38"/>
  <c r="Y31" i="38"/>
  <c r="R37" i="38"/>
  <c r="R34" i="38"/>
  <c r="R41" i="38"/>
  <c r="R42" i="38"/>
  <c r="R43" i="38"/>
  <c r="AL234" i="38"/>
  <c r="AL235" i="38"/>
  <c r="AL226" i="38"/>
  <c r="AL233" i="38"/>
  <c r="Y217" i="38"/>
  <c r="AN202" i="38"/>
  <c r="AN209" i="38"/>
  <c r="AN205" i="38"/>
  <c r="AE169" i="38"/>
  <c r="AS130" i="38"/>
  <c r="AS137" i="38"/>
  <c r="AS132" i="38"/>
  <c r="X101" i="38"/>
  <c r="X102" i="38"/>
  <c r="X103" i="38"/>
  <c r="AI65" i="38"/>
  <c r="AI66" i="38"/>
  <c r="AI67" i="38"/>
  <c r="Z65" i="38"/>
  <c r="Z66" i="38"/>
  <c r="Z67" i="38"/>
  <c r="X169" i="38"/>
  <c r="AC144" i="38"/>
  <c r="AC150" i="38"/>
  <c r="AC151" i="38"/>
  <c r="W77" i="38"/>
  <c r="V72" i="38"/>
  <c r="W72" i="38"/>
  <c r="W78" i="38"/>
  <c r="W79" i="38"/>
  <c r="X58" i="38"/>
  <c r="Y58" i="38"/>
  <c r="Y65" i="38"/>
  <c r="Y66" i="38"/>
  <c r="Y67" i="38"/>
  <c r="W61" i="38"/>
  <c r="X61" i="38"/>
  <c r="Y61" i="38"/>
  <c r="R54" i="38"/>
  <c r="R55" i="38"/>
  <c r="AP204" i="38"/>
  <c r="AH221" i="38"/>
  <c r="AH222" i="38"/>
  <c r="AH223" i="38"/>
  <c r="AD205" i="38"/>
  <c r="AE205" i="38"/>
  <c r="AC138" i="38"/>
  <c r="AC139" i="38"/>
  <c r="AK42" i="38"/>
  <c r="AK43" i="38"/>
  <c r="AP240" i="38"/>
  <c r="AP238" i="38"/>
  <c r="AP245" i="38"/>
  <c r="AG221" i="38"/>
  <c r="AG222" i="38"/>
  <c r="AG223" i="38"/>
  <c r="X221" i="38"/>
  <c r="X222" i="38"/>
  <c r="X223" i="38"/>
  <c r="AL166" i="38"/>
  <c r="AL173" i="38"/>
  <c r="AL174" i="38"/>
  <c r="AL175" i="38"/>
  <c r="AL154" i="38"/>
  <c r="AL161" i="38"/>
  <c r="AL157" i="38"/>
  <c r="AM102" i="38"/>
  <c r="AM103" i="38"/>
  <c r="AM96" i="38"/>
  <c r="V77" i="38"/>
  <c r="V78" i="38"/>
  <c r="V79" i="38"/>
  <c r="AP61" i="38"/>
  <c r="AP66" i="38"/>
  <c r="AP67" i="38"/>
  <c r="AP60" i="38"/>
  <c r="AR34" i="38"/>
  <c r="AR41" i="38"/>
  <c r="S58" i="38"/>
  <c r="S65" i="38"/>
  <c r="S66" i="38"/>
  <c r="S67" i="38"/>
  <c r="AE89" i="38"/>
  <c r="AE90" i="38"/>
  <c r="AE91" i="38"/>
  <c r="AM94" i="38"/>
  <c r="AM101" i="38"/>
  <c r="AQ24" i="38"/>
  <c r="AS90" i="38"/>
  <c r="AS91" i="38"/>
  <c r="Z29" i="38"/>
  <c r="Z30" i="38"/>
  <c r="Z31" i="38"/>
  <c r="AK130" i="38"/>
  <c r="AK137" i="38"/>
  <c r="AA29" i="38"/>
  <c r="AA30" i="38"/>
  <c r="AA31" i="38"/>
  <c r="AN114" i="38"/>
  <c r="AN115" i="38"/>
  <c r="AN168" i="38"/>
  <c r="AL130" i="38"/>
  <c r="AL137" i="38"/>
  <c r="X65" i="38"/>
  <c r="AL253" i="38"/>
  <c r="AL250" i="38"/>
  <c r="AL257" i="38"/>
  <c r="AO246" i="38"/>
  <c r="AO247" i="38"/>
  <c r="AO222" i="38"/>
  <c r="AO223" i="38"/>
  <c r="AO217" i="38"/>
  <c r="AO214" i="38"/>
  <c r="AO221" i="38"/>
  <c r="AF222" i="38"/>
  <c r="AF223" i="38"/>
  <c r="AN72" i="38"/>
  <c r="AN73" i="38"/>
  <c r="AE73" i="38"/>
  <c r="AE72" i="38"/>
  <c r="AE78" i="38"/>
  <c r="AE79" i="38"/>
  <c r="X238" i="38"/>
  <c r="X245" i="38"/>
  <c r="AR42" i="38"/>
  <c r="AR43" i="38"/>
  <c r="S61" i="38"/>
  <c r="AL85" i="38"/>
  <c r="AD210" i="38"/>
  <c r="AD211" i="38"/>
  <c r="AL228" i="38"/>
  <c r="AL82" i="38"/>
  <c r="AL89" i="38"/>
  <c r="R181" i="38"/>
  <c r="AJ22" i="38"/>
  <c r="AJ29" i="38"/>
  <c r="AJ30" i="38"/>
  <c r="AJ31" i="38"/>
  <c r="AE202" i="38"/>
  <c r="AE209" i="38"/>
  <c r="AE210" i="38"/>
  <c r="AE211" i="38"/>
  <c r="R48" i="38"/>
  <c r="AR24" i="38"/>
  <c r="AS84" i="38"/>
  <c r="AQ246" i="38"/>
  <c r="AQ247" i="38"/>
  <c r="AQ66" i="38"/>
  <c r="AQ67" i="38"/>
  <c r="AO210" i="38"/>
  <c r="AO211" i="38"/>
  <c r="AL114" i="38"/>
  <c r="AL115" i="38"/>
  <c r="S36" i="38"/>
  <c r="S42" i="38"/>
  <c r="S43" i="38"/>
  <c r="AA258" i="38"/>
  <c r="AA259" i="38"/>
  <c r="AS154" i="38"/>
  <c r="AS161" i="38"/>
  <c r="AS156" i="38"/>
  <c r="AS157" i="38"/>
  <c r="AS120" i="38"/>
  <c r="AB121" i="38"/>
  <c r="AC121" i="38"/>
  <c r="AC120" i="38"/>
  <c r="AC126" i="38"/>
  <c r="AC127" i="38"/>
  <c r="AJ25" i="38"/>
  <c r="S37" i="38"/>
  <c r="AS42" i="38"/>
  <c r="AS43" i="38"/>
  <c r="AL36" i="38"/>
  <c r="AJ133" i="38"/>
  <c r="AL162" i="38"/>
  <c r="AL163" i="38"/>
  <c r="AG210" i="38"/>
  <c r="AG211" i="38"/>
  <c r="AG246" i="38"/>
  <c r="AG247" i="38"/>
  <c r="AC265" i="38"/>
  <c r="AB178" i="38"/>
  <c r="AC178" i="38"/>
  <c r="AC185" i="38"/>
  <c r="AL84" i="38"/>
  <c r="X89" i="38"/>
  <c r="AQ238" i="38"/>
  <c r="AQ245" i="38"/>
  <c r="AL168" i="38"/>
  <c r="AE168" i="38"/>
  <c r="AE174" i="38"/>
  <c r="AE175" i="38"/>
  <c r="AL106" i="38"/>
  <c r="AL113" i="38"/>
  <c r="AS36" i="38"/>
  <c r="AN108" i="38"/>
  <c r="AR240" i="38"/>
  <c r="AP210" i="38"/>
  <c r="AP211" i="38"/>
  <c r="X66" i="38"/>
  <c r="X67" i="38"/>
  <c r="AI61" i="38"/>
  <c r="R58" i="38"/>
  <c r="R65" i="38"/>
  <c r="R66" i="38"/>
  <c r="R67" i="38"/>
  <c r="R36" i="38"/>
  <c r="AK34" i="38"/>
  <c r="AK41" i="38"/>
  <c r="Y229" i="38"/>
  <c r="Y234" i="38"/>
  <c r="Y235" i="38"/>
  <c r="R228" i="38"/>
  <c r="R226" i="38"/>
  <c r="R233" i="38"/>
  <c r="R234" i="38"/>
  <c r="R235" i="38"/>
  <c r="AM222" i="38"/>
  <c r="AM223" i="38"/>
  <c r="AM216" i="38"/>
  <c r="AR186" i="38"/>
  <c r="AR187" i="38"/>
  <c r="AR181" i="38"/>
  <c r="AR156" i="38"/>
  <c r="AR157" i="38"/>
  <c r="AR162" i="38"/>
  <c r="AR163" i="38"/>
  <c r="AR120" i="38"/>
  <c r="AR126" i="38"/>
  <c r="AR127" i="38"/>
  <c r="X113" i="38"/>
  <c r="X114" i="38"/>
  <c r="X115" i="38"/>
  <c r="Z89" i="38"/>
  <c r="Z90" i="38"/>
  <c r="Z91" i="38"/>
  <c r="AL70" i="38"/>
  <c r="AL77" i="38"/>
  <c r="AL78" i="38"/>
  <c r="AL79" i="38"/>
  <c r="AL73" i="38"/>
  <c r="AR36" i="38"/>
  <c r="AB53" i="38"/>
  <c r="AB54" i="38"/>
  <c r="AB55" i="38"/>
  <c r="AN204" i="38"/>
  <c r="X246" i="38"/>
  <c r="X247" i="38"/>
  <c r="S192" i="38"/>
  <c r="S198" i="38"/>
  <c r="S199" i="38"/>
  <c r="AP241" i="38"/>
  <c r="R216" i="38"/>
  <c r="R222" i="38"/>
  <c r="R223" i="38"/>
  <c r="AB180" i="38"/>
  <c r="AC180" i="38"/>
  <c r="AL169" i="38"/>
  <c r="AM109" i="38"/>
  <c r="AP246" i="38"/>
  <c r="AP247" i="38"/>
  <c r="AL132" i="38"/>
  <c r="AF89" i="38"/>
  <c r="AG267" i="38"/>
  <c r="AS250" i="38"/>
  <c r="AS257" i="38"/>
  <c r="AS253" i="38"/>
  <c r="Y250" i="38"/>
  <c r="Y257" i="38"/>
  <c r="Y258" i="38"/>
  <c r="Y259" i="38"/>
  <c r="AR193" i="38"/>
  <c r="Y166" i="38"/>
  <c r="Y173" i="38"/>
  <c r="Y168" i="38"/>
  <c r="AE138" i="38"/>
  <c r="AE139" i="38"/>
  <c r="AD133" i="38"/>
  <c r="AE133" i="38"/>
  <c r="AQ118" i="38"/>
  <c r="AQ125" i="38"/>
  <c r="AQ120" i="38"/>
  <c r="W113" i="38"/>
  <c r="W114" i="38"/>
  <c r="W115" i="38"/>
  <c r="X84" i="38"/>
  <c r="Y84" i="38"/>
  <c r="Y90" i="38"/>
  <c r="Y91" i="38"/>
  <c r="R85" i="38"/>
  <c r="R82" i="38"/>
  <c r="R89" i="38"/>
  <c r="R90" i="38"/>
  <c r="R91" i="38"/>
  <c r="AA41" i="38"/>
  <c r="AA42" i="38"/>
  <c r="AA43" i="38"/>
  <c r="AF209" i="38"/>
  <c r="AC186" i="38"/>
  <c r="AC187" i="38"/>
  <c r="AF90" i="38"/>
  <c r="AF91" i="38"/>
  <c r="AE229" i="38"/>
  <c r="AN106" i="38"/>
  <c r="AN113" i="38"/>
  <c r="X210" i="38"/>
  <c r="X211" i="38"/>
  <c r="AN82" i="38"/>
  <c r="AN89" i="38"/>
  <c r="AO190" i="38"/>
  <c r="AO197" i="38"/>
  <c r="AQ240" i="38"/>
  <c r="AR37" i="38"/>
  <c r="AS138" i="38"/>
  <c r="AS139" i="38"/>
  <c r="AR246" i="38"/>
  <c r="AR247" i="38"/>
  <c r="Z222" i="38"/>
  <c r="Z223" i="38"/>
  <c r="S216" i="38"/>
  <c r="S222" i="38"/>
  <c r="S223" i="38"/>
  <c r="AF210" i="38"/>
  <c r="AF211" i="38"/>
  <c r="AK132" i="38"/>
  <c r="V114" i="38"/>
  <c r="V115" i="38"/>
  <c r="AL108" i="38"/>
  <c r="W102" i="38"/>
  <c r="W103" i="38"/>
  <c r="AN234" i="38"/>
  <c r="AN235" i="38"/>
  <c r="AN228" i="38"/>
  <c r="AL144" i="38"/>
  <c r="AL150" i="38"/>
  <c r="AL151" i="38"/>
  <c r="AQ156" i="38"/>
  <c r="AQ157" i="38"/>
  <c r="AM130" i="38"/>
  <c r="AM137" i="38"/>
  <c r="AM132" i="38"/>
  <c r="AM138" i="38"/>
  <c r="AM139" i="38"/>
  <c r="AM133" i="38"/>
  <c r="AD137" i="38"/>
  <c r="AD138" i="38"/>
  <c r="AD139" i="38"/>
  <c r="AF114" i="38"/>
  <c r="AF115" i="38"/>
  <c r="AR102" i="38"/>
  <c r="AR103" i="38"/>
  <c r="AR97" i="38"/>
  <c r="AR94" i="38"/>
  <c r="AR101" i="38"/>
  <c r="R150" i="38"/>
  <c r="R151" i="38"/>
  <c r="R120" i="38"/>
  <c r="R126" i="38"/>
  <c r="R127" i="38"/>
  <c r="A112" i="38"/>
  <c r="Q163" i="38"/>
  <c r="A220" i="38"/>
  <c r="Q222" i="38"/>
  <c r="Q223" i="38"/>
  <c r="R22" i="38"/>
  <c r="R29" i="38"/>
  <c r="R30" i="38"/>
  <c r="R31" i="38"/>
  <c r="AK102" i="38"/>
  <c r="AK103" i="38"/>
  <c r="AK54" i="38"/>
  <c r="AK55" i="38"/>
  <c r="AK46" i="38"/>
  <c r="AK53" i="38"/>
  <c r="AK48" i="38"/>
  <c r="AD46" i="38"/>
  <c r="AE53" i="38"/>
  <c r="AD48" i="38"/>
  <c r="AE48" i="38"/>
  <c r="AE54" i="38"/>
  <c r="AE55" i="38"/>
  <c r="AD49" i="38"/>
  <c r="AE49" i="38"/>
  <c r="AS22" i="38"/>
  <c r="AS29" i="38"/>
  <c r="AS25" i="38"/>
  <c r="AP118" i="38"/>
  <c r="AP125" i="38"/>
  <c r="AP121" i="38"/>
  <c r="AP126" i="38"/>
  <c r="AP127" i="38"/>
  <c r="AS49" i="38"/>
  <c r="AS54" i="38"/>
  <c r="AS55" i="38"/>
  <c r="AD53" i="38"/>
  <c r="AD54" i="38"/>
  <c r="AD55" i="38"/>
  <c r="A268" i="38"/>
  <c r="Y238" i="38"/>
  <c r="Y245" i="38"/>
  <c r="Y246" i="38"/>
  <c r="Y247" i="38"/>
  <c r="AI144" i="38"/>
  <c r="AI150" i="38"/>
  <c r="AI151" i="38"/>
  <c r="Z149" i="38"/>
  <c r="Z150" i="38"/>
  <c r="Z151" i="38"/>
  <c r="AP130" i="38"/>
  <c r="AP137" i="38"/>
  <c r="AP133" i="38"/>
  <c r="AG137" i="38"/>
  <c r="AG138" i="38"/>
  <c r="AG139" i="38"/>
  <c r="AM72" i="38"/>
  <c r="Q238" i="38"/>
  <c r="Q245" i="38"/>
  <c r="Q2" i="38"/>
  <c r="Q58" i="38"/>
  <c r="Q65" i="38"/>
  <c r="Q60" i="38"/>
  <c r="Q61" i="38"/>
  <c r="AL178" i="38"/>
  <c r="AL185" i="38"/>
  <c r="AL180" i="38"/>
  <c r="AL181" i="38"/>
  <c r="AL186" i="38"/>
  <c r="AL187" i="38"/>
  <c r="AD185" i="38"/>
  <c r="AD186" i="38"/>
  <c r="AD187" i="38"/>
  <c r="AO145" i="38"/>
  <c r="AO142" i="38"/>
  <c r="AO149" i="38"/>
  <c r="AS78" i="38"/>
  <c r="AS79" i="38"/>
  <c r="AS70" i="38"/>
  <c r="AS77" i="38"/>
  <c r="AS73" i="38"/>
  <c r="AS72" i="38"/>
  <c r="AR54" i="38"/>
  <c r="AR55" i="38"/>
  <c r="AR48" i="38"/>
  <c r="AR49" i="38"/>
  <c r="S130" i="38"/>
  <c r="S137" i="38"/>
  <c r="S138" i="38"/>
  <c r="S139" i="38"/>
  <c r="AJ46" i="38"/>
  <c r="AJ53" i="38"/>
  <c r="AJ48" i="38"/>
  <c r="AJ54" i="38"/>
  <c r="AJ55" i="38"/>
  <c r="AM78" i="38"/>
  <c r="AM79" i="38"/>
  <c r="AP138" i="38"/>
  <c r="AP139" i="38"/>
  <c r="AS30" i="38"/>
  <c r="AS31" i="38"/>
  <c r="AI190" i="38"/>
  <c r="AJ197" i="38"/>
  <c r="AJ198" i="38"/>
  <c r="AJ199" i="38"/>
  <c r="AI193" i="38"/>
  <c r="AJ193" i="38"/>
  <c r="AK181" i="38"/>
  <c r="AO174" i="38"/>
  <c r="AO175" i="38"/>
  <c r="AO166" i="38"/>
  <c r="AO173" i="38"/>
  <c r="AO169" i="38"/>
  <c r="AH173" i="38"/>
  <c r="AH174" i="38"/>
  <c r="AH175" i="38"/>
  <c r="AO130" i="38"/>
  <c r="AO137" i="38"/>
  <c r="AO133" i="38"/>
  <c r="AF138" i="38"/>
  <c r="AF139" i="38"/>
  <c r="AK94" i="38"/>
  <c r="AK101" i="38"/>
  <c r="AH145" i="38"/>
  <c r="AF245" i="38"/>
  <c r="AF246" i="38"/>
  <c r="AF247" i="38"/>
  <c r="Y241" i="38"/>
  <c r="AK24" i="38"/>
  <c r="AQ198" i="38"/>
  <c r="AQ199" i="38"/>
  <c r="AQ193" i="38"/>
  <c r="AQ192" i="38"/>
  <c r="AQ190" i="38"/>
  <c r="AQ197" i="38"/>
  <c r="AI197" i="38"/>
  <c r="AI198" i="38"/>
  <c r="AI199" i="38"/>
  <c r="Z197" i="38"/>
  <c r="Z198" i="38"/>
  <c r="Z199" i="38"/>
  <c r="R192" i="38"/>
  <c r="R193" i="38"/>
  <c r="R190" i="38"/>
  <c r="R197" i="38"/>
  <c r="AS181" i="38"/>
  <c r="AS186" i="38"/>
  <c r="AS187" i="38"/>
  <c r="AB185" i="38"/>
  <c r="AB186" i="38"/>
  <c r="AB187" i="38"/>
  <c r="S180" i="38"/>
  <c r="S186" i="38"/>
  <c r="S187" i="38"/>
  <c r="AN169" i="38"/>
  <c r="AN174" i="38"/>
  <c r="AN175" i="38"/>
  <c r="AG173" i="38"/>
  <c r="AG174" i="38"/>
  <c r="AG175" i="38"/>
  <c r="Y174" i="38"/>
  <c r="Y175" i="38"/>
  <c r="Y169" i="38"/>
  <c r="Q168" i="38"/>
  <c r="Q169" i="38"/>
  <c r="Q166" i="38"/>
  <c r="Q173" i="38"/>
  <c r="Q174" i="38"/>
  <c r="Q175" i="38"/>
  <c r="AN149" i="38"/>
  <c r="AN144" i="38"/>
  <c r="AN145" i="38"/>
  <c r="AN150" i="38"/>
  <c r="AN151" i="38"/>
  <c r="R24" i="38"/>
  <c r="Q240" i="38"/>
  <c r="AP267" i="38"/>
  <c r="AP265" i="38"/>
  <c r="AP270" i="38"/>
  <c r="AP271" i="38"/>
  <c r="AP42" i="38"/>
  <c r="AP43" i="38"/>
  <c r="AP36" i="38"/>
  <c r="AP34" i="38"/>
  <c r="AP41" i="38"/>
  <c r="AP192" i="38"/>
  <c r="AP198" i="38"/>
  <c r="AP199" i="38"/>
  <c r="AP193" i="38"/>
  <c r="AH198" i="38"/>
  <c r="AH199" i="38"/>
  <c r="Y190" i="38"/>
  <c r="Y197" i="38"/>
  <c r="Y192" i="38"/>
  <c r="X193" i="38"/>
  <c r="Y193" i="38"/>
  <c r="Y198" i="38"/>
  <c r="Y199" i="38"/>
  <c r="AI185" i="38"/>
  <c r="AI186" i="38"/>
  <c r="AI187" i="38"/>
  <c r="R180" i="38"/>
  <c r="R178" i="38"/>
  <c r="R185" i="38"/>
  <c r="R186" i="38"/>
  <c r="R187" i="38"/>
  <c r="AM166" i="38"/>
  <c r="AM173" i="38"/>
  <c r="AM168" i="38"/>
  <c r="AM169" i="38"/>
  <c r="AM174" i="38"/>
  <c r="AM175" i="38"/>
  <c r="S96" i="38"/>
  <c r="S101" i="38"/>
  <c r="S133" i="38"/>
  <c r="AO270" i="38"/>
  <c r="AO271" i="38"/>
  <c r="AO262" i="38"/>
  <c r="AO269" i="38"/>
  <c r="AO264" i="38"/>
  <c r="X125" i="38"/>
  <c r="X126" i="38"/>
  <c r="X127" i="38"/>
  <c r="AP82" i="38"/>
  <c r="AP89" i="38"/>
  <c r="AP85" i="38"/>
  <c r="AJ84" i="38"/>
  <c r="AJ85" i="38"/>
  <c r="AJ89" i="38"/>
  <c r="AJ90" i="38"/>
  <c r="AJ91" i="38"/>
  <c r="Q246" i="38"/>
  <c r="AC49" i="38"/>
  <c r="AK270" i="38"/>
  <c r="AK271" i="38"/>
  <c r="Q102" i="38"/>
  <c r="Q103" i="38"/>
  <c r="AO42" i="38"/>
  <c r="AO43" i="38"/>
  <c r="AO36" i="38"/>
  <c r="AG41" i="38"/>
  <c r="AG42" i="38"/>
  <c r="AG43" i="38"/>
  <c r="Y34" i="38"/>
  <c r="Y41" i="38"/>
  <c r="Y42" i="38"/>
  <c r="Y43" i="38"/>
  <c r="Y37" i="38"/>
  <c r="AD125" i="38"/>
  <c r="AD126" i="38"/>
  <c r="AD127" i="38"/>
  <c r="W125" i="38"/>
  <c r="W126" i="38"/>
  <c r="W127" i="38"/>
  <c r="AI145" i="38"/>
  <c r="AO150" i="38"/>
  <c r="AO151" i="38"/>
  <c r="R25" i="38"/>
  <c r="AL94" i="38"/>
  <c r="AL101" i="38"/>
  <c r="AL97" i="38"/>
  <c r="AL102" i="38"/>
  <c r="AL103" i="38"/>
  <c r="Q114" i="38"/>
  <c r="Q115" i="38"/>
  <c r="AG197" i="38"/>
  <c r="AG198" i="38"/>
  <c r="AG199" i="38"/>
  <c r="R154" i="38"/>
  <c r="R161" i="38"/>
  <c r="R162" i="38"/>
  <c r="R163" i="38"/>
  <c r="AF66" i="38"/>
  <c r="AF67" i="38"/>
  <c r="W66" i="38"/>
  <c r="W67" i="38"/>
  <c r="AJ96" i="38"/>
  <c r="AJ102" i="38"/>
  <c r="AJ103" i="38"/>
  <c r="AJ97" i="38"/>
  <c r="Z77" i="38"/>
  <c r="Z78" i="38"/>
  <c r="Z79" i="38"/>
  <c r="Q70" i="38"/>
  <c r="Q77" i="38"/>
  <c r="Q78" i="38"/>
  <c r="Q79" i="38"/>
  <c r="AE65" i="38"/>
  <c r="AE60" i="38"/>
  <c r="AE66" i="38"/>
  <c r="AE67" i="38"/>
  <c r="AE61" i="38"/>
  <c r="AM262" i="38"/>
  <c r="AM269" i="38"/>
  <c r="AI156" i="38"/>
  <c r="AJ156" i="38"/>
  <c r="AJ162" i="38"/>
  <c r="AJ163" i="38"/>
  <c r="AM60" i="38"/>
  <c r="AM66" i="38"/>
  <c r="AM67" i="38"/>
  <c r="A88" i="38"/>
  <c r="AC145" i="38"/>
  <c r="AI162" i="38"/>
  <c r="AI163" i="38"/>
  <c r="AD162" i="38"/>
  <c r="AD163" i="38"/>
  <c r="AJ109" i="38"/>
  <c r="AJ108" i="38"/>
  <c r="AJ114" i="38"/>
  <c r="AJ115" i="38"/>
  <c r="X73" i="38"/>
  <c r="Y73" i="38"/>
  <c r="X72" i="38"/>
  <c r="Y72" i="38"/>
  <c r="Y78" i="38"/>
  <c r="Y79" i="38"/>
  <c r="A40" i="38"/>
  <c r="AJ144" i="38"/>
  <c r="AJ149" i="38"/>
  <c r="AJ145" i="38"/>
  <c r="AJ150" i="38"/>
  <c r="AJ151" i="38"/>
  <c r="S109" i="38"/>
  <c r="X90" i="38"/>
  <c r="X91" i="38"/>
  <c r="X78" i="38"/>
  <c r="X79" i="38"/>
  <c r="AI41" i="38"/>
  <c r="AI42" i="38"/>
  <c r="AI43" i="38"/>
  <c r="Q118" i="38"/>
  <c r="Q125" i="38"/>
  <c r="Q126" i="38"/>
  <c r="Q127" i="38"/>
  <c r="Q121" i="38"/>
  <c r="Q85" i="38"/>
  <c r="A124" i="38"/>
  <c r="A136" i="38"/>
  <c r="A16" i="38"/>
  <c r="AL37" i="38"/>
  <c r="P174" i="38"/>
  <c r="A184" i="38"/>
  <c r="P210" i="38"/>
  <c r="P102" i="38"/>
  <c r="Q265" i="38"/>
  <c r="Q267" i="38"/>
  <c r="A28" i="38"/>
  <c r="P2" i="38"/>
  <c r="P91" i="38"/>
  <c r="AA269" i="38"/>
  <c r="AA270" i="38"/>
  <c r="AA271" i="38"/>
  <c r="AA267" i="38"/>
  <c r="AJ269" i="38"/>
  <c r="AJ264" i="38"/>
  <c r="AJ267" i="38"/>
  <c r="AJ270" i="38"/>
  <c r="AJ271" i="38"/>
  <c r="A256" i="38"/>
  <c r="A100" i="38"/>
  <c r="A232" i="38"/>
  <c r="A172" i="38"/>
  <c r="A52" i="38"/>
  <c r="Q264" i="38"/>
  <c r="Q270" i="38"/>
  <c r="Q271" i="38"/>
  <c r="A196" i="38"/>
  <c r="AG67" i="38"/>
  <c r="P186" i="38"/>
  <c r="AR264" i="38"/>
  <c r="AR262" i="38"/>
  <c r="AR269" i="38"/>
  <c r="AR265" i="38"/>
  <c r="AR270" i="38"/>
  <c r="AR271" i="38"/>
  <c r="AR267" i="38"/>
  <c r="A76" i="38"/>
  <c r="A208" i="38"/>
  <c r="A64" i="38"/>
  <c r="A244" i="38"/>
  <c r="A160" i="38"/>
  <c r="A17" i="38"/>
  <c r="A18" i="38"/>
  <c r="A19" i="38"/>
  <c r="P150" i="38"/>
  <c r="R264" i="38"/>
  <c r="R265" i="38"/>
  <c r="R262" i="38"/>
  <c r="R269" i="38"/>
  <c r="R270" i="38"/>
  <c r="R271" i="38"/>
  <c r="R267" i="38"/>
  <c r="AO267" i="38"/>
  <c r="AO265" i="38"/>
  <c r="AN265" i="38"/>
  <c r="AN262" i="38"/>
  <c r="AN269" i="38"/>
  <c r="AS267" i="38"/>
  <c r="AS262" i="38"/>
  <c r="AS269" i="38"/>
  <c r="P30" i="38"/>
  <c r="P54" i="38"/>
  <c r="AK178" i="38"/>
  <c r="AK185" i="38"/>
  <c r="AL96" i="41"/>
  <c r="AS97" i="41"/>
  <c r="AL102" i="41"/>
  <c r="AL103" i="41"/>
  <c r="AR97" i="41"/>
  <c r="AJ102" i="41"/>
  <c r="AJ103" i="41"/>
  <c r="AQ96" i="41"/>
  <c r="AR94" i="41"/>
  <c r="AR101" i="41"/>
  <c r="AL94" i="41"/>
  <c r="AL101" i="41"/>
  <c r="AQ97" i="41"/>
  <c r="AB94" i="41"/>
  <c r="AB101" i="41"/>
  <c r="W102" i="41"/>
  <c r="W103" i="41"/>
  <c r="Z101" i="41"/>
  <c r="Z102" i="41"/>
  <c r="Z103" i="41"/>
  <c r="V97" i="41"/>
  <c r="W97" i="41"/>
  <c r="AC101" i="41"/>
  <c r="AC102" i="41"/>
  <c r="AC103" i="41"/>
  <c r="AA97" i="41"/>
  <c r="AG101" i="41"/>
  <c r="AG102" i="41"/>
  <c r="AG103" i="41"/>
  <c r="AL97" i="41"/>
  <c r="AS102" i="41"/>
  <c r="AS103" i="41"/>
  <c r="AN85" i="41"/>
  <c r="AN84" i="41"/>
  <c r="AH58" i="41"/>
  <c r="AI58" i="41"/>
  <c r="AJ65" i="41"/>
  <c r="AL61" i="41"/>
  <c r="AD54" i="41"/>
  <c r="AD55" i="41"/>
  <c r="X53" i="41"/>
  <c r="X54" i="41"/>
  <c r="X55" i="41"/>
  <c r="AC41" i="41"/>
  <c r="AC42" i="41"/>
  <c r="AC43" i="41"/>
  <c r="AO34" i="41"/>
  <c r="AO41" i="41"/>
  <c r="W29" i="41"/>
  <c r="AG29" i="41"/>
  <c r="AG30" i="41"/>
  <c r="AG31" i="41"/>
  <c r="AO22" i="41"/>
  <c r="AO29" i="41"/>
  <c r="AP24" i="41"/>
  <c r="AO24" i="41"/>
  <c r="AP2" i="41"/>
  <c r="AQ22" i="41"/>
  <c r="AQ29" i="41"/>
  <c r="W30" i="41"/>
  <c r="W31" i="41"/>
  <c r="AL30" i="41"/>
  <c r="AL31" i="41"/>
  <c r="AF30" i="41"/>
  <c r="AF31" i="41"/>
  <c r="AO30" i="41"/>
  <c r="AO31" i="41"/>
  <c r="AQ25" i="41"/>
  <c r="AA53" i="41"/>
  <c r="AA54" i="41"/>
  <c r="AA55" i="41"/>
  <c r="AI65" i="41"/>
  <c r="AI66" i="41"/>
  <c r="AI67" i="41"/>
  <c r="AK49" i="41"/>
  <c r="AL84" i="41"/>
  <c r="AH65" i="41"/>
  <c r="AH66" i="41"/>
  <c r="AH67" i="41"/>
  <c r="AB97" i="41"/>
  <c r="S97" i="41"/>
  <c r="AG66" i="41"/>
  <c r="AG67" i="41"/>
  <c r="AD77" i="41"/>
  <c r="S66" i="41"/>
  <c r="S67" i="41"/>
  <c r="S18" i="41"/>
  <c r="S19" i="41"/>
  <c r="S96" i="41"/>
  <c r="AN73" i="41"/>
  <c r="AL85" i="41"/>
  <c r="Z49" i="41"/>
  <c r="AA49" i="41"/>
  <c r="AB49" i="41"/>
  <c r="AD78" i="41"/>
  <c r="AD79" i="41"/>
  <c r="AP25" i="41"/>
  <c r="AS84" i="41"/>
  <c r="AD29" i="41"/>
  <c r="AS94" i="41"/>
  <c r="AS101" i="41"/>
  <c r="AE29" i="41"/>
  <c r="S29" i="41"/>
  <c r="S30" i="41"/>
  <c r="S31" i="41"/>
  <c r="AH53" i="41"/>
  <c r="AH54" i="41"/>
  <c r="AH55" i="41"/>
  <c r="AS90" i="41"/>
  <c r="AS91" i="41"/>
  <c r="AK96" i="41"/>
  <c r="W89" i="41"/>
  <c r="W90" i="41"/>
  <c r="W91" i="41"/>
  <c r="AE30" i="41"/>
  <c r="AE31" i="41"/>
  <c r="S24" i="41"/>
  <c r="AS96" i="41"/>
  <c r="Z53" i="41"/>
  <c r="Z54" i="41"/>
  <c r="Z55" i="41"/>
  <c r="AD30" i="41"/>
  <c r="AD31" i="41"/>
  <c r="AP96" i="41"/>
  <c r="AP102" i="41"/>
  <c r="AP103" i="41"/>
  <c r="AF65" i="41"/>
  <c r="AM72" i="41"/>
  <c r="AR60" i="41"/>
  <c r="AP97" i="41"/>
  <c r="AQ46" i="41"/>
  <c r="AQ53" i="41"/>
  <c r="AA30" i="41"/>
  <c r="AA31" i="41"/>
  <c r="AR58" i="41"/>
  <c r="AR65" i="41"/>
  <c r="AQ82" i="41"/>
  <c r="AQ89" i="41"/>
  <c r="AN72" i="41"/>
  <c r="X65" i="41"/>
  <c r="X66" i="41"/>
  <c r="X67" i="41"/>
  <c r="AQ36" i="41"/>
  <c r="AS34" i="41"/>
  <c r="AS41" i="41"/>
  <c r="AR61" i="41"/>
  <c r="AR66" i="41"/>
  <c r="AR67" i="41"/>
  <c r="AP84" i="41"/>
  <c r="AQ90" i="41"/>
  <c r="AQ91" i="41"/>
  <c r="AM73" i="41"/>
  <c r="W66" i="41"/>
  <c r="W67" i="41"/>
  <c r="AR36" i="41"/>
  <c r="AQ84" i="41"/>
  <c r="A15" i="41"/>
  <c r="AO72" i="41"/>
  <c r="AQ85" i="41"/>
  <c r="AS82" i="41"/>
  <c r="AS89" i="41"/>
  <c r="AL42" i="41"/>
  <c r="AL43" i="41"/>
  <c r="AR37" i="41"/>
  <c r="AO70" i="41"/>
  <c r="AO77" i="41"/>
  <c r="AR85" i="41"/>
  <c r="AQ60" i="41"/>
  <c r="AN78" i="41"/>
  <c r="AN79" i="41"/>
  <c r="S53" i="41"/>
  <c r="S54" i="41"/>
  <c r="S55" i="41"/>
  <c r="R24" i="41"/>
  <c r="AO58" i="41"/>
  <c r="AO65" i="41"/>
  <c r="AR24" i="41"/>
  <c r="AB30" i="41"/>
  <c r="AB31" i="41"/>
  <c r="AL78" i="41"/>
  <c r="AL79" i="41"/>
  <c r="AP73" i="41"/>
  <c r="S101" i="41"/>
  <c r="X78" i="41"/>
  <c r="X79" i="41"/>
  <c r="Q60" i="41"/>
  <c r="Q66" i="41"/>
  <c r="Q67" i="41"/>
  <c r="AN24" i="41"/>
  <c r="X97" i="41"/>
  <c r="AB96" i="41"/>
  <c r="AB102" i="41"/>
  <c r="AB103" i="41"/>
  <c r="AE65" i="41"/>
  <c r="AE66" i="41"/>
  <c r="AE67" i="41"/>
  <c r="AQ37" i="41"/>
  <c r="AQ34" i="41"/>
  <c r="AQ41" i="41"/>
  <c r="AO85" i="41"/>
  <c r="AO82" i="41"/>
  <c r="AO89" i="41"/>
  <c r="R72" i="41"/>
  <c r="AN54" i="41"/>
  <c r="AN55" i="41"/>
  <c r="AN42" i="41"/>
  <c r="AN43" i="41"/>
  <c r="AI41" i="41"/>
  <c r="AP66" i="41"/>
  <c r="AP67" i="41"/>
  <c r="AR22" i="41"/>
  <c r="AR29" i="41"/>
  <c r="AF53" i="41"/>
  <c r="AF54" i="41"/>
  <c r="AF55" i="41"/>
  <c r="AP85" i="41"/>
  <c r="AP61" i="41"/>
  <c r="R46" i="41"/>
  <c r="R53" i="41"/>
  <c r="R54" i="41"/>
  <c r="R55" i="41"/>
  <c r="R22" i="41"/>
  <c r="R29" i="41"/>
  <c r="R25" i="41"/>
  <c r="Q70" i="41"/>
  <c r="Q77" i="41"/>
  <c r="V29" i="41"/>
  <c r="V30" i="41"/>
  <c r="V31" i="41"/>
  <c r="AO66" i="41"/>
  <c r="AO67" i="41"/>
  <c r="AI42" i="41"/>
  <c r="AI43" i="41"/>
  <c r="AP82" i="41"/>
  <c r="AP89" i="41"/>
  <c r="AK72" i="41"/>
  <c r="AN2" i="41"/>
  <c r="AP60" i="41"/>
  <c r="AK30" i="41"/>
  <c r="AK31" i="41"/>
  <c r="AQ42" i="41"/>
  <c r="AQ43" i="41"/>
  <c r="AR30" i="41"/>
  <c r="AR31" i="41"/>
  <c r="X49" i="41"/>
  <c r="Y49" i="41"/>
  <c r="AN48" i="41"/>
  <c r="AK25" i="41"/>
  <c r="AN46" i="41"/>
  <c r="AN53" i="41"/>
  <c r="AC77" i="41"/>
  <c r="AC78" i="41"/>
  <c r="AC79" i="41"/>
  <c r="AS85" i="41"/>
  <c r="AO90" i="41"/>
  <c r="AO91" i="41"/>
  <c r="AR25" i="41"/>
  <c r="AJ30" i="41"/>
  <c r="AJ31" i="41"/>
  <c r="AK24" i="41"/>
  <c r="AN49" i="41"/>
  <c r="AP90" i="41"/>
  <c r="AP91" i="41"/>
  <c r="AL70" i="41"/>
  <c r="AL77" i="41"/>
  <c r="Q58" i="41"/>
  <c r="Q65" i="41"/>
  <c r="V101" i="41"/>
  <c r="AK22" i="41"/>
  <c r="AK29" i="41"/>
  <c r="AF66" i="41"/>
  <c r="AF67" i="41"/>
  <c r="AS78" i="41"/>
  <c r="AS79" i="41"/>
  <c r="AD2" i="41"/>
  <c r="AR2" i="41"/>
  <c r="AO2" i="41"/>
  <c r="X101" i="41"/>
  <c r="X102" i="41"/>
  <c r="X103" i="41"/>
  <c r="AG89" i="41"/>
  <c r="AG90" i="41"/>
  <c r="AG91" i="41"/>
  <c r="AK70" i="41"/>
  <c r="AK77" i="41"/>
  <c r="AL73" i="41"/>
  <c r="Q72" i="41"/>
  <c r="R61" i="41"/>
  <c r="AN70" i="41"/>
  <c r="AN77" i="41"/>
  <c r="Y97" i="41"/>
  <c r="V65" i="41"/>
  <c r="V66" i="41"/>
  <c r="V67" i="41"/>
  <c r="AA73" i="41"/>
  <c r="AB73" i="41"/>
  <c r="AL2" i="41"/>
  <c r="O43" i="41"/>
  <c r="O30" i="41"/>
  <c r="A76" i="41"/>
  <c r="A28" i="41"/>
  <c r="A16" i="41"/>
  <c r="A40" i="41"/>
  <c r="A100" i="41"/>
  <c r="O102" i="41"/>
  <c r="O79" i="41"/>
  <c r="A64" i="41"/>
  <c r="A52" i="41"/>
  <c r="A88" i="41"/>
  <c r="AG53" i="41"/>
  <c r="AG54" i="41"/>
  <c r="AG55" i="41"/>
  <c r="S41" i="41"/>
  <c r="S36" i="41"/>
  <c r="AM30" i="41"/>
  <c r="AM31" i="41"/>
  <c r="AM22" i="41"/>
  <c r="AM29" i="41"/>
  <c r="AF89" i="41"/>
  <c r="AI70" i="41"/>
  <c r="AJ70" i="41"/>
  <c r="AJ77" i="41"/>
  <c r="AJ72" i="41"/>
  <c r="AJ78" i="41"/>
  <c r="AJ79" i="41"/>
  <c r="S73" i="41"/>
  <c r="AK34" i="41"/>
  <c r="AK41" i="41"/>
  <c r="AA77" i="41"/>
  <c r="AA78" i="41"/>
  <c r="AA79" i="41"/>
  <c r="R73" i="41"/>
  <c r="AS25" i="41"/>
  <c r="AI77" i="41"/>
  <c r="AI78" i="41"/>
  <c r="AI79" i="41"/>
  <c r="O18" i="41"/>
  <c r="S77" i="41"/>
  <c r="AM85" i="41"/>
  <c r="AM82" i="41"/>
  <c r="AM89" i="41"/>
  <c r="V89" i="41"/>
  <c r="O91" i="41"/>
  <c r="Q48" i="41"/>
  <c r="R70" i="41"/>
  <c r="R77" i="41"/>
  <c r="R78" i="41"/>
  <c r="R79" i="41"/>
  <c r="AD41" i="41"/>
  <c r="AD42" i="41"/>
  <c r="AD43" i="41"/>
  <c r="AI101" i="41"/>
  <c r="AI102" i="41"/>
  <c r="AI103" i="41"/>
  <c r="AK94" i="41"/>
  <c r="AK101" i="41"/>
  <c r="AP78" i="41"/>
  <c r="AP79" i="41"/>
  <c r="R96" i="41"/>
  <c r="AK84" i="41"/>
  <c r="AC89" i="41"/>
  <c r="AC90" i="41"/>
  <c r="AC91" i="41"/>
  <c r="AB60" i="41"/>
  <c r="AB66" i="41"/>
  <c r="AB67" i="41"/>
  <c r="AQ30" i="41"/>
  <c r="AQ31" i="41"/>
  <c r="AO61" i="41"/>
  <c r="AL46" i="41"/>
  <c r="AL53" i="41"/>
  <c r="AS24" i="41"/>
  <c r="AL60" i="41"/>
  <c r="AB37" i="41"/>
  <c r="AK42" i="41"/>
  <c r="AK43" i="41"/>
  <c r="AM84" i="41"/>
  <c r="Q46" i="41"/>
  <c r="Q53" i="41"/>
  <c r="AK102" i="41"/>
  <c r="AK103" i="41"/>
  <c r="R42" i="41"/>
  <c r="R43" i="41"/>
  <c r="P78" i="41"/>
  <c r="P79" i="41"/>
  <c r="AF90" i="41"/>
  <c r="AF91" i="41"/>
  <c r="V90" i="41"/>
  <c r="V91" i="41"/>
  <c r="Y73" i="41"/>
  <c r="AN60" i="41"/>
  <c r="AO60" i="41"/>
  <c r="AP70" i="41"/>
  <c r="AP77" i="41"/>
  <c r="R97" i="41"/>
  <c r="S25" i="41"/>
  <c r="AA90" i="41"/>
  <c r="AA91" i="41"/>
  <c r="AJ66" i="41"/>
  <c r="AJ67" i="41"/>
  <c r="Z2" i="41"/>
  <c r="Z66" i="41"/>
  <c r="Z67" i="41"/>
  <c r="AP72" i="41"/>
  <c r="R94" i="41"/>
  <c r="R101" i="41"/>
  <c r="S78" i="41"/>
  <c r="S79" i="41"/>
  <c r="AM24" i="41"/>
  <c r="Y61" i="41"/>
  <c r="P73" i="41"/>
  <c r="AN66" i="41"/>
  <c r="AN67" i="41"/>
  <c r="V102" i="41"/>
  <c r="V103" i="41"/>
  <c r="AM42" i="41"/>
  <c r="AM43" i="41"/>
  <c r="Z42" i="41"/>
  <c r="Z43" i="41"/>
  <c r="Q90" i="41"/>
  <c r="Q91" i="41"/>
  <c r="Q2" i="41"/>
  <c r="AS30" i="41"/>
  <c r="AS31" i="41"/>
  <c r="AK97" i="41"/>
  <c r="S72" i="41"/>
  <c r="AM25" i="41"/>
  <c r="X2" i="41"/>
  <c r="P85" i="41"/>
  <c r="P84" i="41"/>
  <c r="P82" i="41"/>
  <c r="P89" i="41"/>
  <c r="W2" i="41"/>
  <c r="AL72" i="41"/>
  <c r="O61" i="41"/>
  <c r="O65" i="41"/>
  <c r="AK108" i="40"/>
  <c r="X2" i="40"/>
  <c r="AK109" i="40"/>
  <c r="Y108" i="40"/>
  <c r="M47" i="2"/>
  <c r="S102" i="40"/>
  <c r="S103" i="40"/>
  <c r="AO2" i="40"/>
  <c r="AF65" i="40"/>
  <c r="S66" i="40"/>
  <c r="S67" i="40"/>
  <c r="AE65" i="40"/>
  <c r="AE66" i="40"/>
  <c r="AE67" i="40"/>
  <c r="V61" i="40"/>
  <c r="AF66" i="40"/>
  <c r="AF67" i="40"/>
  <c r="AL54" i="40"/>
  <c r="AL55" i="40"/>
  <c r="AL49" i="40"/>
  <c r="AL42" i="40"/>
  <c r="AL43" i="40"/>
  <c r="S30" i="40"/>
  <c r="S31" i="40"/>
  <c r="AR36" i="40"/>
  <c r="AO73" i="40"/>
  <c r="AR42" i="40"/>
  <c r="AR43" i="40"/>
  <c r="AQ66" i="40"/>
  <c r="AQ67" i="40"/>
  <c r="AO72" i="40"/>
  <c r="AN25" i="40"/>
  <c r="Y58" i="40"/>
  <c r="Y65" i="40"/>
  <c r="AR34" i="40"/>
  <c r="AR41" i="40"/>
  <c r="AQ114" i="40"/>
  <c r="AQ115" i="40"/>
  <c r="Y66" i="40"/>
  <c r="Y67" i="40"/>
  <c r="AQ54" i="40"/>
  <c r="AQ55" i="40"/>
  <c r="AO78" i="40"/>
  <c r="AO79" i="40"/>
  <c r="S18" i="40"/>
  <c r="S19" i="40"/>
  <c r="Z101" i="40"/>
  <c r="Z102" i="40"/>
  <c r="Z103" i="40"/>
  <c r="AQ58" i="40"/>
  <c r="AQ65" i="40"/>
  <c r="W65" i="40"/>
  <c r="W66" i="40"/>
  <c r="W67" i="40"/>
  <c r="W61" i="40"/>
  <c r="X61" i="40"/>
  <c r="Y61" i="40"/>
  <c r="AK114" i="40"/>
  <c r="AK115" i="40"/>
  <c r="AG77" i="40"/>
  <c r="AG78" i="40"/>
  <c r="AG79" i="40"/>
  <c r="Y102" i="40"/>
  <c r="Y103" i="40"/>
  <c r="Y78" i="40"/>
  <c r="Y79" i="40"/>
  <c r="X102" i="40"/>
  <c r="X103" i="40"/>
  <c r="Y73" i="40"/>
  <c r="AG53" i="40"/>
  <c r="AG54" i="40"/>
  <c r="AG55" i="40"/>
  <c r="AL22" i="40"/>
  <c r="AL29" i="40"/>
  <c r="AJ109" i="40"/>
  <c r="S108" i="40"/>
  <c r="S114" i="40"/>
  <c r="S115" i="40"/>
  <c r="AF54" i="40"/>
  <c r="AF55" i="40"/>
  <c r="AB36" i="40"/>
  <c r="AB42" i="40"/>
  <c r="AB43" i="40"/>
  <c r="AR2" i="40"/>
  <c r="AB82" i="40"/>
  <c r="AB89" i="40"/>
  <c r="AB90" i="40"/>
  <c r="AB91" i="40"/>
  <c r="AB85" i="40"/>
  <c r="AE54" i="40"/>
  <c r="AE55" i="40"/>
  <c r="AG114" i="40"/>
  <c r="AG115" i="40"/>
  <c r="A75" i="40"/>
  <c r="AH2" i="40"/>
  <c r="A99" i="40"/>
  <c r="V2" i="40"/>
  <c r="S2" i="40"/>
  <c r="S49" i="40"/>
  <c r="Z2" i="40"/>
  <c r="S85" i="40"/>
  <c r="S48" i="40"/>
  <c r="S54" i="40"/>
  <c r="AK2" i="40"/>
  <c r="Y106" i="40"/>
  <c r="Y113" i="40"/>
  <c r="Y114" i="40"/>
  <c r="Y115" i="40"/>
  <c r="R85" i="40"/>
  <c r="S73" i="40"/>
  <c r="AH30" i="40"/>
  <c r="AH31" i="40"/>
  <c r="AN2" i="40"/>
  <c r="A113" i="40"/>
  <c r="AL37" i="40"/>
  <c r="AQ2" i="40"/>
  <c r="S77" i="40"/>
  <c r="AP2" i="40"/>
  <c r="Q102" i="40"/>
  <c r="Q90" i="40"/>
  <c r="A111" i="40"/>
  <c r="Q67" i="40"/>
  <c r="A112" i="40"/>
  <c r="A16" i="40"/>
  <c r="R2" i="40"/>
  <c r="A87" i="40"/>
  <c r="A88" i="40"/>
  <c r="AS2" i="40"/>
  <c r="Q30" i="40"/>
  <c r="AE2" i="40"/>
  <c r="AA2" i="40"/>
  <c r="A76" i="40"/>
  <c r="A40" i="40"/>
  <c r="A64" i="40"/>
  <c r="AC2" i="40"/>
  <c r="A52" i="40"/>
  <c r="A28" i="40"/>
  <c r="AJ2" i="40"/>
  <c r="A27" i="40"/>
  <c r="Q2" i="40"/>
  <c r="AF2" i="40"/>
  <c r="AG2" i="40"/>
  <c r="A17" i="40"/>
  <c r="Q18" i="40"/>
  <c r="A100" i="40"/>
  <c r="AI2" i="40"/>
  <c r="W2" i="40"/>
  <c r="AM2" i="40"/>
  <c r="Q114" i="40"/>
  <c r="AB2" i="40"/>
  <c r="Q78" i="40"/>
  <c r="AS138" i="39"/>
  <c r="AS139" i="39"/>
  <c r="AA137" i="39"/>
  <c r="AA138" i="39"/>
  <c r="AA139" i="39"/>
  <c r="Z137" i="39"/>
  <c r="Z138" i="39"/>
  <c r="Z139" i="39"/>
  <c r="V101" i="39"/>
  <c r="V102" i="39"/>
  <c r="V103" i="39"/>
  <c r="W89" i="39"/>
  <c r="AQ84" i="39"/>
  <c r="AQ90" i="39"/>
  <c r="AQ91" i="39"/>
  <c r="AS85" i="39"/>
  <c r="AN84" i="39"/>
  <c r="W84" i="39"/>
  <c r="X84" i="39"/>
  <c r="Y84" i="39"/>
  <c r="AG89" i="39"/>
  <c r="AG90" i="39"/>
  <c r="AG91" i="39"/>
  <c r="AS90" i="39"/>
  <c r="AS91" i="39"/>
  <c r="AN89" i="39"/>
  <c r="AR84" i="39"/>
  <c r="Y82" i="39"/>
  <c r="Y89" i="39"/>
  <c r="Y90" i="39"/>
  <c r="Y91" i="39"/>
  <c r="AS82" i="39"/>
  <c r="AS89" i="39"/>
  <c r="AN85" i="39"/>
  <c r="AR85" i="39"/>
  <c r="AQ85" i="39"/>
  <c r="AQ82" i="39"/>
  <c r="AQ89" i="39"/>
  <c r="AD85" i="39"/>
  <c r="Y85" i="39"/>
  <c r="AI89" i="39"/>
  <c r="AG78" i="39"/>
  <c r="AG79" i="39"/>
  <c r="AK70" i="39"/>
  <c r="AK77" i="39"/>
  <c r="A141" i="35"/>
  <c r="A140" i="35"/>
  <c r="A143" i="35"/>
  <c r="AH46" i="39"/>
  <c r="AI46" i="39"/>
  <c r="AI53" i="39"/>
  <c r="AI54" i="39"/>
  <c r="AI55" i="39"/>
  <c r="X48" i="39"/>
  <c r="Y48" i="39"/>
  <c r="X46" i="39"/>
  <c r="Y46" i="39"/>
  <c r="Y53" i="39"/>
  <c r="X49" i="39"/>
  <c r="Y49" i="39"/>
  <c r="X53" i="39"/>
  <c r="AE54" i="39"/>
  <c r="AE55" i="39"/>
  <c r="Y54" i="39"/>
  <c r="Y55" i="39"/>
  <c r="M50" i="2"/>
  <c r="A118" i="35"/>
  <c r="AJ41" i="39"/>
  <c r="AJ36" i="39"/>
  <c r="AJ42" i="39"/>
  <c r="AJ43" i="39"/>
  <c r="Z42" i="39"/>
  <c r="Z43" i="39"/>
  <c r="A113" i="35"/>
  <c r="AO25" i="39"/>
  <c r="AO22" i="39"/>
  <c r="AO29" i="39"/>
  <c r="AL24" i="39"/>
  <c r="AN30" i="39"/>
  <c r="AN31" i="39"/>
  <c r="AM25" i="39"/>
  <c r="AO30" i="39"/>
  <c r="AO31" i="39"/>
  <c r="AO24" i="39"/>
  <c r="AL22" i="39"/>
  <c r="AL29" i="39"/>
  <c r="AK106" i="39"/>
  <c r="AK113" i="39"/>
  <c r="S96" i="39"/>
  <c r="AJ90" i="39"/>
  <c r="AJ91" i="39"/>
  <c r="AI85" i="39"/>
  <c r="AJ85" i="39"/>
  <c r="AE89" i="39"/>
  <c r="AB70" i="39"/>
  <c r="AB77" i="39"/>
  <c r="AB61" i="39"/>
  <c r="AC65" i="39"/>
  <c r="AH53" i="39"/>
  <c r="AH54" i="39"/>
  <c r="AH55" i="39"/>
  <c r="V41" i="39"/>
  <c r="AM30" i="39"/>
  <c r="AM31" i="39"/>
  <c r="AL25" i="39"/>
  <c r="S198" i="39"/>
  <c r="S199" i="39"/>
  <c r="AL121" i="39"/>
  <c r="AK114" i="39"/>
  <c r="AK115" i="39"/>
  <c r="AK109" i="39"/>
  <c r="AI90" i="39"/>
  <c r="AI91" i="39"/>
  <c r="AB72" i="39"/>
  <c r="AG53" i="39"/>
  <c r="AG54" i="39"/>
  <c r="AG55" i="39"/>
  <c r="S186" i="39"/>
  <c r="S187" i="39"/>
  <c r="S120" i="39"/>
  <c r="AJ114" i="39"/>
  <c r="AJ115" i="39"/>
  <c r="AF90" i="39"/>
  <c r="AF91" i="39"/>
  <c r="AL78" i="39"/>
  <c r="AL79" i="39"/>
  <c r="V42" i="39"/>
  <c r="V43" i="39"/>
  <c r="AL30" i="39"/>
  <c r="AL31" i="39"/>
  <c r="AJ96" i="39"/>
  <c r="AJ102" i="39"/>
  <c r="AJ103" i="39"/>
  <c r="AE90" i="39"/>
  <c r="AE91" i="39"/>
  <c r="AK78" i="39"/>
  <c r="AK79" i="39"/>
  <c r="AL73" i="39"/>
  <c r="AH29" i="39"/>
  <c r="AH30" i="39"/>
  <c r="AH31" i="39"/>
  <c r="AC25" i="39"/>
  <c r="S174" i="39"/>
  <c r="S175" i="39"/>
  <c r="X90" i="39"/>
  <c r="X91" i="39"/>
  <c r="W90" i="39"/>
  <c r="W91" i="39"/>
  <c r="AB78" i="39"/>
  <c r="AB79" i="39"/>
  <c r="S42" i="39"/>
  <c r="S43" i="39"/>
  <c r="AD120" i="39"/>
  <c r="AD126" i="39"/>
  <c r="AD127" i="39"/>
  <c r="AC109" i="39"/>
  <c r="AD109" i="39"/>
  <c r="AK85" i="39"/>
  <c r="AC66" i="39"/>
  <c r="AC67" i="39"/>
  <c r="AM61" i="39"/>
  <c r="S101" i="39"/>
  <c r="S125" i="39"/>
  <c r="S126" i="39"/>
  <c r="S127" i="39"/>
  <c r="AF137" i="39"/>
  <c r="W126" i="39"/>
  <c r="W127" i="39"/>
  <c r="AJ73" i="39"/>
  <c r="AM60" i="39"/>
  <c r="W29" i="39"/>
  <c r="W30" i="39"/>
  <c r="W31" i="39"/>
  <c r="AD25" i="39"/>
  <c r="AQ2" i="39"/>
  <c r="X138" i="39"/>
  <c r="X139" i="39"/>
  <c r="AM126" i="39"/>
  <c r="AM127" i="39"/>
  <c r="AM118" i="39"/>
  <c r="AM125" i="39"/>
  <c r="AB82" i="39"/>
  <c r="AB89" i="39"/>
  <c r="AB90" i="39"/>
  <c r="AB91" i="39"/>
  <c r="S60" i="39"/>
  <c r="S66" i="39"/>
  <c r="S67" i="39"/>
  <c r="X54" i="39"/>
  <c r="X55" i="39"/>
  <c r="V2" i="39"/>
  <c r="S89" i="39"/>
  <c r="S90" i="39"/>
  <c r="S91" i="39"/>
  <c r="AJ2" i="39"/>
  <c r="AF138" i="39"/>
  <c r="AF139" i="39"/>
  <c r="AD121" i="39"/>
  <c r="AJ78" i="39"/>
  <c r="AJ79" i="39"/>
  <c r="AG30" i="39"/>
  <c r="AG31" i="39"/>
  <c r="AL2" i="39"/>
  <c r="AM54" i="39"/>
  <c r="AM55" i="39"/>
  <c r="AJ48" i="39"/>
  <c r="AP2" i="39"/>
  <c r="AF2" i="39"/>
  <c r="AN2" i="39"/>
  <c r="S73" i="39"/>
  <c r="S77" i="39"/>
  <c r="S78" i="39"/>
  <c r="S79" i="39"/>
  <c r="AJ53" i="39"/>
  <c r="AJ54" i="39"/>
  <c r="AJ55" i="39"/>
  <c r="S48" i="39"/>
  <c r="S54" i="39"/>
  <c r="S55" i="39"/>
  <c r="Z53" i="39"/>
  <c r="AK36" i="39"/>
  <c r="R34" i="39"/>
  <c r="R41" i="39"/>
  <c r="R42" i="39"/>
  <c r="R43" i="39"/>
  <c r="AE29" i="39"/>
  <c r="AE30" i="39"/>
  <c r="AE31" i="39"/>
  <c r="AE2" i="39"/>
  <c r="S2" i="39"/>
  <c r="AC2" i="39"/>
  <c r="AD2" i="39"/>
  <c r="AN34" i="39"/>
  <c r="AN41" i="39"/>
  <c r="AM133" i="39"/>
  <c r="AL102" i="39"/>
  <c r="AL103" i="39"/>
  <c r="AL96" i="39"/>
  <c r="AC89" i="39"/>
  <c r="AC90" i="39"/>
  <c r="AC91" i="39"/>
  <c r="AL84" i="39"/>
  <c r="X77" i="39"/>
  <c r="X78" i="39"/>
  <c r="X79" i="39"/>
  <c r="AS2" i="39"/>
  <c r="R37" i="39"/>
  <c r="AK2" i="39"/>
  <c r="AH2" i="39"/>
  <c r="AR2" i="39"/>
  <c r="AJ133" i="39"/>
  <c r="AG114" i="39"/>
  <c r="AG115" i="39"/>
  <c r="S114" i="39"/>
  <c r="S115" i="39"/>
  <c r="AL85" i="39"/>
  <c r="AJ49" i="39"/>
  <c r="AB42" i="39"/>
  <c r="AB43" i="39"/>
  <c r="AI2" i="39"/>
  <c r="Y2" i="39"/>
  <c r="AO126" i="39"/>
  <c r="AO127" i="39"/>
  <c r="AN138" i="39"/>
  <c r="AN139" i="39"/>
  <c r="AL90" i="39"/>
  <c r="AL91" i="39"/>
  <c r="Z54" i="39"/>
  <c r="Z55" i="39"/>
  <c r="AO2" i="39"/>
  <c r="R2" i="39"/>
  <c r="AM2" i="39"/>
  <c r="AA2" i="39"/>
  <c r="Z2" i="39"/>
  <c r="AG2" i="39"/>
  <c r="X2" i="39"/>
  <c r="AI46" i="34"/>
  <c r="AI53" i="34"/>
  <c r="AI48" i="34"/>
  <c r="AJ42" i="34"/>
  <c r="AJ43" i="34"/>
  <c r="AJ34" i="34"/>
  <c r="AJ41" i="34"/>
  <c r="Q37" i="34"/>
  <c r="R37" i="34"/>
  <c r="AJ36" i="34"/>
  <c r="Z42" i="34"/>
  <c r="Z43" i="34"/>
  <c r="Y41" i="34"/>
  <c r="Y42" i="34"/>
  <c r="Y43" i="34"/>
  <c r="AJ37" i="34"/>
  <c r="Z37" i="34"/>
  <c r="P18" i="34"/>
  <c r="P19" i="34"/>
  <c r="W48" i="34"/>
  <c r="W54" i="34"/>
  <c r="W55" i="34"/>
  <c r="P174" i="34"/>
  <c r="P175" i="34"/>
  <c r="P66" i="34"/>
  <c r="P67" i="34"/>
  <c r="AM49" i="34"/>
  <c r="P210" i="34"/>
  <c r="P211" i="34"/>
  <c r="P162" i="34"/>
  <c r="P163" i="34"/>
  <c r="P198" i="34"/>
  <c r="P199" i="34"/>
  <c r="P246" i="34"/>
  <c r="P247" i="34"/>
  <c r="P102" i="34"/>
  <c r="P103" i="34"/>
  <c r="AG41" i="34"/>
  <c r="P270" i="34"/>
  <c r="P271" i="34"/>
  <c r="AR2" i="34"/>
  <c r="P126" i="34"/>
  <c r="P127" i="34"/>
  <c r="P90" i="34"/>
  <c r="P91" i="34"/>
  <c r="P186" i="34"/>
  <c r="P187" i="34"/>
  <c r="AG36" i="34"/>
  <c r="P30" i="34"/>
  <c r="P31" i="34"/>
  <c r="AJ48" i="34"/>
  <c r="AJ46" i="34"/>
  <c r="AJ53" i="34"/>
  <c r="AJ30" i="34"/>
  <c r="AJ31" i="34"/>
  <c r="Z22" i="34"/>
  <c r="Z29" i="34"/>
  <c r="AJ22" i="34"/>
  <c r="AJ29" i="34"/>
  <c r="A29" i="34"/>
  <c r="AJ54" i="34"/>
  <c r="AJ55" i="34"/>
  <c r="AJ49" i="34"/>
  <c r="Z25" i="34"/>
  <c r="Z24" i="34"/>
  <c r="Q25" i="34"/>
  <c r="R25" i="34"/>
  <c r="A100" i="34"/>
  <c r="AG42" i="34"/>
  <c r="AG43" i="34"/>
  <c r="Z30" i="34"/>
  <c r="Z31" i="34"/>
  <c r="Q24" i="34"/>
  <c r="R24" i="34"/>
  <c r="AS49" i="34"/>
  <c r="Q30" i="34"/>
  <c r="Q31" i="34"/>
  <c r="AJ25" i="34"/>
  <c r="AJ24" i="34"/>
  <c r="AS48" i="34"/>
  <c r="A65" i="34"/>
  <c r="A257" i="34"/>
  <c r="A269" i="34"/>
  <c r="A220" i="34"/>
  <c r="A76" i="34"/>
  <c r="A208" i="34"/>
  <c r="A124" i="34"/>
  <c r="A64" i="34"/>
  <c r="AJ2" i="34"/>
  <c r="A186" i="34"/>
  <c r="A244" i="34"/>
  <c r="A88" i="34"/>
  <c r="A184" i="34"/>
  <c r="A136" i="34"/>
  <c r="A232" i="34"/>
  <c r="N259" i="34"/>
  <c r="N114" i="34"/>
  <c r="N175" i="34"/>
  <c r="A162" i="34"/>
  <c r="N163" i="34"/>
  <c r="N139" i="34"/>
  <c r="A138" i="34"/>
  <c r="N127" i="34"/>
  <c r="N235" i="34"/>
  <c r="A209" i="34"/>
  <c r="A185" i="34"/>
  <c r="A173" i="34"/>
  <c r="A161" i="34"/>
  <c r="A77" i="34"/>
  <c r="X2" i="34"/>
  <c r="AN2" i="34"/>
  <c r="AF2" i="34"/>
  <c r="Y2" i="34"/>
  <c r="A125" i="34"/>
  <c r="AK2" i="34"/>
  <c r="Q2" i="34"/>
  <c r="AC2" i="34"/>
  <c r="AS2" i="34"/>
  <c r="AL2" i="34"/>
  <c r="M131" i="2"/>
  <c r="A268" i="34"/>
  <c r="Z2" i="34"/>
  <c r="S2" i="34"/>
  <c r="AD2" i="34"/>
  <c r="AO34" i="34"/>
  <c r="AO41" i="34"/>
  <c r="V2" i="34"/>
  <c r="AO2" i="34"/>
  <c r="A18" i="34"/>
  <c r="A19" i="34"/>
  <c r="A172" i="34"/>
  <c r="A112" i="34"/>
  <c r="AE2" i="34"/>
  <c r="AI2" i="34"/>
  <c r="A89" i="34"/>
  <c r="P2" i="34"/>
  <c r="T2" i="34"/>
  <c r="A196" i="34"/>
  <c r="A160" i="34"/>
  <c r="A256" i="34"/>
  <c r="AM2" i="34"/>
  <c r="M55" i="34"/>
  <c r="A267" i="34"/>
  <c r="M42" i="34"/>
  <c r="A159" i="34"/>
  <c r="M67" i="34"/>
  <c r="A255" i="34"/>
  <c r="A78" i="34"/>
  <c r="M79" i="34"/>
  <c r="A75" i="34"/>
  <c r="A99" i="34"/>
  <c r="A123" i="34"/>
  <c r="A207" i="34"/>
  <c r="A40" i="34"/>
  <c r="A17" i="34"/>
  <c r="U2" i="34"/>
  <c r="W2" i="34"/>
  <c r="A87" i="34"/>
  <c r="A147" i="34"/>
  <c r="O2" i="34"/>
  <c r="M150" i="34"/>
  <c r="A149" i="34"/>
  <c r="A243" i="34"/>
  <c r="A171" i="34"/>
  <c r="AH2" i="34"/>
  <c r="AQ2" i="34"/>
  <c r="N2" i="34"/>
  <c r="M211" i="34"/>
  <c r="M102" i="34"/>
  <c r="A101" i="34"/>
  <c r="A28" i="34"/>
  <c r="A16" i="34"/>
  <c r="A63" i="34"/>
  <c r="M2" i="34"/>
  <c r="A183" i="34"/>
  <c r="AG2" i="34"/>
  <c r="A39" i="34"/>
  <c r="AP2" i="34"/>
  <c r="AB2" i="34"/>
  <c r="A27" i="34"/>
  <c r="A245" i="34"/>
  <c r="M246" i="34"/>
  <c r="A135" i="34"/>
  <c r="A219" i="34"/>
  <c r="AA2" i="34"/>
  <c r="A221" i="34"/>
  <c r="M222" i="34"/>
  <c r="M198" i="34"/>
  <c r="A197" i="34"/>
  <c r="A52" i="34"/>
  <c r="A111" i="34"/>
  <c r="A195" i="34"/>
  <c r="N24" i="34"/>
  <c r="N30" i="34"/>
  <c r="N31" i="34"/>
  <c r="AO19" i="34"/>
  <c r="M271" i="34"/>
  <c r="M90" i="34"/>
  <c r="U53" i="37"/>
  <c r="AO46" i="37"/>
  <c r="AO53" i="37"/>
  <c r="AS34" i="37"/>
  <c r="AS41" i="37"/>
  <c r="AJ42" i="37"/>
  <c r="AJ43" i="37"/>
  <c r="AL25" i="37"/>
  <c r="AP24" i="37"/>
  <c r="AP54" i="37"/>
  <c r="AP55" i="37"/>
  <c r="AJ25" i="37"/>
  <c r="AP30" i="37"/>
  <c r="AP31" i="37"/>
  <c r="P138" i="37"/>
  <c r="P139" i="37"/>
  <c r="P29" i="37"/>
  <c r="AH22" i="37"/>
  <c r="AH29" i="37"/>
  <c r="AH24" i="37"/>
  <c r="AL36" i="37"/>
  <c r="AP25" i="37"/>
  <c r="P90" i="37"/>
  <c r="P91" i="37"/>
  <c r="AD41" i="37"/>
  <c r="AJ24" i="37"/>
  <c r="W54" i="37"/>
  <c r="W55" i="37"/>
  <c r="P198" i="37"/>
  <c r="P199" i="37"/>
  <c r="P102" i="37"/>
  <c r="P103" i="37"/>
  <c r="P78" i="37"/>
  <c r="P79" i="37"/>
  <c r="Y41" i="37"/>
  <c r="AJ30" i="37"/>
  <c r="AJ31" i="37"/>
  <c r="P25" i="37"/>
  <c r="W2" i="37"/>
  <c r="V34" i="37"/>
  <c r="V41" i="37"/>
  <c r="V42" i="37"/>
  <c r="V43" i="37"/>
  <c r="P24" i="37"/>
  <c r="Z53" i="37"/>
  <c r="AG53" i="37"/>
  <c r="AG48" i="37"/>
  <c r="AG54" i="37"/>
  <c r="AG55" i="37"/>
  <c r="AD42" i="37"/>
  <c r="AD43" i="37"/>
  <c r="V37" i="37"/>
  <c r="AL34" i="37"/>
  <c r="AL41" i="37"/>
  <c r="A148" i="37"/>
  <c r="S29" i="37"/>
  <c r="S25" i="37"/>
  <c r="AP48" i="37"/>
  <c r="AP46" i="37"/>
  <c r="AP53" i="37"/>
  <c r="AA29" i="37"/>
  <c r="AA30" i="37"/>
  <c r="AA31" i="37"/>
  <c r="S24" i="37"/>
  <c r="AP49" i="37"/>
  <c r="AM42" i="37"/>
  <c r="AM43" i="37"/>
  <c r="A64" i="37"/>
  <c r="AJ37" i="37"/>
  <c r="S2" i="37"/>
  <c r="AH2" i="37"/>
  <c r="AD2" i="37"/>
  <c r="AG2" i="37"/>
  <c r="A220" i="37"/>
  <c r="Y2" i="37"/>
  <c r="A232" i="37"/>
  <c r="A89" i="37"/>
  <c r="AQ46" i="37"/>
  <c r="AQ53" i="37"/>
  <c r="A184" i="37"/>
  <c r="A137" i="37"/>
  <c r="A149" i="37"/>
  <c r="N150" i="37"/>
  <c r="N151" i="37"/>
  <c r="A210" i="37"/>
  <c r="N211" i="37"/>
  <c r="A125" i="37"/>
  <c r="N126" i="37"/>
  <c r="N127" i="37"/>
  <c r="N222" i="37"/>
  <c r="A221" i="37"/>
  <c r="A234" i="37"/>
  <c r="A233" i="37"/>
  <c r="A160" i="37"/>
  <c r="AR48" i="37"/>
  <c r="U2" i="37"/>
  <c r="AO2" i="37"/>
  <c r="AC2" i="37"/>
  <c r="AM2" i="37"/>
  <c r="AA2" i="37"/>
  <c r="A208" i="37"/>
  <c r="A136" i="37"/>
  <c r="AF2" i="37"/>
  <c r="AE2" i="37"/>
  <c r="AG29" i="37"/>
  <c r="AH36" i="37"/>
  <c r="AH37" i="37"/>
  <c r="AK53" i="37"/>
  <c r="AE53" i="37"/>
  <c r="A161" i="37"/>
  <c r="AM37" i="37"/>
  <c r="AM34" i="37"/>
  <c r="AM41" i="37"/>
  <c r="Y22" i="37"/>
  <c r="Z29" i="37"/>
  <c r="Y24" i="37"/>
  <c r="Z24" i="37"/>
  <c r="Z30" i="37"/>
  <c r="Z31" i="37"/>
  <c r="AI2" i="37"/>
  <c r="A196" i="37"/>
  <c r="A76" i="37"/>
  <c r="A65" i="37"/>
  <c r="AM22" i="37"/>
  <c r="AM29" i="37"/>
  <c r="N49" i="37"/>
  <c r="U54" i="37"/>
  <c r="U55" i="37"/>
  <c r="AI42" i="37"/>
  <c r="AI43" i="37"/>
  <c r="W41" i="37"/>
  <c r="A77" i="37"/>
  <c r="A209" i="37"/>
  <c r="AA54" i="37"/>
  <c r="AA55" i="37"/>
  <c r="Z49" i="37"/>
  <c r="AL42" i="37"/>
  <c r="AL43" i="37"/>
  <c r="AI37" i="37"/>
  <c r="Y29" i="37"/>
  <c r="Y30" i="37"/>
  <c r="Y31" i="37"/>
  <c r="AK25" i="37"/>
  <c r="AS36" i="37"/>
  <c r="M155" i="2"/>
  <c r="AL24" i="37"/>
  <c r="AM24" i="37"/>
  <c r="W36" i="37"/>
  <c r="AG24" i="37"/>
  <c r="AG30" i="37"/>
  <c r="AG31" i="37"/>
  <c r="T30" i="37"/>
  <c r="T31" i="37"/>
  <c r="A112" i="37"/>
  <c r="N90" i="37"/>
  <c r="N91" i="37"/>
  <c r="Z54" i="37"/>
  <c r="Z55" i="37"/>
  <c r="AJ48" i="37"/>
  <c r="AL46" i="37"/>
  <c r="AL53" i="37"/>
  <c r="P37" i="37"/>
  <c r="AK29" i="37"/>
  <c r="O46" i="37"/>
  <c r="O53" i="37"/>
  <c r="T53" i="37"/>
  <c r="AM30" i="37"/>
  <c r="AM31" i="37"/>
  <c r="AK48" i="37"/>
  <c r="AJ46" i="37"/>
  <c r="AJ53" i="37"/>
  <c r="AE29" i="37"/>
  <c r="AE30" i="37"/>
  <c r="AE31" i="37"/>
  <c r="O37" i="37"/>
  <c r="W49" i="37"/>
  <c r="AK49" i="37"/>
  <c r="AL48" i="37"/>
  <c r="W42" i="37"/>
  <c r="W43" i="37"/>
  <c r="AR49" i="37"/>
  <c r="A172" i="37"/>
  <c r="AJ49" i="37"/>
  <c r="P41" i="37"/>
  <c r="Z25" i="37"/>
  <c r="AQ2" i="37"/>
  <c r="AL2" i="37"/>
  <c r="AJ54" i="37"/>
  <c r="AJ55" i="37"/>
  <c r="AL49" i="37"/>
  <c r="T54" i="37"/>
  <c r="T55" i="37"/>
  <c r="Y42" i="37"/>
  <c r="Y43" i="37"/>
  <c r="O34" i="37"/>
  <c r="O41" i="37"/>
  <c r="O42" i="37"/>
  <c r="O43" i="37"/>
  <c r="AK30" i="37"/>
  <c r="AK31" i="37"/>
  <c r="X2" i="37"/>
  <c r="S30" i="37"/>
  <c r="S31" i="37"/>
  <c r="O54" i="37"/>
  <c r="O55" i="37"/>
  <c r="N48" i="37"/>
  <c r="N54" i="37"/>
  <c r="N55" i="37"/>
  <c r="AI36" i="37"/>
  <c r="AN34" i="37"/>
  <c r="AN41" i="37"/>
  <c r="AE54" i="37"/>
  <c r="AE55" i="37"/>
  <c r="AR46" i="37"/>
  <c r="AR53" i="37"/>
  <c r="A244" i="37"/>
  <c r="A88" i="37"/>
  <c r="AM36" i="37"/>
  <c r="P36" i="37"/>
  <c r="AK24" i="37"/>
  <c r="AO34" i="37"/>
  <c r="AO41" i="37"/>
  <c r="M163" i="37"/>
  <c r="A162" i="37"/>
  <c r="M91" i="37"/>
  <c r="M54" i="37"/>
  <c r="A135" i="37"/>
  <c r="M174" i="37"/>
  <c r="A173" i="37"/>
  <c r="A78" i="37"/>
  <c r="M79" i="37"/>
  <c r="A99" i="37"/>
  <c r="A197" i="37"/>
  <c r="M198" i="37"/>
  <c r="M151" i="37"/>
  <c r="A150" i="37"/>
  <c r="A40" i="37"/>
  <c r="A17" i="37"/>
  <c r="A63" i="37"/>
  <c r="A159" i="37"/>
  <c r="A231" i="37"/>
  <c r="A113" i="37"/>
  <c r="M114" i="37"/>
  <c r="A52" i="37"/>
  <c r="A219" i="37"/>
  <c r="AK2" i="37"/>
  <c r="A66" i="37"/>
  <c r="M67" i="37"/>
  <c r="A28" i="37"/>
  <c r="AJ2" i="37"/>
  <c r="A16" i="37"/>
  <c r="AR2" i="37"/>
  <c r="P2" i="37"/>
  <c r="M127" i="37"/>
  <c r="A126" i="37"/>
  <c r="M102" i="37"/>
  <c r="A87" i="37"/>
  <c r="A147" i="37"/>
  <c r="O2" i="37"/>
  <c r="A207" i="37"/>
  <c r="AP2" i="37"/>
  <c r="M246" i="37"/>
  <c r="A245" i="37"/>
  <c r="A111" i="37"/>
  <c r="A171" i="37"/>
  <c r="A243" i="37"/>
  <c r="M42" i="37"/>
  <c r="M186" i="37"/>
  <c r="A185" i="37"/>
  <c r="A18" i="37"/>
  <c r="A19" i="37"/>
  <c r="M19" i="37"/>
  <c r="M30" i="37"/>
  <c r="N2" i="37"/>
  <c r="AS2" i="37"/>
  <c r="O120" i="39"/>
  <c r="P120" i="39"/>
  <c r="N126" i="39"/>
  <c r="N127" i="39"/>
  <c r="N53" i="39"/>
  <c r="P173" i="39"/>
  <c r="P174" i="39"/>
  <c r="P175" i="39"/>
  <c r="N173" i="39"/>
  <c r="N174" i="39"/>
  <c r="N175" i="39"/>
  <c r="N192" i="39"/>
  <c r="O192" i="39"/>
  <c r="P192" i="39"/>
  <c r="M198" i="39"/>
  <c r="M199" i="39"/>
  <c r="M101" i="39"/>
  <c r="N208" i="39"/>
  <c r="O113" i="39"/>
  <c r="P113" i="39"/>
  <c r="P125" i="39"/>
  <c r="P126" i="39"/>
  <c r="P127" i="39"/>
  <c r="O125" i="39"/>
  <c r="O126" i="39"/>
  <c r="O127" i="39"/>
  <c r="N228" i="39"/>
  <c r="O228" i="39"/>
  <c r="P228" i="39"/>
  <c r="M234" i="39"/>
  <c r="M235" i="39"/>
  <c r="M73" i="39"/>
  <c r="N130" i="39"/>
  <c r="N137" i="39"/>
  <c r="O209" i="39"/>
  <c r="O210" i="39"/>
  <c r="O211" i="39"/>
  <c r="M186" i="39"/>
  <c r="M187" i="39"/>
  <c r="N180" i="39"/>
  <c r="O180" i="39"/>
  <c r="N177" i="39"/>
  <c r="M184" i="39"/>
  <c r="AB2" i="39"/>
  <c r="N234" i="39"/>
  <c r="N235" i="39"/>
  <c r="N209" i="39"/>
  <c r="N210" i="39"/>
  <c r="N211" i="39"/>
  <c r="N198" i="39"/>
  <c r="N199" i="39"/>
  <c r="N172" i="39"/>
  <c r="N225" i="39"/>
  <c r="N162" i="39"/>
  <c r="N163" i="39"/>
  <c r="N40" i="39"/>
  <c r="N117" i="39"/>
  <c r="N28" i="39"/>
  <c r="N186" i="39"/>
  <c r="N187" i="39"/>
  <c r="M160" i="39"/>
  <c r="N153" i="39"/>
  <c r="O89" i="39"/>
  <c r="A246" i="39"/>
  <c r="P233" i="39"/>
  <c r="P234" i="39"/>
  <c r="O233" i="39"/>
  <c r="O234" i="39"/>
  <c r="O235" i="39"/>
  <c r="M162" i="39"/>
  <c r="M163" i="39"/>
  <c r="M141" i="39"/>
  <c r="N93" i="39"/>
  <c r="M100" i="39"/>
  <c r="O197" i="39"/>
  <c r="O198" i="39"/>
  <c r="O199" i="39"/>
  <c r="N112" i="39"/>
  <c r="N88" i="39"/>
  <c r="O76" i="39"/>
  <c r="P76" i="39"/>
  <c r="O161" i="39"/>
  <c r="O162" i="39"/>
  <c r="O163" i="39"/>
  <c r="P161" i="39"/>
  <c r="P162" i="39"/>
  <c r="P163" i="39"/>
  <c r="M125" i="39"/>
  <c r="M126" i="39"/>
  <c r="M127" i="39"/>
  <c r="N136" i="39"/>
  <c r="M36" i="39"/>
  <c r="N36" i="39"/>
  <c r="N42" i="39"/>
  <c r="N43" i="39"/>
  <c r="A15" i="39"/>
  <c r="M2" i="39"/>
  <c r="Q2" i="39"/>
  <c r="W2" i="35"/>
  <c r="U2" i="35"/>
  <c r="P17" i="36"/>
  <c r="P18" i="36"/>
  <c r="P19" i="36"/>
  <c r="Q10" i="36"/>
  <c r="Q17" i="36"/>
  <c r="Q18" i="36"/>
  <c r="O25" i="36"/>
  <c r="O22" i="36"/>
  <c r="O29" i="36"/>
  <c r="O24" i="36"/>
  <c r="N233" i="36"/>
  <c r="N234" i="36"/>
  <c r="N235" i="36"/>
  <c r="O226" i="36"/>
  <c r="O233" i="36"/>
  <c r="O234" i="36"/>
  <c r="P244" i="36"/>
  <c r="P245" i="36"/>
  <c r="P246" i="36"/>
  <c r="P247" i="36"/>
  <c r="Q237" i="36"/>
  <c r="P48" i="36"/>
  <c r="Q48" i="36"/>
  <c r="P49" i="36"/>
  <c r="Q49" i="36"/>
  <c r="P46" i="36"/>
  <c r="O113" i="36"/>
  <c r="O114" i="36"/>
  <c r="O115" i="36"/>
  <c r="P106" i="36"/>
  <c r="P113" i="36"/>
  <c r="P114" i="36"/>
  <c r="P115" i="36"/>
  <c r="P36" i="36"/>
  <c r="Q36" i="36"/>
  <c r="O64" i="36"/>
  <c r="P57" i="36"/>
  <c r="O202" i="36"/>
  <c r="O209" i="36"/>
  <c r="O204" i="36"/>
  <c r="O210" i="36"/>
  <c r="O211" i="36"/>
  <c r="O205" i="36"/>
  <c r="O142" i="36"/>
  <c r="O149" i="36"/>
  <c r="O150" i="36"/>
  <c r="O151" i="36"/>
  <c r="Q88" i="36"/>
  <c r="O45" i="36"/>
  <c r="O17" i="36"/>
  <c r="O18" i="36"/>
  <c r="O19" i="36"/>
  <c r="Q136" i="36"/>
  <c r="P256" i="36"/>
  <c r="P257" i="36"/>
  <c r="N174" i="36"/>
  <c r="N175" i="36"/>
  <c r="P37" i="36"/>
  <c r="Q37" i="36"/>
  <c r="N18" i="36"/>
  <c r="N19" i="36"/>
  <c r="N256" i="36"/>
  <c r="N257" i="36"/>
  <c r="N258" i="36"/>
  <c r="N259" i="36"/>
  <c r="O192" i="36"/>
  <c r="O198" i="36"/>
  <c r="O199" i="36"/>
  <c r="N168" i="36"/>
  <c r="N169" i="36"/>
  <c r="N58" i="36"/>
  <c r="N65" i="36"/>
  <c r="O21" i="36"/>
  <c r="N197" i="36"/>
  <c r="N198" i="36"/>
  <c r="N199" i="36"/>
  <c r="Q251" i="36"/>
  <c r="O189" i="36"/>
  <c r="N70" i="36"/>
  <c r="N77" i="36"/>
  <c r="N78" i="36"/>
  <c r="N79" i="36"/>
  <c r="O46" i="36"/>
  <c r="O53" i="36"/>
  <c r="O54" i="36"/>
  <c r="O55" i="36"/>
  <c r="O225" i="36"/>
  <c r="O141" i="36"/>
  <c r="O117" i="36"/>
  <c r="O105" i="36"/>
  <c r="N61" i="36"/>
  <c r="O201" i="36"/>
  <c r="O69" i="36"/>
  <c r="O9" i="36"/>
  <c r="O214" i="36"/>
  <c r="O221" i="36"/>
  <c r="O222" i="36"/>
  <c r="O223" i="36"/>
  <c r="O42" i="36"/>
  <c r="O43" i="36"/>
  <c r="N113" i="36"/>
  <c r="N114" i="36"/>
  <c r="N115" i="36"/>
  <c r="O213" i="36"/>
  <c r="O165" i="36"/>
  <c r="O93" i="36"/>
  <c r="N60" i="36"/>
  <c r="O33" i="36"/>
  <c r="Q184" i="36"/>
  <c r="N2" i="36"/>
  <c r="P153" i="36"/>
  <c r="A123" i="35"/>
  <c r="A138" i="35"/>
  <c r="M60" i="2"/>
  <c r="M78" i="2"/>
  <c r="A50" i="35"/>
  <c r="T2" i="35"/>
  <c r="A88" i="35"/>
  <c r="A61" i="35"/>
  <c r="A81" i="35"/>
  <c r="M77" i="2"/>
  <c r="A37" i="35"/>
  <c r="M79" i="2"/>
  <c r="A98" i="35"/>
  <c r="A73" i="35"/>
  <c r="A27" i="35"/>
  <c r="M128" i="2"/>
  <c r="A51" i="35"/>
  <c r="L2" i="35"/>
  <c r="M137" i="2"/>
  <c r="A11" i="35"/>
  <c r="A67" i="35"/>
  <c r="A43" i="35"/>
  <c r="M136" i="2"/>
  <c r="A78" i="35"/>
  <c r="A20" i="35"/>
  <c r="Q2" i="35"/>
  <c r="M127" i="2"/>
  <c r="R2" i="35"/>
  <c r="A80" i="35"/>
  <c r="A13" i="35"/>
  <c r="W258" i="36"/>
  <c r="W259" i="36"/>
  <c r="AQ240" i="36"/>
  <c r="V221" i="36"/>
  <c r="V222" i="36"/>
  <c r="V223" i="36"/>
  <c r="AN217" i="36"/>
  <c r="Y197" i="36"/>
  <c r="Y198" i="36"/>
  <c r="Y199" i="36"/>
  <c r="AR198" i="36"/>
  <c r="AR199" i="36"/>
  <c r="AR192" i="36"/>
  <c r="AI192" i="36"/>
  <c r="AR193" i="36"/>
  <c r="AR190" i="36"/>
  <c r="AR197" i="36"/>
  <c r="AI190" i="36"/>
  <c r="AI197" i="36"/>
  <c r="Y162" i="36"/>
  <c r="Y163" i="36"/>
  <c r="Y138" i="36"/>
  <c r="Y139" i="36"/>
  <c r="Z126" i="36"/>
  <c r="Z127" i="36"/>
  <c r="V125" i="36"/>
  <c r="AN126" i="36"/>
  <c r="AN127" i="36"/>
  <c r="AI121" i="36"/>
  <c r="AN118" i="36"/>
  <c r="AN125" i="36"/>
  <c r="AP118" i="36"/>
  <c r="AP125" i="36"/>
  <c r="AP126" i="36"/>
  <c r="AP127" i="36"/>
  <c r="AI126" i="36"/>
  <c r="AI127" i="36"/>
  <c r="AP121" i="36"/>
  <c r="AE126" i="36"/>
  <c r="AE127" i="36"/>
  <c r="AN121" i="36"/>
  <c r="V126" i="36"/>
  <c r="V127" i="36"/>
  <c r="AP120" i="36"/>
  <c r="AN120" i="36"/>
  <c r="AO46" i="36"/>
  <c r="AO53" i="36"/>
  <c r="AN66" i="36"/>
  <c r="AN67" i="36"/>
  <c r="AB101" i="36"/>
  <c r="AK85" i="36"/>
  <c r="X253" i="36"/>
  <c r="AS120" i="36"/>
  <c r="Q256" i="36"/>
  <c r="Q257" i="36"/>
  <c r="T216" i="36"/>
  <c r="AI142" i="36"/>
  <c r="AI149" i="36"/>
  <c r="AN34" i="36"/>
  <c r="AN41" i="36"/>
  <c r="AM24" i="36"/>
  <c r="AE233" i="36"/>
  <c r="AE234" i="36"/>
  <c r="AE235" i="36"/>
  <c r="W78" i="36"/>
  <c r="W79" i="36"/>
  <c r="V233" i="36"/>
  <c r="V234" i="36"/>
  <c r="V235" i="36"/>
  <c r="AK121" i="36"/>
  <c r="AS145" i="36"/>
  <c r="AS157" i="36"/>
  <c r="AC221" i="36"/>
  <c r="AC222" i="36"/>
  <c r="AC223" i="36"/>
  <c r="U197" i="36"/>
  <c r="AB173" i="36"/>
  <c r="AB174" i="36"/>
  <c r="AB175" i="36"/>
  <c r="AI145" i="36"/>
  <c r="AB113" i="36"/>
  <c r="AE210" i="36"/>
  <c r="AE211" i="36"/>
  <c r="AO192" i="36"/>
  <c r="AA157" i="36"/>
  <c r="AK120" i="36"/>
  <c r="AL42" i="36"/>
  <c r="AL43" i="36"/>
  <c r="T36" i="36"/>
  <c r="AS142" i="36"/>
  <c r="AS149" i="36"/>
  <c r="AS144" i="36"/>
  <c r="AN192" i="36"/>
  <c r="T193" i="36"/>
  <c r="AA161" i="36"/>
  <c r="AI120" i="36"/>
  <c r="AL108" i="36"/>
  <c r="AJ82" i="36"/>
  <c r="AJ89" i="36"/>
  <c r="T42" i="36"/>
  <c r="T43" i="36"/>
  <c r="AK25" i="36"/>
  <c r="AP210" i="36"/>
  <c r="AP211" i="36"/>
  <c r="Y144" i="36"/>
  <c r="Z144" i="36"/>
  <c r="Z150" i="36"/>
  <c r="Z151" i="36"/>
  <c r="AN37" i="36"/>
  <c r="T37" i="36"/>
  <c r="AS126" i="36"/>
  <c r="AS127" i="36"/>
  <c r="AS154" i="36"/>
  <c r="AS161" i="36"/>
  <c r="AD205" i="36"/>
  <c r="AO190" i="36"/>
  <c r="AO197" i="36"/>
  <c r="AL174" i="36"/>
  <c r="AL175" i="36"/>
  <c r="AL169" i="36"/>
  <c r="AA174" i="36"/>
  <c r="AA175" i="36"/>
  <c r="AA162" i="36"/>
  <c r="AA163" i="36"/>
  <c r="AI150" i="36"/>
  <c r="AI151" i="36"/>
  <c r="AL109" i="36"/>
  <c r="AO73" i="36"/>
  <c r="AK30" i="36"/>
  <c r="AK31" i="36"/>
  <c r="AK24" i="36"/>
  <c r="AS118" i="36"/>
  <c r="AS125" i="36"/>
  <c r="AS156" i="36"/>
  <c r="AQ72" i="36"/>
  <c r="V209" i="36"/>
  <c r="V210" i="36"/>
  <c r="V211" i="36"/>
  <c r="AP258" i="36"/>
  <c r="AP259" i="36"/>
  <c r="AB102" i="36"/>
  <c r="AB103" i="36"/>
  <c r="AP202" i="36"/>
  <c r="AP209" i="36"/>
  <c r="AA121" i="36"/>
  <c r="AL222" i="36"/>
  <c r="AL223" i="36"/>
  <c r="V246" i="36"/>
  <c r="V247" i="36"/>
  <c r="T214" i="36"/>
  <c r="T221" i="36"/>
  <c r="T222" i="36"/>
  <c r="T223" i="36"/>
  <c r="AL216" i="36"/>
  <c r="AM25" i="36"/>
  <c r="U198" i="36"/>
  <c r="U199" i="36"/>
  <c r="AS162" i="36"/>
  <c r="AS163" i="36"/>
  <c r="AI144" i="36"/>
  <c r="AK82" i="36"/>
  <c r="AK89" i="36"/>
  <c r="U65" i="36"/>
  <c r="U66" i="36"/>
  <c r="U67" i="36"/>
  <c r="AA85" i="36"/>
  <c r="AF246" i="36"/>
  <c r="AF247" i="36"/>
  <c r="AM22" i="36"/>
  <c r="AM29" i="36"/>
  <c r="AS121" i="36"/>
  <c r="AF258" i="36"/>
  <c r="AF259" i="36"/>
  <c r="AL221" i="36"/>
  <c r="AK126" i="36"/>
  <c r="AK127" i="36"/>
  <c r="AL114" i="36"/>
  <c r="AL115" i="36"/>
  <c r="AL106" i="36"/>
  <c r="AL113" i="36"/>
  <c r="AP253" i="36"/>
  <c r="AK90" i="36"/>
  <c r="AK91" i="36"/>
  <c r="AL168" i="36"/>
  <c r="AN58" i="36"/>
  <c r="AN65" i="36"/>
  <c r="X258" i="36"/>
  <c r="X259" i="36"/>
  <c r="T217" i="36"/>
  <c r="AO193" i="36"/>
  <c r="T25" i="36"/>
  <c r="AG198" i="36"/>
  <c r="AG199" i="36"/>
  <c r="AN178" i="36"/>
  <c r="AN185" i="36"/>
  <c r="Y246" i="36"/>
  <c r="Y247" i="36"/>
  <c r="Y149" i="36"/>
  <c r="Y150" i="36"/>
  <c r="Y151" i="36"/>
  <c r="AL102" i="36"/>
  <c r="AL103" i="36"/>
  <c r="T73" i="36"/>
  <c r="AC61" i="36"/>
  <c r="AK66" i="36"/>
  <c r="AK67" i="36"/>
  <c r="AD185" i="36"/>
  <c r="Q41" i="36"/>
  <c r="Q42" i="36"/>
  <c r="Q43" i="36"/>
  <c r="Q244" i="36"/>
  <c r="Q245" i="36"/>
  <c r="Q246" i="36"/>
  <c r="Q247" i="36"/>
  <c r="AN180" i="36"/>
  <c r="AN186" i="36"/>
  <c r="AN187" i="36"/>
  <c r="T181" i="36"/>
  <c r="AF90" i="36"/>
  <c r="AF91" i="36"/>
  <c r="AM253" i="36"/>
  <c r="AD186" i="36"/>
  <c r="AD187" i="36"/>
  <c r="AB114" i="36"/>
  <c r="AB115" i="36"/>
  <c r="AI258" i="36"/>
  <c r="AI259" i="36"/>
  <c r="AK154" i="36"/>
  <c r="AK161" i="36"/>
  <c r="AI253" i="36"/>
  <c r="AK144" i="36"/>
  <c r="AK142" i="36"/>
  <c r="AK149" i="36"/>
  <c r="AL150" i="36"/>
  <c r="AL151" i="36"/>
  <c r="Z133" i="36"/>
  <c r="U101" i="36"/>
  <c r="U102" i="36"/>
  <c r="U103" i="36"/>
  <c r="X73" i="36"/>
  <c r="AS169" i="36"/>
  <c r="AS246" i="36"/>
  <c r="AS247" i="36"/>
  <c r="AQ190" i="36"/>
  <c r="AQ197" i="36"/>
  <c r="AF113" i="36"/>
  <c r="AF114" i="36"/>
  <c r="AF115" i="36"/>
  <c r="AS174" i="36"/>
  <c r="AS175" i="36"/>
  <c r="AQ192" i="36"/>
  <c r="AH65" i="36"/>
  <c r="AM241" i="36"/>
  <c r="AM246" i="36"/>
  <c r="AM247" i="36"/>
  <c r="AN205" i="36"/>
  <c r="AO121" i="36"/>
  <c r="AS2" i="36"/>
  <c r="M81" i="2"/>
  <c r="AI252" i="36"/>
  <c r="AH198" i="36"/>
  <c r="AH199" i="36"/>
  <c r="Y174" i="36"/>
  <c r="Y175" i="36"/>
  <c r="AR2" i="36"/>
  <c r="X205" i="36"/>
  <c r="AO120" i="36"/>
  <c r="AH66" i="36"/>
  <c r="AH67" i="36"/>
  <c r="AL46" i="36"/>
  <c r="AL53" i="36"/>
  <c r="AO42" i="36"/>
  <c r="AO43" i="36"/>
  <c r="A184" i="36"/>
  <c r="O235" i="36"/>
  <c r="Y2" i="36"/>
  <c r="Y90" i="36"/>
  <c r="Y91" i="36"/>
  <c r="AQ2" i="36"/>
  <c r="AQ70" i="36"/>
  <c r="AQ77" i="36"/>
  <c r="AG77" i="36"/>
  <c r="AG78" i="36"/>
  <c r="AG79" i="36"/>
  <c r="Z60" i="36"/>
  <c r="Z66" i="36"/>
  <c r="Z67" i="36"/>
  <c r="V53" i="36"/>
  <c r="V54" i="36"/>
  <c r="V55" i="36"/>
  <c r="AI96" i="36"/>
  <c r="AI102" i="36"/>
  <c r="AI103" i="36"/>
  <c r="AI97" i="36"/>
  <c r="AI94" i="36"/>
  <c r="AI101" i="36"/>
  <c r="T97" i="36"/>
  <c r="T94" i="36"/>
  <c r="T101" i="36"/>
  <c r="T102" i="36"/>
  <c r="T103" i="36"/>
  <c r="AP73" i="36"/>
  <c r="AP72" i="36"/>
  <c r="AD54" i="36"/>
  <c r="AD55" i="36"/>
  <c r="U54" i="36"/>
  <c r="U55" i="36"/>
  <c r="O30" i="36"/>
  <c r="O31" i="36"/>
  <c r="X120" i="36"/>
  <c r="W90" i="36"/>
  <c r="W91" i="36"/>
  <c r="AP138" i="36"/>
  <c r="AP139" i="36"/>
  <c r="AP133" i="36"/>
  <c r="AP70" i="36"/>
  <c r="AP77" i="36"/>
  <c r="X118" i="36"/>
  <c r="X125" i="36"/>
  <c r="X126" i="36"/>
  <c r="X127" i="36"/>
  <c r="AI229" i="36"/>
  <c r="AI228" i="36"/>
  <c r="AI226" i="36"/>
  <c r="AI233" i="36"/>
  <c r="AO174" i="36"/>
  <c r="AO175" i="36"/>
  <c r="AE174" i="36"/>
  <c r="AE175" i="36"/>
  <c r="AE137" i="36"/>
  <c r="AE138" i="36"/>
  <c r="AE139" i="36"/>
  <c r="AC41" i="36"/>
  <c r="AC42" i="36"/>
  <c r="AC43" i="36"/>
  <c r="AP226" i="36"/>
  <c r="AP233" i="36"/>
  <c r="AP228" i="36"/>
  <c r="AP234" i="36"/>
  <c r="AP235" i="36"/>
  <c r="AB234" i="36"/>
  <c r="AB235" i="36"/>
  <c r="AD217" i="36"/>
  <c r="AL180" i="36"/>
  <c r="AL186" i="36"/>
  <c r="AL187" i="36"/>
  <c r="AB185" i="36"/>
  <c r="AB186" i="36"/>
  <c r="AB187" i="36"/>
  <c r="X145" i="36"/>
  <c r="X144" i="36"/>
  <c r="X149" i="36"/>
  <c r="X150" i="36"/>
  <c r="X151" i="36"/>
  <c r="AN132" i="36"/>
  <c r="AI240" i="36"/>
  <c r="AI241" i="36"/>
  <c r="AI246" i="36"/>
  <c r="AI247" i="36"/>
  <c r="AJ36" i="36"/>
  <c r="AJ34" i="36"/>
  <c r="AJ41" i="36"/>
  <c r="AJ37" i="36"/>
  <c r="AL197" i="36"/>
  <c r="AL198" i="36"/>
  <c r="AL199" i="36"/>
  <c r="AK186" i="36"/>
  <c r="AK187" i="36"/>
  <c r="AK180" i="36"/>
  <c r="AK178" i="36"/>
  <c r="AK185" i="36"/>
  <c r="Z61" i="36"/>
  <c r="AF78" i="36"/>
  <c r="AF79" i="36"/>
  <c r="AQ37" i="36"/>
  <c r="AQ34" i="36"/>
  <c r="AQ41" i="36"/>
  <c r="AQ36" i="36"/>
  <c r="AN229" i="36"/>
  <c r="AN234" i="36"/>
  <c r="AN235" i="36"/>
  <c r="AB222" i="36"/>
  <c r="AB223" i="36"/>
  <c r="AK190" i="36"/>
  <c r="AK197" i="36"/>
  <c r="AK198" i="36"/>
  <c r="AK199" i="36"/>
  <c r="AA197" i="36"/>
  <c r="AA198" i="36"/>
  <c r="AA199" i="36"/>
  <c r="Z102" i="36"/>
  <c r="Z103" i="36"/>
  <c r="X121" i="36"/>
  <c r="AJ258" i="36"/>
  <c r="AJ259" i="36"/>
  <c r="AJ252" i="36"/>
  <c r="Z97" i="36"/>
  <c r="AJ46" i="36"/>
  <c r="AJ53" i="36"/>
  <c r="T169" i="36"/>
  <c r="T173" i="36"/>
  <c r="AD89" i="36"/>
  <c r="AD84" i="36"/>
  <c r="AD90" i="36"/>
  <c r="AD91" i="36"/>
  <c r="U77" i="36"/>
  <c r="U78" i="36"/>
  <c r="U79" i="36"/>
  <c r="AJ54" i="36"/>
  <c r="AJ55" i="36"/>
  <c r="T168" i="36"/>
  <c r="AM84" i="36"/>
  <c r="AM82" i="36"/>
  <c r="AM89" i="36"/>
  <c r="AJ49" i="36"/>
  <c r="AM132" i="36"/>
  <c r="AS181" i="36"/>
  <c r="AS186" i="36"/>
  <c r="AS187" i="36"/>
  <c r="O244" i="36"/>
  <c r="O245" i="36"/>
  <c r="O246" i="36"/>
  <c r="O247" i="36"/>
  <c r="AA25" i="36"/>
  <c r="AA24" i="36"/>
  <c r="AA29" i="36"/>
  <c r="AA30" i="36"/>
  <c r="AA31" i="36"/>
  <c r="T121" i="36"/>
  <c r="AD60" i="36"/>
  <c r="AD58" i="36"/>
  <c r="AD65" i="36"/>
  <c r="AD61" i="36"/>
  <c r="AD66" i="36"/>
  <c r="AD67" i="36"/>
  <c r="AN60" i="36"/>
  <c r="AS180" i="36"/>
  <c r="AH253" i="36"/>
  <c r="AC162" i="36"/>
  <c r="AB137" i="36"/>
  <c r="AB138" i="36"/>
  <c r="AK70" i="36"/>
  <c r="AK77" i="36"/>
  <c r="T174" i="36"/>
  <c r="T175" i="36"/>
  <c r="P34" i="36"/>
  <c r="P41" i="36"/>
  <c r="P42" i="36"/>
  <c r="P43" i="36"/>
  <c r="AP162" i="36"/>
  <c r="AP163" i="36"/>
  <c r="AK156" i="36"/>
  <c r="AK157" i="36"/>
  <c r="AK162" i="36"/>
  <c r="AK163" i="36"/>
  <c r="AN54" i="36"/>
  <c r="AN55" i="36"/>
  <c r="A17" i="36"/>
  <c r="V114" i="36"/>
  <c r="V115" i="36"/>
  <c r="AH89" i="36"/>
  <c r="AH90" i="36"/>
  <c r="AH91" i="36"/>
  <c r="A136" i="36"/>
  <c r="A88" i="36"/>
  <c r="N42" i="36"/>
  <c r="N127" i="36"/>
  <c r="A257" i="36"/>
  <c r="A256" i="36"/>
  <c r="N150" i="36"/>
  <c r="AB31" i="36"/>
  <c r="N103" i="36"/>
  <c r="X187" i="36"/>
  <c r="N244" i="36"/>
  <c r="AB2" i="37"/>
  <c r="R25" i="37"/>
  <c r="R22" i="37"/>
  <c r="R29" i="37"/>
  <c r="A29" i="37"/>
  <c r="R24" i="37"/>
  <c r="M157" i="2"/>
  <c r="R37" i="37"/>
  <c r="R34" i="37"/>
  <c r="R41" i="37"/>
  <c r="R36" i="37"/>
  <c r="R42" i="37"/>
  <c r="R43" i="37"/>
  <c r="R49" i="37"/>
  <c r="R46" i="37"/>
  <c r="R53" i="37"/>
  <c r="R48" i="37"/>
  <c r="R54" i="37"/>
  <c r="R55" i="37"/>
  <c r="S30" i="36"/>
  <c r="S31" i="36"/>
  <c r="S90" i="36"/>
  <c r="S91" i="36"/>
  <c r="S210" i="36"/>
  <c r="S211" i="36"/>
  <c r="R210" i="36"/>
  <c r="R211" i="36"/>
  <c r="AE2" i="36"/>
  <c r="M13" i="2"/>
  <c r="Y2" i="41"/>
  <c r="T102" i="41"/>
  <c r="T103" i="41"/>
  <c r="AH2" i="41"/>
  <c r="AI2" i="41"/>
  <c r="AB2" i="41"/>
  <c r="AF2" i="41"/>
  <c r="A17" i="41"/>
  <c r="A63" i="40"/>
  <c r="A60" i="40"/>
  <c r="M43" i="2"/>
  <c r="A41" i="40"/>
  <c r="A29" i="40"/>
  <c r="M63" i="2"/>
  <c r="A89" i="38"/>
  <c r="A39" i="38"/>
  <c r="A63" i="38"/>
  <c r="A65" i="38"/>
  <c r="A77" i="38"/>
  <c r="Q113" i="36"/>
  <c r="A113" i="36"/>
  <c r="M82" i="2"/>
  <c r="AO2" i="36"/>
  <c r="A195" i="37"/>
  <c r="A156" i="37"/>
  <c r="A75" i="37"/>
  <c r="A79" i="37"/>
  <c r="A101" i="37"/>
  <c r="A123" i="37"/>
  <c r="A108" i="37"/>
  <c r="A53" i="37"/>
  <c r="A90" i="37"/>
  <c r="R259" i="34"/>
  <c r="A258" i="34"/>
  <c r="A231" i="34"/>
  <c r="R30" i="34"/>
  <c r="R31" i="34"/>
  <c r="A233" i="34"/>
  <c r="A113" i="34"/>
  <c r="A137" i="34"/>
  <c r="A234" i="34"/>
  <c r="R2" i="34"/>
  <c r="R48" i="34"/>
  <c r="R46" i="34"/>
  <c r="R53" i="34"/>
  <c r="R54" i="34"/>
  <c r="R49" i="34"/>
  <c r="O2" i="35"/>
  <c r="A207" i="38"/>
  <c r="M19" i="2"/>
  <c r="AP2" i="38"/>
  <c r="A41" i="38"/>
  <c r="A245" i="38"/>
  <c r="AL2" i="38"/>
  <c r="AB2" i="38"/>
  <c r="AN2" i="38"/>
  <c r="AE2" i="38"/>
  <c r="A219" i="38"/>
  <c r="AH2" i="38"/>
  <c r="A101" i="38"/>
  <c r="A209" i="38"/>
  <c r="A257" i="38"/>
  <c r="AJ2" i="38"/>
  <c r="S102" i="38"/>
  <c r="S103" i="38"/>
  <c r="AR2" i="38"/>
  <c r="A243" i="38"/>
  <c r="AF2" i="38"/>
  <c r="AS2" i="38"/>
  <c r="A255" i="38"/>
  <c r="A221" i="38"/>
  <c r="A111" i="38"/>
  <c r="AK2" i="38"/>
  <c r="A87" i="38"/>
  <c r="A113" i="38"/>
  <c r="A123" i="38"/>
  <c r="A183" i="38"/>
  <c r="AM2" i="38"/>
  <c r="A234" i="38"/>
  <c r="A161" i="38"/>
  <c r="A197" i="38"/>
  <c r="R198" i="38"/>
  <c r="R199" i="38"/>
  <c r="A125" i="38"/>
  <c r="A149" i="38"/>
  <c r="S2" i="38"/>
  <c r="R2" i="38"/>
  <c r="A137" i="38"/>
  <c r="A159" i="38"/>
  <c r="A231" i="38"/>
  <c r="A233" i="38"/>
  <c r="V2" i="38"/>
  <c r="A258" i="38"/>
  <c r="X2" i="38"/>
  <c r="A53" i="38"/>
  <c r="A135" i="38"/>
  <c r="AQ2" i="38"/>
  <c r="A147" i="38"/>
  <c r="A75" i="38"/>
  <c r="AC2" i="38"/>
  <c r="AA2" i="38"/>
  <c r="A171" i="38"/>
  <c r="AG2" i="38"/>
  <c r="A29" i="38"/>
  <c r="A126" i="38"/>
  <c r="Y2" i="38"/>
  <c r="A173" i="38"/>
  <c r="AD2" i="38"/>
  <c r="AO2" i="38"/>
  <c r="Q247" i="38"/>
  <c r="A246" i="38"/>
  <c r="A51" i="38"/>
  <c r="A198" i="38"/>
  <c r="Q66" i="38"/>
  <c r="A42" i="38"/>
  <c r="M18" i="2"/>
  <c r="A195" i="38"/>
  <c r="AI2" i="38"/>
  <c r="A99" i="38"/>
  <c r="A138" i="38"/>
  <c r="Z2" i="38"/>
  <c r="P103" i="38"/>
  <c r="P211" i="38"/>
  <c r="A210" i="38"/>
  <c r="W2" i="38"/>
  <c r="A27" i="38"/>
  <c r="A266" i="38"/>
  <c r="A267" i="38"/>
  <c r="P55" i="38"/>
  <c r="A54" i="38"/>
  <c r="A269" i="38"/>
  <c r="A150" i="38"/>
  <c r="P151" i="38"/>
  <c r="P187" i="38"/>
  <c r="P175" i="38"/>
  <c r="A174" i="38"/>
  <c r="P31" i="38"/>
  <c r="A30" i="38"/>
  <c r="A270" i="38"/>
  <c r="AK2" i="41"/>
  <c r="A51" i="41"/>
  <c r="AQ2" i="41"/>
  <c r="S102" i="41"/>
  <c r="S103" i="41"/>
  <c r="AS2" i="41"/>
  <c r="S42" i="41"/>
  <c r="S43" i="41"/>
  <c r="A29" i="41"/>
  <c r="R30" i="41"/>
  <c r="R31" i="41"/>
  <c r="R102" i="41"/>
  <c r="R103" i="41"/>
  <c r="A77" i="41"/>
  <c r="Q54" i="41"/>
  <c r="Q55" i="41"/>
  <c r="AJ2" i="41"/>
  <c r="A89" i="41"/>
  <c r="V2" i="41"/>
  <c r="A41" i="41"/>
  <c r="Q78" i="41"/>
  <c r="Q79" i="41"/>
  <c r="P2" i="41"/>
  <c r="AE2" i="41"/>
  <c r="AM2" i="41"/>
  <c r="P90" i="41"/>
  <c r="P91" i="41"/>
  <c r="A39" i="41"/>
  <c r="A99" i="41"/>
  <c r="O19" i="41"/>
  <c r="A18" i="41"/>
  <c r="A19" i="41"/>
  <c r="O103" i="41"/>
  <c r="A90" i="41"/>
  <c r="A63" i="41"/>
  <c r="R2" i="41"/>
  <c r="O31" i="41"/>
  <c r="AA2" i="41"/>
  <c r="S2" i="41"/>
  <c r="AG2" i="41"/>
  <c r="A54" i="41"/>
  <c r="A87" i="41"/>
  <c r="A75" i="41"/>
  <c r="O66" i="41"/>
  <c r="A65" i="41"/>
  <c r="AC2" i="41"/>
  <c r="A53" i="41"/>
  <c r="A27" i="41"/>
  <c r="A89" i="40"/>
  <c r="A66" i="40"/>
  <c r="A65" i="40"/>
  <c r="AD2" i="40"/>
  <c r="A53" i="40"/>
  <c r="S55" i="40"/>
  <c r="A54" i="40"/>
  <c r="A101" i="40"/>
  <c r="Y2" i="40"/>
  <c r="AL2" i="40"/>
  <c r="A77" i="40"/>
  <c r="S78" i="40"/>
  <c r="S79" i="40"/>
  <c r="A78" i="40"/>
  <c r="A79" i="40"/>
  <c r="Q79" i="40"/>
  <c r="Q115" i="40"/>
  <c r="A114" i="40"/>
  <c r="A115" i="40"/>
  <c r="A90" i="40"/>
  <c r="A91" i="40"/>
  <c r="Q91" i="40"/>
  <c r="A30" i="40"/>
  <c r="A31" i="40"/>
  <c r="Q31" i="40"/>
  <c r="A18" i="40"/>
  <c r="A19" i="40"/>
  <c r="Q19" i="40"/>
  <c r="A102" i="40"/>
  <c r="A103" i="40"/>
  <c r="Q103" i="40"/>
  <c r="S102" i="39"/>
  <c r="S103" i="39"/>
  <c r="W2" i="39"/>
  <c r="A126" i="34"/>
  <c r="A235" i="34"/>
  <c r="A53" i="35"/>
  <c r="A270" i="34"/>
  <c r="A271" i="34"/>
  <c r="M123" i="2"/>
  <c r="A210" i="34"/>
  <c r="A211" i="34"/>
  <c r="A174" i="34"/>
  <c r="A175" i="34"/>
  <c r="A66" i="34"/>
  <c r="A187" i="34"/>
  <c r="A51" i="34"/>
  <c r="A12" i="34"/>
  <c r="M115" i="2"/>
  <c r="A127" i="34"/>
  <c r="A30" i="34"/>
  <c r="A31" i="34"/>
  <c r="A259" i="34"/>
  <c r="A41" i="34"/>
  <c r="M132" i="2"/>
  <c r="A139" i="34"/>
  <c r="A60" i="34"/>
  <c r="A79" i="34"/>
  <c r="A204" i="34"/>
  <c r="A114" i="34"/>
  <c r="A115" i="34"/>
  <c r="N115" i="34"/>
  <c r="A108" i="34"/>
  <c r="B2" i="34"/>
  <c r="A42" i="34"/>
  <c r="A43" i="34"/>
  <c r="M43" i="34"/>
  <c r="M91" i="34"/>
  <c r="A90" i="34"/>
  <c r="A91" i="34"/>
  <c r="M103" i="34"/>
  <c r="A102" i="34"/>
  <c r="A103" i="34"/>
  <c r="A198" i="34"/>
  <c r="A199" i="34"/>
  <c r="M199" i="34"/>
  <c r="M247" i="34"/>
  <c r="A246" i="34"/>
  <c r="A247" i="34"/>
  <c r="A222" i="34"/>
  <c r="A223" i="34"/>
  <c r="M223" i="34"/>
  <c r="A67" i="34"/>
  <c r="M151" i="34"/>
  <c r="A150" i="34"/>
  <c r="A151" i="34"/>
  <c r="A156" i="34"/>
  <c r="A163" i="34"/>
  <c r="A23" i="35"/>
  <c r="Z2" i="37"/>
  <c r="P42" i="37"/>
  <c r="P43" i="37"/>
  <c r="A138" i="37"/>
  <c r="A139" i="37"/>
  <c r="P30" i="37"/>
  <c r="P31" i="37"/>
  <c r="V2" i="37"/>
  <c r="A211" i="37"/>
  <c r="M146" i="2"/>
  <c r="A39" i="37"/>
  <c r="T2" i="37"/>
  <c r="M154" i="2"/>
  <c r="A41" i="37"/>
  <c r="M156" i="2"/>
  <c r="A235" i="37"/>
  <c r="AN2" i="37"/>
  <c r="N223" i="37"/>
  <c r="A222" i="37"/>
  <c r="A223" i="37"/>
  <c r="A67" i="37"/>
  <c r="M2" i="37"/>
  <c r="A27" i="37"/>
  <c r="A186" i="37"/>
  <c r="A187" i="37"/>
  <c r="M187" i="37"/>
  <c r="A246" i="37"/>
  <c r="A247" i="37"/>
  <c r="M247" i="37"/>
  <c r="M55" i="37"/>
  <c r="A198" i="37"/>
  <c r="A199" i="37"/>
  <c r="M199" i="37"/>
  <c r="M43" i="37"/>
  <c r="A42" i="37"/>
  <c r="A102" i="37"/>
  <c r="A103" i="37"/>
  <c r="M103" i="37"/>
  <c r="M115" i="37"/>
  <c r="A114" i="37"/>
  <c r="A115" i="37"/>
  <c r="A91" i="37"/>
  <c r="M31" i="37"/>
  <c r="A127" i="37"/>
  <c r="A163" i="37"/>
  <c r="A51" i="37"/>
  <c r="A151" i="37"/>
  <c r="A174" i="37"/>
  <c r="A175" i="37"/>
  <c r="M175" i="37"/>
  <c r="M60" i="39"/>
  <c r="M66" i="39"/>
  <c r="M67" i="39"/>
  <c r="M61" i="39"/>
  <c r="N61" i="39"/>
  <c r="N160" i="39"/>
  <c r="O28" i="39"/>
  <c r="P21" i="39"/>
  <c r="P28" i="39"/>
  <c r="A28" i="39"/>
  <c r="O173" i="39"/>
  <c r="O174" i="39"/>
  <c r="O175" i="39"/>
  <c r="N65" i="39"/>
  <c r="N60" i="39"/>
  <c r="N66" i="39"/>
  <c r="N67" i="39"/>
  <c r="N124" i="39"/>
  <c r="N184" i="39"/>
  <c r="M97" i="39"/>
  <c r="N97" i="39"/>
  <c r="O112" i="39"/>
  <c r="P112" i="39"/>
  <c r="A112" i="39"/>
  <c r="P165" i="39"/>
  <c r="P172" i="39"/>
  <c r="O172" i="39"/>
  <c r="P180" i="39"/>
  <c r="P186" i="39"/>
  <c r="P187" i="39"/>
  <c r="O186" i="39"/>
  <c r="O187" i="39"/>
  <c r="N101" i="39"/>
  <c r="M72" i="39"/>
  <c r="M78" i="39"/>
  <c r="M79" i="39"/>
  <c r="N70" i="39"/>
  <c r="N77" i="39"/>
  <c r="N72" i="39"/>
  <c r="N78" i="39"/>
  <c r="N79" i="39"/>
  <c r="N73" i="39"/>
  <c r="A136" i="39"/>
  <c r="A123" i="39"/>
  <c r="P190" i="39"/>
  <c r="P197" i="39"/>
  <c r="P198" i="39"/>
  <c r="P199" i="39"/>
  <c r="P235" i="39"/>
  <c r="A76" i="39"/>
  <c r="P209" i="39"/>
  <c r="P210" i="39"/>
  <c r="P211" i="39"/>
  <c r="P202" i="39"/>
  <c r="N232" i="39"/>
  <c r="P53" i="39"/>
  <c r="O53" i="39"/>
  <c r="M42" i="39"/>
  <c r="M43" i="39"/>
  <c r="P88" i="39"/>
  <c r="O88" i="39"/>
  <c r="N100" i="39"/>
  <c r="O40" i="39"/>
  <c r="P40" i="39"/>
  <c r="A40" i="39"/>
  <c r="A52" i="39"/>
  <c r="O208" i="39"/>
  <c r="P208" i="39"/>
  <c r="A208" i="39"/>
  <c r="A39" i="39"/>
  <c r="O36" i="39"/>
  <c r="P36" i="39"/>
  <c r="O37" i="39"/>
  <c r="P37" i="39"/>
  <c r="N141" i="39"/>
  <c r="M148" i="39"/>
  <c r="Q19" i="36"/>
  <c r="A18" i="36"/>
  <c r="A19" i="36"/>
  <c r="O28" i="36"/>
  <c r="P21" i="36"/>
  <c r="O100" i="36"/>
  <c r="P93" i="36"/>
  <c r="O120" i="36"/>
  <c r="O121" i="36"/>
  <c r="O118" i="36"/>
  <c r="O125" i="36"/>
  <c r="O124" i="36"/>
  <c r="P117" i="36"/>
  <c r="O172" i="36"/>
  <c r="P165" i="36"/>
  <c r="O132" i="36"/>
  <c r="O138" i="36"/>
  <c r="O139" i="36"/>
  <c r="O130" i="36"/>
  <c r="O137" i="36"/>
  <c r="O133" i="36"/>
  <c r="O148" i="36"/>
  <c r="P141" i="36"/>
  <c r="O220" i="36"/>
  <c r="P213" i="36"/>
  <c r="O174" i="36"/>
  <c r="O175" i="36"/>
  <c r="O169" i="36"/>
  <c r="O168" i="36"/>
  <c r="O166" i="36"/>
  <c r="O173" i="36"/>
  <c r="O232" i="36"/>
  <c r="P225" i="36"/>
  <c r="O72" i="36"/>
  <c r="O78" i="36"/>
  <c r="O79" i="36"/>
  <c r="O73" i="36"/>
  <c r="O70" i="36"/>
  <c r="O77" i="36"/>
  <c r="O16" i="36"/>
  <c r="P9" i="36"/>
  <c r="O82" i="36"/>
  <c r="O89" i="36"/>
  <c r="O84" i="36"/>
  <c r="O85" i="36"/>
  <c r="P226" i="36"/>
  <c r="P228" i="36"/>
  <c r="P229" i="36"/>
  <c r="Q229" i="36"/>
  <c r="P204" i="36"/>
  <c r="P202" i="36"/>
  <c r="P205" i="36"/>
  <c r="Q205" i="36"/>
  <c r="O40" i="36"/>
  <c r="P33" i="36"/>
  <c r="O112" i="36"/>
  <c r="P105" i="36"/>
  <c r="P22" i="36"/>
  <c r="P25" i="36"/>
  <c r="P24" i="36"/>
  <c r="Q24" i="36"/>
  <c r="N66" i="36"/>
  <c r="N67" i="36"/>
  <c r="P160" i="36"/>
  <c r="Q160" i="36"/>
  <c r="O76" i="36"/>
  <c r="P69" i="36"/>
  <c r="O2" i="36"/>
  <c r="O253" i="36"/>
  <c r="O252" i="36"/>
  <c r="P53" i="36"/>
  <c r="P54" i="36"/>
  <c r="P55" i="36"/>
  <c r="Q53" i="36"/>
  <c r="Q54" i="36"/>
  <c r="Q55" i="36"/>
  <c r="O208" i="36"/>
  <c r="P201" i="36"/>
  <c r="P64" i="36"/>
  <c r="Q64" i="36"/>
  <c r="O258" i="36"/>
  <c r="O259" i="36"/>
  <c r="Q114" i="36"/>
  <c r="Q115" i="36"/>
  <c r="O60" i="36"/>
  <c r="O58" i="36"/>
  <c r="O65" i="36"/>
  <c r="O66" i="36"/>
  <c r="O67" i="36"/>
  <c r="O61" i="36"/>
  <c r="A195" i="36"/>
  <c r="P190" i="36"/>
  <c r="P192" i="36"/>
  <c r="Q192" i="36"/>
  <c r="P193" i="36"/>
  <c r="Q193" i="36"/>
  <c r="O97" i="36"/>
  <c r="O96" i="36"/>
  <c r="O94" i="36"/>
  <c r="O101" i="36"/>
  <c r="O196" i="36"/>
  <c r="P189" i="36"/>
  <c r="O52" i="36"/>
  <c r="P45" i="36"/>
  <c r="O157" i="36"/>
  <c r="O156" i="36"/>
  <c r="O154" i="36"/>
  <c r="O161" i="36"/>
  <c r="O162" i="36"/>
  <c r="O163" i="36"/>
  <c r="P142" i="36"/>
  <c r="P144" i="36"/>
  <c r="A219" i="36"/>
  <c r="P217" i="36"/>
  <c r="Q217" i="36"/>
  <c r="P216" i="36"/>
  <c r="Q216" i="36"/>
  <c r="P214" i="36"/>
  <c r="O180" i="36"/>
  <c r="O178" i="36"/>
  <c r="O185" i="36"/>
  <c r="O181" i="36"/>
  <c r="M129" i="2"/>
  <c r="K2" i="35"/>
  <c r="A83" i="35"/>
  <c r="Z2" i="36"/>
  <c r="A207" i="36"/>
  <c r="X2" i="36"/>
  <c r="A41" i="36"/>
  <c r="T2" i="36"/>
  <c r="AF2" i="36"/>
  <c r="AP2" i="36"/>
  <c r="AB2" i="36"/>
  <c r="A114" i="36"/>
  <c r="A231" i="36"/>
  <c r="A51" i="36"/>
  <c r="AN2" i="36"/>
  <c r="AL2" i="36"/>
  <c r="AD2" i="36"/>
  <c r="AI2" i="36"/>
  <c r="AK2" i="36"/>
  <c r="A39" i="36"/>
  <c r="AA2" i="36"/>
  <c r="AJ2" i="36"/>
  <c r="A111" i="36"/>
  <c r="AB139" i="36"/>
  <c r="AC2" i="36"/>
  <c r="A27" i="36"/>
  <c r="A147" i="36"/>
  <c r="A243" i="36"/>
  <c r="AH2" i="36"/>
  <c r="V2" i="36"/>
  <c r="AC163" i="36"/>
  <c r="AG2" i="36"/>
  <c r="U2" i="36"/>
  <c r="W2" i="36"/>
  <c r="AM2" i="36"/>
  <c r="N43" i="36"/>
  <c r="N245" i="36"/>
  <c r="A244" i="36"/>
  <c r="N151" i="36"/>
  <c r="R30" i="37"/>
  <c r="R31" i="37"/>
  <c r="R2" i="37"/>
  <c r="M5" i="2"/>
  <c r="A211" i="38"/>
  <c r="A67" i="40"/>
  <c r="A55" i="41"/>
  <c r="M29" i="2"/>
  <c r="A60" i="37"/>
  <c r="A78" i="41"/>
  <c r="A30" i="41"/>
  <c r="A31" i="41"/>
  <c r="M33" i="2"/>
  <c r="A101" i="41"/>
  <c r="A42" i="40"/>
  <c r="A51" i="40"/>
  <c r="B2" i="40"/>
  <c r="A39" i="40"/>
  <c r="A12" i="40"/>
  <c r="A125" i="39"/>
  <c r="M62" i="2"/>
  <c r="A114" i="38"/>
  <c r="A115" i="38"/>
  <c r="A222" i="38"/>
  <c r="A223" i="38"/>
  <c r="A186" i="38"/>
  <c r="A187" i="38"/>
  <c r="A43" i="38"/>
  <c r="A162" i="38"/>
  <c r="A163" i="38"/>
  <c r="M14" i="2"/>
  <c r="A90" i="38"/>
  <c r="A91" i="38"/>
  <c r="M23" i="2"/>
  <c r="A185" i="38"/>
  <c r="A42" i="36"/>
  <c r="M101" i="2"/>
  <c r="A30" i="37"/>
  <c r="M150" i="2"/>
  <c r="R55" i="34"/>
  <c r="A54" i="34"/>
  <c r="A55" i="34"/>
  <c r="M119" i="2"/>
  <c r="M107" i="2"/>
  <c r="A53" i="34"/>
  <c r="M111" i="2"/>
  <c r="A259" i="38"/>
  <c r="A235" i="38"/>
  <c r="A175" i="38"/>
  <c r="A102" i="38"/>
  <c r="A103" i="38"/>
  <c r="A127" i="38"/>
  <c r="A60" i="38"/>
  <c r="A199" i="38"/>
  <c r="A247" i="38"/>
  <c r="A228" i="38"/>
  <c r="A108" i="38"/>
  <c r="B2" i="38"/>
  <c r="A139" i="38"/>
  <c r="A151" i="38"/>
  <c r="A180" i="38"/>
  <c r="M9" i="2"/>
  <c r="A12" i="38"/>
  <c r="Q67" i="38"/>
  <c r="A66" i="38"/>
  <c r="A67" i="38"/>
  <c r="A271" i="38"/>
  <c r="A55" i="38"/>
  <c r="A31" i="38"/>
  <c r="A102" i="41"/>
  <c r="A103" i="41"/>
  <c r="A12" i="41"/>
  <c r="B2" i="41"/>
  <c r="O67" i="41"/>
  <c r="A66" i="41"/>
  <c r="A67" i="41"/>
  <c r="A79" i="41"/>
  <c r="A60" i="41"/>
  <c r="A91" i="41"/>
  <c r="A55" i="40"/>
  <c r="M142" i="2"/>
  <c r="A43" i="37"/>
  <c r="M138" i="2"/>
  <c r="B2" i="37"/>
  <c r="A31" i="37"/>
  <c r="A12" i="37"/>
  <c r="M48" i="39"/>
  <c r="M49" i="39"/>
  <c r="N49" i="39"/>
  <c r="O49" i="39"/>
  <c r="P49" i="39"/>
  <c r="A210" i="39"/>
  <c r="A99" i="39"/>
  <c r="O97" i="39"/>
  <c r="P97" i="39"/>
  <c r="O160" i="39"/>
  <c r="P160" i="39"/>
  <c r="M64" i="2"/>
  <c r="A171" i="39"/>
  <c r="A51" i="39"/>
  <c r="A220" i="39"/>
  <c r="M24" i="39"/>
  <c r="N24" i="39"/>
  <c r="O24" i="39"/>
  <c r="P24" i="39"/>
  <c r="P25" i="39"/>
  <c r="M85" i="39"/>
  <c r="N85" i="39"/>
  <c r="O85" i="39"/>
  <c r="P85" i="39"/>
  <c r="M84" i="39"/>
  <c r="O184" i="39"/>
  <c r="P184" i="39"/>
  <c r="P100" i="39"/>
  <c r="O100" i="39"/>
  <c r="A100" i="39"/>
  <c r="M25" i="39"/>
  <c r="N25" i="39"/>
  <c r="A159" i="39"/>
  <c r="O61" i="39"/>
  <c r="P61" i="39"/>
  <c r="O60" i="39"/>
  <c r="P60" i="39"/>
  <c r="A63" i="39"/>
  <c r="N148" i="39"/>
  <c r="A75" i="39"/>
  <c r="O72" i="39"/>
  <c r="P72" i="39"/>
  <c r="O73" i="39"/>
  <c r="P73" i="39"/>
  <c r="A183" i="39"/>
  <c r="O41" i="39"/>
  <c r="P41" i="39"/>
  <c r="P42" i="39"/>
  <c r="P43" i="39"/>
  <c r="A207" i="39"/>
  <c r="A88" i="39"/>
  <c r="P137" i="39"/>
  <c r="O137" i="39"/>
  <c r="A233" i="39"/>
  <c r="A245" i="39"/>
  <c r="A135" i="39"/>
  <c r="M133" i="39"/>
  <c r="N133" i="39"/>
  <c r="O133" i="39"/>
  <c r="P133" i="39"/>
  <c r="M132" i="39"/>
  <c r="A147" i="39"/>
  <c r="N2" i="39"/>
  <c r="A111" i="39"/>
  <c r="M108" i="39"/>
  <c r="M109" i="39"/>
  <c r="N109" i="39"/>
  <c r="P109" i="39"/>
  <c r="A173" i="39"/>
  <c r="A174" i="39"/>
  <c r="O124" i="39"/>
  <c r="P124" i="39"/>
  <c r="A124" i="39"/>
  <c r="M142" i="39"/>
  <c r="A126" i="39"/>
  <c r="A127" i="39"/>
  <c r="P232" i="39"/>
  <c r="O232" i="39"/>
  <c r="A232" i="39"/>
  <c r="A209" i="39"/>
  <c r="P132" i="36"/>
  <c r="Q132" i="36"/>
  <c r="P130" i="36"/>
  <c r="P133" i="36"/>
  <c r="Q133" i="36"/>
  <c r="P76" i="36"/>
  <c r="Q76" i="36"/>
  <c r="P210" i="36"/>
  <c r="Q204" i="36"/>
  <c r="P168" i="36"/>
  <c r="Q168" i="36"/>
  <c r="P169" i="36"/>
  <c r="Q169" i="36"/>
  <c r="P166" i="36"/>
  <c r="P196" i="36"/>
  <c r="Q196" i="36"/>
  <c r="A123" i="36"/>
  <c r="P118" i="36"/>
  <c r="P120" i="36"/>
  <c r="Q120" i="36"/>
  <c r="P121" i="36"/>
  <c r="Q121" i="36"/>
  <c r="P221" i="36"/>
  <c r="Q221" i="36"/>
  <c r="Q222" i="36"/>
  <c r="Q223" i="36"/>
  <c r="A196" i="36"/>
  <c r="P197" i="36"/>
  <c r="Q197" i="36"/>
  <c r="Q198" i="36"/>
  <c r="Q199" i="36"/>
  <c r="O90" i="36"/>
  <c r="P100" i="36"/>
  <c r="Q100" i="36"/>
  <c r="O102" i="36"/>
  <c r="M95" i="2"/>
  <c r="A160" i="36"/>
  <c r="P29" i="36"/>
  <c r="Q29" i="36"/>
  <c r="Q30" i="36"/>
  <c r="Q31" i="36"/>
  <c r="P232" i="36"/>
  <c r="Q232" i="36"/>
  <c r="A232" i="36"/>
  <c r="P220" i="36"/>
  <c r="Q220" i="36"/>
  <c r="P172" i="36"/>
  <c r="Q172" i="36"/>
  <c r="A100" i="36"/>
  <c r="A255" i="36"/>
  <c r="P97" i="36"/>
  <c r="Q97" i="36"/>
  <c r="P94" i="36"/>
  <c r="P96" i="36"/>
  <c r="Q96" i="36"/>
  <c r="M99" i="2"/>
  <c r="P112" i="36"/>
  <c r="Q112" i="36"/>
  <c r="A112" i="36"/>
  <c r="P234" i="36"/>
  <c r="Q228" i="36"/>
  <c r="P16" i="36"/>
  <c r="Q9" i="36"/>
  <c r="Q16" i="36"/>
  <c r="A220" i="36"/>
  <c r="A172" i="36"/>
  <c r="Q28" i="36"/>
  <c r="P28" i="36"/>
  <c r="A28" i="36"/>
  <c r="O186" i="36"/>
  <c r="P150" i="36"/>
  <c r="Q144" i="36"/>
  <c r="P40" i="36"/>
  <c r="Q40" i="36"/>
  <c r="P124" i="36"/>
  <c r="Q124" i="36"/>
  <c r="A124" i="36"/>
  <c r="P258" i="36"/>
  <c r="P60" i="36"/>
  <c r="Q60" i="36"/>
  <c r="P61" i="36"/>
  <c r="Q61" i="36"/>
  <c r="P58" i="36"/>
  <c r="A40" i="36"/>
  <c r="O126" i="36"/>
  <c r="P52" i="36"/>
  <c r="Q52" i="36"/>
  <c r="P208" i="36"/>
  <c r="Q208" i="36"/>
  <c r="A208" i="36"/>
  <c r="P209" i="36"/>
  <c r="Q209" i="36"/>
  <c r="P85" i="36"/>
  <c r="Q85" i="36"/>
  <c r="P84" i="36"/>
  <c r="Q84" i="36"/>
  <c r="P82" i="36"/>
  <c r="P72" i="36"/>
  <c r="Q72" i="36"/>
  <c r="P70" i="36"/>
  <c r="P73" i="36"/>
  <c r="Q73" i="36"/>
  <c r="P180" i="36"/>
  <c r="Q180" i="36"/>
  <c r="P181" i="36"/>
  <c r="Q181" i="36"/>
  <c r="P178" i="36"/>
  <c r="P154" i="36"/>
  <c r="P156" i="36"/>
  <c r="P157" i="36"/>
  <c r="Q157" i="36"/>
  <c r="P253" i="36"/>
  <c r="Q253" i="36"/>
  <c r="P252" i="36"/>
  <c r="Q252" i="36"/>
  <c r="Q258" i="36"/>
  <c r="Q259" i="36"/>
  <c r="P233" i="36"/>
  <c r="Q233" i="36"/>
  <c r="A16" i="36"/>
  <c r="P148" i="36"/>
  <c r="Q148" i="36"/>
  <c r="A148" i="36"/>
  <c r="P149" i="36"/>
  <c r="Q149" i="36"/>
  <c r="Q150" i="36"/>
  <c r="Q151" i="36"/>
  <c r="A115" i="36"/>
  <c r="A43" i="36"/>
  <c r="A192" i="36"/>
  <c r="N246" i="36"/>
  <c r="A245" i="36"/>
  <c r="A42" i="41"/>
  <c r="A43" i="41"/>
  <c r="M39" i="2"/>
  <c r="A43" i="40"/>
  <c r="M69" i="2"/>
  <c r="M73" i="2"/>
  <c r="A78" i="38"/>
  <c r="A79" i="38"/>
  <c r="A54" i="37"/>
  <c r="A55" i="37"/>
  <c r="A197" i="39"/>
  <c r="N108" i="39"/>
  <c r="M114" i="39"/>
  <c r="M115" i="39"/>
  <c r="N132" i="39"/>
  <c r="M138" i="39"/>
  <c r="M139" i="39"/>
  <c r="O148" i="39"/>
  <c r="P148" i="39"/>
  <c r="O101" i="39"/>
  <c r="P101" i="39"/>
  <c r="M9" i="39"/>
  <c r="N84" i="39"/>
  <c r="M90" i="39"/>
  <c r="M91" i="39"/>
  <c r="N48" i="39"/>
  <c r="M54" i="39"/>
  <c r="M55" i="39"/>
  <c r="A144" i="39"/>
  <c r="P77" i="39"/>
  <c r="P78" i="39"/>
  <c r="P79" i="39"/>
  <c r="O77" i="39"/>
  <c r="O78" i="39"/>
  <c r="O79" i="39"/>
  <c r="O42" i="39"/>
  <c r="A41" i="39"/>
  <c r="O2" i="39"/>
  <c r="P2" i="39"/>
  <c r="B2" i="39"/>
  <c r="A87" i="39"/>
  <c r="A60" i="39"/>
  <c r="A161" i="39"/>
  <c r="A234" i="39"/>
  <c r="A160" i="39"/>
  <c r="A77" i="39"/>
  <c r="M247" i="39"/>
  <c r="M248" i="39"/>
  <c r="M249" i="39"/>
  <c r="A198" i="39"/>
  <c r="A27" i="39"/>
  <c r="A12" i="39"/>
  <c r="A219" i="39"/>
  <c r="A231" i="39"/>
  <c r="M65" i="2"/>
  <c r="A195" i="39"/>
  <c r="A211" i="39"/>
  <c r="A175" i="39"/>
  <c r="P65" i="39"/>
  <c r="P66" i="39"/>
  <c r="P67" i="39"/>
  <c r="O65" i="39"/>
  <c r="O66" i="39"/>
  <c r="O67" i="39"/>
  <c r="M10" i="39"/>
  <c r="N142" i="39"/>
  <c r="M149" i="39"/>
  <c r="A148" i="39"/>
  <c r="A171" i="36"/>
  <c r="A233" i="36"/>
  <c r="Q186" i="36"/>
  <c r="Q187" i="36"/>
  <c r="P151" i="36"/>
  <c r="A150" i="36"/>
  <c r="A151" i="36"/>
  <c r="A135" i="36"/>
  <c r="A183" i="36"/>
  <c r="P235" i="36"/>
  <c r="A197" i="36"/>
  <c r="P198" i="36"/>
  <c r="Q234" i="36"/>
  <c r="Q235" i="36"/>
  <c r="P89" i="36"/>
  <c r="Q89" i="36"/>
  <c r="Q90" i="36"/>
  <c r="Q91" i="36"/>
  <c r="A99" i="36"/>
  <c r="M83" i="2"/>
  <c r="A75" i="36"/>
  <c r="A87" i="36"/>
  <c r="O103" i="36"/>
  <c r="O127" i="36"/>
  <c r="M91" i="2"/>
  <c r="A221" i="36"/>
  <c r="P222" i="36"/>
  <c r="P65" i="36"/>
  <c r="P66" i="36"/>
  <c r="P67" i="36"/>
  <c r="Q65" i="36"/>
  <c r="Q66" i="36"/>
  <c r="Q67" i="36"/>
  <c r="Q174" i="36"/>
  <c r="Q175" i="36"/>
  <c r="P259" i="36"/>
  <c r="A258" i="36"/>
  <c r="A259" i="36"/>
  <c r="A149" i="36"/>
  <c r="A63" i="36"/>
  <c r="P185" i="36"/>
  <c r="Q185" i="36"/>
  <c r="P2" i="36"/>
  <c r="Q2" i="36"/>
  <c r="B2" i="36"/>
  <c r="P77" i="36"/>
  <c r="P78" i="36"/>
  <c r="P79" i="36"/>
  <c r="Q77" i="36"/>
  <c r="Q78" i="36"/>
  <c r="Q79" i="36"/>
  <c r="Q210" i="36"/>
  <c r="Q211" i="36"/>
  <c r="P173" i="36"/>
  <c r="Q166" i="36"/>
  <c r="Q173" i="36"/>
  <c r="O187" i="36"/>
  <c r="P125" i="36"/>
  <c r="Q125" i="36"/>
  <c r="Q126" i="36"/>
  <c r="Q127" i="36"/>
  <c r="Q138" i="36"/>
  <c r="Q139" i="36"/>
  <c r="A29" i="36"/>
  <c r="P30" i="36"/>
  <c r="P211" i="36"/>
  <c r="A210" i="36"/>
  <c r="A211" i="36"/>
  <c r="P161" i="36"/>
  <c r="Q161" i="36"/>
  <c r="Q162" i="36"/>
  <c r="Q163" i="36"/>
  <c r="A159" i="36"/>
  <c r="A209" i="36"/>
  <c r="P101" i="36"/>
  <c r="Q101" i="36"/>
  <c r="Q102" i="36"/>
  <c r="Q103" i="36"/>
  <c r="O91" i="36"/>
  <c r="P137" i="36"/>
  <c r="Q137" i="36"/>
  <c r="N247" i="36"/>
  <c r="A246" i="36"/>
  <c r="A247" i="36"/>
  <c r="A235" i="39"/>
  <c r="M56" i="2"/>
  <c r="A144" i="36"/>
  <c r="O132" i="39"/>
  <c r="N138" i="39"/>
  <c r="N139" i="39"/>
  <c r="O48" i="39"/>
  <c r="N54" i="39"/>
  <c r="N55" i="39"/>
  <c r="O108" i="39"/>
  <c r="N114" i="39"/>
  <c r="N115" i="39"/>
  <c r="A89" i="39"/>
  <c r="A101" i="39"/>
  <c r="N247" i="39"/>
  <c r="N248" i="39"/>
  <c r="N249" i="39"/>
  <c r="A113" i="39"/>
  <c r="M150" i="39"/>
  <c r="P149" i="39"/>
  <c r="P150" i="39"/>
  <c r="P151" i="39"/>
  <c r="O149" i="39"/>
  <c r="O150" i="39"/>
  <c r="O151" i="39"/>
  <c r="A137" i="39"/>
  <c r="O84" i="39"/>
  <c r="N90" i="39"/>
  <c r="N91" i="39"/>
  <c r="M22" i="39"/>
  <c r="M52" i="2"/>
  <c r="M16" i="39"/>
  <c r="N9" i="39"/>
  <c r="A172" i="39"/>
  <c r="A78" i="39"/>
  <c r="A79" i="39"/>
  <c r="A64" i="39"/>
  <c r="O43" i="39"/>
  <c r="A42" i="39"/>
  <c r="A43" i="39"/>
  <c r="A199" i="39"/>
  <c r="A53" i="39"/>
  <c r="M17" i="39"/>
  <c r="M18" i="39"/>
  <c r="M19" i="39"/>
  <c r="N10" i="39"/>
  <c r="A192" i="39"/>
  <c r="N149" i="39"/>
  <c r="N150" i="39"/>
  <c r="N151" i="39"/>
  <c r="A162" i="39"/>
  <c r="A163" i="39"/>
  <c r="P90" i="36"/>
  <c r="A89" i="36"/>
  <c r="P126" i="36"/>
  <c r="A125" i="36"/>
  <c r="P199" i="36"/>
  <c r="A198" i="36"/>
  <c r="A199" i="36"/>
  <c r="P186" i="36"/>
  <c r="A185" i="36"/>
  <c r="A234" i="36"/>
  <c r="A235" i="36"/>
  <c r="A48" i="36"/>
  <c r="P223" i="36"/>
  <c r="A222" i="36"/>
  <c r="A223" i="36"/>
  <c r="P174" i="36"/>
  <c r="A173" i="36"/>
  <c r="P31" i="36"/>
  <c r="A30" i="36"/>
  <c r="A31" i="36"/>
  <c r="P138" i="36"/>
  <c r="A137" i="36"/>
  <c r="P102" i="36"/>
  <c r="A101" i="36"/>
  <c r="M87" i="2"/>
  <c r="A161" i="36"/>
  <c r="P162" i="36"/>
  <c r="A96" i="36"/>
  <c r="F1" i="2"/>
  <c r="P48" i="39"/>
  <c r="P54" i="39"/>
  <c r="P55" i="39"/>
  <c r="O54" i="39"/>
  <c r="O55" i="39"/>
  <c r="N16" i="39"/>
  <c r="N17" i="39"/>
  <c r="N18" i="39"/>
  <c r="P132" i="39"/>
  <c r="P138" i="39"/>
  <c r="P139" i="39"/>
  <c r="O138" i="39"/>
  <c r="O139" i="39"/>
  <c r="P84" i="39"/>
  <c r="P90" i="39"/>
  <c r="P91" i="39"/>
  <c r="O90" i="39"/>
  <c r="O91" i="39"/>
  <c r="A196" i="39"/>
  <c r="M151" i="39"/>
  <c r="A150" i="39"/>
  <c r="A151" i="39"/>
  <c r="M96" i="39"/>
  <c r="P247" i="39"/>
  <c r="P248" i="39"/>
  <c r="P249" i="39"/>
  <c r="O247" i="39"/>
  <c r="O248" i="39"/>
  <c r="O249" i="39"/>
  <c r="P108" i="39"/>
  <c r="P114" i="39"/>
  <c r="P115" i="39"/>
  <c r="O114" i="39"/>
  <c r="O115" i="39"/>
  <c r="M29" i="39"/>
  <c r="M30" i="39"/>
  <c r="M31" i="39"/>
  <c r="N22" i="39"/>
  <c r="A149" i="39"/>
  <c r="P103" i="36"/>
  <c r="A102" i="36"/>
  <c r="A103" i="36"/>
  <c r="P139" i="36"/>
  <c r="A138" i="36"/>
  <c r="A139" i="36"/>
  <c r="P187" i="36"/>
  <c r="A186" i="36"/>
  <c r="A187" i="36"/>
  <c r="P127" i="36"/>
  <c r="A126" i="36"/>
  <c r="A127" i="36"/>
  <c r="P163" i="36"/>
  <c r="A162" i="36"/>
  <c r="A163" i="36"/>
  <c r="P175" i="36"/>
  <c r="A174" i="36"/>
  <c r="A175" i="36"/>
  <c r="P91" i="36"/>
  <c r="A90" i="36"/>
  <c r="A91" i="36"/>
  <c r="A184" i="39"/>
  <c r="N96" i="39"/>
  <c r="M102" i="39"/>
  <c r="M103" i="39"/>
  <c r="A138" i="39"/>
  <c r="A139" i="39"/>
  <c r="A54" i="39"/>
  <c r="A55" i="39"/>
  <c r="N19" i="39"/>
  <c r="M214" i="39"/>
  <c r="N29" i="39"/>
  <c r="N30" i="39"/>
  <c r="N31" i="39"/>
  <c r="A247" i="39"/>
  <c r="A65" i="39"/>
  <c r="A90" i="39"/>
  <c r="A91" i="39"/>
  <c r="A114" i="39"/>
  <c r="A115" i="39"/>
  <c r="O17" i="39"/>
  <c r="O18" i="39"/>
  <c r="O19" i="39"/>
  <c r="P17" i="39"/>
  <c r="A185" i="39"/>
  <c r="A248" i="39"/>
  <c r="A249" i="39"/>
  <c r="O16" i="39"/>
  <c r="P16" i="39"/>
  <c r="A16" i="39"/>
  <c r="A66" i="39"/>
  <c r="A67" i="39"/>
  <c r="P22" i="39"/>
  <c r="P29" i="39"/>
  <c r="P30" i="39"/>
  <c r="P31" i="39"/>
  <c r="O29" i="39"/>
  <c r="O30" i="39"/>
  <c r="N102" i="39"/>
  <c r="N103" i="39"/>
  <c r="O96" i="39"/>
  <c r="A186" i="39"/>
  <c r="A187" i="39"/>
  <c r="P18" i="39"/>
  <c r="P19" i="39"/>
  <c r="A17" i="39"/>
  <c r="N214" i="39"/>
  <c r="M221" i="39"/>
  <c r="M222" i="39"/>
  <c r="O221" i="39"/>
  <c r="O222" i="39"/>
  <c r="O223" i="39"/>
  <c r="P96" i="39"/>
  <c r="P102" i="39"/>
  <c r="P103" i="39"/>
  <c r="O102" i="39"/>
  <c r="O31" i="39"/>
  <c r="A30" i="39"/>
  <c r="A31" i="39"/>
  <c r="N221" i="39"/>
  <c r="N222" i="39"/>
  <c r="N223" i="39"/>
  <c r="A29" i="39"/>
  <c r="A18" i="39"/>
  <c r="A19" i="39"/>
  <c r="O103" i="39"/>
  <c r="A102" i="39"/>
  <c r="A103" i="39"/>
  <c r="P214" i="39"/>
  <c r="P221" i="39"/>
  <c r="M223" i="39"/>
  <c r="P222" i="39"/>
  <c r="A221" i="39"/>
  <c r="P223" i="39"/>
  <c r="A222" i="39"/>
  <c r="A223" i="39"/>
</calcChain>
</file>

<file path=xl/sharedStrings.xml><?xml version="1.0" encoding="utf-8"?>
<sst xmlns="http://schemas.openxmlformats.org/spreadsheetml/2006/main" count="4830" uniqueCount="374">
  <si>
    <t>日付</t>
  </si>
  <si>
    <t>鹿屋</t>
    <rPh sb="0" eb="2">
      <t>カノヤ</t>
    </rPh>
    <phoneticPr fontId="2"/>
  </si>
  <si>
    <t>100円</t>
  </si>
  <si>
    <t>BUZZ＃１</t>
    <phoneticPr fontId="2"/>
  </si>
  <si>
    <t>プライズ</t>
  </si>
  <si>
    <t>投入残</t>
  </si>
  <si>
    <t>機械合計</t>
  </si>
  <si>
    <t>補充</t>
  </si>
  <si>
    <t>単価</t>
  </si>
  <si>
    <t>月間予想</t>
    <rPh sb="0" eb="4">
      <t>ゲッカンヨソウ</t>
    </rPh>
    <phoneticPr fontId="2"/>
  </si>
  <si>
    <t>景品名</t>
    <rPh sb="0" eb="2">
      <t>ケイヒン</t>
    </rPh>
    <rPh sb="2" eb="3">
      <t>メイ</t>
    </rPh>
    <phoneticPr fontId="2"/>
  </si>
  <si>
    <t>電ブル</t>
  </si>
  <si>
    <t>設定</t>
  </si>
  <si>
    <t>百差</t>
    <rPh sb="0" eb="1">
      <t>ヒャク</t>
    </rPh>
    <phoneticPr fontId="2"/>
  </si>
  <si>
    <t>P差</t>
    <phoneticPr fontId="2"/>
  </si>
  <si>
    <t>払出</t>
  </si>
  <si>
    <t>払出額</t>
  </si>
  <si>
    <t>=</t>
  </si>
  <si>
    <t>原価率</t>
  </si>
  <si>
    <t/>
  </si>
  <si>
    <t>スンスンフェイスポーチ</t>
  </si>
  <si>
    <t>たまごっちマスコット</t>
  </si>
  <si>
    <t>BUZZ＃2</t>
    <phoneticPr fontId="2"/>
  </si>
  <si>
    <t>モンチッチキーケース</t>
  </si>
  <si>
    <t>BUZZ＃2</t>
  </si>
  <si>
    <t>ラブブ風キーホルダー</t>
  </si>
  <si>
    <t>ラブブMC</t>
  </si>
  <si>
    <t>BUZZ＃3</t>
    <phoneticPr fontId="2"/>
  </si>
  <si>
    <t>ジャグラーイヤホン</t>
  </si>
  <si>
    <t>BUZZ＃3</t>
  </si>
  <si>
    <t>PRO4</t>
  </si>
  <si>
    <t>ゲームアーク</t>
  </si>
  <si>
    <t>BUZZ＃4</t>
  </si>
  <si>
    <t>ギャルキティマスコット</t>
  </si>
  <si>
    <t>BUZZ＃4</t>
    <phoneticPr fontId="2"/>
  </si>
  <si>
    <t>キティストーンマスコット</t>
  </si>
  <si>
    <t>ジャリクレ＃１</t>
    <phoneticPr fontId="2"/>
  </si>
  <si>
    <t>モンチッチマスコット</t>
  </si>
  <si>
    <t>ジャリクレ＃１</t>
  </si>
  <si>
    <t>サンリオバンズクリップ</t>
  </si>
  <si>
    <t>キティフェイスポーチ</t>
  </si>
  <si>
    <t>ゲームスティック</t>
  </si>
  <si>
    <t>BUZZミニ＃1</t>
    <phoneticPr fontId="2"/>
  </si>
  <si>
    <t>サムエル（箱無し）</t>
  </si>
  <si>
    <t>BUZZミニ＃2</t>
    <phoneticPr fontId="2"/>
  </si>
  <si>
    <t>ボンボンドロップ</t>
  </si>
  <si>
    <t>都城</t>
    <rPh sb="0" eb="2">
      <t>ミヤコノジョウ</t>
    </rPh>
    <phoneticPr fontId="2"/>
  </si>
  <si>
    <t>スライム</t>
  </si>
  <si>
    <t>サンリオヒョウ柄キーケース</t>
  </si>
  <si>
    <t>キティバンスクリップ</t>
  </si>
  <si>
    <t>ラブブマスコット</t>
  </si>
  <si>
    <t>ジャグラーサウンドボタン</t>
  </si>
  <si>
    <t>ギャルキティフェイスポーチ</t>
  </si>
  <si>
    <t>サミュエル</t>
  </si>
  <si>
    <t>サンリオ着ぐるみマスコット</t>
  </si>
  <si>
    <t>BUZZミニ＃3</t>
    <phoneticPr fontId="2"/>
  </si>
  <si>
    <t>ルララ</t>
  </si>
  <si>
    <t>BUZZミニ＃4</t>
    <phoneticPr fontId="2"/>
  </si>
  <si>
    <t>ボンドロ</t>
  </si>
  <si>
    <t>霧島</t>
    <rPh sb="0" eb="2">
      <t>キリシマ</t>
    </rPh>
    <phoneticPr fontId="2"/>
  </si>
  <si>
    <t>BUZZミニ</t>
    <phoneticPr fontId="2"/>
  </si>
  <si>
    <t>設定</t>
    <phoneticPr fontId="2"/>
  </si>
  <si>
    <t>BUZZミニ#2</t>
    <phoneticPr fontId="2"/>
  </si>
  <si>
    <t>サンリオマスコット</t>
  </si>
  <si>
    <t>クリスタル</t>
    <phoneticPr fontId="2"/>
  </si>
  <si>
    <t>ジャグラーフラッシュボタンミニ</t>
  </si>
  <si>
    <t>ぶるりんピンキーブラック</t>
  </si>
  <si>
    <t>ギャルキティMC</t>
  </si>
  <si>
    <t>スンスン　フェイスポーチ</t>
  </si>
  <si>
    <t>バタースクイーズ</t>
  </si>
  <si>
    <t>NICI</t>
  </si>
  <si>
    <t>バーバーカット</t>
    <phoneticPr fontId="2"/>
  </si>
  <si>
    <t>プライズA</t>
    <phoneticPr fontId="2"/>
  </si>
  <si>
    <t>プライズB</t>
    <phoneticPr fontId="2"/>
  </si>
  <si>
    <t>プライズC</t>
    <phoneticPr fontId="2"/>
  </si>
  <si>
    <t>ボンボンドロップシール</t>
  </si>
  <si>
    <t>A景品</t>
  </si>
  <si>
    <t>宇宿</t>
    <rPh sb="0" eb="2">
      <t>ウスキ</t>
    </rPh>
    <phoneticPr fontId="2"/>
  </si>
  <si>
    <t>アングリーベア</t>
  </si>
  <si>
    <t>BUZZミニ＃１</t>
    <phoneticPr fontId="2"/>
  </si>
  <si>
    <t>スンスンポーチ</t>
  </si>
  <si>
    <t>BUZZ＃6</t>
    <phoneticPr fontId="2"/>
  </si>
  <si>
    <t>集金</t>
  </si>
  <si>
    <t>川内</t>
    <rPh sb="0" eb="2">
      <t>センダイ</t>
    </rPh>
    <phoneticPr fontId="2"/>
  </si>
  <si>
    <t>ギャルキティケース</t>
  </si>
  <si>
    <t>　サンリオブレスレット</t>
  </si>
  <si>
    <t>ジャグラーサウンドフラッシュボタン</t>
  </si>
  <si>
    <t>サンリオスイーツマスコット</t>
  </si>
  <si>
    <t>BUZZミニ＃２</t>
    <phoneticPr fontId="2"/>
  </si>
  <si>
    <t>ジャリクレ＃２</t>
  </si>
  <si>
    <t>100円１P</t>
    <phoneticPr fontId="2"/>
  </si>
  <si>
    <t>トライデッキ</t>
    <phoneticPr fontId="2"/>
  </si>
  <si>
    <t>2P</t>
    <phoneticPr fontId="2"/>
  </si>
  <si>
    <t>トータル</t>
    <phoneticPr fontId="2"/>
  </si>
  <si>
    <t>中央</t>
    <rPh sb="0" eb="2">
      <t>チュウオウ</t>
    </rPh>
    <phoneticPr fontId="2"/>
  </si>
  <si>
    <t>BUZZ＃1</t>
    <phoneticPr fontId="2"/>
  </si>
  <si>
    <t>天文館</t>
    <rPh sb="0" eb="3">
      <t>テンモンカン</t>
    </rPh>
    <phoneticPr fontId="2"/>
  </si>
  <si>
    <t>電ブルキュート</t>
  </si>
  <si>
    <t>宇宿①</t>
    <rPh sb="0" eb="2">
      <t>ウスキ</t>
    </rPh>
    <phoneticPr fontId="2"/>
  </si>
  <si>
    <t>宇宿②</t>
    <rPh sb="0" eb="2">
      <t>ウスキ</t>
    </rPh>
    <phoneticPr fontId="2"/>
  </si>
  <si>
    <t>霧島①</t>
    <rPh sb="0" eb="2">
      <t>キリシマ</t>
    </rPh>
    <phoneticPr fontId="2"/>
  </si>
  <si>
    <t>霧島②</t>
    <rPh sb="0" eb="2">
      <t>キリシマ</t>
    </rPh>
    <phoneticPr fontId="2"/>
  </si>
  <si>
    <t>霧島500</t>
    <rPh sb="0" eb="2">
      <t>キリシマ</t>
    </rPh>
    <phoneticPr fontId="2"/>
  </si>
  <si>
    <t>川内①</t>
    <phoneticPr fontId="2"/>
  </si>
  <si>
    <t>川内②</t>
  </si>
  <si>
    <t>川内500</t>
    <phoneticPr fontId="2"/>
  </si>
  <si>
    <t>都城①</t>
    <rPh sb="0" eb="2">
      <t>ミヤコノジョウ</t>
    </rPh>
    <phoneticPr fontId="2"/>
  </si>
  <si>
    <t>都城②</t>
    <rPh sb="0" eb="2">
      <t>ミヤコノジョウ</t>
    </rPh>
    <phoneticPr fontId="2"/>
  </si>
  <si>
    <t>鹿屋①</t>
    <rPh sb="0" eb="2">
      <t>カノヤ</t>
    </rPh>
    <phoneticPr fontId="8"/>
  </si>
  <si>
    <t>鹿屋②</t>
    <rPh sb="0" eb="2">
      <t>カノヤ</t>
    </rPh>
    <phoneticPr fontId="8"/>
  </si>
  <si>
    <t>鹿屋500</t>
    <rPh sb="0" eb="2">
      <t>カノヤ</t>
    </rPh>
    <phoneticPr fontId="8"/>
  </si>
  <si>
    <t>菊陽②</t>
  </si>
  <si>
    <t>合志</t>
  </si>
  <si>
    <t>南熊本</t>
    <rPh sb="0" eb="3">
      <t>ミナミクマモト</t>
    </rPh>
    <phoneticPr fontId="2"/>
  </si>
  <si>
    <t>下通</t>
  </si>
  <si>
    <t>今宿</t>
  </si>
  <si>
    <t>今宿➁</t>
  </si>
  <si>
    <t>八代</t>
  </si>
  <si>
    <t>佐世保</t>
  </si>
  <si>
    <t>別府</t>
  </si>
  <si>
    <t>行橋</t>
  </si>
  <si>
    <t>光吉</t>
  </si>
  <si>
    <t>進捗</t>
    <rPh sb="0" eb="2">
      <t>シンチョク</t>
    </rPh>
    <phoneticPr fontId="2"/>
  </si>
  <si>
    <t>1000円</t>
    <phoneticPr fontId="2"/>
  </si>
  <si>
    <t>ティアラ</t>
    <phoneticPr fontId="2"/>
  </si>
  <si>
    <t>カプセル</t>
    <phoneticPr fontId="2"/>
  </si>
  <si>
    <t>払出No</t>
    <rPh sb="0" eb="2">
      <t>ハライダシ</t>
    </rPh>
    <phoneticPr fontId="2"/>
  </si>
  <si>
    <t>備考</t>
    <rPh sb="0" eb="2">
      <t>ビコウ</t>
    </rPh>
    <phoneticPr fontId="2"/>
  </si>
  <si>
    <t>千差</t>
    <rPh sb="0" eb="1">
      <t>セン</t>
    </rPh>
    <phoneticPr fontId="2"/>
  </si>
  <si>
    <t>CP上差</t>
    <rPh sb="2" eb="3">
      <t>ウエ</t>
    </rPh>
    <phoneticPr fontId="2"/>
  </si>
  <si>
    <t>2000円</t>
  </si>
  <si>
    <t>2000GATCHA</t>
  </si>
  <si>
    <t>1000GATCHA</t>
    <phoneticPr fontId="2"/>
  </si>
  <si>
    <t>100円</t>
    <phoneticPr fontId="2"/>
  </si>
  <si>
    <t>500GATCHA</t>
    <phoneticPr fontId="2"/>
  </si>
  <si>
    <t>上</t>
    <rPh sb="0" eb="1">
      <t>ウエ</t>
    </rPh>
    <phoneticPr fontId="2"/>
  </si>
  <si>
    <t>下</t>
    <rPh sb="0" eb="1">
      <t>シタ</t>
    </rPh>
    <phoneticPr fontId="2"/>
  </si>
  <si>
    <t>菊陽</t>
    <rPh sb="0" eb="2">
      <t>キクヨウ</t>
    </rPh>
    <phoneticPr fontId="2"/>
  </si>
  <si>
    <t>合志</t>
    <rPh sb="0" eb="2">
      <t>コウシ</t>
    </rPh>
    <phoneticPr fontId="2"/>
  </si>
  <si>
    <t>BUZZスリム</t>
  </si>
  <si>
    <t>南熊本</t>
  </si>
  <si>
    <t>管理番号</t>
    <rPh sb="0" eb="2">
      <t>カンリ</t>
    </rPh>
    <rPh sb="2" eb="4">
      <t>バンゴウ</t>
    </rPh>
    <phoneticPr fontId="2"/>
  </si>
  <si>
    <t>前回M</t>
    <rPh sb="0" eb="1">
      <t>ゼン</t>
    </rPh>
    <phoneticPr fontId="2"/>
  </si>
  <si>
    <t>今回M</t>
    <phoneticPr fontId="2"/>
  </si>
  <si>
    <t>枚数</t>
    <rPh sb="0" eb="2">
      <t>マイスウ</t>
    </rPh>
    <phoneticPr fontId="2"/>
  </si>
  <si>
    <t>千</t>
  </si>
  <si>
    <t>五百</t>
  </si>
  <si>
    <t>百</t>
  </si>
  <si>
    <t>金額</t>
    <rPh sb="0" eb="2">
      <t>キンガク</t>
    </rPh>
    <phoneticPr fontId="2"/>
  </si>
  <si>
    <t>立替</t>
    <phoneticPr fontId="2"/>
  </si>
  <si>
    <t>総額</t>
    <rPh sb="0" eb="2">
      <t>ソウガク</t>
    </rPh>
    <phoneticPr fontId="2"/>
  </si>
  <si>
    <t>定休</t>
    <rPh sb="0" eb="2">
      <t>テイキュウキュウ</t>
    </rPh>
    <phoneticPr fontId="2"/>
  </si>
  <si>
    <t>熊本</t>
    <rPh sb="0" eb="2">
      <t>クマモト</t>
    </rPh>
    <phoneticPr fontId="2"/>
  </si>
  <si>
    <t>下通り店</t>
    <rPh sb="3" eb="4">
      <t>テn</t>
    </rPh>
    <phoneticPr fontId="2"/>
  </si>
  <si>
    <t>ドン・キホーテ下通店　</t>
    <rPh sb="0" eb="4">
      <t>ドン・キホーテシモ</t>
    </rPh>
    <phoneticPr fontId="2"/>
  </si>
  <si>
    <t>菊陽</t>
  </si>
  <si>
    <t>森本</t>
  </si>
  <si>
    <t>月金</t>
  </si>
  <si>
    <t>万</t>
    <rPh sb="0" eb="1">
      <t>マン</t>
    </rPh>
    <phoneticPr fontId="2"/>
  </si>
  <si>
    <t>ポケクレマルチ</t>
  </si>
  <si>
    <t>清田畑本</t>
    <phoneticPr fontId="2"/>
  </si>
  <si>
    <t>5千</t>
    <rPh sb="1" eb="2">
      <t>セン</t>
    </rPh>
    <phoneticPr fontId="2"/>
  </si>
  <si>
    <t>中村</t>
  </si>
  <si>
    <t>土日</t>
  </si>
  <si>
    <t>千</t>
    <rPh sb="0" eb="1">
      <t>セン</t>
    </rPh>
    <phoneticPr fontId="2"/>
  </si>
  <si>
    <t>立岩</t>
  </si>
  <si>
    <t>川内</t>
  </si>
  <si>
    <t>岡</t>
  </si>
  <si>
    <t>BUZZ1</t>
  </si>
  <si>
    <t>R2068</t>
  </si>
  <si>
    <t>甲斐</t>
  </si>
  <si>
    <t>中央</t>
  </si>
  <si>
    <t>宇宿</t>
  </si>
  <si>
    <t>上鍋</t>
  </si>
  <si>
    <t>月木</t>
  </si>
  <si>
    <t>持留</t>
  </si>
  <si>
    <t>鹿児島</t>
    <rPh sb="0" eb="3">
      <t>カゴシマ</t>
    </rPh>
    <phoneticPr fontId="2"/>
  </si>
  <si>
    <t>R2069</t>
  </si>
  <si>
    <t>松清</t>
  </si>
  <si>
    <t>トリプルクレーン</t>
  </si>
  <si>
    <t>都城</t>
  </si>
  <si>
    <t>高野</t>
    <rPh sb="0" eb="2">
      <t>タカノ</t>
    </rPh>
    <phoneticPr fontId="2"/>
  </si>
  <si>
    <t>ジャリクレ</t>
  </si>
  <si>
    <t>延岡</t>
    <rPh sb="0" eb="2">
      <t>ノベオカ</t>
    </rPh>
    <phoneticPr fontId="2"/>
  </si>
  <si>
    <t>中田中山</t>
    <rPh sb="0" eb="2">
      <t>ナカタ</t>
    </rPh>
    <rPh sb="2" eb="4">
      <t>ナカヤマ</t>
    </rPh>
    <phoneticPr fontId="2"/>
  </si>
  <si>
    <t>八代</t>
    <phoneticPr fontId="2"/>
  </si>
  <si>
    <t>中村米村</t>
    <phoneticPr fontId="2"/>
  </si>
  <si>
    <t>Buzzミニ</t>
    <phoneticPr fontId="2"/>
  </si>
  <si>
    <t>R2078</t>
  </si>
  <si>
    <t>堀田伊藤</t>
    <rPh sb="0" eb="2">
      <t>ホッタ</t>
    </rPh>
    <rPh sb="2" eb="4">
      <t>イトウ</t>
    </rPh>
    <phoneticPr fontId="2"/>
  </si>
  <si>
    <t>R2079</t>
  </si>
  <si>
    <t>Dプラ</t>
  </si>
  <si>
    <t>芹澤</t>
    <rPh sb="0" eb="2">
      <t>セリザワ</t>
    </rPh>
    <phoneticPr fontId="2"/>
  </si>
  <si>
    <t>物販ガチャ200</t>
    <rPh sb="0" eb="2">
      <t>ブッパン</t>
    </rPh>
    <phoneticPr fontId="2"/>
  </si>
  <si>
    <t>BP0318</t>
  </si>
  <si>
    <t>尾崎</t>
    <rPh sb="0" eb="2">
      <t>オザキ</t>
    </rPh>
    <phoneticPr fontId="2"/>
  </si>
  <si>
    <t>BP0328</t>
  </si>
  <si>
    <t>大村</t>
    <phoneticPr fontId="2"/>
  </si>
  <si>
    <t>芹口</t>
  </si>
  <si>
    <t>佐世保</t>
    <phoneticPr fontId="2"/>
  </si>
  <si>
    <t>臼井</t>
  </si>
  <si>
    <t>八女</t>
  </si>
  <si>
    <t>梅野</t>
  </si>
  <si>
    <t>ドン・キホーテ合志店</t>
    <rPh sb="7" eb="10">
      <t>コウシテン</t>
    </rPh>
    <phoneticPr fontId="2"/>
  </si>
  <si>
    <t>佐賀</t>
  </si>
  <si>
    <t>柴田</t>
  </si>
  <si>
    <t>ガムガチャ100</t>
  </si>
  <si>
    <t>GB0139</t>
  </si>
  <si>
    <t>浜町</t>
  </si>
  <si>
    <t>田尻</t>
  </si>
  <si>
    <t>GB0303</t>
  </si>
  <si>
    <t>時津</t>
    <phoneticPr fontId="2"/>
  </si>
  <si>
    <t>平戸</t>
  </si>
  <si>
    <t>火</t>
  </si>
  <si>
    <t>GB0555</t>
  </si>
  <si>
    <t>GB0771</t>
  </si>
  <si>
    <t>セサミW1</t>
  </si>
  <si>
    <t>R1005</t>
  </si>
  <si>
    <t>セサミW2</t>
  </si>
  <si>
    <t>R1006</t>
  </si>
  <si>
    <t>セサミW3</t>
  </si>
  <si>
    <t>R1052</t>
  </si>
  <si>
    <t>セサミW4</t>
  </si>
  <si>
    <t>R1053</t>
  </si>
  <si>
    <t>クリスタル</t>
  </si>
  <si>
    <t>R2001</t>
  </si>
  <si>
    <t>R2013</t>
  </si>
  <si>
    <t>R2014</t>
  </si>
  <si>
    <t>R2031</t>
  </si>
  <si>
    <t>R2034</t>
  </si>
  <si>
    <t>R2035</t>
  </si>
  <si>
    <t>BUZZ２</t>
  </si>
  <si>
    <t>R2036</t>
  </si>
  <si>
    <t>R2037</t>
  </si>
  <si>
    <t>BUZZ2</t>
    <phoneticPr fontId="2"/>
  </si>
  <si>
    <t>BUZZ2</t>
  </si>
  <si>
    <t>Ｒ2038</t>
  </si>
  <si>
    <t>Buzzミニ</t>
  </si>
  <si>
    <t>R2039</t>
  </si>
  <si>
    <t>R2040</t>
  </si>
  <si>
    <t>R2041</t>
  </si>
  <si>
    <t>アンパンマンライド</t>
  </si>
  <si>
    <t>R2042</t>
  </si>
  <si>
    <t>R2044</t>
  </si>
  <si>
    <t>R2045</t>
  </si>
  <si>
    <t>R2046</t>
  </si>
  <si>
    <t>MEGAドン・キホーテ菊陽店</t>
    <rPh sb="11" eb="14">
      <t>キクヨウ</t>
    </rPh>
    <phoneticPr fontId="2"/>
  </si>
  <si>
    <t>BUZZ3</t>
  </si>
  <si>
    <t>R2048</t>
  </si>
  <si>
    <t>BUZZ4</t>
  </si>
  <si>
    <t>R2049</t>
  </si>
  <si>
    <t>バーバーカット</t>
  </si>
  <si>
    <t>R2050</t>
  </si>
  <si>
    <t>R2054</t>
  </si>
  <si>
    <t>R2055</t>
  </si>
  <si>
    <t>R2057</t>
  </si>
  <si>
    <t>R2058</t>
  </si>
  <si>
    <t>R2059</t>
  </si>
  <si>
    <t>R2060</t>
  </si>
  <si>
    <t>ドン・キホーテ鹿児島宇宿店</t>
    <phoneticPr fontId="2"/>
  </si>
  <si>
    <t>Ｒ2061</t>
  </si>
  <si>
    <t>R2062</t>
  </si>
  <si>
    <t>ジャリクレ＃1</t>
  </si>
  <si>
    <t>Ｒ2063</t>
  </si>
  <si>
    <t>Ｒ2064</t>
  </si>
  <si>
    <t>Ｒ2065</t>
  </si>
  <si>
    <t>Ｒ2066</t>
  </si>
  <si>
    <t>ジャリクレ＃2</t>
  </si>
  <si>
    <t>Ｒ2067</t>
  </si>
  <si>
    <t>R2070</t>
  </si>
  <si>
    <t>BUZZ6</t>
  </si>
  <si>
    <t>R2071</t>
  </si>
  <si>
    <t>BUZZ3</t>
    <phoneticPr fontId="2"/>
  </si>
  <si>
    <t>R2072</t>
  </si>
  <si>
    <t>R2073</t>
  </si>
  <si>
    <t>トライデッキ</t>
  </si>
  <si>
    <t>R2074</t>
  </si>
  <si>
    <t>R2075</t>
  </si>
  <si>
    <t>R2076</t>
  </si>
  <si>
    <t>BUZZ4</t>
    <phoneticPr fontId="2"/>
  </si>
  <si>
    <t>R2077</t>
  </si>
  <si>
    <t>R6001</t>
  </si>
  <si>
    <t>BUZZ6</t>
    <phoneticPr fontId="2"/>
  </si>
  <si>
    <t>R6002</t>
  </si>
  <si>
    <t>R6003</t>
  </si>
  <si>
    <t>R6004</t>
  </si>
  <si>
    <t>Buzzミニ1</t>
  </si>
  <si>
    <t>R6005</t>
  </si>
  <si>
    <t>Buzzミニ2</t>
  </si>
  <si>
    <t>R6006</t>
  </si>
  <si>
    <t>ドン・キホーテ天文館店</t>
    <phoneticPr fontId="2"/>
  </si>
  <si>
    <t>Buzzミニ3</t>
  </si>
  <si>
    <t>R6007</t>
  </si>
  <si>
    <t>Buzzミニ4</t>
  </si>
  <si>
    <t>R6008</t>
  </si>
  <si>
    <t>ティアラ</t>
  </si>
  <si>
    <t>ドン・キホーテ鹿児島中央一番街店</t>
    <phoneticPr fontId="2"/>
  </si>
  <si>
    <t>ドン・キホーテ薩摩川内店</t>
    <rPh sb="7" eb="12">
      <t>サツマセn</t>
    </rPh>
    <phoneticPr fontId="2"/>
  </si>
  <si>
    <t>1000GATCHA</t>
  </si>
  <si>
    <t>500GATCHA</t>
  </si>
  <si>
    <t>R2031</t>
    <phoneticPr fontId="2"/>
  </si>
  <si>
    <t>ジャリクレ＃1</t>
    <phoneticPr fontId="2"/>
  </si>
  <si>
    <t>ジャリクレ＃2</t>
    <phoneticPr fontId="2"/>
  </si>
  <si>
    <t>霧島</t>
  </si>
  <si>
    <t>MEGAドン・キホーテ霧島隼人店</t>
    <rPh sb="11" eb="16">
      <t>キリシマ</t>
    </rPh>
    <phoneticPr fontId="2"/>
  </si>
  <si>
    <t>体力測定</t>
    <rPh sb="0" eb="4">
      <t>タイリョクソクテイ</t>
    </rPh>
    <phoneticPr fontId="2"/>
  </si>
  <si>
    <t>アンパンマン</t>
    <phoneticPr fontId="2"/>
  </si>
  <si>
    <t>かくれんぼ大作戦</t>
    <rPh sb="5" eb="8">
      <t>ダイサクセン</t>
    </rPh>
    <phoneticPr fontId="2"/>
  </si>
  <si>
    <t>MEGAドン・キホーテ鹿屋店</t>
    <rPh sb="11" eb="14">
      <t>カノヤ</t>
    </rPh>
    <phoneticPr fontId="2"/>
  </si>
  <si>
    <t>MEGAドン・キホーテ都城店</t>
    <rPh sb="11" eb="14">
      <t>ミヤ</t>
    </rPh>
    <phoneticPr fontId="2"/>
  </si>
  <si>
    <t>アンパンマン</t>
  </si>
  <si>
    <t>Buzzミニ1</t>
    <phoneticPr fontId="2"/>
  </si>
  <si>
    <t>日商</t>
    <rPh sb="0" eb="2">
      <t>ニッショウ</t>
    </rPh>
    <phoneticPr fontId="2"/>
  </si>
  <si>
    <t>霧島隼人</t>
    <rPh sb="0" eb="4">
      <t>キリシマハヤト</t>
    </rPh>
    <phoneticPr fontId="2"/>
  </si>
  <si>
    <t>ポケクレマルチ</t>
    <phoneticPr fontId="2"/>
  </si>
  <si>
    <t>トリプルクレーン</t>
    <phoneticPr fontId="2"/>
  </si>
  <si>
    <t>ジャリクレ</t>
    <phoneticPr fontId="2"/>
  </si>
  <si>
    <t>BP0318</t>
    <phoneticPr fontId="2"/>
  </si>
  <si>
    <t>BP0328</t>
    <phoneticPr fontId="2"/>
  </si>
  <si>
    <t>ガムガチャ100</t>
    <phoneticPr fontId="2"/>
  </si>
  <si>
    <t>GB0303</t>
    <phoneticPr fontId="2"/>
  </si>
  <si>
    <t>GB0555</t>
    <phoneticPr fontId="2"/>
  </si>
  <si>
    <t>BP0763</t>
    <phoneticPr fontId="2"/>
  </si>
  <si>
    <t>GB0771</t>
    <phoneticPr fontId="2"/>
  </si>
  <si>
    <t>1000円ガチャ</t>
    <rPh sb="4" eb="5">
      <t>エン</t>
    </rPh>
    <phoneticPr fontId="2"/>
  </si>
  <si>
    <t>BP1025</t>
    <phoneticPr fontId="2"/>
  </si>
  <si>
    <t>BP1027</t>
    <phoneticPr fontId="2"/>
  </si>
  <si>
    <t>GB0139</t>
    <phoneticPr fontId="2"/>
  </si>
  <si>
    <t>２千円ガチャ</t>
  </si>
  <si>
    <t>ドン・キホーテ南熊本店</t>
  </si>
  <si>
    <t>1000円ガチャ</t>
  </si>
  <si>
    <t>ドン・キホーテ鹿児島宇宿店</t>
  </si>
  <si>
    <t>ドン・キホーテ天文館店</t>
  </si>
  <si>
    <t>ドン・キホーテ鹿児島中央一番街店</t>
  </si>
  <si>
    <t>BP0763</t>
  </si>
  <si>
    <t>BP1025</t>
  </si>
  <si>
    <t>BP1027</t>
  </si>
  <si>
    <t>モンチッチマルチケース</t>
  </si>
  <si>
    <t>フルーツモンチッチマスコット</t>
  </si>
  <si>
    <t>モンチッチマスコットフルーツ</t>
  </si>
  <si>
    <t>プクプクシール</t>
  </si>
  <si>
    <t>元祖ワッペミニポーチ</t>
  </si>
  <si>
    <t>集金</t>
    <phoneticPr fontId="2"/>
  </si>
  <si>
    <t>両替機</t>
    <phoneticPr fontId="2"/>
  </si>
  <si>
    <t>百出</t>
    <phoneticPr fontId="2"/>
  </si>
  <si>
    <t>札入</t>
    <phoneticPr fontId="2"/>
  </si>
  <si>
    <t>五入</t>
    <phoneticPr fontId="2"/>
  </si>
  <si>
    <t>ミニスクイーズ</t>
  </si>
  <si>
    <t>ベーカリースクイーズ</t>
  </si>
  <si>
    <t>ファン</t>
  </si>
  <si>
    <t>天文館</t>
  </si>
  <si>
    <t>鹿屋</t>
  </si>
  <si>
    <t>ベアブリック</t>
  </si>
  <si>
    <t>ミニファン</t>
  </si>
  <si>
    <t>フルーツスクイーズ</t>
  </si>
  <si>
    <t>トロミスクイーズ</t>
  </si>
  <si>
    <t>たまごっちポシェット</t>
  </si>
  <si>
    <t>たまごっちミニポシェット</t>
  </si>
  <si>
    <t>板チョコスクイーズ</t>
  </si>
  <si>
    <t>お腹ぷにぷにシール</t>
  </si>
  <si>
    <t>パンケーキスクイーズ</t>
  </si>
  <si>
    <t>万</t>
  </si>
  <si>
    <t>たまごっちボアケース</t>
  </si>
  <si>
    <t>たまごっちボアミニポーチ</t>
  </si>
  <si>
    <t>スンスン金カラーがま口</t>
  </si>
  <si>
    <t>スンスンがま口</t>
  </si>
  <si>
    <t>アニマルアイシャドウ</t>
  </si>
  <si>
    <t>クリームタルトスクイーズ</t>
  </si>
  <si>
    <t>ブレインロット</t>
  </si>
  <si>
    <t>フレンチトースト</t>
  </si>
  <si>
    <t>もんちっちがま口ポーチ</t>
  </si>
  <si>
    <t>カブトムシぬいぐるみ</t>
  </si>
  <si>
    <t>百差</t>
  </si>
  <si>
    <t>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</si>
</sst>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¥&quot;#,##0;[Red]&quot;¥&quot;\-#,##0"/>
    <numFmt numFmtId="176" formatCode="m/d;@"/>
    <numFmt numFmtId="177" formatCode="aaa"/>
    <numFmt numFmtId="178" formatCode="0_);[Red]\(0\)"/>
    <numFmt numFmtId="179" formatCode="yyyy/m/d/aaa"/>
    <numFmt numFmtId="180" formatCode="m/d/aaa"/>
    <numFmt numFmtId="181" formatCode="d;@"/>
    <numFmt numFmtId="182" formatCode="#,##0_);[Red]\(#,##0\)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0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8"/>
      <name val="Meiryo UI"/>
      <family val="3"/>
      <charset val="128"/>
    </font>
    <font>
      <sz val="8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6"/>
      <color theme="1"/>
      <name val="Meiryo UI"/>
      <family val="3"/>
      <charset val="128"/>
    </font>
    <font>
      <sz val="8"/>
      <color theme="1"/>
      <name val="ＭＳ Ｐゴシック"/>
      <family val="3"/>
      <charset val="128"/>
    </font>
    <font>
      <b/>
      <sz val="10"/>
      <color theme="1"/>
      <name val="Meiryo UI"/>
      <family val="3"/>
      <charset val="128"/>
    </font>
    <font>
      <sz val="8"/>
      <color theme="1"/>
      <name val="Meiryo"/>
      <family val="3"/>
      <charset val="128"/>
    </font>
    <font>
      <u/>
      <sz val="10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theme="1"/>
      <name val="MS Gothic"/>
      <family val="2"/>
      <charset val="128"/>
    </font>
    <font>
      <sz val="11"/>
      <color rgb="FF000000"/>
      <name val="MS Gothic"/>
      <family val="2"/>
      <charset val="128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rgb="FFC5E0B3"/>
      </patternFill>
    </fill>
    <fill>
      <patternFill patternType="solid">
        <fgColor theme="9" tint="0.39997558519241921"/>
        <bgColor rgb="FFFBE4D5"/>
      </patternFill>
    </fill>
    <fill>
      <patternFill patternType="solid">
        <fgColor theme="4" tint="0.39997558519241921"/>
        <bgColor rgb="FFFBE4D5"/>
      </patternFill>
    </fill>
    <fill>
      <patternFill patternType="solid">
        <fgColor theme="8" tint="0.79998168889431442"/>
        <bgColor rgb="FFFBE4D5"/>
      </patternFill>
    </fill>
  </fills>
  <borders count="13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505050"/>
      </top>
      <bottom style="double">
        <color rgb="FF50505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rgb="FF505050"/>
      </left>
      <right/>
      <top/>
      <bottom/>
      <diagonal/>
    </border>
    <border>
      <left style="medium">
        <color rgb="FF505050"/>
      </left>
      <right/>
      <top style="medium">
        <color indexed="64"/>
      </top>
      <bottom/>
      <diagonal/>
    </border>
    <border>
      <left style="medium">
        <color rgb="FF505050"/>
      </left>
      <right style="hair">
        <color indexed="64"/>
      </right>
      <top style="medium">
        <color indexed="64"/>
      </top>
      <bottom/>
      <diagonal/>
    </border>
    <border>
      <left style="medium">
        <color rgb="FF505050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rgb="FF50505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50505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505050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05050"/>
      </left>
      <right style="hair">
        <color indexed="64"/>
      </right>
      <top/>
      <bottom style="hair">
        <color indexed="64"/>
      </bottom>
      <diagonal/>
    </border>
    <border>
      <left style="medium">
        <color rgb="FF505050"/>
      </left>
      <right style="hair">
        <color auto="1"/>
      </right>
      <top style="hair">
        <color auto="1"/>
      </top>
      <bottom/>
      <diagonal/>
    </border>
    <border>
      <left style="medium">
        <color rgb="FF505050"/>
      </left>
      <right style="hair">
        <color indexed="64"/>
      </right>
      <top/>
      <bottom style="medium">
        <color indexed="64"/>
      </bottom>
      <diagonal/>
    </border>
    <border>
      <left style="medium">
        <color rgb="FF505050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rgb="FF505050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rgb="FF505050"/>
      </left>
      <right style="hair">
        <color indexed="64"/>
      </right>
      <top/>
      <bottom/>
      <diagonal/>
    </border>
    <border>
      <left style="medium">
        <color rgb="FF505050"/>
      </left>
      <right style="hair">
        <color indexed="64"/>
      </right>
      <top/>
      <bottom style="thin">
        <color indexed="64"/>
      </bottom>
      <diagonal/>
    </border>
    <border>
      <left style="medium">
        <color rgb="FF505050"/>
      </left>
      <right/>
      <top/>
      <bottom style="medium">
        <color indexed="64"/>
      </bottom>
      <diagonal/>
    </border>
  </borders>
  <cellStyleXfs count="8">
    <xf numFmtId="0" fontId="0" fillId="0" borderId="0"/>
    <xf numFmtId="0" fontId="3" fillId="0" borderId="1"/>
    <xf numFmtId="0" fontId="1" fillId="0" borderId="1">
      <alignment vertical="center"/>
    </xf>
    <xf numFmtId="9" fontId="3" fillId="0" borderId="1" applyFont="0" applyFill="0" applyBorder="0" applyAlignment="0" applyProtection="0">
      <alignment vertical="center"/>
    </xf>
    <xf numFmtId="38" fontId="3" fillId="0" borderId="1" applyFont="0" applyFill="0" applyBorder="0" applyAlignment="0" applyProtection="0">
      <alignment vertical="center"/>
    </xf>
    <xf numFmtId="0" fontId="3" fillId="0" borderId="1"/>
    <xf numFmtId="38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</cellStyleXfs>
  <cellXfs count="427">
    <xf numFmtId="0" fontId="0" fillId="0" borderId="0" xfId="0" applyAlignment="1">
      <alignment vertical="center"/>
    </xf>
    <xf numFmtId="0" fontId="5" fillId="0" borderId="1" xfId="5" applyFont="1"/>
    <xf numFmtId="9" fontId="5" fillId="7" borderId="13" xfId="5" applyNumberFormat="1" applyFont="1" applyFill="1" applyBorder="1" applyAlignment="1">
      <alignment vertical="center"/>
    </xf>
    <xf numFmtId="38" fontId="5" fillId="7" borderId="13" xfId="5" applyNumberFormat="1" applyFont="1" applyFill="1" applyBorder="1" applyAlignment="1">
      <alignment horizontal="center" vertical="center"/>
    </xf>
    <xf numFmtId="10" fontId="5" fillId="0" borderId="14" xfId="3" applyNumberFormat="1" applyFont="1" applyBorder="1" applyAlignment="1">
      <alignment vertical="center"/>
    </xf>
    <xf numFmtId="38" fontId="5" fillId="7" borderId="15" xfId="5" applyNumberFormat="1" applyFont="1" applyFill="1" applyBorder="1" applyAlignment="1">
      <alignment vertical="center"/>
    </xf>
    <xf numFmtId="38" fontId="5" fillId="7" borderId="15" xfId="5" applyNumberFormat="1" applyFont="1" applyFill="1" applyBorder="1" applyAlignment="1">
      <alignment horizontal="center" vertical="center"/>
    </xf>
    <xf numFmtId="38" fontId="5" fillId="0" borderId="16" xfId="5" applyNumberFormat="1" applyFont="1" applyBorder="1" applyAlignment="1">
      <alignment vertical="center"/>
    </xf>
    <xf numFmtId="38" fontId="5" fillId="0" borderId="15" xfId="5" applyNumberFormat="1" applyFont="1" applyBorder="1" applyAlignment="1">
      <alignment vertical="center"/>
    </xf>
    <xf numFmtId="38" fontId="5" fillId="0" borderId="15" xfId="5" applyNumberFormat="1" applyFont="1" applyBorder="1" applyAlignment="1">
      <alignment horizontal="center" vertical="center"/>
    </xf>
    <xf numFmtId="38" fontId="5" fillId="0" borderId="17" xfId="4" applyFont="1" applyBorder="1" applyAlignment="1">
      <alignment shrinkToFit="1"/>
    </xf>
    <xf numFmtId="0" fontId="5" fillId="0" borderId="1" xfId="5" applyFont="1" applyAlignment="1">
      <alignment shrinkToFit="1"/>
    </xf>
    <xf numFmtId="9" fontId="5" fillId="0" borderId="15" xfId="5" applyNumberFormat="1" applyFont="1" applyBorder="1" applyAlignment="1">
      <alignment vertical="center" shrinkToFit="1"/>
    </xf>
    <xf numFmtId="38" fontId="5" fillId="0" borderId="15" xfId="5" applyNumberFormat="1" applyFont="1" applyBorder="1" applyAlignment="1">
      <alignment horizontal="center" vertical="center" shrinkToFit="1"/>
    </xf>
    <xf numFmtId="38" fontId="5" fillId="0" borderId="16" xfId="5" applyNumberFormat="1" applyFont="1" applyBorder="1" applyAlignment="1">
      <alignment horizontal="center" vertical="center"/>
    </xf>
    <xf numFmtId="0" fontId="5" fillId="0" borderId="17" xfId="5" applyFont="1" applyBorder="1" applyAlignment="1">
      <alignment horizontal="center"/>
    </xf>
    <xf numFmtId="0" fontId="6" fillId="4" borderId="17" xfId="5" applyFont="1" applyFill="1" applyBorder="1" applyAlignment="1">
      <alignment vertical="center"/>
    </xf>
    <xf numFmtId="178" fontId="5" fillId="0" borderId="17" xfId="5" applyNumberFormat="1" applyFont="1" applyBorder="1" applyAlignment="1">
      <alignment horizontal="center" vertical="center"/>
    </xf>
    <xf numFmtId="9" fontId="5" fillId="7" borderId="15" xfId="5" applyNumberFormat="1" applyFont="1" applyFill="1" applyBorder="1" applyAlignment="1">
      <alignment vertical="center"/>
    </xf>
    <xf numFmtId="10" fontId="5" fillId="0" borderId="16" xfId="3" applyNumberFormat="1" applyFont="1" applyBorder="1" applyAlignment="1">
      <alignment vertical="center"/>
    </xf>
    <xf numFmtId="38" fontId="5" fillId="0" borderId="18" xfId="5" applyNumberFormat="1" applyFont="1" applyBorder="1" applyAlignment="1">
      <alignment vertical="center"/>
    </xf>
    <xf numFmtId="38" fontId="5" fillId="0" borderId="18" xfId="5" applyNumberFormat="1" applyFont="1" applyBorder="1" applyAlignment="1">
      <alignment horizontal="center" vertical="center"/>
    </xf>
    <xf numFmtId="178" fontId="5" fillId="0" borderId="19" xfId="5" applyNumberFormat="1" applyFont="1" applyBorder="1" applyAlignment="1">
      <alignment horizontal="center" vertical="center"/>
    </xf>
    <xf numFmtId="9" fontId="5" fillId="7" borderId="7" xfId="5" applyNumberFormat="1" applyFont="1" applyFill="1" applyBorder="1" applyAlignment="1">
      <alignment vertical="center"/>
    </xf>
    <xf numFmtId="38" fontId="5" fillId="7" borderId="7" xfId="5" applyNumberFormat="1" applyFont="1" applyFill="1" applyBorder="1" applyAlignment="1">
      <alignment horizontal="center" vertical="center"/>
    </xf>
    <xf numFmtId="10" fontId="5" fillId="0" borderId="5" xfId="3" applyNumberFormat="1" applyFont="1" applyBorder="1" applyAlignment="1">
      <alignment vertical="center"/>
    </xf>
    <xf numFmtId="38" fontId="5" fillId="7" borderId="2" xfId="5" applyNumberFormat="1" applyFont="1" applyFill="1" applyBorder="1" applyAlignment="1">
      <alignment vertical="center"/>
    </xf>
    <xf numFmtId="38" fontId="5" fillId="7" borderId="2" xfId="5" applyNumberFormat="1" applyFont="1" applyFill="1" applyBorder="1" applyAlignment="1">
      <alignment horizontal="center" vertical="center"/>
    </xf>
    <xf numFmtId="38" fontId="5" fillId="0" borderId="8" xfId="5" applyNumberFormat="1" applyFont="1" applyBorder="1" applyAlignment="1">
      <alignment vertical="center"/>
    </xf>
    <xf numFmtId="38" fontId="5" fillId="0" borderId="2" xfId="5" applyNumberFormat="1" applyFont="1" applyBorder="1" applyAlignment="1">
      <alignment vertical="center"/>
    </xf>
    <xf numFmtId="38" fontId="5" fillId="0" borderId="2" xfId="5" applyNumberFormat="1" applyFont="1" applyBorder="1" applyAlignment="1">
      <alignment horizontal="center" vertical="center"/>
    </xf>
    <xf numFmtId="38" fontId="5" fillId="0" borderId="9" xfId="4" applyFont="1" applyBorder="1" applyAlignment="1">
      <alignment shrinkToFit="1"/>
    </xf>
    <xf numFmtId="9" fontId="5" fillId="0" borderId="2" xfId="5" applyNumberFormat="1" applyFont="1" applyBorder="1" applyAlignment="1">
      <alignment vertical="center" shrinkToFit="1"/>
    </xf>
    <xf numFmtId="38" fontId="5" fillId="0" borderId="2" xfId="5" applyNumberFormat="1" applyFont="1" applyBorder="1" applyAlignment="1">
      <alignment horizontal="center" vertical="center" shrinkToFit="1"/>
    </xf>
    <xf numFmtId="0" fontId="5" fillId="0" borderId="9" xfId="5" applyFont="1" applyBorder="1"/>
    <xf numFmtId="38" fontId="5" fillId="0" borderId="4" xfId="5" applyNumberFormat="1" applyFont="1" applyBorder="1" applyAlignment="1">
      <alignment vertical="center"/>
    </xf>
    <xf numFmtId="38" fontId="5" fillId="0" borderId="8" xfId="5" applyNumberFormat="1" applyFont="1" applyBorder="1" applyAlignment="1">
      <alignment horizontal="center" vertical="center"/>
    </xf>
    <xf numFmtId="0" fontId="6" fillId="4" borderId="10" xfId="5" applyFont="1" applyFill="1" applyBorder="1" applyAlignment="1">
      <alignment vertical="center"/>
    </xf>
    <xf numFmtId="38" fontId="5" fillId="0" borderId="11" xfId="5" applyNumberFormat="1" applyFont="1" applyBorder="1" applyAlignment="1">
      <alignment vertical="center"/>
    </xf>
    <xf numFmtId="38" fontId="5" fillId="0" borderId="11" xfId="5" applyNumberFormat="1" applyFont="1" applyBorder="1" applyAlignment="1">
      <alignment horizontal="center" vertical="center"/>
    </xf>
    <xf numFmtId="178" fontId="5" fillId="0" borderId="12" xfId="5" applyNumberFormat="1" applyFont="1" applyBorder="1" applyAlignment="1">
      <alignment horizontal="center" vertical="center"/>
    </xf>
    <xf numFmtId="38" fontId="5" fillId="0" borderId="4" xfId="5" applyNumberFormat="1" applyFont="1" applyBorder="1" applyAlignment="1">
      <alignment horizontal="center" vertical="center"/>
    </xf>
    <xf numFmtId="9" fontId="5" fillId="7" borderId="2" xfId="5" applyNumberFormat="1" applyFont="1" applyFill="1" applyBorder="1" applyAlignment="1">
      <alignment vertical="center"/>
    </xf>
    <xf numFmtId="178" fontId="5" fillId="0" borderId="3" xfId="5" applyNumberFormat="1" applyFont="1" applyBorder="1" applyAlignment="1">
      <alignment vertical="center"/>
    </xf>
    <xf numFmtId="38" fontId="5" fillId="0" borderId="3" xfId="4" applyFont="1" applyBorder="1" applyAlignment="1">
      <alignment horizontal="center" vertical="center"/>
    </xf>
    <xf numFmtId="38" fontId="5" fillId="0" borderId="1" xfId="5" applyNumberFormat="1" applyFont="1"/>
    <xf numFmtId="180" fontId="5" fillId="0" borderId="2" xfId="5" applyNumberFormat="1" applyFont="1" applyBorder="1" applyAlignment="1">
      <alignment vertical="center"/>
    </xf>
    <xf numFmtId="179" fontId="5" fillId="0" borderId="2" xfId="5" applyNumberFormat="1" applyFont="1" applyBorder="1" applyAlignment="1">
      <alignment horizontal="center" vertical="center"/>
    </xf>
    <xf numFmtId="38" fontId="5" fillId="0" borderId="1" xfId="4" applyFont="1" applyAlignment="1">
      <alignment vertical="center"/>
    </xf>
    <xf numFmtId="0" fontId="7" fillId="0" borderId="1" xfId="5" applyFont="1"/>
    <xf numFmtId="9" fontId="5" fillId="6" borderId="7" xfId="5" applyNumberFormat="1" applyFont="1" applyFill="1" applyBorder="1" applyAlignment="1">
      <alignment vertical="center"/>
    </xf>
    <xf numFmtId="38" fontId="5" fillId="6" borderId="7" xfId="5" applyNumberFormat="1" applyFont="1" applyFill="1" applyBorder="1" applyAlignment="1">
      <alignment horizontal="center" vertical="center"/>
    </xf>
    <xf numFmtId="38" fontId="5" fillId="6" borderId="2" xfId="5" applyNumberFormat="1" applyFont="1" applyFill="1" applyBorder="1" applyAlignment="1">
      <alignment vertical="center"/>
    </xf>
    <xf numFmtId="38" fontId="5" fillId="6" borderId="2" xfId="5" applyNumberFormat="1" applyFont="1" applyFill="1" applyBorder="1" applyAlignment="1">
      <alignment horizontal="center" vertical="center"/>
    </xf>
    <xf numFmtId="0" fontId="6" fillId="4" borderId="10" xfId="5" applyFont="1" applyFill="1" applyBorder="1" applyAlignment="1">
      <alignment vertical="center" shrinkToFit="1"/>
    </xf>
    <xf numFmtId="9" fontId="5" fillId="6" borderId="13" xfId="5" applyNumberFormat="1" applyFont="1" applyFill="1" applyBorder="1" applyAlignment="1">
      <alignment vertical="center"/>
    </xf>
    <xf numFmtId="38" fontId="5" fillId="6" borderId="13" xfId="5" applyNumberFormat="1" applyFont="1" applyFill="1" applyBorder="1" applyAlignment="1">
      <alignment horizontal="center" vertical="center"/>
    </xf>
    <xf numFmtId="38" fontId="5" fillId="6" borderId="15" xfId="5" applyNumberFormat="1" applyFont="1" applyFill="1" applyBorder="1" applyAlignment="1">
      <alignment vertical="center"/>
    </xf>
    <xf numFmtId="38" fontId="5" fillId="6" borderId="15" xfId="5" applyNumberFormat="1" applyFont="1" applyFill="1" applyBorder="1" applyAlignment="1">
      <alignment horizontal="center" vertical="center"/>
    </xf>
    <xf numFmtId="0" fontId="6" fillId="4" borderId="17" xfId="5" applyFont="1" applyFill="1" applyBorder="1" applyAlignment="1">
      <alignment vertical="center" shrinkToFit="1"/>
    </xf>
    <xf numFmtId="9" fontId="5" fillId="6" borderId="15" xfId="5" applyNumberFormat="1" applyFont="1" applyFill="1" applyBorder="1" applyAlignment="1">
      <alignment vertical="center"/>
    </xf>
    <xf numFmtId="38" fontId="10" fillId="0" borderId="1" xfId="6" applyFont="1" applyBorder="1" applyAlignment="1"/>
    <xf numFmtId="38" fontId="7" fillId="0" borderId="1" xfId="6" applyFont="1" applyBorder="1" applyAlignment="1"/>
    <xf numFmtId="0" fontId="9" fillId="0" borderId="1" xfId="5" applyFont="1"/>
    <xf numFmtId="38" fontId="5" fillId="5" borderId="18" xfId="5" applyNumberFormat="1" applyFont="1" applyFill="1" applyBorder="1" applyAlignment="1">
      <alignment vertical="center"/>
    </xf>
    <xf numFmtId="38" fontId="5" fillId="5" borderId="15" xfId="5" applyNumberFormat="1" applyFont="1" applyFill="1" applyBorder="1" applyAlignment="1">
      <alignment vertical="center"/>
    </xf>
    <xf numFmtId="9" fontId="5" fillId="5" borderId="15" xfId="5" applyNumberFormat="1" applyFont="1" applyFill="1" applyBorder="1" applyAlignment="1">
      <alignment vertical="center" shrinkToFit="1"/>
    </xf>
    <xf numFmtId="9" fontId="5" fillId="5" borderId="15" xfId="5" applyNumberFormat="1" applyFont="1" applyFill="1" applyBorder="1" applyAlignment="1">
      <alignment vertical="center"/>
    </xf>
    <xf numFmtId="9" fontId="5" fillId="5" borderId="13" xfId="5" applyNumberFormat="1" applyFont="1" applyFill="1" applyBorder="1" applyAlignment="1">
      <alignment vertical="center"/>
    </xf>
    <xf numFmtId="38" fontId="9" fillId="0" borderId="1" xfId="6" applyFont="1" applyFill="1" applyBorder="1" applyAlignment="1">
      <alignment vertical="center"/>
    </xf>
    <xf numFmtId="0" fontId="4" fillId="0" borderId="0" xfId="0" applyFont="1" applyAlignment="1">
      <alignment vertical="center"/>
    </xf>
    <xf numFmtId="38" fontId="4" fillId="0" borderId="0" xfId="0" applyNumberFormat="1" applyFont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38" fontId="4" fillId="0" borderId="1" xfId="0" applyNumberFormat="1" applyFont="1" applyBorder="1" applyAlignment="1">
      <alignment vertical="center"/>
    </xf>
    <xf numFmtId="38" fontId="11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9" fontId="9" fillId="0" borderId="4" xfId="5" applyNumberFormat="1" applyFont="1" applyBorder="1" applyAlignment="1">
      <alignment horizontal="center" vertical="center"/>
    </xf>
    <xf numFmtId="180" fontId="9" fillId="0" borderId="4" xfId="5" applyNumberFormat="1" applyFont="1" applyBorder="1" applyAlignment="1">
      <alignment vertical="center"/>
    </xf>
    <xf numFmtId="38" fontId="12" fillId="2" borderId="1" xfId="0" applyNumberFormat="1" applyFont="1" applyFill="1" applyBorder="1" applyAlignment="1">
      <alignment horizontal="center" vertical="center"/>
    </xf>
    <xf numFmtId="38" fontId="5" fillId="8" borderId="1" xfId="0" applyNumberFormat="1" applyFont="1" applyFill="1" applyBorder="1" applyAlignment="1">
      <alignment horizontal="center" vertical="center"/>
    </xf>
    <xf numFmtId="38" fontId="5" fillId="9" borderId="1" xfId="0" applyNumberFormat="1" applyFont="1" applyFill="1" applyBorder="1" applyAlignment="1">
      <alignment horizontal="center" vertical="center"/>
    </xf>
    <xf numFmtId="0" fontId="5" fillId="0" borderId="0" xfId="5" applyFont="1" applyBorder="1"/>
    <xf numFmtId="0" fontId="5" fillId="0" borderId="0" xfId="5" applyFont="1" applyBorder="1" applyAlignment="1">
      <alignment shrinkToFit="1"/>
    </xf>
    <xf numFmtId="38" fontId="4" fillId="0" borderId="1" xfId="0" applyNumberFormat="1" applyFont="1" applyBorder="1" applyAlignment="1">
      <alignment vertical="center" shrinkToFit="1"/>
    </xf>
    <xf numFmtId="38" fontId="5" fillId="7" borderId="24" xfId="5" applyNumberFormat="1" applyFont="1" applyFill="1" applyBorder="1" applyAlignment="1">
      <alignment horizontal="center" vertical="center"/>
    </xf>
    <xf numFmtId="9" fontId="5" fillId="7" borderId="24" xfId="5" applyNumberFormat="1" applyFont="1" applyFill="1" applyBorder="1" applyAlignment="1">
      <alignment vertical="center"/>
    </xf>
    <xf numFmtId="178" fontId="5" fillId="0" borderId="25" xfId="5" applyNumberFormat="1" applyFont="1" applyBorder="1" applyAlignment="1">
      <alignment horizontal="center" vertical="center"/>
    </xf>
    <xf numFmtId="38" fontId="5" fillId="0" borderId="26" xfId="5" applyNumberFormat="1" applyFont="1" applyBorder="1" applyAlignment="1">
      <alignment horizontal="center" vertical="center"/>
    </xf>
    <xf numFmtId="38" fontId="5" fillId="0" borderId="26" xfId="5" applyNumberFormat="1" applyFont="1" applyBorder="1" applyAlignment="1">
      <alignment vertical="center"/>
    </xf>
    <xf numFmtId="0" fontId="5" fillId="3" borderId="9" xfId="5" applyFont="1" applyFill="1" applyBorder="1"/>
    <xf numFmtId="38" fontId="5" fillId="3" borderId="9" xfId="4" applyFont="1" applyFill="1" applyBorder="1" applyAlignment="1">
      <alignment shrinkToFit="1"/>
    </xf>
    <xf numFmtId="38" fontId="7" fillId="0" borderId="0" xfId="6" applyFont="1" applyAlignment="1"/>
    <xf numFmtId="38" fontId="12" fillId="10" borderId="0" xfId="0" applyNumberFormat="1" applyFont="1" applyFill="1" applyAlignment="1">
      <alignment horizontal="center" vertical="center"/>
    </xf>
    <xf numFmtId="38" fontId="12" fillId="10" borderId="1" xfId="0" applyNumberFormat="1" applyFont="1" applyFill="1" applyBorder="1" applyAlignment="1">
      <alignment horizontal="center" vertical="center"/>
    </xf>
    <xf numFmtId="38" fontId="5" fillId="10" borderId="1" xfId="0" applyNumberFormat="1" applyFont="1" applyFill="1" applyBorder="1" applyAlignment="1">
      <alignment horizontal="center" vertical="center"/>
    </xf>
    <xf numFmtId="38" fontId="5" fillId="0" borderId="0" xfId="6" applyFont="1" applyAlignment="1"/>
    <xf numFmtId="9" fontId="5" fillId="5" borderId="24" xfId="5" applyNumberFormat="1" applyFont="1" applyFill="1" applyBorder="1" applyAlignment="1">
      <alignment vertical="center"/>
    </xf>
    <xf numFmtId="38" fontId="5" fillId="5" borderId="26" xfId="5" applyNumberFormat="1" applyFont="1" applyFill="1" applyBorder="1" applyAlignment="1">
      <alignment vertical="center"/>
    </xf>
    <xf numFmtId="38" fontId="5" fillId="11" borderId="1" xfId="0" applyNumberFormat="1" applyFont="1" applyFill="1" applyBorder="1" applyAlignment="1">
      <alignment horizontal="center" vertical="center"/>
    </xf>
    <xf numFmtId="38" fontId="5" fillId="11" borderId="0" xfId="0" applyNumberFormat="1" applyFont="1" applyFill="1" applyAlignment="1">
      <alignment horizontal="center" vertical="center"/>
    </xf>
    <xf numFmtId="178" fontId="5" fillId="5" borderId="3" xfId="5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 shrinkToFit="1"/>
    </xf>
    <xf numFmtId="0" fontId="11" fillId="0" borderId="1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38" fontId="11" fillId="0" borderId="1" xfId="0" applyNumberFormat="1" applyFont="1" applyBorder="1" applyAlignment="1">
      <alignment horizontal="left" vertical="center"/>
    </xf>
    <xf numFmtId="0" fontId="4" fillId="0" borderId="29" xfId="0" applyFont="1" applyBorder="1" applyAlignment="1">
      <alignment vertical="center" shrinkToFit="1"/>
    </xf>
    <xf numFmtId="38" fontId="4" fillId="0" borderId="30" xfId="0" applyNumberFormat="1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38" fontId="4" fillId="0" borderId="32" xfId="0" applyNumberFormat="1" applyFont="1" applyBorder="1" applyAlignment="1">
      <alignment vertical="center" shrinkToFit="1"/>
    </xf>
    <xf numFmtId="38" fontId="4" fillId="0" borderId="33" xfId="0" applyNumberFormat="1" applyFont="1" applyBorder="1" applyAlignment="1">
      <alignment vertical="center"/>
    </xf>
    <xf numFmtId="38" fontId="11" fillId="0" borderId="33" xfId="0" applyNumberFormat="1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4" fillId="0" borderId="32" xfId="0" applyFont="1" applyBorder="1" applyAlignment="1">
      <alignment vertical="center" shrinkToFit="1"/>
    </xf>
    <xf numFmtId="38" fontId="4" fillId="0" borderId="35" xfId="0" applyNumberFormat="1" applyFont="1" applyBorder="1" applyAlignment="1">
      <alignment vertical="center" shrinkToFit="1"/>
    </xf>
    <xf numFmtId="38" fontId="4" fillId="0" borderId="36" xfId="0" applyNumberFormat="1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11" fillId="0" borderId="38" xfId="0" applyFont="1" applyBorder="1" applyAlignment="1">
      <alignment vertical="center"/>
    </xf>
    <xf numFmtId="38" fontId="4" fillId="0" borderId="38" xfId="0" applyNumberFormat="1" applyFont="1" applyBorder="1" applyAlignment="1">
      <alignment vertical="center"/>
    </xf>
    <xf numFmtId="38" fontId="11" fillId="0" borderId="38" xfId="0" applyNumberFormat="1" applyFont="1" applyBorder="1" applyAlignment="1">
      <alignment vertical="center"/>
    </xf>
    <xf numFmtId="38" fontId="4" fillId="0" borderId="39" xfId="0" applyNumberFormat="1" applyFont="1" applyBorder="1" applyAlignment="1">
      <alignment vertical="center" shrinkToFit="1"/>
    </xf>
    <xf numFmtId="38" fontId="4" fillId="0" borderId="40" xfId="0" applyNumberFormat="1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38" fontId="4" fillId="0" borderId="41" xfId="0" applyNumberFormat="1" applyFont="1" applyBorder="1" applyAlignment="1">
      <alignment vertical="center" shrinkToFit="1"/>
    </xf>
    <xf numFmtId="38" fontId="4" fillId="0" borderId="42" xfId="0" applyNumberFormat="1" applyFont="1" applyBorder="1" applyAlignment="1">
      <alignment vertical="center"/>
    </xf>
    <xf numFmtId="38" fontId="11" fillId="0" borderId="42" xfId="0" applyNumberFormat="1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38" fontId="4" fillId="0" borderId="43" xfId="0" applyNumberFormat="1" applyFont="1" applyBorder="1" applyAlignment="1">
      <alignment vertical="center"/>
    </xf>
    <xf numFmtId="38" fontId="4" fillId="0" borderId="29" xfId="0" applyNumberFormat="1" applyFont="1" applyBorder="1" applyAlignment="1">
      <alignment vertical="center" shrinkToFit="1"/>
    </xf>
    <xf numFmtId="38" fontId="11" fillId="0" borderId="31" xfId="0" applyNumberFormat="1" applyFont="1" applyBorder="1" applyAlignment="1">
      <alignment vertical="center"/>
    </xf>
    <xf numFmtId="38" fontId="11" fillId="0" borderId="34" xfId="0" applyNumberFormat="1" applyFont="1" applyBorder="1" applyAlignment="1">
      <alignment vertical="center"/>
    </xf>
    <xf numFmtId="38" fontId="11" fillId="0" borderId="37" xfId="0" applyNumberFormat="1" applyFont="1" applyBorder="1" applyAlignment="1">
      <alignment vertical="center"/>
    </xf>
    <xf numFmtId="38" fontId="4" fillId="0" borderId="44" xfId="0" applyNumberFormat="1" applyFont="1" applyBorder="1" applyAlignment="1">
      <alignment vertical="center"/>
    </xf>
    <xf numFmtId="38" fontId="11" fillId="0" borderId="45" xfId="0" applyNumberFormat="1" applyFont="1" applyBorder="1" applyAlignment="1">
      <alignment vertical="center"/>
    </xf>
    <xf numFmtId="38" fontId="11" fillId="0" borderId="46" xfId="0" applyNumberFormat="1" applyFont="1" applyBorder="1" applyAlignment="1">
      <alignment vertical="center"/>
    </xf>
    <xf numFmtId="38" fontId="11" fillId="0" borderId="47" xfId="0" applyNumberFormat="1" applyFont="1" applyBorder="1" applyAlignment="1">
      <alignment vertical="center"/>
    </xf>
    <xf numFmtId="38" fontId="4" fillId="0" borderId="48" xfId="0" applyNumberFormat="1" applyFont="1" applyBorder="1" applyAlignment="1">
      <alignment vertical="center" shrinkToFit="1"/>
    </xf>
    <xf numFmtId="0" fontId="4" fillId="0" borderId="49" xfId="0" applyFont="1" applyBorder="1" applyAlignment="1">
      <alignment vertical="center" shrinkToFit="1"/>
    </xf>
    <xf numFmtId="38" fontId="4" fillId="0" borderId="50" xfId="0" applyNumberFormat="1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11" fillId="0" borderId="52" xfId="0" applyFont="1" applyBorder="1" applyAlignment="1">
      <alignment vertical="center"/>
    </xf>
    <xf numFmtId="0" fontId="11" fillId="0" borderId="53" xfId="0" applyFont="1" applyBorder="1" applyAlignment="1">
      <alignment vertical="center"/>
    </xf>
    <xf numFmtId="38" fontId="4" fillId="0" borderId="53" xfId="0" applyNumberFormat="1" applyFont="1" applyBorder="1" applyAlignment="1">
      <alignment vertical="center"/>
    </xf>
    <xf numFmtId="38" fontId="4" fillId="0" borderId="54" xfId="0" applyNumberFormat="1" applyFont="1" applyBorder="1" applyAlignment="1">
      <alignment vertical="center"/>
    </xf>
    <xf numFmtId="38" fontId="4" fillId="0" borderId="55" xfId="0" applyNumberFormat="1" applyFont="1" applyBorder="1" applyAlignment="1">
      <alignment vertical="center" shrinkToFit="1"/>
    </xf>
    <xf numFmtId="38" fontId="4" fillId="0" borderId="56" xfId="0" applyNumberFormat="1" applyFont="1" applyBorder="1" applyAlignment="1">
      <alignment vertical="center"/>
    </xf>
    <xf numFmtId="38" fontId="4" fillId="0" borderId="57" xfId="0" applyNumberFormat="1" applyFont="1" applyBorder="1" applyAlignment="1">
      <alignment vertical="center" shrinkToFit="1"/>
    </xf>
    <xf numFmtId="38" fontId="4" fillId="0" borderId="58" xfId="0" applyNumberFormat="1" applyFont="1" applyBorder="1" applyAlignment="1">
      <alignment vertical="center" shrinkToFit="1"/>
    </xf>
    <xf numFmtId="38" fontId="4" fillId="0" borderId="59" xfId="0" applyNumberFormat="1" applyFont="1" applyBorder="1" applyAlignment="1">
      <alignment vertical="center" shrinkToFit="1"/>
    </xf>
    <xf numFmtId="38" fontId="4" fillId="0" borderId="60" xfId="0" applyNumberFormat="1" applyFont="1" applyBorder="1" applyAlignment="1">
      <alignment vertical="center" shrinkToFit="1"/>
    </xf>
    <xf numFmtId="0" fontId="4" fillId="0" borderId="61" xfId="0" applyFont="1" applyBorder="1" applyAlignment="1">
      <alignment vertical="center" shrinkToFit="1"/>
    </xf>
    <xf numFmtId="38" fontId="4" fillId="0" borderId="62" xfId="0" applyNumberFormat="1" applyFont="1" applyBorder="1" applyAlignment="1">
      <alignment vertical="center" shrinkToFit="1"/>
    </xf>
    <xf numFmtId="38" fontId="4" fillId="0" borderId="63" xfId="0" applyNumberFormat="1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38" fontId="11" fillId="0" borderId="63" xfId="0" applyNumberFormat="1" applyFont="1" applyBorder="1" applyAlignment="1">
      <alignment vertical="center"/>
    </xf>
    <xf numFmtId="38" fontId="11" fillId="0" borderId="64" xfId="0" applyNumberFormat="1" applyFont="1" applyBorder="1" applyAlignment="1">
      <alignment vertical="center"/>
    </xf>
    <xf numFmtId="38" fontId="4" fillId="0" borderId="65" xfId="0" applyNumberFormat="1" applyFont="1" applyBorder="1" applyAlignment="1">
      <alignment vertical="center"/>
    </xf>
    <xf numFmtId="38" fontId="11" fillId="0" borderId="51" xfId="0" applyNumberFormat="1" applyFont="1" applyBorder="1" applyAlignment="1">
      <alignment vertical="center"/>
    </xf>
    <xf numFmtId="38" fontId="11" fillId="0" borderId="52" xfId="0" applyNumberFormat="1" applyFont="1" applyBorder="1" applyAlignment="1">
      <alignment vertical="center"/>
    </xf>
    <xf numFmtId="38" fontId="11" fillId="0" borderId="53" xfId="0" applyNumberFormat="1" applyFont="1" applyBorder="1" applyAlignment="1">
      <alignment vertical="center"/>
    </xf>
    <xf numFmtId="38" fontId="4" fillId="0" borderId="62" xfId="0" applyNumberFormat="1" applyFont="1" applyBorder="1" applyAlignment="1">
      <alignment vertical="center"/>
    </xf>
    <xf numFmtId="0" fontId="4" fillId="0" borderId="66" xfId="0" applyFont="1" applyBorder="1" applyAlignment="1">
      <alignment vertical="center" shrinkToFit="1"/>
    </xf>
    <xf numFmtId="0" fontId="4" fillId="0" borderId="53" xfId="0" applyFont="1" applyBorder="1" applyAlignment="1">
      <alignment vertical="center"/>
    </xf>
    <xf numFmtId="38" fontId="4" fillId="0" borderId="67" xfId="0" applyNumberFormat="1" applyFont="1" applyBorder="1" applyAlignment="1">
      <alignment vertical="center"/>
    </xf>
    <xf numFmtId="38" fontId="4" fillId="0" borderId="64" xfId="0" applyNumberFormat="1" applyFont="1" applyBorder="1" applyAlignment="1">
      <alignment vertical="center"/>
    </xf>
    <xf numFmtId="38" fontId="11" fillId="0" borderId="50" xfId="0" applyNumberFormat="1" applyFont="1" applyBorder="1" applyAlignment="1">
      <alignment vertical="center"/>
    </xf>
    <xf numFmtId="38" fontId="4" fillId="0" borderId="69" xfId="0" applyNumberFormat="1" applyFont="1" applyBorder="1" applyAlignment="1">
      <alignment vertical="center"/>
    </xf>
    <xf numFmtId="38" fontId="4" fillId="0" borderId="66" xfId="0" applyNumberFormat="1" applyFont="1" applyBorder="1" applyAlignment="1">
      <alignment vertical="center" shrinkToFit="1"/>
    </xf>
    <xf numFmtId="38" fontId="11" fillId="0" borderId="70" xfId="0" applyNumberFormat="1" applyFont="1" applyBorder="1" applyAlignment="1">
      <alignment vertical="center"/>
    </xf>
    <xf numFmtId="0" fontId="4" fillId="0" borderId="55" xfId="0" applyFont="1" applyBorder="1" applyAlignment="1">
      <alignment vertical="center" shrinkToFit="1"/>
    </xf>
    <xf numFmtId="38" fontId="4" fillId="0" borderId="67" xfId="0" applyNumberFormat="1" applyFont="1" applyBorder="1" applyAlignment="1">
      <alignment vertical="center" shrinkToFit="1"/>
    </xf>
    <xf numFmtId="0" fontId="4" fillId="0" borderId="64" xfId="0" applyFont="1" applyBorder="1" applyAlignment="1">
      <alignment vertical="center"/>
    </xf>
    <xf numFmtId="38" fontId="11" fillId="0" borderId="71" xfId="0" applyNumberFormat="1" applyFont="1" applyBorder="1" applyAlignment="1">
      <alignment vertical="center"/>
    </xf>
    <xf numFmtId="38" fontId="11" fillId="0" borderId="72" xfId="0" applyNumberFormat="1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38" fontId="11" fillId="0" borderId="73" xfId="0" applyNumberFormat="1" applyFont="1" applyBorder="1" applyAlignment="1">
      <alignment vertical="center"/>
    </xf>
    <xf numFmtId="38" fontId="4" fillId="0" borderId="49" xfId="0" applyNumberFormat="1" applyFont="1" applyBorder="1" applyAlignment="1">
      <alignment vertical="center"/>
    </xf>
    <xf numFmtId="38" fontId="4" fillId="0" borderId="61" xfId="0" applyNumberFormat="1" applyFont="1" applyBorder="1" applyAlignment="1">
      <alignment vertical="center"/>
    </xf>
    <xf numFmtId="0" fontId="4" fillId="0" borderId="74" xfId="0" applyFont="1" applyBorder="1" applyAlignment="1">
      <alignment vertical="center" shrinkToFit="1"/>
    </xf>
    <xf numFmtId="0" fontId="11" fillId="0" borderId="42" xfId="0" applyFont="1" applyBorder="1" applyAlignment="1">
      <alignment vertical="center"/>
    </xf>
    <xf numFmtId="0" fontId="11" fillId="0" borderId="69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1" fillId="0" borderId="45" xfId="0" applyFont="1" applyBorder="1" applyAlignment="1">
      <alignment vertical="center"/>
    </xf>
    <xf numFmtId="38" fontId="11" fillId="0" borderId="75" xfId="0" applyNumberFormat="1" applyFont="1" applyBorder="1" applyAlignment="1">
      <alignment vertical="center"/>
    </xf>
    <xf numFmtId="0" fontId="11" fillId="0" borderId="51" xfId="0" applyFont="1" applyBorder="1" applyAlignment="1">
      <alignment vertical="center"/>
    </xf>
    <xf numFmtId="0" fontId="4" fillId="0" borderId="76" xfId="0" applyFont="1" applyBorder="1" applyAlignment="1">
      <alignment vertical="center" shrinkToFit="1"/>
    </xf>
    <xf numFmtId="0" fontId="11" fillId="0" borderId="40" xfId="0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11" fillId="0" borderId="37" xfId="0" applyFont="1" applyBorder="1" applyAlignment="1">
      <alignment vertical="center"/>
    </xf>
    <xf numFmtId="38" fontId="4" fillId="0" borderId="74" xfId="0" applyNumberFormat="1" applyFont="1" applyBorder="1" applyAlignment="1">
      <alignment vertical="center"/>
    </xf>
    <xf numFmtId="38" fontId="4" fillId="0" borderId="55" xfId="0" applyNumberFormat="1" applyFont="1" applyBorder="1" applyAlignment="1">
      <alignment vertical="center"/>
    </xf>
    <xf numFmtId="38" fontId="4" fillId="0" borderId="58" xfId="0" applyNumberFormat="1" applyFont="1" applyBorder="1" applyAlignment="1">
      <alignment vertical="center"/>
    </xf>
    <xf numFmtId="0" fontId="4" fillId="0" borderId="67" xfId="0" applyFont="1" applyBorder="1" applyAlignment="1">
      <alignment vertical="center" shrinkToFit="1"/>
    </xf>
    <xf numFmtId="0" fontId="11" fillId="0" borderId="64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38" fontId="4" fillId="0" borderId="59" xfId="0" applyNumberFormat="1" applyFont="1" applyBorder="1" applyAlignment="1">
      <alignment vertical="center"/>
    </xf>
    <xf numFmtId="0" fontId="11" fillId="0" borderId="68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11" fillId="0" borderId="46" xfId="0" applyFont="1" applyBorder="1" applyAlignment="1">
      <alignment vertical="center"/>
    </xf>
    <xf numFmtId="0" fontId="11" fillId="0" borderId="47" xfId="0" applyFont="1" applyBorder="1" applyAlignment="1">
      <alignment vertical="center"/>
    </xf>
    <xf numFmtId="0" fontId="11" fillId="0" borderId="73" xfId="0" applyFont="1" applyBorder="1" applyAlignment="1">
      <alignment vertical="center"/>
    </xf>
    <xf numFmtId="0" fontId="11" fillId="0" borderId="70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56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4" fillId="0" borderId="59" xfId="0" applyFont="1" applyBorder="1" applyAlignment="1">
      <alignment vertical="center"/>
    </xf>
    <xf numFmtId="0" fontId="4" fillId="0" borderId="60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4" fillId="0" borderId="74" xfId="0" applyFont="1" applyBorder="1" applyAlignment="1">
      <alignment vertical="center"/>
    </xf>
    <xf numFmtId="0" fontId="4" fillId="0" borderId="61" xfId="0" applyFont="1" applyBorder="1" applyAlignment="1">
      <alignment vertical="center"/>
    </xf>
    <xf numFmtId="0" fontId="4" fillId="0" borderId="77" xfId="0" applyFont="1" applyBorder="1" applyAlignment="1">
      <alignment vertical="center"/>
    </xf>
    <xf numFmtId="0" fontId="4" fillId="0" borderId="66" xfId="0" applyFont="1" applyBorder="1" applyAlignment="1">
      <alignment vertical="center"/>
    </xf>
    <xf numFmtId="0" fontId="4" fillId="0" borderId="62" xfId="0" applyFont="1" applyBorder="1" applyAlignment="1">
      <alignment vertical="center" shrinkToFit="1"/>
    </xf>
    <xf numFmtId="0" fontId="11" fillId="0" borderId="63" xfId="0" applyFont="1" applyBorder="1" applyAlignment="1">
      <alignment vertical="center"/>
    </xf>
    <xf numFmtId="0" fontId="4" fillId="0" borderId="78" xfId="0" applyFont="1" applyBorder="1" applyAlignment="1">
      <alignment vertical="center"/>
    </xf>
    <xf numFmtId="38" fontId="4" fillId="0" borderId="79" xfId="0" applyNumberFormat="1" applyFont="1" applyBorder="1" applyAlignment="1">
      <alignment vertical="center"/>
    </xf>
    <xf numFmtId="38" fontId="4" fillId="0" borderId="80" xfId="0" applyNumberFormat="1" applyFont="1" applyBorder="1" applyAlignment="1">
      <alignment vertical="center"/>
    </xf>
    <xf numFmtId="38" fontId="4" fillId="0" borderId="81" xfId="0" applyNumberFormat="1" applyFont="1" applyBorder="1" applyAlignment="1">
      <alignment vertical="center"/>
    </xf>
    <xf numFmtId="38" fontId="4" fillId="0" borderId="82" xfId="0" applyNumberFormat="1" applyFont="1" applyBorder="1" applyAlignment="1">
      <alignment vertical="center"/>
    </xf>
    <xf numFmtId="38" fontId="4" fillId="0" borderId="83" xfId="0" applyNumberFormat="1" applyFont="1" applyBorder="1" applyAlignment="1">
      <alignment vertical="center"/>
    </xf>
    <xf numFmtId="38" fontId="4" fillId="0" borderId="84" xfId="0" applyNumberFormat="1" applyFont="1" applyBorder="1" applyAlignment="1">
      <alignment vertical="center"/>
    </xf>
    <xf numFmtId="38" fontId="4" fillId="0" borderId="85" xfId="0" applyNumberFormat="1" applyFont="1" applyBorder="1" applyAlignment="1">
      <alignment vertical="center"/>
    </xf>
    <xf numFmtId="38" fontId="4" fillId="0" borderId="78" xfId="0" applyNumberFormat="1" applyFont="1" applyBorder="1" applyAlignment="1">
      <alignment vertical="center"/>
    </xf>
    <xf numFmtId="38" fontId="4" fillId="0" borderId="86" xfId="0" applyNumberFormat="1" applyFont="1" applyBorder="1" applyAlignment="1">
      <alignment vertical="center"/>
    </xf>
    <xf numFmtId="38" fontId="4" fillId="0" borderId="87" xfId="0" applyNumberFormat="1" applyFont="1" applyBorder="1" applyAlignment="1">
      <alignment vertical="center"/>
    </xf>
    <xf numFmtId="38" fontId="4" fillId="0" borderId="88" xfId="0" applyNumberFormat="1" applyFont="1" applyBorder="1" applyAlignment="1">
      <alignment vertical="center"/>
    </xf>
    <xf numFmtId="0" fontId="4" fillId="0" borderId="84" xfId="0" applyFont="1" applyBorder="1" applyAlignment="1">
      <alignment vertical="center"/>
    </xf>
    <xf numFmtId="38" fontId="4" fillId="0" borderId="89" xfId="0" applyNumberFormat="1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3" xfId="0" applyFont="1" applyBorder="1" applyAlignment="1">
      <alignment vertical="center"/>
    </xf>
    <xf numFmtId="0" fontId="4" fillId="0" borderId="79" xfId="0" applyFont="1" applyBorder="1" applyAlignment="1">
      <alignment vertical="center"/>
    </xf>
    <xf numFmtId="0" fontId="4" fillId="0" borderId="81" xfId="0" applyFont="1" applyBorder="1" applyAlignment="1">
      <alignment vertical="center"/>
    </xf>
    <xf numFmtId="0" fontId="4" fillId="0" borderId="82" xfId="0" applyFont="1" applyBorder="1" applyAlignment="1">
      <alignment vertical="center"/>
    </xf>
    <xf numFmtId="0" fontId="4" fillId="0" borderId="88" xfId="0" applyFont="1" applyBorder="1" applyAlignment="1">
      <alignment vertical="center"/>
    </xf>
    <xf numFmtId="0" fontId="4" fillId="0" borderId="85" xfId="0" applyFont="1" applyBorder="1" applyAlignment="1">
      <alignment vertical="center"/>
    </xf>
    <xf numFmtId="38" fontId="4" fillId="0" borderId="90" xfId="0" applyNumberFormat="1" applyFont="1" applyBorder="1" applyAlignment="1">
      <alignment vertical="center"/>
    </xf>
    <xf numFmtId="38" fontId="4" fillId="0" borderId="91" xfId="0" applyNumberFormat="1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38" fontId="4" fillId="0" borderId="92" xfId="0" applyNumberFormat="1" applyFont="1" applyBorder="1" applyAlignment="1">
      <alignment vertical="center"/>
    </xf>
    <xf numFmtId="38" fontId="4" fillId="0" borderId="93" xfId="0" applyNumberFormat="1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92" xfId="0" applyFont="1" applyBorder="1" applyAlignment="1">
      <alignment vertical="center"/>
    </xf>
    <xf numFmtId="38" fontId="4" fillId="0" borderId="94" xfId="0" applyNumberFormat="1" applyFont="1" applyBorder="1" applyAlignment="1">
      <alignment vertical="center"/>
    </xf>
    <xf numFmtId="0" fontId="4" fillId="0" borderId="95" xfId="0" applyFont="1" applyBorder="1" applyAlignment="1">
      <alignment vertical="center"/>
    </xf>
    <xf numFmtId="38" fontId="4" fillId="0" borderId="95" xfId="0" applyNumberFormat="1" applyFont="1" applyBorder="1" applyAlignment="1">
      <alignment vertical="center"/>
    </xf>
    <xf numFmtId="38" fontId="4" fillId="0" borderId="68" xfId="0" applyNumberFormat="1" applyFont="1" applyBorder="1" applyAlignment="1">
      <alignment vertical="center"/>
    </xf>
    <xf numFmtId="38" fontId="4" fillId="0" borderId="52" xfId="0" applyNumberFormat="1" applyFont="1" applyBorder="1" applyAlignment="1">
      <alignment vertical="center"/>
    </xf>
    <xf numFmtId="0" fontId="4" fillId="0" borderId="72" xfId="0" applyFont="1" applyBorder="1" applyAlignment="1">
      <alignment vertical="center"/>
    </xf>
    <xf numFmtId="38" fontId="4" fillId="0" borderId="96" xfId="0" applyNumberFormat="1" applyFont="1" applyBorder="1" applyAlignment="1">
      <alignment vertical="center"/>
    </xf>
    <xf numFmtId="38" fontId="4" fillId="0" borderId="97" xfId="0" applyNumberFormat="1" applyFont="1" applyBorder="1" applyAlignment="1">
      <alignment vertical="center"/>
    </xf>
    <xf numFmtId="38" fontId="4" fillId="0" borderId="72" xfId="0" applyNumberFormat="1" applyFont="1" applyBorder="1" applyAlignment="1">
      <alignment vertical="center"/>
    </xf>
    <xf numFmtId="0" fontId="4" fillId="0" borderId="52" xfId="0" applyFont="1" applyBorder="1" applyAlignment="1">
      <alignment vertical="center"/>
    </xf>
    <xf numFmtId="0" fontId="4" fillId="0" borderId="91" xfId="0" applyFont="1" applyBorder="1" applyAlignment="1">
      <alignment vertical="center"/>
    </xf>
    <xf numFmtId="0" fontId="13" fillId="0" borderId="92" xfId="0" applyFont="1" applyBorder="1" applyAlignment="1">
      <alignment vertical="center"/>
    </xf>
    <xf numFmtId="0" fontId="4" fillId="0" borderId="93" xfId="0" applyFont="1" applyBorder="1" applyAlignment="1">
      <alignment vertical="center"/>
    </xf>
    <xf numFmtId="0" fontId="4" fillId="0" borderId="96" xfId="0" applyFont="1" applyBorder="1" applyAlignment="1">
      <alignment vertical="center"/>
    </xf>
    <xf numFmtId="0" fontId="4" fillId="0" borderId="94" xfId="0" applyFont="1" applyBorder="1" applyAlignment="1">
      <alignment vertical="center"/>
    </xf>
    <xf numFmtId="38" fontId="4" fillId="0" borderId="98" xfId="0" applyNumberFormat="1" applyFont="1" applyBorder="1" applyAlignment="1">
      <alignment vertical="center"/>
    </xf>
    <xf numFmtId="38" fontId="4" fillId="0" borderId="99" xfId="0" applyNumberFormat="1" applyFont="1" applyBorder="1" applyAlignment="1">
      <alignment vertical="center"/>
    </xf>
    <xf numFmtId="38" fontId="4" fillId="0" borderId="100" xfId="0" applyNumberFormat="1" applyFont="1" applyBorder="1" applyAlignment="1">
      <alignment vertical="center"/>
    </xf>
    <xf numFmtId="0" fontId="4" fillId="0" borderId="101" xfId="0" applyFont="1" applyBorder="1" applyAlignment="1">
      <alignment vertical="center"/>
    </xf>
    <xf numFmtId="38" fontId="4" fillId="0" borderId="102" xfId="0" applyNumberFormat="1" applyFont="1" applyBorder="1" applyAlignment="1">
      <alignment vertical="center"/>
    </xf>
    <xf numFmtId="38" fontId="4" fillId="0" borderId="103" xfId="0" applyNumberFormat="1" applyFont="1" applyBorder="1" applyAlignment="1">
      <alignment vertical="center"/>
    </xf>
    <xf numFmtId="38" fontId="4" fillId="0" borderId="104" xfId="0" applyNumberFormat="1" applyFont="1" applyBorder="1" applyAlignment="1">
      <alignment vertical="center"/>
    </xf>
    <xf numFmtId="38" fontId="4" fillId="0" borderId="77" xfId="0" applyNumberFormat="1" applyFont="1" applyBorder="1" applyAlignment="1">
      <alignment vertical="center"/>
    </xf>
    <xf numFmtId="38" fontId="4" fillId="0" borderId="105" xfId="0" applyNumberFormat="1" applyFont="1" applyBorder="1" applyAlignment="1">
      <alignment vertical="center"/>
    </xf>
    <xf numFmtId="38" fontId="4" fillId="0" borderId="106" xfId="0" applyNumberFormat="1" applyFont="1" applyBorder="1" applyAlignment="1">
      <alignment vertical="center"/>
    </xf>
    <xf numFmtId="38" fontId="4" fillId="0" borderId="101" xfId="0" applyNumberFormat="1" applyFont="1" applyBorder="1" applyAlignment="1">
      <alignment vertical="center"/>
    </xf>
    <xf numFmtId="0" fontId="4" fillId="0" borderId="100" xfId="0" applyFont="1" applyBorder="1" applyAlignment="1">
      <alignment horizontal="center" vertical="center"/>
    </xf>
    <xf numFmtId="38" fontId="4" fillId="0" borderId="107" xfId="0" applyNumberFormat="1" applyFont="1" applyBorder="1" applyAlignment="1">
      <alignment vertical="center"/>
    </xf>
    <xf numFmtId="0" fontId="4" fillId="0" borderId="105" xfId="0" applyFont="1" applyBorder="1" applyAlignment="1">
      <alignment vertical="center"/>
    </xf>
    <xf numFmtId="38" fontId="4" fillId="0" borderId="108" xfId="0" applyNumberFormat="1" applyFont="1" applyBorder="1" applyAlignment="1">
      <alignment vertical="center"/>
    </xf>
    <xf numFmtId="0" fontId="4" fillId="0" borderId="102" xfId="0" applyFont="1" applyBorder="1" applyAlignment="1">
      <alignment vertical="center"/>
    </xf>
    <xf numFmtId="0" fontId="4" fillId="0" borderId="103" xfId="0" applyFont="1" applyBorder="1" applyAlignment="1">
      <alignment vertical="center"/>
    </xf>
    <xf numFmtId="0" fontId="4" fillId="0" borderId="104" xfId="0" applyFont="1" applyBorder="1" applyAlignment="1">
      <alignment vertical="center"/>
    </xf>
    <xf numFmtId="0" fontId="4" fillId="0" borderId="107" xfId="0" applyFont="1" applyBorder="1" applyAlignment="1">
      <alignment vertical="center"/>
    </xf>
    <xf numFmtId="0" fontId="4" fillId="0" borderId="100" xfId="0" applyFont="1" applyBorder="1" applyAlignment="1">
      <alignment vertical="center"/>
    </xf>
    <xf numFmtId="0" fontId="4" fillId="0" borderId="106" xfId="0" applyFont="1" applyBorder="1" applyAlignment="1">
      <alignment vertical="center"/>
    </xf>
    <xf numFmtId="38" fontId="5" fillId="0" borderId="1" xfId="0" applyNumberFormat="1" applyFont="1" applyBorder="1" applyAlignment="1">
      <alignment vertical="center" shrinkToFit="1"/>
    </xf>
    <xf numFmtId="0" fontId="5" fillId="0" borderId="50" xfId="0" applyFont="1" applyBorder="1" applyAlignment="1">
      <alignment vertical="center" shrinkToFit="1"/>
    </xf>
    <xf numFmtId="38" fontId="5" fillId="0" borderId="30" xfId="0" applyNumberFormat="1" applyFont="1" applyBorder="1" applyAlignment="1">
      <alignment vertical="center" shrinkToFit="1"/>
    </xf>
    <xf numFmtId="38" fontId="5" fillId="0" borderId="33" xfId="0" applyNumberFormat="1" applyFont="1" applyBorder="1" applyAlignment="1">
      <alignment vertical="center" shrinkToFit="1"/>
    </xf>
    <xf numFmtId="38" fontId="5" fillId="0" borderId="36" xfId="0" applyNumberFormat="1" applyFont="1" applyBorder="1" applyAlignment="1">
      <alignment vertical="center" shrinkToFit="1"/>
    </xf>
    <xf numFmtId="0" fontId="5" fillId="0" borderId="44" xfId="0" applyFont="1" applyBorder="1" applyAlignment="1">
      <alignment vertical="center" shrinkToFit="1"/>
    </xf>
    <xf numFmtId="38" fontId="5" fillId="0" borderId="42" xfId="0" applyNumberFormat="1" applyFont="1" applyBorder="1" applyAlignment="1">
      <alignment vertical="center" shrinkToFit="1"/>
    </xf>
    <xf numFmtId="38" fontId="5" fillId="0" borderId="40" xfId="0" applyNumberFormat="1" applyFont="1" applyBorder="1" applyAlignment="1">
      <alignment vertical="center" shrinkToFit="1"/>
    </xf>
    <xf numFmtId="0" fontId="5" fillId="0" borderId="42" xfId="0" applyFont="1" applyBorder="1" applyAlignment="1">
      <alignment vertical="center" shrinkToFit="1"/>
    </xf>
    <xf numFmtId="38" fontId="5" fillId="0" borderId="63" xfId="0" applyNumberFormat="1" applyFont="1" applyBorder="1" applyAlignment="1">
      <alignment vertical="center" shrinkToFit="1"/>
    </xf>
    <xf numFmtId="38" fontId="5" fillId="0" borderId="63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vertical="center" shrinkToFit="1"/>
    </xf>
    <xf numFmtId="0" fontId="5" fillId="0" borderId="33" xfId="0" applyFont="1" applyBorder="1" applyAlignment="1">
      <alignment vertical="center" shrinkToFit="1"/>
    </xf>
    <xf numFmtId="38" fontId="5" fillId="0" borderId="53" xfId="0" applyNumberFormat="1" applyFont="1" applyBorder="1" applyAlignment="1">
      <alignment vertical="center" shrinkToFit="1"/>
    </xf>
    <xf numFmtId="38" fontId="5" fillId="0" borderId="64" xfId="0" applyNumberFormat="1" applyFont="1" applyBorder="1" applyAlignment="1">
      <alignment vertical="center" shrinkToFit="1"/>
    </xf>
    <xf numFmtId="38" fontId="5" fillId="0" borderId="50" xfId="0" applyNumberFormat="1" applyFont="1" applyBorder="1" applyAlignment="1">
      <alignment vertical="center"/>
    </xf>
    <xf numFmtId="38" fontId="5" fillId="0" borderId="44" xfId="0" applyNumberFormat="1" applyFont="1" applyBorder="1" applyAlignment="1">
      <alignment vertical="center"/>
    </xf>
    <xf numFmtId="0" fontId="5" fillId="0" borderId="69" xfId="0" applyFont="1" applyBorder="1" applyAlignment="1">
      <alignment vertical="center" shrinkToFit="1"/>
    </xf>
    <xf numFmtId="0" fontId="5" fillId="0" borderId="43" xfId="0" applyFont="1" applyBorder="1" applyAlignment="1">
      <alignment vertical="center" shrinkToFit="1"/>
    </xf>
    <xf numFmtId="38" fontId="5" fillId="0" borderId="69" xfId="0" applyNumberFormat="1" applyFont="1" applyBorder="1" applyAlignment="1">
      <alignment vertical="center"/>
    </xf>
    <xf numFmtId="38" fontId="5" fillId="0" borderId="30" xfId="0" applyNumberFormat="1" applyFont="1" applyBorder="1" applyAlignment="1">
      <alignment vertical="center"/>
    </xf>
    <xf numFmtId="38" fontId="5" fillId="0" borderId="36" xfId="0" applyNumberFormat="1" applyFont="1" applyBorder="1" applyAlignment="1">
      <alignment vertical="center"/>
    </xf>
    <xf numFmtId="0" fontId="5" fillId="0" borderId="64" xfId="0" applyFont="1" applyBorder="1" applyAlignment="1">
      <alignment vertical="center" shrinkToFit="1"/>
    </xf>
    <xf numFmtId="38" fontId="5" fillId="0" borderId="42" xfId="0" applyNumberFormat="1" applyFont="1" applyBorder="1" applyAlignment="1">
      <alignment vertical="center"/>
    </xf>
    <xf numFmtId="38" fontId="5" fillId="0" borderId="64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53" xfId="0" applyFont="1" applyBorder="1" applyAlignment="1">
      <alignment vertical="center" shrinkToFit="1"/>
    </xf>
    <xf numFmtId="0" fontId="5" fillId="0" borderId="40" xfId="0" applyFont="1" applyBorder="1" applyAlignment="1">
      <alignment vertical="center" shrinkToFit="1"/>
    </xf>
    <xf numFmtId="0" fontId="5" fillId="0" borderId="36" xfId="0" applyFont="1" applyBorder="1" applyAlignment="1">
      <alignment vertical="center" shrinkToFit="1"/>
    </xf>
    <xf numFmtId="0" fontId="5" fillId="0" borderId="44" xfId="0" applyFont="1" applyBorder="1" applyAlignment="1">
      <alignment vertical="center"/>
    </xf>
    <xf numFmtId="0" fontId="5" fillId="0" borderId="6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63" xfId="0" applyFont="1" applyBorder="1" applyAlignment="1">
      <alignment vertical="center" shrinkToFit="1"/>
    </xf>
    <xf numFmtId="0" fontId="5" fillId="0" borderId="1" xfId="0" applyFont="1" applyBorder="1" applyAlignment="1">
      <alignment vertical="center" shrinkToFit="1"/>
    </xf>
    <xf numFmtId="38" fontId="5" fillId="0" borderId="0" xfId="0" applyNumberFormat="1" applyFont="1" applyAlignment="1">
      <alignment vertical="center" shrinkToFit="1"/>
    </xf>
    <xf numFmtId="38" fontId="4" fillId="0" borderId="0" xfId="6" applyFont="1" applyAlignment="1">
      <alignment vertical="center"/>
    </xf>
    <xf numFmtId="9" fontId="4" fillId="0" borderId="1" xfId="7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177" fontId="15" fillId="0" borderId="0" xfId="0" applyNumberFormat="1" applyFont="1" applyAlignment="1">
      <alignment horizontal="center" vertical="center"/>
    </xf>
    <xf numFmtId="20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0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27" xfId="0" applyFont="1" applyBorder="1" applyAlignment="1">
      <alignment vertical="center"/>
    </xf>
    <xf numFmtId="20" fontId="15" fillId="0" borderId="27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0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5" fillId="0" borderId="23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2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20" fontId="15" fillId="0" borderId="6" xfId="0" applyNumberFormat="1" applyFont="1" applyBorder="1" applyAlignment="1">
      <alignment horizontal="center" vertical="center"/>
    </xf>
    <xf numFmtId="14" fontId="15" fillId="0" borderId="6" xfId="0" applyNumberFormat="1" applyFont="1" applyBorder="1" applyAlignment="1">
      <alignment horizontal="center" vertical="center"/>
    </xf>
    <xf numFmtId="20" fontId="15" fillId="0" borderId="22" xfId="0" applyNumberFormat="1" applyFont="1" applyBorder="1" applyAlignment="1">
      <alignment horizontal="center" vertical="center"/>
    </xf>
    <xf numFmtId="176" fontId="15" fillId="0" borderId="22" xfId="0" applyNumberFormat="1" applyFont="1" applyBorder="1" applyAlignment="1">
      <alignment horizontal="center" vertical="center"/>
    </xf>
    <xf numFmtId="38" fontId="15" fillId="0" borderId="1" xfId="0" applyNumberFormat="1" applyFont="1" applyBorder="1" applyAlignment="1">
      <alignment vertical="center"/>
    </xf>
    <xf numFmtId="38" fontId="15" fillId="0" borderId="0" xfId="0" applyNumberFormat="1" applyFont="1" applyAlignment="1">
      <alignment vertical="center"/>
    </xf>
    <xf numFmtId="38" fontId="5" fillId="0" borderId="1" xfId="4" applyFont="1" applyBorder="1" applyAlignment="1">
      <alignment vertical="center"/>
    </xf>
    <xf numFmtId="0" fontId="17" fillId="0" borderId="53" xfId="0" applyFont="1" applyBorder="1" applyAlignment="1">
      <alignment vertical="center" shrinkToFit="1"/>
    </xf>
    <xf numFmtId="0" fontId="17" fillId="0" borderId="40" xfId="0" applyFont="1" applyBorder="1" applyAlignment="1">
      <alignment vertical="center" shrinkToFit="1"/>
    </xf>
    <xf numFmtId="0" fontId="17" fillId="0" borderId="30" xfId="0" applyFont="1" applyBorder="1" applyAlignment="1">
      <alignment vertical="center" shrinkToFit="1"/>
    </xf>
    <xf numFmtId="0" fontId="17" fillId="0" borderId="36" xfId="0" applyFont="1" applyBorder="1" applyAlignment="1">
      <alignment vertical="center" shrinkToFit="1"/>
    </xf>
    <xf numFmtId="0" fontId="17" fillId="0" borderId="69" xfId="0" applyFont="1" applyBorder="1" applyAlignment="1">
      <alignment vertical="center" shrinkToFit="1"/>
    </xf>
    <xf numFmtId="0" fontId="17" fillId="0" borderId="44" xfId="0" applyFont="1" applyBorder="1" applyAlignment="1">
      <alignment vertical="center" shrinkToFit="1"/>
    </xf>
    <xf numFmtId="0" fontId="17" fillId="0" borderId="20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69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2" xfId="0" applyFont="1" applyBorder="1" applyAlignment="1">
      <alignment vertical="center"/>
    </xf>
    <xf numFmtId="0" fontId="17" fillId="0" borderId="64" xfId="0" applyFont="1" applyBorder="1" applyAlignment="1">
      <alignment vertical="center" shrinkToFit="1"/>
    </xf>
    <xf numFmtId="180" fontId="5" fillId="5" borderId="2" xfId="5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98" xfId="0" applyFont="1" applyBorder="1" applyAlignment="1">
      <alignment vertical="center"/>
    </xf>
    <xf numFmtId="38" fontId="4" fillId="0" borderId="109" xfId="0" applyNumberFormat="1" applyFont="1" applyBorder="1" applyAlignment="1">
      <alignment vertical="center"/>
    </xf>
    <xf numFmtId="38" fontId="4" fillId="0" borderId="110" xfId="0" applyNumberFormat="1" applyFont="1" applyBorder="1" applyAlignment="1">
      <alignment vertical="center"/>
    </xf>
    <xf numFmtId="38" fontId="4" fillId="0" borderId="111" xfId="0" applyNumberFormat="1" applyFont="1" applyBorder="1" applyAlignment="1">
      <alignment vertical="center"/>
    </xf>
    <xf numFmtId="38" fontId="4" fillId="0" borderId="112" xfId="0" applyNumberFormat="1" applyFont="1" applyBorder="1" applyAlignment="1">
      <alignment vertical="center"/>
    </xf>
    <xf numFmtId="38" fontId="4" fillId="0" borderId="113" xfId="0" applyNumberFormat="1" applyFont="1" applyBorder="1" applyAlignment="1">
      <alignment vertical="center"/>
    </xf>
    <xf numFmtId="38" fontId="4" fillId="0" borderId="114" xfId="0" applyNumberFormat="1" applyFont="1" applyBorder="1" applyAlignment="1">
      <alignment vertical="center"/>
    </xf>
    <xf numFmtId="38" fontId="4" fillId="0" borderId="115" xfId="0" applyNumberFormat="1" applyFont="1" applyBorder="1" applyAlignment="1">
      <alignment vertical="center"/>
    </xf>
    <xf numFmtId="0" fontId="4" fillId="0" borderId="112" xfId="0" applyFont="1" applyBorder="1" applyAlignment="1">
      <alignment vertical="center"/>
    </xf>
    <xf numFmtId="38" fontId="4" fillId="0" borderId="6" xfId="0" applyNumberFormat="1" applyFont="1" applyBorder="1" applyAlignment="1">
      <alignment vertical="center"/>
    </xf>
    <xf numFmtId="38" fontId="4" fillId="0" borderId="116" xfId="0" applyNumberFormat="1" applyFont="1" applyBorder="1" applyAlignment="1">
      <alignment vertical="center"/>
    </xf>
    <xf numFmtId="0" fontId="4" fillId="0" borderId="116" xfId="0" applyFont="1" applyBorder="1" applyAlignment="1">
      <alignment vertical="center"/>
    </xf>
    <xf numFmtId="0" fontId="4" fillId="0" borderId="115" xfId="0" applyFont="1" applyBorder="1" applyAlignment="1">
      <alignment vertical="center"/>
    </xf>
    <xf numFmtId="0" fontId="4" fillId="0" borderId="114" xfId="0" applyFont="1" applyBorder="1" applyAlignment="1">
      <alignment vertical="center"/>
    </xf>
    <xf numFmtId="0" fontId="4" fillId="0" borderId="109" xfId="0" applyFont="1" applyBorder="1" applyAlignment="1">
      <alignment vertical="center"/>
    </xf>
    <xf numFmtId="0" fontId="4" fillId="0" borderId="111" xfId="0" applyFont="1" applyBorder="1" applyAlignment="1">
      <alignment vertical="center"/>
    </xf>
    <xf numFmtId="0" fontId="4" fillId="0" borderId="113" xfId="0" applyFont="1" applyBorder="1" applyAlignment="1">
      <alignment vertical="center"/>
    </xf>
    <xf numFmtId="6" fontId="4" fillId="0" borderId="109" xfId="0" applyNumberFormat="1" applyFont="1" applyBorder="1" applyAlignment="1">
      <alignment vertical="center"/>
    </xf>
    <xf numFmtId="178" fontId="5" fillId="0" borderId="16" xfId="5" applyNumberFormat="1" applyFont="1" applyBorder="1" applyAlignment="1">
      <alignment horizontal="center" vertical="center"/>
    </xf>
    <xf numFmtId="178" fontId="5" fillId="0" borderId="2" xfId="5" applyNumberFormat="1" applyFont="1" applyBorder="1" applyAlignment="1">
      <alignment horizontal="center" vertical="center" shrinkToFit="1"/>
    </xf>
    <xf numFmtId="178" fontId="5" fillId="0" borderId="2" xfId="5" applyNumberFormat="1" applyFont="1" applyBorder="1" applyAlignment="1">
      <alignment vertical="center" shrinkToFit="1"/>
    </xf>
    <xf numFmtId="178" fontId="5" fillId="0" borderId="0" xfId="5" applyNumberFormat="1" applyFont="1" applyBorder="1" applyAlignment="1">
      <alignment shrinkToFit="1"/>
    </xf>
    <xf numFmtId="178" fontId="5" fillId="0" borderId="3" xfId="4" applyNumberFormat="1" applyFont="1" applyBorder="1" applyAlignment="1">
      <alignment horizontal="center" vertical="center"/>
    </xf>
    <xf numFmtId="178" fontId="5" fillId="0" borderId="0" xfId="5" applyNumberFormat="1" applyFont="1" applyBorder="1"/>
    <xf numFmtId="0" fontId="4" fillId="0" borderId="90" xfId="0" applyFont="1" applyBorder="1" applyAlignment="1">
      <alignment vertical="center"/>
    </xf>
    <xf numFmtId="38" fontId="4" fillId="0" borderId="117" xfId="0" applyNumberFormat="1" applyFont="1" applyBorder="1" applyAlignment="1">
      <alignment vertical="center"/>
    </xf>
    <xf numFmtId="0" fontId="4" fillId="0" borderId="117" xfId="0" applyFont="1" applyBorder="1" applyAlignment="1">
      <alignment vertical="center"/>
    </xf>
    <xf numFmtId="0" fontId="4" fillId="0" borderId="117" xfId="0" applyFont="1" applyBorder="1" applyAlignment="1">
      <alignment horizontal="center" vertical="center"/>
    </xf>
    <xf numFmtId="38" fontId="4" fillId="0" borderId="118" xfId="0" applyNumberFormat="1" applyFont="1" applyBorder="1" applyAlignment="1">
      <alignment vertical="center"/>
    </xf>
    <xf numFmtId="0" fontId="4" fillId="0" borderId="119" xfId="0" applyFont="1" applyBorder="1" applyAlignment="1">
      <alignment vertical="center"/>
    </xf>
    <xf numFmtId="38" fontId="4" fillId="0" borderId="120" xfId="0" applyNumberFormat="1" applyFont="1" applyBorder="1" applyAlignment="1">
      <alignment vertical="center"/>
    </xf>
    <xf numFmtId="38" fontId="4" fillId="0" borderId="121" xfId="0" applyNumberFormat="1" applyFont="1" applyBorder="1" applyAlignment="1">
      <alignment vertical="center"/>
    </xf>
    <xf numFmtId="38" fontId="4" fillId="0" borderId="122" xfId="0" applyNumberFormat="1" applyFont="1" applyBorder="1" applyAlignment="1">
      <alignment vertical="center"/>
    </xf>
    <xf numFmtId="38" fontId="4" fillId="0" borderId="123" xfId="0" applyNumberFormat="1" applyFont="1" applyBorder="1" applyAlignment="1">
      <alignment vertical="center"/>
    </xf>
    <xf numFmtId="38" fontId="4" fillId="0" borderId="124" xfId="0" applyNumberFormat="1" applyFont="1" applyBorder="1" applyAlignment="1">
      <alignment vertical="center"/>
    </xf>
    <xf numFmtId="38" fontId="4" fillId="0" borderId="125" xfId="0" applyNumberFormat="1" applyFont="1" applyBorder="1" applyAlignment="1">
      <alignment vertical="center"/>
    </xf>
    <xf numFmtId="38" fontId="4" fillId="0" borderId="126" xfId="0" applyNumberFormat="1" applyFont="1" applyBorder="1" applyAlignment="1">
      <alignment vertical="center"/>
    </xf>
    <xf numFmtId="38" fontId="4" fillId="0" borderId="119" xfId="0" applyNumberFormat="1" applyFont="1" applyBorder="1" applyAlignment="1">
      <alignment vertical="center"/>
    </xf>
    <xf numFmtId="38" fontId="4" fillId="0" borderId="127" xfId="0" applyNumberFormat="1" applyFont="1" applyBorder="1" applyAlignment="1">
      <alignment vertical="center"/>
    </xf>
    <xf numFmtId="38" fontId="4" fillId="0" borderId="128" xfId="0" applyNumberFormat="1" applyFont="1" applyBorder="1" applyAlignment="1">
      <alignment vertical="center"/>
    </xf>
    <xf numFmtId="38" fontId="4" fillId="0" borderId="129" xfId="0" applyNumberFormat="1" applyFont="1" applyBorder="1" applyAlignment="1">
      <alignment vertical="center"/>
    </xf>
    <xf numFmtId="0" fontId="4" fillId="0" borderId="123" xfId="0" applyFont="1" applyBorder="1" applyAlignment="1">
      <alignment vertical="center"/>
    </xf>
    <xf numFmtId="38" fontId="4" fillId="0" borderId="130" xfId="0" applyNumberFormat="1" applyFont="1" applyBorder="1" applyAlignment="1">
      <alignment vertical="center"/>
    </xf>
    <xf numFmtId="0" fontId="4" fillId="0" borderId="128" xfId="0" applyFont="1" applyBorder="1" applyAlignment="1">
      <alignment vertical="center"/>
    </xf>
    <xf numFmtId="0" fontId="4" fillId="0" borderId="127" xfId="0" applyFont="1" applyBorder="1" applyAlignment="1">
      <alignment vertical="center"/>
    </xf>
    <xf numFmtId="0" fontId="4" fillId="0" borderId="125" xfId="0" applyFont="1" applyBorder="1" applyAlignment="1">
      <alignment vertical="center"/>
    </xf>
    <xf numFmtId="0" fontId="4" fillId="0" borderId="120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4" fillId="0" borderId="129" xfId="0" applyFont="1" applyBorder="1" applyAlignment="1">
      <alignment vertical="center"/>
    </xf>
    <xf numFmtId="0" fontId="4" fillId="0" borderId="131" xfId="0" applyFont="1" applyBorder="1" applyAlignment="1">
      <alignment vertical="center"/>
    </xf>
    <xf numFmtId="0" fontId="4" fillId="0" borderId="126" xfId="0" applyFont="1" applyBorder="1" applyAlignment="1">
      <alignment vertical="center"/>
    </xf>
    <xf numFmtId="182" fontId="4" fillId="0" borderId="102" xfId="0" applyNumberFormat="1" applyFont="1" applyBorder="1" applyAlignment="1">
      <alignment vertical="center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5" fillId="0" borderId="27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center" vertical="center"/>
    </xf>
    <xf numFmtId="0" fontId="15" fillId="0" borderId="23" xfId="0" applyFont="1" applyFill="1" applyBorder="1" applyAlignment="1">
      <alignment horizontal="center" vertical="center"/>
    </xf>
    <xf numFmtId="0" fontId="15" fillId="0" borderId="22" xfId="0" applyFont="1" applyFill="1" applyBorder="1" applyAlignment="1">
      <alignment horizontal="center" vertical="center"/>
    </xf>
  </cellXfs>
  <cellStyles count="8">
    <cellStyle name="パーセント" xfId="7" builtinId="5"/>
    <cellStyle name="パーセント 2" xfId="3" xr:uid="{E7C91BFF-44E4-458B-99D5-6EC0D8A9043B}"/>
    <cellStyle name="桁区切り" xfId="6" builtinId="6"/>
    <cellStyle name="桁区切り 2" xfId="4" xr:uid="{AC9FDEE1-8FA9-4D91-AF9B-C1469AF53988}"/>
    <cellStyle name="標準" xfId="0" builtinId="0"/>
    <cellStyle name="標準 2" xfId="1" xr:uid="{54393D08-B48C-4FDA-A8F4-095286B17836}"/>
    <cellStyle name="標準 2 2" xfId="2" xr:uid="{5DCD0585-1090-45C3-898C-26C55DDFA39E}"/>
    <cellStyle name="標準 2 2 2" xfId="5" xr:uid="{057410F9-5A28-4D4C-8B91-09C1D22E4948}"/>
  </cellStyles>
  <dxfs count="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景品DB-style" pivot="0" count="3" xr9:uid="{00000000-0011-0000-FFFF-FFFF00000000}">
      <tableStyleElement type="headerRow" dxfId="119"/>
      <tableStyleElement type="firstRowStripe" dxfId="118"/>
      <tableStyleElement type="secondRowStripe" dxfId="1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4775-C9BE-42CF-8AD3-CAFF7A0EF1FD}">
  <dimension ref="A1:AT272"/>
  <sheetViews>
    <sheetView zoomScale="110" zoomScaleNormal="110" workbookViewId="0">
      <pane xSplit="2" ySplit="2" topLeftCell="V3" activePane="bottomRight" state="frozen"/>
      <selection pane="bottomLeft" activeCell="C11" sqref="C11"/>
      <selection pane="topRight" activeCell="C11" sqref="C11"/>
      <selection pane="bottomRight" activeCell="W240" sqref="W240"/>
    </sheetView>
  </sheetViews>
  <sheetFormatPr defaultColWidth="10.89453125" defaultRowHeight="11.25" x14ac:dyDescent="0.15"/>
  <cols>
    <col min="1" max="1" width="11.43359375" style="1" customWidth="1"/>
    <col min="2" max="2" width="7.26171875" style="1" customWidth="1"/>
    <col min="3" max="3" width="8.203125" style="1" customWidth="1"/>
    <col min="4" max="6" width="8.203125" style="84" customWidth="1"/>
    <col min="7" max="45" width="8.203125" style="1" customWidth="1"/>
    <col min="46" max="16384" width="10.89453125" style="1"/>
  </cols>
  <sheetData>
    <row r="1" spans="1:46" x14ac:dyDescent="0.15">
      <c r="A1" s="48">
        <f>SUM(A62,A74,A86,A98,A14,A26,A38,A50,A206,A218,A230,A242,A110,A122,A134,A146,A158,A170,A182,A194,A254,A266)</f>
        <v>1082400</v>
      </c>
      <c r="B1" s="47" t="s">
        <v>0</v>
      </c>
      <c r="C1" s="46">
        <v>46157</v>
      </c>
      <c r="D1" s="46">
        <v>46158</v>
      </c>
      <c r="E1" s="46">
        <v>46159</v>
      </c>
      <c r="F1" s="46">
        <v>46160</v>
      </c>
      <c r="G1" s="46">
        <v>46161</v>
      </c>
      <c r="H1" s="46">
        <v>46162</v>
      </c>
      <c r="I1" s="46">
        <v>46163</v>
      </c>
      <c r="J1" s="46">
        <f t="shared" ref="J1" si="0">I1+1</f>
        <v>46164</v>
      </c>
      <c r="K1" s="46">
        <f t="shared" ref="K1" si="1">J1+1</f>
        <v>46165</v>
      </c>
      <c r="L1" s="46">
        <f t="shared" ref="L1" si="2">K1+1</f>
        <v>46166</v>
      </c>
      <c r="M1" s="46">
        <f t="shared" ref="M1" si="3">L1+1</f>
        <v>46167</v>
      </c>
      <c r="N1" s="46">
        <f t="shared" ref="N1" si="4">M1+1</f>
        <v>46168</v>
      </c>
      <c r="O1" s="46">
        <f t="shared" ref="O1" si="5">N1+1</f>
        <v>46169</v>
      </c>
      <c r="P1" s="46">
        <f t="shared" ref="P1" si="6">O1+1</f>
        <v>46170</v>
      </c>
      <c r="Q1" s="46">
        <f t="shared" ref="Q1" si="7">P1+1</f>
        <v>46171</v>
      </c>
      <c r="R1" s="46">
        <f t="shared" ref="R1" si="8">Q1+1</f>
        <v>46172</v>
      </c>
      <c r="S1" s="46">
        <f t="shared" ref="S1" si="9">R1+1</f>
        <v>46173</v>
      </c>
      <c r="T1" s="46">
        <f t="shared" ref="T1" si="10">S1+1</f>
        <v>46174</v>
      </c>
      <c r="U1" s="46">
        <f t="shared" ref="U1" si="11">T1+1</f>
        <v>46175</v>
      </c>
      <c r="V1" s="46">
        <f t="shared" ref="V1" si="12">U1+1</f>
        <v>46176</v>
      </c>
      <c r="W1" s="46">
        <f t="shared" ref="W1" si="13">V1+1</f>
        <v>46177</v>
      </c>
      <c r="X1" s="46">
        <f t="shared" ref="X1" si="14">W1+1</f>
        <v>46178</v>
      </c>
      <c r="Y1" s="46">
        <f t="shared" ref="Y1" si="15">X1+1</f>
        <v>46179</v>
      </c>
      <c r="Z1" s="46">
        <f t="shared" ref="Z1" si="16">Y1+1</f>
        <v>46180</v>
      </c>
      <c r="AA1" s="46">
        <f t="shared" ref="AA1" si="17">Z1+1</f>
        <v>46181</v>
      </c>
      <c r="AB1" s="46">
        <f t="shared" ref="AB1" si="18">AA1+1</f>
        <v>46182</v>
      </c>
      <c r="AC1" s="46">
        <f t="shared" ref="AC1" si="19">AB1+1</f>
        <v>46183</v>
      </c>
      <c r="AD1" s="46">
        <f t="shared" ref="AD1" si="20">AC1+1</f>
        <v>46184</v>
      </c>
      <c r="AE1" s="46">
        <f t="shared" ref="AE1" si="21">AD1+1</f>
        <v>46185</v>
      </c>
      <c r="AF1" s="46">
        <f t="shared" ref="AF1" si="22">AE1+1</f>
        <v>46186</v>
      </c>
      <c r="AG1" s="46">
        <f t="shared" ref="AG1" si="23">AF1+1</f>
        <v>46187</v>
      </c>
      <c r="AH1" s="46">
        <f t="shared" ref="AH1" si="24">AG1+1</f>
        <v>46188</v>
      </c>
      <c r="AI1" s="46">
        <f t="shared" ref="AI1" si="25">AH1+1</f>
        <v>46189</v>
      </c>
      <c r="AJ1" s="46">
        <f t="shared" ref="AJ1" si="26">AI1+1</f>
        <v>46190</v>
      </c>
      <c r="AK1" s="46">
        <f t="shared" ref="AK1" si="27">AJ1+1</f>
        <v>46191</v>
      </c>
      <c r="AL1" s="46">
        <f t="shared" ref="AL1" si="28">AK1+1</f>
        <v>46192</v>
      </c>
      <c r="AM1" s="46">
        <f t="shared" ref="AM1" si="29">AL1+1</f>
        <v>46193</v>
      </c>
      <c r="AN1" s="46">
        <f t="shared" ref="AN1" si="30">AM1+1</f>
        <v>46194</v>
      </c>
      <c r="AO1" s="46">
        <f t="shared" ref="AO1" si="31">AN1+1</f>
        <v>46195</v>
      </c>
      <c r="AP1" s="46">
        <f t="shared" ref="AP1" si="32">AO1+1</f>
        <v>46196</v>
      </c>
      <c r="AQ1" s="46">
        <f t="shared" ref="AQ1" si="33">AP1+1</f>
        <v>46197</v>
      </c>
      <c r="AR1" s="46">
        <f t="shared" ref="AR1" si="34">AQ1+1</f>
        <v>46198</v>
      </c>
      <c r="AS1" s="46">
        <f t="shared" ref="AS1" si="35">AR1+1</f>
        <v>46199</v>
      </c>
    </row>
    <row r="2" spans="1:46" x14ac:dyDescent="0.15">
      <c r="A2" s="98"/>
      <c r="B2" s="44">
        <f>SUM(C2:AO2)</f>
        <v>3608</v>
      </c>
      <c r="C2" s="43">
        <v>0</v>
      </c>
      <c r="D2" s="43">
        <v>0</v>
      </c>
      <c r="E2" s="43">
        <v>1432</v>
      </c>
      <c r="F2" s="43">
        <v>0</v>
      </c>
      <c r="G2" s="43">
        <v>0</v>
      </c>
      <c r="H2" s="43">
        <v>0</v>
      </c>
      <c r="I2" s="43">
        <v>821</v>
      </c>
      <c r="J2" s="43">
        <f t="shared" ref="H2:AM2" si="36">SUM(J63,J75,J87,J99,J15,J27,J39,J51,J207,J219,J231,J243,J195,J183,J171,J159,J147,J135,J123,J111,J255,J267)</f>
        <v>0</v>
      </c>
      <c r="K2" s="43">
        <f t="shared" si="36"/>
        <v>0</v>
      </c>
      <c r="L2" s="43">
        <f t="shared" si="36"/>
        <v>1355</v>
      </c>
      <c r="M2" s="43">
        <f t="shared" si="36"/>
        <v>0</v>
      </c>
      <c r="N2" s="43">
        <f t="shared" si="36"/>
        <v>0</v>
      </c>
      <c r="O2" s="43">
        <f t="shared" si="36"/>
        <v>0</v>
      </c>
      <c r="P2" s="43">
        <f t="shared" si="36"/>
        <v>0</v>
      </c>
      <c r="Q2" s="43">
        <f t="shared" si="36"/>
        <v>0</v>
      </c>
      <c r="R2" s="43">
        <f t="shared" si="36"/>
        <v>0</v>
      </c>
      <c r="S2" s="43">
        <f t="shared" si="36"/>
        <v>0</v>
      </c>
      <c r="T2" s="43">
        <f t="shared" si="36"/>
        <v>0</v>
      </c>
      <c r="U2" s="43">
        <f t="shared" si="36"/>
        <v>0</v>
      </c>
      <c r="V2" s="43">
        <f t="shared" si="36"/>
        <v>0</v>
      </c>
      <c r="W2" s="43">
        <f t="shared" si="36"/>
        <v>0</v>
      </c>
      <c r="X2" s="43">
        <f t="shared" si="36"/>
        <v>0</v>
      </c>
      <c r="Y2" s="43">
        <f t="shared" si="36"/>
        <v>0</v>
      </c>
      <c r="Z2" s="43">
        <f t="shared" si="36"/>
        <v>0</v>
      </c>
      <c r="AA2" s="43">
        <f t="shared" si="36"/>
        <v>0</v>
      </c>
      <c r="AB2" s="43">
        <f t="shared" si="36"/>
        <v>0</v>
      </c>
      <c r="AC2" s="43">
        <f t="shared" si="36"/>
        <v>0</v>
      </c>
      <c r="AD2" s="43">
        <f t="shared" si="36"/>
        <v>0</v>
      </c>
      <c r="AE2" s="43">
        <f t="shared" si="36"/>
        <v>0</v>
      </c>
      <c r="AF2" s="43">
        <f t="shared" si="36"/>
        <v>0</v>
      </c>
      <c r="AG2" s="43">
        <f t="shared" si="36"/>
        <v>0</v>
      </c>
      <c r="AH2" s="43">
        <f t="shared" si="36"/>
        <v>0</v>
      </c>
      <c r="AI2" s="43">
        <f t="shared" si="36"/>
        <v>0</v>
      </c>
      <c r="AJ2" s="43">
        <f t="shared" si="36"/>
        <v>0</v>
      </c>
      <c r="AK2" s="43">
        <f t="shared" si="36"/>
        <v>0</v>
      </c>
      <c r="AL2" s="43">
        <f t="shared" si="36"/>
        <v>0</v>
      </c>
      <c r="AM2" s="43">
        <f t="shared" si="36"/>
        <v>0</v>
      </c>
      <c r="AN2" s="43">
        <f t="shared" ref="D2:AN2" si="37">SUM(AN63,AN75,AN87,AN99,AN15,AN27,AN39,AN51,AN207,AN219,AN231,AN243,AN195,AN183,AN171,AN159,AN147,AN135,AN123,AN111,AN255,AN267)</f>
        <v>0</v>
      </c>
      <c r="AO2" s="43">
        <f t="shared" ref="AO2:AS2" si="38">SUM(AO63,AO75,AO87,AO99,AO15,AO27,AO39,AO51,AO207,AO219,AO231,AO243,AO195,AO183,AO171,AO159,AO147,AO135,AO123,AO111,AO255,AO267)</f>
        <v>0</v>
      </c>
      <c r="AP2" s="43">
        <f t="shared" si="38"/>
        <v>0</v>
      </c>
      <c r="AQ2" s="43">
        <f t="shared" si="38"/>
        <v>0</v>
      </c>
      <c r="AR2" s="43">
        <f t="shared" si="38"/>
        <v>0</v>
      </c>
      <c r="AS2" s="43">
        <f t="shared" si="38"/>
        <v>0</v>
      </c>
    </row>
    <row r="3" spans="1:46" s="388" customFormat="1" x14ac:dyDescent="0.15">
      <c r="A3" s="385" t="s">
        <v>342</v>
      </c>
      <c r="B3" s="386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7"/>
      <c r="AJ3" s="387"/>
      <c r="AK3" s="387"/>
      <c r="AL3" s="387"/>
      <c r="AM3" s="387"/>
      <c r="AN3" s="387"/>
      <c r="AO3" s="387"/>
      <c r="AP3" s="387"/>
      <c r="AQ3" s="387"/>
      <c r="AR3" s="387"/>
      <c r="AS3" s="387"/>
    </row>
    <row r="4" spans="1:46" s="388" customFormat="1" x14ac:dyDescent="0.15">
      <c r="A4" s="385" t="s">
        <v>343</v>
      </c>
      <c r="B4" s="386"/>
      <c r="C4" s="387"/>
      <c r="D4" s="387"/>
      <c r="E4" s="387"/>
      <c r="F4" s="387"/>
      <c r="G4" s="387"/>
      <c r="H4" s="387"/>
      <c r="I4" s="387"/>
      <c r="J4" s="387"/>
      <c r="K4" s="387"/>
      <c r="L4" s="387"/>
      <c r="M4" s="387"/>
      <c r="N4" s="387"/>
      <c r="O4" s="387"/>
      <c r="P4" s="387"/>
      <c r="Q4" s="387"/>
      <c r="R4" s="387"/>
      <c r="S4" s="387"/>
      <c r="T4" s="387"/>
      <c r="U4" s="387"/>
      <c r="V4" s="387"/>
      <c r="W4" s="387"/>
      <c r="X4" s="387"/>
      <c r="Y4" s="387"/>
      <c r="Z4" s="387"/>
      <c r="AA4" s="387"/>
      <c r="AB4" s="387"/>
      <c r="AC4" s="387"/>
      <c r="AD4" s="387"/>
      <c r="AE4" s="387"/>
      <c r="AF4" s="387"/>
      <c r="AG4" s="387"/>
      <c r="AH4" s="387"/>
      <c r="AI4" s="387"/>
      <c r="AJ4" s="387"/>
      <c r="AK4" s="387"/>
      <c r="AL4" s="387"/>
      <c r="AM4" s="387"/>
      <c r="AN4" s="387"/>
      <c r="AO4" s="387"/>
      <c r="AP4" s="387"/>
      <c r="AQ4" s="387"/>
      <c r="AR4" s="387"/>
      <c r="AS4" s="387"/>
    </row>
    <row r="5" spans="1:46" s="388" customFormat="1" x14ac:dyDescent="0.15">
      <c r="A5" s="385" t="s">
        <v>344</v>
      </c>
      <c r="B5" s="386"/>
      <c r="C5" s="387"/>
      <c r="D5" s="387"/>
      <c r="E5" s="387">
        <v>1140</v>
      </c>
      <c r="F5" s="387"/>
      <c r="G5" s="387"/>
      <c r="H5" s="387"/>
      <c r="I5" s="387"/>
      <c r="J5" s="387"/>
      <c r="K5" s="387"/>
      <c r="L5" s="387">
        <v>2680</v>
      </c>
      <c r="M5" s="387"/>
      <c r="N5" s="387"/>
      <c r="O5" s="387"/>
      <c r="P5" s="387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  <c r="AK5" s="387"/>
      <c r="AL5" s="387"/>
      <c r="AM5" s="387"/>
      <c r="AN5" s="387"/>
      <c r="AO5" s="387"/>
      <c r="AP5" s="387"/>
      <c r="AQ5" s="387"/>
      <c r="AR5" s="387"/>
      <c r="AS5" s="387"/>
    </row>
    <row r="6" spans="1:46" s="388" customFormat="1" x14ac:dyDescent="0.15">
      <c r="A6" s="385" t="s">
        <v>345</v>
      </c>
      <c r="B6" s="386"/>
      <c r="C6" s="387"/>
      <c r="D6" s="387"/>
      <c r="E6" s="387">
        <v>91</v>
      </c>
      <c r="F6" s="387"/>
      <c r="G6" s="387"/>
      <c r="H6" s="387"/>
      <c r="I6" s="387"/>
      <c r="J6" s="387"/>
      <c r="K6" s="387"/>
      <c r="L6" s="387">
        <v>204</v>
      </c>
      <c r="M6" s="387"/>
      <c r="N6" s="387"/>
      <c r="O6" s="387"/>
      <c r="P6" s="387"/>
      <c r="Q6" s="387"/>
      <c r="R6" s="387"/>
      <c r="S6" s="387"/>
      <c r="T6" s="387"/>
      <c r="U6" s="387"/>
      <c r="V6" s="387"/>
      <c r="W6" s="387"/>
      <c r="X6" s="387"/>
      <c r="Y6" s="387"/>
      <c r="Z6" s="387"/>
      <c r="AA6" s="387"/>
      <c r="AB6" s="387"/>
      <c r="AC6" s="387"/>
      <c r="AD6" s="387"/>
      <c r="AE6" s="387"/>
      <c r="AF6" s="387"/>
      <c r="AG6" s="387"/>
      <c r="AH6" s="387"/>
      <c r="AI6" s="387"/>
      <c r="AJ6" s="387"/>
      <c r="AK6" s="387"/>
      <c r="AL6" s="387"/>
      <c r="AM6" s="387"/>
      <c r="AN6" s="387"/>
      <c r="AO6" s="387"/>
      <c r="AP6" s="387"/>
      <c r="AQ6" s="387"/>
      <c r="AR6" s="387"/>
      <c r="AS6" s="387"/>
    </row>
    <row r="7" spans="1:46" s="388" customFormat="1" ht="12" thickBot="1" x14ac:dyDescent="0.2">
      <c r="A7" s="385" t="s">
        <v>346</v>
      </c>
      <c r="B7" s="386"/>
      <c r="C7" s="387"/>
      <c r="D7" s="387"/>
      <c r="E7" s="387">
        <v>46</v>
      </c>
      <c r="F7" s="387"/>
      <c r="G7" s="387"/>
      <c r="H7" s="387"/>
      <c r="I7" s="387"/>
      <c r="J7" s="387"/>
      <c r="K7" s="387"/>
      <c r="L7" s="387">
        <v>128</v>
      </c>
      <c r="M7" s="387"/>
      <c r="N7" s="387"/>
      <c r="O7" s="387"/>
      <c r="P7" s="387"/>
      <c r="Q7" s="387"/>
      <c r="R7" s="387"/>
      <c r="S7" s="387"/>
      <c r="T7" s="387"/>
      <c r="U7" s="387"/>
      <c r="V7" s="387"/>
      <c r="W7" s="387"/>
      <c r="X7" s="387"/>
      <c r="Y7" s="387"/>
      <c r="Z7" s="387"/>
      <c r="AA7" s="387"/>
      <c r="AB7" s="387"/>
      <c r="AC7" s="387"/>
      <c r="AD7" s="387"/>
      <c r="AE7" s="387"/>
      <c r="AF7" s="387"/>
      <c r="AG7" s="387"/>
      <c r="AH7" s="387"/>
      <c r="AI7" s="387"/>
      <c r="AJ7" s="387"/>
      <c r="AK7" s="387"/>
      <c r="AL7" s="387"/>
      <c r="AM7" s="387"/>
      <c r="AN7" s="387"/>
      <c r="AO7" s="387"/>
      <c r="AP7" s="387"/>
      <c r="AQ7" s="387"/>
      <c r="AR7" s="387"/>
      <c r="AS7" s="387"/>
    </row>
    <row r="8" spans="1:46" x14ac:dyDescent="0.15">
      <c r="A8" s="22" t="s">
        <v>1</v>
      </c>
      <c r="B8" s="21" t="s">
        <v>2</v>
      </c>
      <c r="C8" s="20">
        <v>5280</v>
      </c>
      <c r="D8" s="20">
        <v>5280</v>
      </c>
      <c r="E8" s="20">
        <v>5315</v>
      </c>
      <c r="F8" s="20">
        <v>5315</v>
      </c>
      <c r="G8" s="20">
        <v>5315</v>
      </c>
      <c r="H8" s="20">
        <v>5315</v>
      </c>
      <c r="I8" s="20">
        <v>5335</v>
      </c>
      <c r="J8" s="20">
        <v>5335</v>
      </c>
      <c r="K8" s="20">
        <v>5335</v>
      </c>
      <c r="L8" s="20">
        <v>5396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</row>
    <row r="9" spans="1:46" x14ac:dyDescent="0.15">
      <c r="A9" s="16" t="s">
        <v>3</v>
      </c>
      <c r="B9" s="9" t="s">
        <v>4</v>
      </c>
      <c r="C9" s="8">
        <v>351</v>
      </c>
      <c r="D9" s="8">
        <v>351</v>
      </c>
      <c r="E9" s="8">
        <v>357</v>
      </c>
      <c r="F9" s="8">
        <v>357</v>
      </c>
      <c r="G9" s="8">
        <v>357</v>
      </c>
      <c r="H9" s="8">
        <v>357</v>
      </c>
      <c r="I9" s="8">
        <v>359</v>
      </c>
      <c r="J9" s="8">
        <f>IF(J8="","",I9)</f>
        <v>359</v>
      </c>
      <c r="K9" s="8">
        <f t="shared" ref="K9" si="39">IF(K8="","",J9)</f>
        <v>359</v>
      </c>
      <c r="L9" s="8">
        <v>365</v>
      </c>
      <c r="M9" s="8" t="str">
        <f>IF(M8="","",L9)</f>
        <v/>
      </c>
      <c r="N9" s="8" t="str">
        <f t="shared" ref="N9" si="40">IF(N8="","",M9)</f>
        <v/>
      </c>
      <c r="O9" s="8" t="str">
        <f t="shared" ref="O9" si="41">IF(O8="","",N9)</f>
        <v/>
      </c>
      <c r="P9" s="8" t="str">
        <f>IF(P8="","",O9)</f>
        <v/>
      </c>
      <c r="Q9" s="8" t="str">
        <f>IF(Q8="","",P9)</f>
        <v/>
      </c>
      <c r="R9" s="8" t="str">
        <f t="shared" ref="R9" si="42">IF(R8="","",Q9)</f>
        <v/>
      </c>
      <c r="S9" s="8" t="str">
        <f>IF(S8="","",R9)</f>
        <v/>
      </c>
      <c r="T9" s="8" t="str">
        <f>IF(T8="","",S9)</f>
        <v/>
      </c>
      <c r="U9" s="8" t="str">
        <f t="shared" ref="U9" si="43">IF(U8="","",T9)</f>
        <v/>
      </c>
      <c r="V9" s="8" t="str">
        <f t="shared" ref="V9" si="44">IF(V8="","",U9)</f>
        <v/>
      </c>
      <c r="W9" s="8" t="str">
        <f>IF(W8="","",V9)</f>
        <v/>
      </c>
      <c r="X9" s="8" t="str">
        <f>IF(X8="","",W9)</f>
        <v/>
      </c>
      <c r="Y9" s="8" t="str">
        <f>IF(Y8="","",X9)</f>
        <v/>
      </c>
      <c r="Z9" s="8" t="str">
        <f>IF(Z8="","",Y9)</f>
        <v/>
      </c>
      <c r="AA9" s="8" t="str">
        <f>IF(AA8="","",Z9)</f>
        <v/>
      </c>
      <c r="AB9" s="8" t="str">
        <f t="shared" ref="AB9" si="45">IF(AB8="","",AA9)</f>
        <v/>
      </c>
      <c r="AC9" s="8" t="str">
        <f t="shared" ref="AC9" si="46">IF(AC8="","",AB9)</f>
        <v/>
      </c>
      <c r="AD9" s="8" t="str">
        <f>IF(AD8="","",AC9)</f>
        <v/>
      </c>
      <c r="AE9" s="8" t="str">
        <f>IF(AE8="","",AD9)</f>
        <v/>
      </c>
      <c r="AF9" s="8" t="str">
        <f t="shared" ref="AF9" si="47">IF(AF8="","",AE9)</f>
        <v/>
      </c>
      <c r="AG9" s="8" t="str">
        <f>IF(AG8="","",AF9)</f>
        <v/>
      </c>
      <c r="AH9" s="8" t="str">
        <f t="shared" ref="AH9" si="48">IF(AH8="","",AG9)</f>
        <v/>
      </c>
      <c r="AI9" s="8" t="str">
        <f t="shared" ref="AI9" si="49">IF(AI8="","",AH9)</f>
        <v/>
      </c>
      <c r="AJ9" s="8" t="str">
        <f t="shared" ref="AJ9" si="50">IF(AJ8="","",AI9)</f>
        <v/>
      </c>
      <c r="AK9" s="8" t="str">
        <f>IF(AK8="","",AJ9)</f>
        <v/>
      </c>
      <c r="AL9" s="8" t="str">
        <f t="shared" ref="AL9" si="51">IF(AL8="","",AK9)</f>
        <v/>
      </c>
      <c r="AM9" s="8" t="str">
        <f t="shared" ref="AM9" si="52">IF(AM8="","",AL9)</f>
        <v/>
      </c>
      <c r="AN9" s="8" t="str">
        <f t="shared" ref="AN9" si="53">IF(AN8="","",AM9)</f>
        <v/>
      </c>
      <c r="AO9" s="8" t="str">
        <f t="shared" ref="AO9:AS9" si="54">IF(AO8="","",AN9)</f>
        <v/>
      </c>
      <c r="AP9" s="8" t="str">
        <f t="shared" si="54"/>
        <v/>
      </c>
      <c r="AQ9" s="8" t="str">
        <f t="shared" si="54"/>
        <v/>
      </c>
      <c r="AR9" s="8" t="str">
        <f t="shared" si="54"/>
        <v/>
      </c>
      <c r="AS9" s="8" t="str">
        <f t="shared" si="54"/>
        <v/>
      </c>
    </row>
    <row r="10" spans="1:46" x14ac:dyDescent="0.15">
      <c r="A10" s="15">
        <v>1</v>
      </c>
      <c r="B10" s="9" t="s">
        <v>5</v>
      </c>
      <c r="C10" s="8">
        <v>40</v>
      </c>
      <c r="D10" s="8">
        <v>40</v>
      </c>
      <c r="E10" s="8">
        <v>34</v>
      </c>
      <c r="F10" s="8">
        <v>34</v>
      </c>
      <c r="G10" s="8">
        <v>34</v>
      </c>
      <c r="H10" s="8">
        <v>34</v>
      </c>
      <c r="I10" s="8">
        <v>32</v>
      </c>
      <c r="J10" s="8">
        <f>IF(J8="","",(I10+I11))</f>
        <v>32</v>
      </c>
      <c r="K10" s="8">
        <f t="shared" ref="K10" si="55">IF(K8="","",(J10+J11))</f>
        <v>32</v>
      </c>
      <c r="L10" s="8">
        <v>26</v>
      </c>
      <c r="M10" s="8" t="str">
        <f>IF(M8="","",(L10+L11))</f>
        <v/>
      </c>
      <c r="N10" s="8" t="str">
        <f t="shared" ref="N10" si="56">IF(N8="","",(M10+M11))</f>
        <v/>
      </c>
      <c r="O10" s="8" t="str">
        <f t="shared" ref="O10" si="57">IF(O8="","",(N10+N11))</f>
        <v/>
      </c>
      <c r="P10" s="8" t="str">
        <f>IF(P8="","",(O10+O11))</f>
        <v/>
      </c>
      <c r="Q10" s="8" t="str">
        <f>IF(Q8="","",(P10+P11))</f>
        <v/>
      </c>
      <c r="R10" s="8" t="str">
        <f t="shared" ref="R10" si="58">IF(R8="","",(Q10+Q11))</f>
        <v/>
      </c>
      <c r="S10" s="8" t="str">
        <f>IF(S8="","",(R10+R11))</f>
        <v/>
      </c>
      <c r="T10" s="8" t="str">
        <f>IF(T8="","",(S10+S11))</f>
        <v/>
      </c>
      <c r="U10" s="8" t="str">
        <f t="shared" ref="U10" si="59">IF(U8="","",(T10+T11))</f>
        <v/>
      </c>
      <c r="V10" s="8" t="str">
        <f t="shared" ref="V10" si="60">IF(V8="","",(U10+U11))</f>
        <v/>
      </c>
      <c r="W10" s="8" t="str">
        <f>IF(W8="","",(V10+V11))</f>
        <v/>
      </c>
      <c r="X10" s="8" t="str">
        <f>IF(X8="","",(W10+W11))</f>
        <v/>
      </c>
      <c r="Y10" s="8" t="str">
        <f t="shared" ref="Y10" si="61">IF(Y8="","",(X10+X11))</f>
        <v/>
      </c>
      <c r="Z10" s="8" t="str">
        <f t="shared" ref="Z10" si="62">IF(Z8="","",(Y10+Y11))</f>
        <v/>
      </c>
      <c r="AA10" s="8" t="str">
        <f>IF(AA8="","",(Z10+Z11))</f>
        <v/>
      </c>
      <c r="AB10" s="8" t="str">
        <f t="shared" ref="AB10" si="63">IF(AB8="","",(AA10+AA11))</f>
        <v/>
      </c>
      <c r="AC10" s="8" t="str">
        <f t="shared" ref="AC10" si="64">IF(AC8="","",(AB10+AB11))</f>
        <v/>
      </c>
      <c r="AD10" s="8" t="str">
        <f>IF(AD8="","",(AC10+AC11))</f>
        <v/>
      </c>
      <c r="AE10" s="8" t="str">
        <f t="shared" ref="AE10" si="65">IF(AE8="","",(AD10+AD11))</f>
        <v/>
      </c>
      <c r="AF10" s="8" t="str">
        <f t="shared" ref="AF10" si="66">IF(AF8="","",(AE10+AE11))</f>
        <v/>
      </c>
      <c r="AG10" s="8" t="str">
        <f>IF(AG8="","",(AF10+AF11))</f>
        <v/>
      </c>
      <c r="AH10" s="8" t="str">
        <f t="shared" ref="AH10" si="67">IF(AH8="","",(AG10+AG11))</f>
        <v/>
      </c>
      <c r="AI10" s="8" t="str">
        <f t="shared" ref="AI10" si="68">IF(AI8="","",(AH10+AH11))</f>
        <v/>
      </c>
      <c r="AJ10" s="8" t="str">
        <f t="shared" ref="AJ10" si="69">IF(AJ8="","",(AI10+AI11))</f>
        <v/>
      </c>
      <c r="AK10" s="8" t="str">
        <f>IF(AK8="","",(AJ10+AJ11))</f>
        <v/>
      </c>
      <c r="AL10" s="8" t="str">
        <f t="shared" ref="AL10" si="70">IF(AL8="","",(AK10+AK11))</f>
        <v/>
      </c>
      <c r="AM10" s="8" t="str">
        <f t="shared" ref="AM10" si="71">IF(AM8="","",(AL10+AL11))</f>
        <v/>
      </c>
      <c r="AN10" s="8" t="str">
        <f t="shared" ref="AN10" si="72">IF(AN8="","",(AM10+AM11))</f>
        <v/>
      </c>
      <c r="AO10" s="8" t="str">
        <f t="shared" ref="AO10:AS10" si="73">IF(AO8="","",(AN10+AN11))</f>
        <v/>
      </c>
      <c r="AP10" s="8" t="str">
        <f t="shared" si="73"/>
        <v/>
      </c>
      <c r="AQ10" s="8" t="str">
        <f t="shared" si="73"/>
        <v/>
      </c>
      <c r="AR10" s="8" t="str">
        <f t="shared" si="73"/>
        <v/>
      </c>
      <c r="AS10" s="8" t="str">
        <f t="shared" si="73"/>
        <v/>
      </c>
    </row>
    <row r="11" spans="1:46" x14ac:dyDescent="0.15">
      <c r="A11" s="92" t="s">
        <v>6</v>
      </c>
      <c r="B11" s="9" t="s">
        <v>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</row>
    <row r="12" spans="1:46" x14ac:dyDescent="0.15">
      <c r="A12" s="93">
        <f>+(A15+A27+A39+A51)*100</f>
        <v>49200</v>
      </c>
      <c r="B12" s="9" t="s">
        <v>8</v>
      </c>
      <c r="C12" s="8">
        <v>500</v>
      </c>
      <c r="D12" s="8">
        <v>500</v>
      </c>
      <c r="E12" s="8">
        <v>500</v>
      </c>
      <c r="F12" s="8">
        <v>500</v>
      </c>
      <c r="G12" s="8">
        <v>500</v>
      </c>
      <c r="H12" s="8">
        <v>500</v>
      </c>
      <c r="I12" s="8">
        <v>500</v>
      </c>
      <c r="J12" s="8">
        <f t="shared" ref="J12" si="74">IF(J8="","",I12)</f>
        <v>500</v>
      </c>
      <c r="K12" s="8">
        <f t="shared" ref="K12" si="75">IF(K8="","",J12)</f>
        <v>500</v>
      </c>
      <c r="L12" s="8">
        <f t="shared" ref="L12" si="76">IF(L8="","",K12)</f>
        <v>500</v>
      </c>
      <c r="M12" s="8" t="str">
        <f t="shared" ref="M12" si="77">IF(M8="","",L12)</f>
        <v/>
      </c>
      <c r="N12" s="8" t="str">
        <f t="shared" ref="N12" si="78">IF(N8="","",M12)</f>
        <v/>
      </c>
      <c r="O12" s="8" t="str">
        <f t="shared" ref="O12" si="79">IF(O8="","",N12)</f>
        <v/>
      </c>
      <c r="P12" s="8" t="str">
        <f t="shared" ref="P12" si="80">IF(P8="","",O12)</f>
        <v/>
      </c>
      <c r="Q12" s="8" t="str">
        <f t="shared" ref="Q12" si="81">IF(Q8="","",P12)</f>
        <v/>
      </c>
      <c r="R12" s="8" t="str">
        <f t="shared" ref="R12" si="82">IF(R8="","",Q12)</f>
        <v/>
      </c>
      <c r="S12" s="8" t="str">
        <f t="shared" ref="S12" si="83">IF(S8="","",R12)</f>
        <v/>
      </c>
      <c r="T12" s="8" t="str">
        <f t="shared" ref="T12" si="84">IF(T8="","",S12)</f>
        <v/>
      </c>
      <c r="U12" s="8" t="str">
        <f t="shared" ref="U12" si="85">IF(U8="","",T12)</f>
        <v/>
      </c>
      <c r="V12" s="8" t="str">
        <f t="shared" ref="V12" si="86">IF(V8="","",U12)</f>
        <v/>
      </c>
      <c r="W12" s="8" t="str">
        <f t="shared" ref="W12" si="87">IF(W8="","",V12)</f>
        <v/>
      </c>
      <c r="X12" s="8" t="str">
        <f t="shared" ref="X12" si="88">IF(X8="","",W12)</f>
        <v/>
      </c>
      <c r="Y12" s="8" t="str">
        <f t="shared" ref="Y12" si="89">IF(Y8="","",X12)</f>
        <v/>
      </c>
      <c r="Z12" s="8" t="str">
        <f t="shared" ref="Z12" si="90">IF(Z8="","",Y12)</f>
        <v/>
      </c>
      <c r="AA12" s="8" t="str">
        <f t="shared" ref="AA12" si="91">IF(AA8="","",Z12)</f>
        <v/>
      </c>
      <c r="AB12" s="8" t="str">
        <f t="shared" ref="AB12" si="92">IF(AB8="","",AA12)</f>
        <v/>
      </c>
      <c r="AC12" s="8" t="str">
        <f t="shared" ref="AC12" si="93">IF(AC8="","",AB12)</f>
        <v/>
      </c>
      <c r="AD12" s="8" t="str">
        <f t="shared" ref="AD12" si="94">IF(AD8="","",AC12)</f>
        <v/>
      </c>
      <c r="AE12" s="8" t="str">
        <f t="shared" ref="AE12" si="95">IF(AE8="","",AD12)</f>
        <v/>
      </c>
      <c r="AF12" s="8" t="str">
        <f t="shared" ref="AF12" si="96">IF(AF8="","",AE12)</f>
        <v/>
      </c>
      <c r="AG12" s="8" t="str">
        <f t="shared" ref="AG12" si="97">IF(AG8="","",AF12)</f>
        <v/>
      </c>
      <c r="AH12" s="8" t="str">
        <f t="shared" ref="AH12" si="98">IF(AH8="","",AG12)</f>
        <v/>
      </c>
      <c r="AI12" s="8" t="str">
        <f t="shared" ref="AI12" si="99">IF(AI8="","",AH12)</f>
        <v/>
      </c>
      <c r="AJ12" s="8" t="str">
        <f t="shared" ref="AJ12" si="100">IF(AJ8="","",AI12)</f>
        <v/>
      </c>
      <c r="AK12" s="8" t="str">
        <f t="shared" ref="AK12" si="101">IF(AK8="","",AJ12)</f>
        <v/>
      </c>
      <c r="AL12" s="8" t="str">
        <f t="shared" ref="AL12" si="102">IF(AL8="","",AK12)</f>
        <v/>
      </c>
      <c r="AM12" s="8" t="str">
        <f t="shared" ref="AM12" si="103">IF(AM8="","",AL12)</f>
        <v/>
      </c>
      <c r="AN12" s="8" t="str">
        <f t="shared" ref="AN12" si="104">IF(AN8="","",AM12)</f>
        <v/>
      </c>
      <c r="AO12" s="8" t="str">
        <f t="shared" ref="AO12:AS12" si="105">IF(AO8="","",AN12)</f>
        <v/>
      </c>
      <c r="AP12" s="8" t="str">
        <f t="shared" si="105"/>
        <v/>
      </c>
      <c r="AQ12" s="8" t="str">
        <f t="shared" si="105"/>
        <v/>
      </c>
      <c r="AR12" s="8" t="str">
        <f t="shared" si="105"/>
        <v/>
      </c>
      <c r="AS12" s="8" t="str">
        <f t="shared" si="105"/>
        <v/>
      </c>
    </row>
    <row r="13" spans="1:46" s="85" customFormat="1" x14ac:dyDescent="0.15">
      <c r="A13" s="14" t="s">
        <v>9</v>
      </c>
      <c r="B13" s="13" t="s">
        <v>10</v>
      </c>
      <c r="C13" s="12" t="s">
        <v>11</v>
      </c>
      <c r="D13" s="12" t="s">
        <v>11</v>
      </c>
      <c r="E13" s="12" t="s">
        <v>11</v>
      </c>
      <c r="F13" s="12" t="s">
        <v>11</v>
      </c>
      <c r="G13" s="12" t="s">
        <v>11</v>
      </c>
      <c r="H13" s="12" t="s">
        <v>11</v>
      </c>
      <c r="I13" s="12" t="s">
        <v>11</v>
      </c>
      <c r="J13" s="12" t="str">
        <f t="shared" ref="J13" si="106">IF(J8="","",I13)</f>
        <v>電ブル</v>
      </c>
      <c r="K13" s="12" t="str">
        <f t="shared" ref="K13" si="107">IF(K8="","",J13)</f>
        <v>電ブル</v>
      </c>
      <c r="L13" s="12" t="str">
        <f t="shared" ref="L13" si="108">IF(L8="","",K13)</f>
        <v>電ブル</v>
      </c>
      <c r="M13" s="12" t="str">
        <f t="shared" ref="M13" si="109">IF(M8="","",L13)</f>
        <v/>
      </c>
      <c r="N13" s="12" t="str">
        <f t="shared" ref="N13" si="110">IF(N8="","",M13)</f>
        <v/>
      </c>
      <c r="O13" s="12" t="str">
        <f t="shared" ref="O13" si="111">IF(O8="","",N13)</f>
        <v/>
      </c>
      <c r="P13" s="12" t="str">
        <f t="shared" ref="P13" si="112">IF(P8="","",O13)</f>
        <v/>
      </c>
      <c r="Q13" s="12" t="str">
        <f t="shared" ref="Q13" si="113">IF(Q8="","",P13)</f>
        <v/>
      </c>
      <c r="R13" s="12" t="str">
        <f t="shared" ref="R13" si="114">IF(R8="","",Q13)</f>
        <v/>
      </c>
      <c r="S13" s="12" t="str">
        <f t="shared" ref="S13" si="115">IF(S8="","",R13)</f>
        <v/>
      </c>
      <c r="T13" s="12" t="str">
        <f t="shared" ref="T13" si="116">IF(T8="","",S13)</f>
        <v/>
      </c>
      <c r="U13" s="12" t="str">
        <f t="shared" ref="U13" si="117">IF(U8="","",T13)</f>
        <v/>
      </c>
      <c r="V13" s="12" t="str">
        <f t="shared" ref="V13" si="118">IF(V8="","",U13)</f>
        <v/>
      </c>
      <c r="W13" s="12" t="str">
        <f t="shared" ref="W13" si="119">IF(W8="","",V13)</f>
        <v/>
      </c>
      <c r="X13" s="12" t="str">
        <f t="shared" ref="X13" si="120">IF(X8="","",W13)</f>
        <v/>
      </c>
      <c r="Y13" s="12" t="str">
        <f t="shared" ref="Y13" si="121">IF(Y8="","",X13)</f>
        <v/>
      </c>
      <c r="Z13" s="12" t="str">
        <f t="shared" ref="Z13" si="122">IF(Z8="","",Y13)</f>
        <v/>
      </c>
      <c r="AA13" s="12" t="str">
        <f t="shared" ref="AA13" si="123">IF(AA8="","",Z13)</f>
        <v/>
      </c>
      <c r="AB13" s="12" t="str">
        <f t="shared" ref="AB13" si="124">IF(AB8="","",AA13)</f>
        <v/>
      </c>
      <c r="AC13" s="12" t="str">
        <f t="shared" ref="AC13" si="125">IF(AC8="","",AB13)</f>
        <v/>
      </c>
      <c r="AD13" s="12" t="str">
        <f t="shared" ref="AD13" si="126">IF(AD8="","",AC13)</f>
        <v/>
      </c>
      <c r="AE13" s="12" t="str">
        <f t="shared" ref="AE13" si="127">IF(AE8="","",AD13)</f>
        <v/>
      </c>
      <c r="AF13" s="12" t="str">
        <f t="shared" ref="AF13" si="128">IF(AF8="","",AE13)</f>
        <v/>
      </c>
      <c r="AG13" s="12" t="str">
        <f t="shared" ref="AG13" si="129">IF(AG8="","",AF13)</f>
        <v/>
      </c>
      <c r="AH13" s="12" t="str">
        <f t="shared" ref="AH13" si="130">IF(AH8="","",AG13)</f>
        <v/>
      </c>
      <c r="AI13" s="12" t="str">
        <f t="shared" ref="AI13" si="131">IF(AI8="","",AH13)</f>
        <v/>
      </c>
      <c r="AJ13" s="12" t="str">
        <f t="shared" ref="AJ13" si="132">IF(AJ8="","",AI13)</f>
        <v/>
      </c>
      <c r="AK13" s="12" t="str">
        <f t="shared" ref="AK13" si="133">IF(AK8="","",AJ13)</f>
        <v/>
      </c>
      <c r="AL13" s="12" t="str">
        <f t="shared" ref="AL13" si="134">IF(AL8="","",AK13)</f>
        <v/>
      </c>
      <c r="AM13" s="12" t="str">
        <f t="shared" ref="AM13" si="135">IF(AM8="","",AL13)</f>
        <v/>
      </c>
      <c r="AN13" s="12" t="str">
        <f t="shared" ref="AN13" si="136">IF(AN8="","",AM13)</f>
        <v/>
      </c>
      <c r="AO13" s="12" t="str">
        <f t="shared" ref="AO13:AS13" si="137">IF(AO8="","",AN13)</f>
        <v/>
      </c>
      <c r="AP13" s="12" t="str">
        <f t="shared" si="137"/>
        <v/>
      </c>
      <c r="AQ13" s="12" t="str">
        <f t="shared" si="137"/>
        <v/>
      </c>
      <c r="AR13" s="12" t="str">
        <f t="shared" si="137"/>
        <v/>
      </c>
      <c r="AS13" s="12" t="str">
        <f t="shared" si="137"/>
        <v/>
      </c>
      <c r="AT13" s="11"/>
    </row>
    <row r="14" spans="1:46" x14ac:dyDescent="0.15">
      <c r="A14" s="7">
        <f>AVERAGE(C15:AS15)*30*100</f>
        <v>34800</v>
      </c>
      <c r="B14" s="9" t="s">
        <v>12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</row>
    <row r="15" spans="1:46" x14ac:dyDescent="0.15">
      <c r="A15" s="7">
        <f>SUM(C15:AS15)</f>
        <v>116</v>
      </c>
      <c r="B15" s="6" t="s">
        <v>13</v>
      </c>
      <c r="C15" s="5">
        <v>0</v>
      </c>
      <c r="D15" s="5">
        <v>0</v>
      </c>
      <c r="E15" s="5">
        <v>35</v>
      </c>
      <c r="F15" s="5">
        <v>0</v>
      </c>
      <c r="G15" s="5">
        <v>0</v>
      </c>
      <c r="H15" s="5">
        <v>0</v>
      </c>
      <c r="I15" s="5">
        <v>20</v>
      </c>
      <c r="J15" s="5">
        <f t="shared" ref="J15:J16" si="138">IF(J8="","",J8-I8)</f>
        <v>0</v>
      </c>
      <c r="K15" s="5">
        <f t="shared" ref="K15:K16" si="139">IF(K8="","",K8-J8)</f>
        <v>0</v>
      </c>
      <c r="L15" s="5">
        <f t="shared" ref="L15:L16" si="140">IF(L8="","",L8-K8)</f>
        <v>61</v>
      </c>
      <c r="M15" s="5" t="str">
        <f t="shared" ref="M15:M16" si="141">IF(M8="","",M8-L8)</f>
        <v/>
      </c>
      <c r="N15" s="5" t="str">
        <f t="shared" ref="N15:N16" si="142">IF(N8="","",N8-M8)</f>
        <v/>
      </c>
      <c r="O15" s="5" t="str">
        <f t="shared" ref="O15:O16" si="143">IF(O8="","",O8-N8)</f>
        <v/>
      </c>
      <c r="P15" s="5" t="str">
        <f t="shared" ref="P15:P16" si="144">IF(P8="","",P8-O8)</f>
        <v/>
      </c>
      <c r="Q15" s="5" t="str">
        <f t="shared" ref="Q15:Q16" si="145">IF(Q8="","",Q8-P8)</f>
        <v/>
      </c>
      <c r="R15" s="5" t="str">
        <f t="shared" ref="R15:R16" si="146">IF(R8="","",R8-Q8)</f>
        <v/>
      </c>
      <c r="S15" s="5" t="str">
        <f t="shared" ref="S15:S16" si="147">IF(S8="","",S8-R8)</f>
        <v/>
      </c>
      <c r="T15" s="5" t="str">
        <f t="shared" ref="T15:T16" si="148">IF(T8="","",T8-S8)</f>
        <v/>
      </c>
      <c r="U15" s="5" t="str">
        <f t="shared" ref="U15:U16" si="149">IF(U8="","",U8-T8)</f>
        <v/>
      </c>
      <c r="V15" s="5" t="str">
        <f t="shared" ref="V15:V16" si="150">IF(V8="","",V8-U8)</f>
        <v/>
      </c>
      <c r="W15" s="5" t="str">
        <f t="shared" ref="W15:W16" si="151">IF(W8="","",W8-V8)</f>
        <v/>
      </c>
      <c r="X15" s="5" t="str">
        <f t="shared" ref="X15:X16" si="152">IF(X8="","",X8-W8)</f>
        <v/>
      </c>
      <c r="Y15" s="5" t="str">
        <f t="shared" ref="Y15:Y16" si="153">IF(Y8="","",Y8-X8)</f>
        <v/>
      </c>
      <c r="Z15" s="5" t="str">
        <f t="shared" ref="Z15:Z16" si="154">IF(Z8="","",Z8-Y8)</f>
        <v/>
      </c>
      <c r="AA15" s="5" t="str">
        <f t="shared" ref="AA15:AA16" si="155">IF(AA8="","",AA8-Z8)</f>
        <v/>
      </c>
      <c r="AB15" s="5" t="str">
        <f t="shared" ref="AB15:AB16" si="156">IF(AB8="","",AB8-AA8)</f>
        <v/>
      </c>
      <c r="AC15" s="5" t="str">
        <f t="shared" ref="AC15:AC16" si="157">IF(AC8="","",AC8-AB8)</f>
        <v/>
      </c>
      <c r="AD15" s="5" t="str">
        <f t="shared" ref="AD15:AD16" si="158">IF(AD8="","",AD8-AC8)</f>
        <v/>
      </c>
      <c r="AE15" s="5" t="str">
        <f t="shared" ref="AE15:AE16" si="159">IF(AE8="","",AE8-AD8)</f>
        <v/>
      </c>
      <c r="AF15" s="5" t="str">
        <f t="shared" ref="AF15:AF16" si="160">IF(AF8="","",AF8-AE8)</f>
        <v/>
      </c>
      <c r="AG15" s="5" t="str">
        <f t="shared" ref="AG15:AG16" si="161">IF(AG8="","",AG8-AF8)</f>
        <v/>
      </c>
      <c r="AH15" s="5" t="str">
        <f t="shared" ref="AH15:AH16" si="162">IF(AH8="","",AH8-AG8)</f>
        <v/>
      </c>
      <c r="AI15" s="5" t="str">
        <f t="shared" ref="AI15:AI16" si="163">IF(AI8="","",AI8-AH8)</f>
        <v/>
      </c>
      <c r="AJ15" s="5" t="str">
        <f t="shared" ref="AJ15:AJ16" si="164">IF(AJ8="","",AJ8-AI8)</f>
        <v/>
      </c>
      <c r="AK15" s="5" t="str">
        <f t="shared" ref="AK15:AK16" si="165">IF(AK8="","",AK8-AJ8)</f>
        <v/>
      </c>
      <c r="AL15" s="5" t="str">
        <f t="shared" ref="AL15:AL16" si="166">IF(AL8="","",AL8-AK8)</f>
        <v/>
      </c>
      <c r="AM15" s="5" t="str">
        <f t="shared" ref="AM15:AM16" si="167">IF(AM8="","",AM8-AL8)</f>
        <v/>
      </c>
      <c r="AN15" s="5" t="str">
        <f t="shared" ref="AN15:AN16" si="168">IF(AN8="","",AN8-AM8)</f>
        <v/>
      </c>
      <c r="AO15" s="5" t="str">
        <f t="shared" ref="AO15:AS15" si="169">IF(AO8="","",AO8-AN8)</f>
        <v/>
      </c>
      <c r="AP15" s="5" t="str">
        <f t="shared" si="169"/>
        <v/>
      </c>
      <c r="AQ15" s="5" t="str">
        <f t="shared" si="169"/>
        <v/>
      </c>
      <c r="AR15" s="5" t="str">
        <f t="shared" si="169"/>
        <v/>
      </c>
      <c r="AS15" s="5" t="str">
        <f t="shared" si="169"/>
        <v/>
      </c>
    </row>
    <row r="16" spans="1:46" x14ac:dyDescent="0.15">
      <c r="A16" s="7">
        <f>SUM(C16:AS16)</f>
        <v>14</v>
      </c>
      <c r="B16" s="6" t="s">
        <v>14</v>
      </c>
      <c r="C16" s="5">
        <v>0</v>
      </c>
      <c r="D16" s="5">
        <v>0</v>
      </c>
      <c r="E16" s="5">
        <v>6</v>
      </c>
      <c r="F16" s="5">
        <v>0</v>
      </c>
      <c r="G16" s="5">
        <v>0</v>
      </c>
      <c r="H16" s="5">
        <v>0</v>
      </c>
      <c r="I16" s="5">
        <v>2</v>
      </c>
      <c r="J16" s="5">
        <f t="shared" si="138"/>
        <v>0</v>
      </c>
      <c r="K16" s="5">
        <f t="shared" si="139"/>
        <v>0</v>
      </c>
      <c r="L16" s="5">
        <f t="shared" si="140"/>
        <v>6</v>
      </c>
      <c r="M16" s="5" t="str">
        <f t="shared" si="141"/>
        <v/>
      </c>
      <c r="N16" s="5" t="str">
        <f t="shared" si="142"/>
        <v/>
      </c>
      <c r="O16" s="5" t="str">
        <f t="shared" si="143"/>
        <v/>
      </c>
      <c r="P16" s="5" t="str">
        <f t="shared" si="144"/>
        <v/>
      </c>
      <c r="Q16" s="5" t="str">
        <f t="shared" si="145"/>
        <v/>
      </c>
      <c r="R16" s="5" t="str">
        <f t="shared" si="146"/>
        <v/>
      </c>
      <c r="S16" s="5" t="str">
        <f t="shared" si="147"/>
        <v/>
      </c>
      <c r="T16" s="5" t="str">
        <f t="shared" si="148"/>
        <v/>
      </c>
      <c r="U16" s="5" t="str">
        <f t="shared" si="149"/>
        <v/>
      </c>
      <c r="V16" s="5" t="str">
        <f t="shared" si="150"/>
        <v/>
      </c>
      <c r="W16" s="5" t="str">
        <f t="shared" si="151"/>
        <v/>
      </c>
      <c r="X16" s="5" t="str">
        <f t="shared" si="152"/>
        <v/>
      </c>
      <c r="Y16" s="5" t="str">
        <f t="shared" si="153"/>
        <v/>
      </c>
      <c r="Z16" s="5" t="str">
        <f t="shared" si="154"/>
        <v/>
      </c>
      <c r="AA16" s="5" t="str">
        <f t="shared" si="155"/>
        <v/>
      </c>
      <c r="AB16" s="5" t="str">
        <f t="shared" si="156"/>
        <v/>
      </c>
      <c r="AC16" s="5" t="str">
        <f t="shared" si="157"/>
        <v/>
      </c>
      <c r="AD16" s="5" t="str">
        <f t="shared" si="158"/>
        <v/>
      </c>
      <c r="AE16" s="5" t="str">
        <f t="shared" si="159"/>
        <v/>
      </c>
      <c r="AF16" s="5" t="str">
        <f t="shared" si="160"/>
        <v/>
      </c>
      <c r="AG16" s="5" t="str">
        <f t="shared" si="161"/>
        <v/>
      </c>
      <c r="AH16" s="5" t="str">
        <f t="shared" si="162"/>
        <v/>
      </c>
      <c r="AI16" s="5" t="str">
        <f t="shared" si="163"/>
        <v/>
      </c>
      <c r="AJ16" s="5" t="str">
        <f t="shared" si="164"/>
        <v/>
      </c>
      <c r="AK16" s="5" t="str">
        <f t="shared" si="165"/>
        <v/>
      </c>
      <c r="AL16" s="5" t="str">
        <f t="shared" si="166"/>
        <v/>
      </c>
      <c r="AM16" s="5" t="str">
        <f t="shared" si="167"/>
        <v/>
      </c>
      <c r="AN16" s="5" t="str">
        <f t="shared" si="168"/>
        <v/>
      </c>
      <c r="AO16" s="5" t="str">
        <f t="shared" ref="AO16:AS16" si="170">IF(AO9="","",AO9-AN9)</f>
        <v/>
      </c>
      <c r="AP16" s="5" t="str">
        <f t="shared" si="170"/>
        <v/>
      </c>
      <c r="AQ16" s="5" t="str">
        <f t="shared" si="170"/>
        <v/>
      </c>
      <c r="AR16" s="5" t="str">
        <f t="shared" si="170"/>
        <v/>
      </c>
      <c r="AS16" s="5" t="str">
        <f t="shared" si="170"/>
        <v/>
      </c>
    </row>
    <row r="17" spans="1:46" x14ac:dyDescent="0.15">
      <c r="A17" s="7">
        <f>SUM(C17:AS17)</f>
        <v>14</v>
      </c>
      <c r="B17" s="6" t="s">
        <v>15</v>
      </c>
      <c r="C17" s="5">
        <v>0</v>
      </c>
      <c r="D17" s="5">
        <v>0</v>
      </c>
      <c r="E17" s="5">
        <v>6</v>
      </c>
      <c r="F17" s="5">
        <v>0</v>
      </c>
      <c r="G17" s="5">
        <v>0</v>
      </c>
      <c r="H17" s="5">
        <v>0</v>
      </c>
      <c r="I17" s="5">
        <v>2</v>
      </c>
      <c r="J17" s="5">
        <f t="shared" ref="J17" si="171">IF(J10="","",I10+I11-J10)</f>
        <v>0</v>
      </c>
      <c r="K17" s="5">
        <f t="shared" ref="K17" si="172">IF(K10="","",J10+J11-K10)</f>
        <v>0</v>
      </c>
      <c r="L17" s="5">
        <f t="shared" ref="L17" si="173">IF(L10="","",K10+K11-L10)</f>
        <v>6</v>
      </c>
      <c r="M17" s="5" t="str">
        <f t="shared" ref="M17" si="174">IF(M10="","",L10+L11-M10)</f>
        <v/>
      </c>
      <c r="N17" s="5" t="str">
        <f t="shared" ref="N17" si="175">IF(N10="","",M10+M11-N10)</f>
        <v/>
      </c>
      <c r="O17" s="5" t="str">
        <f t="shared" ref="O17" si="176">IF(O10="","",N10+N11-O10)</f>
        <v/>
      </c>
      <c r="P17" s="5" t="str">
        <f t="shared" ref="P17" si="177">IF(P10="","",O10+O11-P10)</f>
        <v/>
      </c>
      <c r="Q17" s="5" t="str">
        <f t="shared" ref="Q17" si="178">IF(Q10="","",P10+P11-Q10)</f>
        <v/>
      </c>
      <c r="R17" s="5" t="str">
        <f t="shared" ref="R17" si="179">IF(R10="","",Q10+Q11-R10)</f>
        <v/>
      </c>
      <c r="S17" s="5" t="str">
        <f t="shared" ref="S17" si="180">IF(S10="","",R10+R11-S10)</f>
        <v/>
      </c>
      <c r="T17" s="5" t="str">
        <f t="shared" ref="T17" si="181">IF(T10="","",S10+S11-T10)</f>
        <v/>
      </c>
      <c r="U17" s="5" t="str">
        <f t="shared" ref="U17" si="182">IF(U10="","",T10+T11-U10)</f>
        <v/>
      </c>
      <c r="V17" s="5" t="str">
        <f t="shared" ref="V17" si="183">IF(V10="","",U10+U11-V10)</f>
        <v/>
      </c>
      <c r="W17" s="5" t="str">
        <f t="shared" ref="W17" si="184">IF(W10="","",V10+V11-W10)</f>
        <v/>
      </c>
      <c r="X17" s="5" t="str">
        <f t="shared" ref="X17" si="185">IF(X10="","",W10+W11-X10)</f>
        <v/>
      </c>
      <c r="Y17" s="5" t="str">
        <f t="shared" ref="Y17" si="186">IF(Y10="","",X10+X11-Y10)</f>
        <v/>
      </c>
      <c r="Z17" s="5" t="str">
        <f t="shared" ref="Z17" si="187">IF(Z10="","",Y10+Y11-Z10)</f>
        <v/>
      </c>
      <c r="AA17" s="5" t="str">
        <f t="shared" ref="AA17" si="188">IF(AA10="","",Z10+Z11-AA10)</f>
        <v/>
      </c>
      <c r="AB17" s="5" t="str">
        <f t="shared" ref="AB17" si="189">IF(AB10="","",AA10+AA11-AB10)</f>
        <v/>
      </c>
      <c r="AC17" s="5" t="str">
        <f t="shared" ref="AC17" si="190">IF(AC10="","",AB10+AB11-AC10)</f>
        <v/>
      </c>
      <c r="AD17" s="5" t="str">
        <f t="shared" ref="AD17" si="191">IF(AD10="","",AC10+AC11-AD10)</f>
        <v/>
      </c>
      <c r="AE17" s="5" t="str">
        <f t="shared" ref="AE17" si="192">IF(AE10="","",AD10+AD11-AE10)</f>
        <v/>
      </c>
      <c r="AF17" s="5" t="str">
        <f t="shared" ref="AF17" si="193">IF(AF10="","",AE10+AE11-AF10)</f>
        <v/>
      </c>
      <c r="AG17" s="5" t="str">
        <f t="shared" ref="AG17" si="194">IF(AG10="","",AF10+AF11-AG10)</f>
        <v/>
      </c>
      <c r="AH17" s="5" t="str">
        <f t="shared" ref="AH17" si="195">IF(AH10="","",AG10+AG11-AH10)</f>
        <v/>
      </c>
      <c r="AI17" s="5" t="str">
        <f t="shared" ref="AI17" si="196">IF(AI10="","",AH10+AH11-AI10)</f>
        <v/>
      </c>
      <c r="AJ17" s="5" t="str">
        <f t="shared" ref="AJ17" si="197">IF(AJ10="","",AI10+AI11-AJ10)</f>
        <v/>
      </c>
      <c r="AK17" s="5" t="str">
        <f t="shared" ref="AK17" si="198">IF(AK10="","",AJ10+AJ11-AK10)</f>
        <v/>
      </c>
      <c r="AL17" s="5" t="str">
        <f t="shared" ref="AL17" si="199">IF(AL10="","",AK10+AK11-AL10)</f>
        <v/>
      </c>
      <c r="AM17" s="5" t="str">
        <f t="shared" ref="AM17" si="200">IF(AM10="","",AL10+AL11-AM10)</f>
        <v/>
      </c>
      <c r="AN17" s="5" t="str">
        <f t="shared" ref="AN17" si="201">IF(AN10="","",AM10+AM11-AN10)</f>
        <v/>
      </c>
      <c r="AO17" s="5" t="str">
        <f t="shared" ref="AO17:AS17" si="202">IF(AO10="","",AN10+AN11-AO10)</f>
        <v/>
      </c>
      <c r="AP17" s="5" t="str">
        <f t="shared" si="202"/>
        <v/>
      </c>
      <c r="AQ17" s="5" t="str">
        <f t="shared" si="202"/>
        <v/>
      </c>
      <c r="AR17" s="5" t="str">
        <f t="shared" si="202"/>
        <v/>
      </c>
      <c r="AS17" s="5" t="str">
        <f t="shared" si="202"/>
        <v/>
      </c>
    </row>
    <row r="18" spans="1:46" x14ac:dyDescent="0.15">
      <c r="A18" s="7">
        <f>SUM(C18:AS18)</f>
        <v>7000</v>
      </c>
      <c r="B18" s="6" t="s">
        <v>16</v>
      </c>
      <c r="C18" s="5">
        <v>0</v>
      </c>
      <c r="D18" s="5">
        <v>0</v>
      </c>
      <c r="E18" s="5">
        <v>3000</v>
      </c>
      <c r="F18" s="5">
        <v>0</v>
      </c>
      <c r="G18" s="5">
        <v>0</v>
      </c>
      <c r="H18" s="5">
        <v>0</v>
      </c>
      <c r="I18" s="5">
        <v>1000</v>
      </c>
      <c r="J18" s="5">
        <f t="shared" ref="H18:AM18" si="203">IF(J8="","",J17*J12)</f>
        <v>0</v>
      </c>
      <c r="K18" s="5">
        <f t="shared" si="203"/>
        <v>0</v>
      </c>
      <c r="L18" s="5">
        <f t="shared" si="203"/>
        <v>3000</v>
      </c>
      <c r="M18" s="5" t="str">
        <f t="shared" si="203"/>
        <v/>
      </c>
      <c r="N18" s="5" t="str">
        <f t="shared" si="203"/>
        <v/>
      </c>
      <c r="O18" s="5" t="str">
        <f t="shared" si="203"/>
        <v/>
      </c>
      <c r="P18" s="5" t="str">
        <f t="shared" si="203"/>
        <v/>
      </c>
      <c r="Q18" s="5" t="str">
        <f t="shared" si="203"/>
        <v/>
      </c>
      <c r="R18" s="5" t="str">
        <f t="shared" si="203"/>
        <v/>
      </c>
      <c r="S18" s="5" t="str">
        <f t="shared" si="203"/>
        <v/>
      </c>
      <c r="T18" s="5" t="str">
        <f t="shared" si="203"/>
        <v/>
      </c>
      <c r="U18" s="5" t="str">
        <f t="shared" si="203"/>
        <v/>
      </c>
      <c r="V18" s="5" t="str">
        <f t="shared" si="203"/>
        <v/>
      </c>
      <c r="W18" s="5" t="str">
        <f t="shared" si="203"/>
        <v/>
      </c>
      <c r="X18" s="5" t="str">
        <f t="shared" si="203"/>
        <v/>
      </c>
      <c r="Y18" s="5" t="str">
        <f t="shared" si="203"/>
        <v/>
      </c>
      <c r="Z18" s="5" t="str">
        <f t="shared" si="203"/>
        <v/>
      </c>
      <c r="AA18" s="5" t="str">
        <f t="shared" si="203"/>
        <v/>
      </c>
      <c r="AB18" s="5" t="str">
        <f t="shared" si="203"/>
        <v/>
      </c>
      <c r="AC18" s="5" t="str">
        <f t="shared" si="203"/>
        <v/>
      </c>
      <c r="AD18" s="5" t="str">
        <f t="shared" si="203"/>
        <v/>
      </c>
      <c r="AE18" s="5" t="str">
        <f t="shared" si="203"/>
        <v/>
      </c>
      <c r="AF18" s="5" t="str">
        <f t="shared" si="203"/>
        <v/>
      </c>
      <c r="AG18" s="5" t="str">
        <f t="shared" si="203"/>
        <v/>
      </c>
      <c r="AH18" s="5" t="str">
        <f t="shared" si="203"/>
        <v/>
      </c>
      <c r="AI18" s="5" t="str">
        <f t="shared" si="203"/>
        <v/>
      </c>
      <c r="AJ18" s="5" t="str">
        <f t="shared" si="203"/>
        <v/>
      </c>
      <c r="AK18" s="5" t="str">
        <f t="shared" si="203"/>
        <v/>
      </c>
      <c r="AL18" s="5" t="str">
        <f t="shared" si="203"/>
        <v/>
      </c>
      <c r="AM18" s="5" t="str">
        <f t="shared" si="203"/>
        <v/>
      </c>
      <c r="AN18" s="5" t="str">
        <f t="shared" ref="D18:AN18" si="204">IF(AN8="","",AN17*AN12)</f>
        <v/>
      </c>
      <c r="AO18" s="5" t="str">
        <f t="shared" ref="AO18:AS18" si="205">IF(AO8="","",AO17*AO12)</f>
        <v/>
      </c>
      <c r="AP18" s="5" t="str">
        <f t="shared" si="205"/>
        <v/>
      </c>
      <c r="AQ18" s="5" t="str">
        <f t="shared" si="205"/>
        <v/>
      </c>
      <c r="AR18" s="5" t="str">
        <f t="shared" si="205"/>
        <v/>
      </c>
      <c r="AS18" s="5" t="str">
        <f t="shared" si="205"/>
        <v/>
      </c>
      <c r="AT18" s="1" t="s">
        <v>17</v>
      </c>
    </row>
    <row r="19" spans="1:46" ht="12" thickBot="1" x14ac:dyDescent="0.2">
      <c r="A19" s="4">
        <f>IF(A18="","",A18/(A15*100))</f>
        <v>0.60344827586206895</v>
      </c>
      <c r="B19" s="6" t="s">
        <v>18</v>
      </c>
      <c r="C19" s="18" t="s">
        <v>19</v>
      </c>
      <c r="D19" s="18" t="s">
        <v>19</v>
      </c>
      <c r="E19" s="18">
        <v>0.8571428571428571</v>
      </c>
      <c r="F19" s="18" t="s">
        <v>19</v>
      </c>
      <c r="G19" s="18" t="s">
        <v>19</v>
      </c>
      <c r="H19" s="18" t="s">
        <v>19</v>
      </c>
      <c r="I19" s="18">
        <v>0.5</v>
      </c>
      <c r="J19" s="18" t="str">
        <f t="shared" ref="H19:AM19" si="206">IF(J18="","",IF(J18=0,"",J18/(J15*100)))</f>
        <v/>
      </c>
      <c r="K19" s="18" t="str">
        <f t="shared" si="206"/>
        <v/>
      </c>
      <c r="L19" s="18">
        <f t="shared" si="206"/>
        <v>0.49180327868852458</v>
      </c>
      <c r="M19" s="18" t="str">
        <f t="shared" si="206"/>
        <v/>
      </c>
      <c r="N19" s="18" t="str">
        <f t="shared" si="206"/>
        <v/>
      </c>
      <c r="O19" s="18" t="str">
        <f t="shared" si="206"/>
        <v/>
      </c>
      <c r="P19" s="18" t="str">
        <f t="shared" si="206"/>
        <v/>
      </c>
      <c r="Q19" s="18" t="str">
        <f t="shared" si="206"/>
        <v/>
      </c>
      <c r="R19" s="18" t="str">
        <f t="shared" si="206"/>
        <v/>
      </c>
      <c r="S19" s="18" t="str">
        <f t="shared" si="206"/>
        <v/>
      </c>
      <c r="T19" s="18" t="str">
        <f t="shared" si="206"/>
        <v/>
      </c>
      <c r="U19" s="18" t="str">
        <f t="shared" si="206"/>
        <v/>
      </c>
      <c r="V19" s="18" t="str">
        <f t="shared" si="206"/>
        <v/>
      </c>
      <c r="W19" s="18" t="str">
        <f t="shared" si="206"/>
        <v/>
      </c>
      <c r="X19" s="18" t="str">
        <f t="shared" si="206"/>
        <v/>
      </c>
      <c r="Y19" s="18" t="str">
        <f t="shared" si="206"/>
        <v/>
      </c>
      <c r="Z19" s="18" t="str">
        <f t="shared" si="206"/>
        <v/>
      </c>
      <c r="AA19" s="18" t="str">
        <f t="shared" si="206"/>
        <v/>
      </c>
      <c r="AB19" s="18" t="str">
        <f t="shared" si="206"/>
        <v/>
      </c>
      <c r="AC19" s="18" t="str">
        <f t="shared" si="206"/>
        <v/>
      </c>
      <c r="AD19" s="18" t="str">
        <f t="shared" si="206"/>
        <v/>
      </c>
      <c r="AE19" s="18" t="str">
        <f t="shared" si="206"/>
        <v/>
      </c>
      <c r="AF19" s="18" t="str">
        <f t="shared" si="206"/>
        <v/>
      </c>
      <c r="AG19" s="18" t="str">
        <f t="shared" si="206"/>
        <v/>
      </c>
      <c r="AH19" s="18" t="str">
        <f t="shared" si="206"/>
        <v/>
      </c>
      <c r="AI19" s="18" t="str">
        <f t="shared" si="206"/>
        <v/>
      </c>
      <c r="AJ19" s="18" t="str">
        <f t="shared" si="206"/>
        <v/>
      </c>
      <c r="AK19" s="18" t="str">
        <f t="shared" si="206"/>
        <v/>
      </c>
      <c r="AL19" s="18" t="str">
        <f t="shared" si="206"/>
        <v/>
      </c>
      <c r="AM19" s="18" t="str">
        <f t="shared" si="206"/>
        <v/>
      </c>
      <c r="AN19" s="18" t="str">
        <f t="shared" ref="D19:AN19" si="207">IF(AN18="","",IF(AN18=0,"",AN18/(AN15*100)))</f>
        <v/>
      </c>
      <c r="AO19" s="18" t="str">
        <f t="shared" ref="AO19:AS19" si="208">IF(AO18="","",IF(AO18=0,"",AO18/(AO15*100)))</f>
        <v/>
      </c>
      <c r="AP19" s="18" t="str">
        <f t="shared" si="208"/>
        <v/>
      </c>
      <c r="AQ19" s="18" t="str">
        <f t="shared" si="208"/>
        <v/>
      </c>
      <c r="AR19" s="18" t="str">
        <f t="shared" si="208"/>
        <v/>
      </c>
      <c r="AS19" s="18" t="str">
        <f t="shared" si="208"/>
        <v/>
      </c>
    </row>
    <row r="20" spans="1:46" x14ac:dyDescent="0.15">
      <c r="A20" s="17" t="s">
        <v>1</v>
      </c>
      <c r="B20" s="9" t="s">
        <v>2</v>
      </c>
      <c r="C20" s="8">
        <v>7899</v>
      </c>
      <c r="D20" s="8">
        <v>7899</v>
      </c>
      <c r="E20" s="8">
        <v>7933</v>
      </c>
      <c r="F20" s="8">
        <v>7933</v>
      </c>
      <c r="G20" s="8">
        <v>7933</v>
      </c>
      <c r="H20" s="8">
        <v>7933</v>
      </c>
      <c r="I20" s="8">
        <v>7964</v>
      </c>
      <c r="J20" s="8">
        <f>IF(J8="","",I20)</f>
        <v>7964</v>
      </c>
      <c r="K20" s="8">
        <f t="shared" ref="K20" si="209">IF(K8="","",J20)</f>
        <v>7964</v>
      </c>
      <c r="L20" s="8">
        <v>7992</v>
      </c>
      <c r="M20" s="8" t="str">
        <f>IF(M8="","",L20)</f>
        <v/>
      </c>
      <c r="N20" s="8" t="str">
        <f t="shared" ref="N20" si="210">IF(N8="","",M20)</f>
        <v/>
      </c>
      <c r="O20" s="8" t="str">
        <f t="shared" ref="O20" si="211">IF(O8="","",N20)</f>
        <v/>
      </c>
      <c r="P20" s="8" t="str">
        <f>IF(P8="","",O20)</f>
        <v/>
      </c>
      <c r="Q20" s="8" t="str">
        <f>IF(Q8="","",P20)</f>
        <v/>
      </c>
      <c r="R20" s="8" t="str">
        <f t="shared" ref="R20" si="212">IF(R8="","",Q20)</f>
        <v/>
      </c>
      <c r="S20" s="8" t="str">
        <f>IF(S8="","",R20)</f>
        <v/>
      </c>
      <c r="T20" s="8" t="str">
        <f>IF(T8="","",S20)</f>
        <v/>
      </c>
      <c r="U20" s="8" t="str">
        <f t="shared" ref="U20" si="213">IF(U8="","",T20)</f>
        <v/>
      </c>
      <c r="V20" s="8" t="str">
        <f t="shared" ref="V20" si="214">IF(V8="","",U20)</f>
        <v/>
      </c>
      <c r="W20" s="8" t="str">
        <f>IF(W8="","",V20)</f>
        <v/>
      </c>
      <c r="X20" s="8" t="str">
        <f>IF(X8="","",W20)</f>
        <v/>
      </c>
      <c r="Y20" s="8" t="str">
        <f t="shared" ref="Y20" si="215">IF(Y8="","",X20)</f>
        <v/>
      </c>
      <c r="Z20" s="8" t="str">
        <f>IF(Z8="","",Y20)</f>
        <v/>
      </c>
      <c r="AA20" s="8" t="str">
        <f t="shared" ref="AA20" si="216">IF(AA8="","",Z20)</f>
        <v/>
      </c>
      <c r="AB20" s="8" t="str">
        <f t="shared" ref="AB20" si="217">IF(AB8="","",AA20)</f>
        <v/>
      </c>
      <c r="AC20" s="8" t="str">
        <f t="shared" ref="AC20" si="218">IF(AC8="","",AB20)</f>
        <v/>
      </c>
      <c r="AD20" s="8" t="str">
        <f>IF(AD8="","",AC20)</f>
        <v/>
      </c>
      <c r="AE20" s="8" t="str">
        <f>IF(AE8="","",AD20)</f>
        <v/>
      </c>
      <c r="AF20" s="8" t="str">
        <f t="shared" ref="AF20" si="219">IF(AF8="","",AE20)</f>
        <v/>
      </c>
      <c r="AG20" s="8" t="str">
        <f>IF(AG8="","",AF20)</f>
        <v/>
      </c>
      <c r="AH20" s="8" t="str">
        <f t="shared" ref="AH20" si="220">IF(AH8="","",AG20)</f>
        <v/>
      </c>
      <c r="AI20" s="8" t="str">
        <f t="shared" ref="AI20" si="221">IF(AI8="","",AH20)</f>
        <v/>
      </c>
      <c r="AJ20" s="8" t="str">
        <f t="shared" ref="AJ20" si="222">IF(AJ8="","",AI20)</f>
        <v/>
      </c>
      <c r="AK20" s="8" t="str">
        <f>IF(AK8="","",AJ20)</f>
        <v/>
      </c>
      <c r="AL20" s="8" t="str">
        <f t="shared" ref="AL20" si="223">IF(AL8="","",AK20)</f>
        <v/>
      </c>
      <c r="AM20" s="8" t="str">
        <f t="shared" ref="AM20" si="224">IF(AM8="","",AL20)</f>
        <v/>
      </c>
      <c r="AN20" s="8" t="str">
        <f t="shared" ref="AN20" si="225">IF(AN8="","",AM20)</f>
        <v/>
      </c>
      <c r="AO20" s="8" t="str">
        <f t="shared" ref="AO20:AS20" si="226">IF(AO8="","",AN20)</f>
        <v/>
      </c>
      <c r="AP20" s="8" t="str">
        <f t="shared" si="226"/>
        <v/>
      </c>
      <c r="AQ20" s="8" t="str">
        <f t="shared" si="226"/>
        <v/>
      </c>
      <c r="AR20" s="8" t="str">
        <f t="shared" si="226"/>
        <v/>
      </c>
      <c r="AS20" s="8" t="str">
        <f t="shared" si="226"/>
        <v/>
      </c>
    </row>
    <row r="21" spans="1:46" x14ac:dyDescent="0.15">
      <c r="A21" s="16" t="s">
        <v>3</v>
      </c>
      <c r="B21" s="9" t="s">
        <v>4</v>
      </c>
      <c r="C21" s="8">
        <v>317</v>
      </c>
      <c r="D21" s="8">
        <v>317</v>
      </c>
      <c r="E21" s="8">
        <v>317</v>
      </c>
      <c r="F21" s="8">
        <v>317</v>
      </c>
      <c r="G21" s="8">
        <v>317</v>
      </c>
      <c r="H21" s="8">
        <v>317</v>
      </c>
      <c r="I21" s="8">
        <v>317</v>
      </c>
      <c r="J21" s="8">
        <f t="shared" ref="J21" si="227">IF(J8="","",I21)</f>
        <v>317</v>
      </c>
      <c r="K21" s="8">
        <f t="shared" ref="K21" si="228">IF(K8="","",J21)</f>
        <v>317</v>
      </c>
      <c r="L21" s="8">
        <v>317</v>
      </c>
      <c r="M21" s="8" t="str">
        <f>IF(M8="","",L21)</f>
        <v/>
      </c>
      <c r="N21" s="8" t="str">
        <f t="shared" ref="N21" si="229">IF(N8="","",M21)</f>
        <v/>
      </c>
      <c r="O21" s="8" t="str">
        <f t="shared" ref="O21" si="230">IF(O8="","",N21)</f>
        <v/>
      </c>
      <c r="P21" s="8" t="str">
        <f t="shared" ref="P21" si="231">IF(P8="","",O21)</f>
        <v/>
      </c>
      <c r="Q21" s="8" t="str">
        <f t="shared" ref="Q21" si="232">IF(Q8="","",P21)</f>
        <v/>
      </c>
      <c r="R21" s="8" t="str">
        <f t="shared" ref="R21" si="233">IF(R8="","",Q21)</f>
        <v/>
      </c>
      <c r="S21" s="8" t="str">
        <f t="shared" ref="S21" si="234">IF(S8="","",R21)</f>
        <v/>
      </c>
      <c r="T21" s="8" t="str">
        <f t="shared" ref="T21" si="235">IF(T8="","",S21)</f>
        <v/>
      </c>
      <c r="U21" s="8" t="str">
        <f t="shared" ref="U21" si="236">IF(U8="","",T21)</f>
        <v/>
      </c>
      <c r="V21" s="8" t="str">
        <f t="shared" ref="V21" si="237">IF(V8="","",U21)</f>
        <v/>
      </c>
      <c r="W21" s="8" t="str">
        <f t="shared" ref="W21" si="238">IF(W8="","",V21)</f>
        <v/>
      </c>
      <c r="X21" s="8" t="str">
        <f>IF(X8="","",W21)</f>
        <v/>
      </c>
      <c r="Y21" s="8" t="str">
        <f t="shared" ref="Y21" si="239">IF(Y8="","",X21)</f>
        <v/>
      </c>
      <c r="Z21" s="8" t="str">
        <f>IF(Z8="","",Y21)</f>
        <v/>
      </c>
      <c r="AA21" s="8" t="str">
        <f t="shared" ref="AA21" si="240">IF(AA8="","",Z21)</f>
        <v/>
      </c>
      <c r="AB21" s="8" t="str">
        <f t="shared" ref="AB21" si="241">IF(AB8="","",AA21)</f>
        <v/>
      </c>
      <c r="AC21" s="8" t="str">
        <f t="shared" ref="AC21" si="242">IF(AC8="","",AB21)</f>
        <v/>
      </c>
      <c r="AD21" s="8" t="str">
        <f t="shared" ref="AD21" si="243">IF(AD8="","",AC21)</f>
        <v/>
      </c>
      <c r="AE21" s="8" t="str">
        <f t="shared" ref="AE21" si="244">IF(AE8="","",AD21)</f>
        <v/>
      </c>
      <c r="AF21" s="8" t="str">
        <f t="shared" ref="AF21" si="245">IF(AF8="","",AE21)</f>
        <v/>
      </c>
      <c r="AG21" s="8" t="str">
        <f t="shared" ref="AG21" si="246">IF(AG8="","",AF21)</f>
        <v/>
      </c>
      <c r="AH21" s="8" t="str">
        <f t="shared" ref="AH21" si="247">IF(AH8="","",AG21)</f>
        <v/>
      </c>
      <c r="AI21" s="8" t="str">
        <f t="shared" ref="AI21" si="248">IF(AI8="","",AH21)</f>
        <v/>
      </c>
      <c r="AJ21" s="8" t="str">
        <f t="shared" ref="AJ21" si="249">IF(AJ8="","",AI21)</f>
        <v/>
      </c>
      <c r="AK21" s="8" t="str">
        <f t="shared" ref="AK21" si="250">IF(AK8="","",AJ21)</f>
        <v/>
      </c>
      <c r="AL21" s="8" t="str">
        <f t="shared" ref="AL21" si="251">IF(AL8="","",AK21)</f>
        <v/>
      </c>
      <c r="AM21" s="8" t="str">
        <f t="shared" ref="AM21" si="252">IF(AM8="","",AL21)</f>
        <v/>
      </c>
      <c r="AN21" s="8" t="str">
        <f t="shared" ref="AN21" si="253">IF(AN8="","",AM21)</f>
        <v/>
      </c>
      <c r="AO21" s="8" t="str">
        <f t="shared" ref="AO21:AS21" si="254">IF(AO8="","",AN21)</f>
        <v/>
      </c>
      <c r="AP21" s="8" t="str">
        <f t="shared" si="254"/>
        <v/>
      </c>
      <c r="AQ21" s="8" t="str">
        <f t="shared" si="254"/>
        <v/>
      </c>
      <c r="AR21" s="8" t="str">
        <f t="shared" si="254"/>
        <v/>
      </c>
      <c r="AS21" s="8" t="str">
        <f t="shared" si="254"/>
        <v/>
      </c>
    </row>
    <row r="22" spans="1:46" x14ac:dyDescent="0.15">
      <c r="A22" s="15">
        <v>2</v>
      </c>
      <c r="B22" s="9" t="s">
        <v>5</v>
      </c>
      <c r="C22" s="8">
        <v>3</v>
      </c>
      <c r="D22" s="8">
        <v>3</v>
      </c>
      <c r="E22" s="8">
        <v>2</v>
      </c>
      <c r="F22" s="8">
        <v>2</v>
      </c>
      <c r="G22" s="8">
        <v>2</v>
      </c>
      <c r="H22" s="8">
        <v>2</v>
      </c>
      <c r="I22" s="8">
        <v>2</v>
      </c>
      <c r="J22" s="8">
        <f t="shared" ref="J22" si="255">IF(J20="","",(I22+I23))</f>
        <v>2</v>
      </c>
      <c r="K22" s="8">
        <f t="shared" ref="K22" si="256">IF(K20="","",(J22+J23))</f>
        <v>2</v>
      </c>
      <c r="L22" s="8">
        <f>IF(L20="","",(K22+K23))</f>
        <v>2</v>
      </c>
      <c r="M22" s="8" t="str">
        <f>IF(M20="","",(L22+L23))</f>
        <v/>
      </c>
      <c r="N22" s="8" t="str">
        <f t="shared" ref="N22" si="257">IF(N20="","",(M22+M23))</f>
        <v/>
      </c>
      <c r="O22" s="8" t="str">
        <f t="shared" ref="O22" si="258">IF(O20="","",(N22+N23))</f>
        <v/>
      </c>
      <c r="P22" s="8" t="str">
        <f t="shared" ref="P22" si="259">IF(P20="","",(O22+O23))</f>
        <v/>
      </c>
      <c r="Q22" s="8" t="str">
        <f t="shared" ref="Q22" si="260">IF(Q20="","",(P22+P23))</f>
        <v/>
      </c>
      <c r="R22" s="8" t="str">
        <f t="shared" ref="R22" si="261">IF(R20="","",(Q22+Q23))</f>
        <v/>
      </c>
      <c r="S22" s="8" t="str">
        <f t="shared" ref="S22" si="262">IF(S20="","",(R22+R23))</f>
        <v/>
      </c>
      <c r="T22" s="8" t="str">
        <f t="shared" ref="T22" si="263">IF(T20="","",(S22+S23))</f>
        <v/>
      </c>
      <c r="U22" s="8" t="str">
        <f t="shared" ref="U22" si="264">IF(U20="","",(T22+T23))</f>
        <v/>
      </c>
      <c r="V22" s="8" t="str">
        <f t="shared" ref="V22" si="265">IF(V20="","",(U22+U23))</f>
        <v/>
      </c>
      <c r="W22" s="8" t="str">
        <f t="shared" ref="W22" si="266">IF(W20="","",(V22+V23))</f>
        <v/>
      </c>
      <c r="X22" s="8" t="str">
        <f>IF(X20="","",(W22+W23))</f>
        <v/>
      </c>
      <c r="Y22" s="8" t="str">
        <f t="shared" ref="Y22" si="267">IF(Y20="","",(X22+X23))</f>
        <v/>
      </c>
      <c r="Z22" s="8" t="str">
        <f t="shared" ref="Z22" si="268">IF(Z20="","",(Y22+Y23))</f>
        <v/>
      </c>
      <c r="AA22" s="8" t="str">
        <f t="shared" ref="AA22" si="269">IF(AA20="","",(Z22+Z23))</f>
        <v/>
      </c>
      <c r="AB22" s="8" t="str">
        <f t="shared" ref="AB22" si="270">IF(AB20="","",(AA22+AA23))</f>
        <v/>
      </c>
      <c r="AC22" s="8" t="str">
        <f t="shared" ref="AC22" si="271">IF(AC20="","",(AB22+AB23))</f>
        <v/>
      </c>
      <c r="AD22" s="8" t="str">
        <f t="shared" ref="AD22" si="272">IF(AD20="","",(AC22+AC23))</f>
        <v/>
      </c>
      <c r="AE22" s="8" t="str">
        <f t="shared" ref="AE22" si="273">IF(AE20="","",(AD22+AD23))</f>
        <v/>
      </c>
      <c r="AF22" s="8" t="str">
        <f t="shared" ref="AF22" si="274">IF(AF20="","",(AE22+AE23))</f>
        <v/>
      </c>
      <c r="AG22" s="8" t="str">
        <f>IF(AG20="","",(AF22+AF23))</f>
        <v/>
      </c>
      <c r="AH22" s="8" t="str">
        <f t="shared" ref="AH22" si="275">IF(AH20="","",(AG22+AG23))</f>
        <v/>
      </c>
      <c r="AI22" s="8" t="str">
        <f t="shared" ref="AI22" si="276">IF(AI20="","",(AH22+AH23))</f>
        <v/>
      </c>
      <c r="AJ22" s="8" t="str">
        <f t="shared" ref="AJ22" si="277">IF(AJ20="","",(AI22+AI23))</f>
        <v/>
      </c>
      <c r="AK22" s="8" t="str">
        <f t="shared" ref="AK22" si="278">IF(AK20="","",(AJ22+AJ23))</f>
        <v/>
      </c>
      <c r="AL22" s="8" t="str">
        <f t="shared" ref="AL22" si="279">IF(AL20="","",(AK22+AK23))</f>
        <v/>
      </c>
      <c r="AM22" s="8" t="str">
        <f t="shared" ref="AM22" si="280">IF(AM20="","",(AL22+AL23))</f>
        <v/>
      </c>
      <c r="AN22" s="8" t="str">
        <f t="shared" ref="AN22" si="281">IF(AN20="","",(AM22+AM23))</f>
        <v/>
      </c>
      <c r="AO22" s="8" t="str">
        <f t="shared" ref="AO22:AS22" si="282">IF(AO20="","",(AN22+AN23))</f>
        <v/>
      </c>
      <c r="AP22" s="8" t="str">
        <f t="shared" si="282"/>
        <v/>
      </c>
      <c r="AQ22" s="8" t="str">
        <f t="shared" si="282"/>
        <v/>
      </c>
      <c r="AR22" s="8" t="str">
        <f t="shared" si="282"/>
        <v/>
      </c>
      <c r="AS22" s="8" t="str">
        <f t="shared" si="282"/>
        <v/>
      </c>
    </row>
    <row r="23" spans="1:46" x14ac:dyDescent="0.15">
      <c r="A23" s="14"/>
      <c r="B23" s="9" t="s">
        <v>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</row>
    <row r="24" spans="1:46" x14ac:dyDescent="0.15">
      <c r="A24" s="7"/>
      <c r="B24" s="9" t="s">
        <v>8</v>
      </c>
      <c r="C24" s="8">
        <v>750</v>
      </c>
      <c r="D24" s="8">
        <v>750</v>
      </c>
      <c r="E24" s="8">
        <v>750</v>
      </c>
      <c r="F24" s="8">
        <v>750</v>
      </c>
      <c r="G24" s="8">
        <v>750</v>
      </c>
      <c r="H24" s="8">
        <v>750</v>
      </c>
      <c r="I24" s="8">
        <v>750</v>
      </c>
      <c r="J24" s="8">
        <f t="shared" ref="J24" si="283">IF(J20="","",I24)</f>
        <v>750</v>
      </c>
      <c r="K24" s="8">
        <f t="shared" ref="K24" si="284">IF(K20="","",J24)</f>
        <v>750</v>
      </c>
      <c r="L24" s="8">
        <f t="shared" ref="L24" si="285">IF(L20="","",K24)</f>
        <v>750</v>
      </c>
      <c r="M24" s="8" t="str">
        <f t="shared" ref="M24" si="286">IF(M20="","",L24)</f>
        <v/>
      </c>
      <c r="N24" s="8" t="str">
        <f t="shared" ref="N24" si="287">IF(N20="","",M24)</f>
        <v/>
      </c>
      <c r="O24" s="8" t="str">
        <f t="shared" ref="O24" si="288">IF(O20="","",N24)</f>
        <v/>
      </c>
      <c r="P24" s="8" t="str">
        <f t="shared" ref="P24" si="289">IF(P20="","",O24)</f>
        <v/>
      </c>
      <c r="Q24" s="8" t="str">
        <f t="shared" ref="Q24" si="290">IF(Q20="","",P24)</f>
        <v/>
      </c>
      <c r="R24" s="8" t="str">
        <f t="shared" ref="R24" si="291">IF(R20="","",Q24)</f>
        <v/>
      </c>
      <c r="S24" s="8" t="str">
        <f t="shared" ref="S24" si="292">IF(S20="","",R24)</f>
        <v/>
      </c>
      <c r="T24" s="8" t="str">
        <f t="shared" ref="T24" si="293">IF(T20="","",S24)</f>
        <v/>
      </c>
      <c r="U24" s="8" t="str">
        <f t="shared" ref="U24" si="294">IF(U20="","",T24)</f>
        <v/>
      </c>
      <c r="V24" s="8" t="str">
        <f t="shared" ref="V24" si="295">IF(V20="","",U24)</f>
        <v/>
      </c>
      <c r="W24" s="8" t="str">
        <f t="shared" ref="W24" si="296">IF(W20="","",V24)</f>
        <v/>
      </c>
      <c r="X24" s="8" t="str">
        <f t="shared" ref="X24" si="297">IF(X20="","",W24)</f>
        <v/>
      </c>
      <c r="Y24" s="8" t="str">
        <f t="shared" ref="Y24" si="298">IF(Y20="","",X24)</f>
        <v/>
      </c>
      <c r="Z24" s="8" t="str">
        <f t="shared" ref="Z24" si="299">IF(Z20="","",Y24)</f>
        <v/>
      </c>
      <c r="AA24" s="8" t="str">
        <f t="shared" ref="AA24" si="300">IF(AA20="","",Z24)</f>
        <v/>
      </c>
      <c r="AB24" s="8" t="str">
        <f t="shared" ref="AB24" si="301">IF(AB20="","",AA24)</f>
        <v/>
      </c>
      <c r="AC24" s="8" t="str">
        <f t="shared" ref="AC24" si="302">IF(AC20="","",AB24)</f>
        <v/>
      </c>
      <c r="AD24" s="8" t="str">
        <f t="shared" ref="AD24" si="303">IF(AD20="","",AC24)</f>
        <v/>
      </c>
      <c r="AE24" s="8" t="str">
        <f t="shared" ref="AE24" si="304">IF(AE20="","",AD24)</f>
        <v/>
      </c>
      <c r="AF24" s="8" t="str">
        <f t="shared" ref="AF24" si="305">IF(AF20="","",AE24)</f>
        <v/>
      </c>
      <c r="AG24" s="8" t="str">
        <f t="shared" ref="AG24" si="306">IF(AG20="","",AF24)</f>
        <v/>
      </c>
      <c r="AH24" s="8" t="str">
        <f t="shared" ref="AH24" si="307">IF(AH20="","",AG24)</f>
        <v/>
      </c>
      <c r="AI24" s="8" t="str">
        <f t="shared" ref="AI24" si="308">IF(AI20="","",AH24)</f>
        <v/>
      </c>
      <c r="AJ24" s="8" t="str">
        <f t="shared" ref="AJ24" si="309">IF(AJ20="","",AI24)</f>
        <v/>
      </c>
      <c r="AK24" s="8" t="str">
        <f t="shared" ref="AK24" si="310">IF(AK20="","",AJ24)</f>
        <v/>
      </c>
      <c r="AL24" s="8" t="str">
        <f t="shared" ref="AL24" si="311">IF(AL20="","",AK24)</f>
        <v/>
      </c>
      <c r="AM24" s="8" t="str">
        <f t="shared" ref="AM24" si="312">IF(AM20="","",AL24)</f>
        <v/>
      </c>
      <c r="AN24" s="8" t="str">
        <f t="shared" ref="AN24" si="313">IF(AN20="","",AM24)</f>
        <v/>
      </c>
      <c r="AO24" s="8" t="str">
        <f t="shared" ref="AO24:AS24" si="314">IF(AO20="","",AN24)</f>
        <v/>
      </c>
      <c r="AP24" s="8" t="str">
        <f t="shared" si="314"/>
        <v/>
      </c>
      <c r="AQ24" s="8" t="str">
        <f t="shared" si="314"/>
        <v/>
      </c>
      <c r="AR24" s="8" t="str">
        <f t="shared" si="314"/>
        <v/>
      </c>
      <c r="AS24" s="8" t="str">
        <f t="shared" si="314"/>
        <v/>
      </c>
    </row>
    <row r="25" spans="1:46" s="85" customFormat="1" x14ac:dyDescent="0.15">
      <c r="A25" s="14" t="s">
        <v>9</v>
      </c>
      <c r="B25" s="13" t="s">
        <v>10</v>
      </c>
      <c r="C25" s="12" t="s">
        <v>20</v>
      </c>
      <c r="D25" s="12" t="s">
        <v>20</v>
      </c>
      <c r="E25" s="12" t="s">
        <v>20</v>
      </c>
      <c r="F25" s="12" t="s">
        <v>20</v>
      </c>
      <c r="G25" s="12" t="s">
        <v>20</v>
      </c>
      <c r="H25" s="12" t="s">
        <v>20</v>
      </c>
      <c r="I25" s="12" t="s">
        <v>20</v>
      </c>
      <c r="J25" s="12" t="str">
        <f t="shared" ref="J25" si="315">IF(J20="","",I25)</f>
        <v>スンスンフェイスポーチ</v>
      </c>
      <c r="K25" s="12" t="str">
        <f t="shared" ref="K25" si="316">IF(K20="","",J25)</f>
        <v>スンスンフェイスポーチ</v>
      </c>
      <c r="L25" s="12" t="str">
        <f t="shared" ref="L25" si="317">IF(L20="","",K25)</f>
        <v>スンスンフェイスポーチ</v>
      </c>
      <c r="M25" s="12" t="str">
        <f t="shared" ref="M25" si="318">IF(M20="","",L25)</f>
        <v/>
      </c>
      <c r="N25" s="12" t="str">
        <f t="shared" ref="N25" si="319">IF(N20="","",M25)</f>
        <v/>
      </c>
      <c r="O25" s="12" t="str">
        <f t="shared" ref="O25" si="320">IF(O20="","",N25)</f>
        <v/>
      </c>
      <c r="P25" s="12" t="str">
        <f t="shared" ref="P25" si="321">IF(P20="","",O25)</f>
        <v/>
      </c>
      <c r="Q25" s="12" t="str">
        <f t="shared" ref="Q25" si="322">IF(Q20="","",P25)</f>
        <v/>
      </c>
      <c r="R25" s="12" t="str">
        <f t="shared" ref="R25" si="323">IF(R20="","",Q25)</f>
        <v/>
      </c>
      <c r="S25" s="12" t="str">
        <f t="shared" ref="S25" si="324">IF(S20="","",R25)</f>
        <v/>
      </c>
      <c r="T25" s="12" t="str">
        <f t="shared" ref="T25" si="325">IF(T20="","",S25)</f>
        <v/>
      </c>
      <c r="U25" s="12" t="str">
        <f t="shared" ref="U25" si="326">IF(U20="","",T25)</f>
        <v/>
      </c>
      <c r="V25" s="12" t="str">
        <f t="shared" ref="V25" si="327">IF(V20="","",U25)</f>
        <v/>
      </c>
      <c r="W25" s="12" t="str">
        <f t="shared" ref="W25" si="328">IF(W20="","",V25)</f>
        <v/>
      </c>
      <c r="X25" s="12" t="str">
        <f t="shared" ref="X25" si="329">IF(X20="","",W25)</f>
        <v/>
      </c>
      <c r="Y25" s="12" t="str">
        <f t="shared" ref="Y25" si="330">IF(Y20="","",X25)</f>
        <v/>
      </c>
      <c r="Z25" s="12" t="str">
        <f t="shared" ref="Z25" si="331">IF(Z20="","",Y25)</f>
        <v/>
      </c>
      <c r="AA25" s="12" t="str">
        <f t="shared" ref="AA25" si="332">IF(AA20="","",Z25)</f>
        <v/>
      </c>
      <c r="AB25" s="12" t="str">
        <f t="shared" ref="AB25" si="333">IF(AB20="","",AA25)</f>
        <v/>
      </c>
      <c r="AC25" s="12" t="str">
        <f t="shared" ref="AC25" si="334">IF(AC20="","",AB25)</f>
        <v/>
      </c>
      <c r="AD25" s="12" t="str">
        <f t="shared" ref="AD25" si="335">IF(AD20="","",AC25)</f>
        <v/>
      </c>
      <c r="AE25" s="12" t="str">
        <f t="shared" ref="AE25" si="336">IF(AE20="","",AD25)</f>
        <v/>
      </c>
      <c r="AF25" s="12" t="str">
        <f t="shared" ref="AF25" si="337">IF(AF20="","",AE25)</f>
        <v/>
      </c>
      <c r="AG25" s="12" t="str">
        <f t="shared" ref="AG25" si="338">IF(AG20="","",AF25)</f>
        <v/>
      </c>
      <c r="AH25" s="12" t="str">
        <f t="shared" ref="AH25" si="339">IF(AH20="","",AG25)</f>
        <v/>
      </c>
      <c r="AI25" s="12" t="str">
        <f t="shared" ref="AI25" si="340">IF(AI20="","",AH25)</f>
        <v/>
      </c>
      <c r="AJ25" s="12" t="str">
        <f t="shared" ref="AJ25" si="341">IF(AJ20="","",AI25)</f>
        <v/>
      </c>
      <c r="AK25" s="12" t="str">
        <f t="shared" ref="AK25" si="342">IF(AK20="","",AJ25)</f>
        <v/>
      </c>
      <c r="AL25" s="12" t="str">
        <f t="shared" ref="AL25" si="343">IF(AL20="","",AK25)</f>
        <v/>
      </c>
      <c r="AM25" s="12" t="str">
        <f t="shared" ref="AM25" si="344">IF(AM20="","",AL25)</f>
        <v/>
      </c>
      <c r="AN25" s="12" t="str">
        <f t="shared" ref="AN25" si="345">IF(AN20="","",AM25)</f>
        <v/>
      </c>
      <c r="AO25" s="12" t="str">
        <f t="shared" ref="AO25:AS25" si="346">IF(AO20="","",AN25)</f>
        <v/>
      </c>
      <c r="AP25" s="12" t="str">
        <f t="shared" si="346"/>
        <v/>
      </c>
      <c r="AQ25" s="12" t="str">
        <f t="shared" si="346"/>
        <v/>
      </c>
      <c r="AR25" s="12" t="str">
        <f t="shared" si="346"/>
        <v/>
      </c>
      <c r="AS25" s="12" t="str">
        <f t="shared" si="346"/>
        <v/>
      </c>
    </row>
    <row r="26" spans="1:46" x14ac:dyDescent="0.15">
      <c r="A26" s="7">
        <f>AVERAGE(C27:AS27)*30*100</f>
        <v>27900</v>
      </c>
      <c r="B26" s="9" t="s">
        <v>12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</row>
    <row r="27" spans="1:46" x14ac:dyDescent="0.15">
      <c r="A27" s="7">
        <f>SUM(C27:AS27)</f>
        <v>93</v>
      </c>
      <c r="B27" s="6" t="s">
        <v>13</v>
      </c>
      <c r="C27" s="5">
        <v>0</v>
      </c>
      <c r="D27" s="5">
        <v>0</v>
      </c>
      <c r="E27" s="5">
        <v>34</v>
      </c>
      <c r="F27" s="5">
        <v>0</v>
      </c>
      <c r="G27" s="5">
        <v>0</v>
      </c>
      <c r="H27" s="5">
        <v>0</v>
      </c>
      <c r="I27" s="5">
        <v>31</v>
      </c>
      <c r="J27" s="5">
        <f t="shared" ref="J27:J28" si="347">IF(J20="","",J20-I20)</f>
        <v>0</v>
      </c>
      <c r="K27" s="5">
        <f t="shared" ref="K27:K28" si="348">IF(K20="","",K20-J20)</f>
        <v>0</v>
      </c>
      <c r="L27" s="5">
        <f t="shared" ref="L27:L28" si="349">IF(L20="","",L20-K20)</f>
        <v>28</v>
      </c>
      <c r="M27" s="5" t="str">
        <f t="shared" ref="M27:M28" si="350">IF(M20="","",M20-L20)</f>
        <v/>
      </c>
      <c r="N27" s="5" t="str">
        <f t="shared" ref="N27:N28" si="351">IF(N20="","",N20-M20)</f>
        <v/>
      </c>
      <c r="O27" s="5" t="str">
        <f t="shared" ref="O27:O28" si="352">IF(O20="","",O20-N20)</f>
        <v/>
      </c>
      <c r="P27" s="5" t="str">
        <f t="shared" ref="P27:P28" si="353">IF(P20="","",P20-O20)</f>
        <v/>
      </c>
      <c r="Q27" s="5" t="str">
        <f t="shared" ref="Q27:Q28" si="354">IF(Q20="","",Q20-P20)</f>
        <v/>
      </c>
      <c r="R27" s="5" t="str">
        <f t="shared" ref="R27:R28" si="355">IF(R20="","",R20-Q20)</f>
        <v/>
      </c>
      <c r="S27" s="5" t="str">
        <f t="shared" ref="S27:S28" si="356">IF(S20="","",S20-R20)</f>
        <v/>
      </c>
      <c r="T27" s="5" t="str">
        <f t="shared" ref="T27:T28" si="357">IF(T20="","",T20-S20)</f>
        <v/>
      </c>
      <c r="U27" s="5" t="str">
        <f t="shared" ref="U27:U28" si="358">IF(U20="","",U20-T20)</f>
        <v/>
      </c>
      <c r="V27" s="5" t="str">
        <f t="shared" ref="V27:V28" si="359">IF(V20="","",V20-U20)</f>
        <v/>
      </c>
      <c r="W27" s="5" t="str">
        <f t="shared" ref="W27:W28" si="360">IF(W20="","",W20-V20)</f>
        <v/>
      </c>
      <c r="X27" s="5" t="str">
        <f t="shared" ref="X27:X28" si="361">IF(X20="","",X20-W20)</f>
        <v/>
      </c>
      <c r="Y27" s="5" t="str">
        <f t="shared" ref="Y27:Y28" si="362">IF(Y20="","",Y20-X20)</f>
        <v/>
      </c>
      <c r="Z27" s="5" t="str">
        <f t="shared" ref="Z27:Z28" si="363">IF(Z20="","",Z20-Y20)</f>
        <v/>
      </c>
      <c r="AA27" s="5" t="str">
        <f t="shared" ref="AA27:AA28" si="364">IF(AA20="","",AA20-Z20)</f>
        <v/>
      </c>
      <c r="AB27" s="5" t="str">
        <f t="shared" ref="AB27:AB28" si="365">IF(AB20="","",AB20-AA20)</f>
        <v/>
      </c>
      <c r="AC27" s="5" t="str">
        <f t="shared" ref="AC27:AC28" si="366">IF(AC20="","",AC20-AB20)</f>
        <v/>
      </c>
      <c r="AD27" s="5" t="str">
        <f t="shared" ref="AD27:AD28" si="367">IF(AD20="","",AD20-AC20)</f>
        <v/>
      </c>
      <c r="AE27" s="5" t="str">
        <f t="shared" ref="AE27:AE28" si="368">IF(AE20="","",AE20-AD20)</f>
        <v/>
      </c>
      <c r="AF27" s="5" t="str">
        <f t="shared" ref="AF27:AF28" si="369">IF(AF20="","",AF20-AE20)</f>
        <v/>
      </c>
      <c r="AG27" s="5" t="str">
        <f t="shared" ref="AG27:AG28" si="370">IF(AG20="","",AG20-AF20)</f>
        <v/>
      </c>
      <c r="AH27" s="5" t="str">
        <f t="shared" ref="AH27:AH28" si="371">IF(AH20="","",AH20-AG20)</f>
        <v/>
      </c>
      <c r="AI27" s="5" t="str">
        <f t="shared" ref="AI27:AI28" si="372">IF(AI20="","",AI20-AH20)</f>
        <v/>
      </c>
      <c r="AJ27" s="5" t="str">
        <f t="shared" ref="AJ27:AJ28" si="373">IF(AJ20="","",AJ20-AI20)</f>
        <v/>
      </c>
      <c r="AK27" s="5" t="str">
        <f t="shared" ref="AK27:AK28" si="374">IF(AK20="","",AK20-AJ20)</f>
        <v/>
      </c>
      <c r="AL27" s="5" t="str">
        <f t="shared" ref="AL27:AL28" si="375">IF(AL20="","",AL20-AK20)</f>
        <v/>
      </c>
      <c r="AM27" s="5" t="str">
        <f t="shared" ref="AM27:AM28" si="376">IF(AM20="","",AM20-AL20)</f>
        <v/>
      </c>
      <c r="AN27" s="5" t="str">
        <f t="shared" ref="AN27:AN28" si="377">IF(AN20="","",AN20-AM20)</f>
        <v/>
      </c>
      <c r="AO27" s="5" t="str">
        <f t="shared" ref="AO27:AS27" si="378">IF(AO20="","",AO20-AN20)</f>
        <v/>
      </c>
      <c r="AP27" s="5" t="str">
        <f t="shared" si="378"/>
        <v/>
      </c>
      <c r="AQ27" s="5" t="str">
        <f t="shared" si="378"/>
        <v/>
      </c>
      <c r="AR27" s="5" t="str">
        <f t="shared" si="378"/>
        <v/>
      </c>
      <c r="AS27" s="5" t="str">
        <f t="shared" si="378"/>
        <v/>
      </c>
    </row>
    <row r="28" spans="1:46" x14ac:dyDescent="0.15">
      <c r="A28" s="7">
        <f>SUM(C28:AS28)</f>
        <v>0</v>
      </c>
      <c r="B28" s="6" t="s">
        <v>14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f t="shared" si="347"/>
        <v>0</v>
      </c>
      <c r="K28" s="5">
        <f t="shared" si="348"/>
        <v>0</v>
      </c>
      <c r="L28" s="5">
        <f t="shared" si="349"/>
        <v>0</v>
      </c>
      <c r="M28" s="5" t="str">
        <f t="shared" si="350"/>
        <v/>
      </c>
      <c r="N28" s="5" t="str">
        <f t="shared" si="351"/>
        <v/>
      </c>
      <c r="O28" s="5" t="str">
        <f t="shared" si="352"/>
        <v/>
      </c>
      <c r="P28" s="5" t="str">
        <f t="shared" si="353"/>
        <v/>
      </c>
      <c r="Q28" s="5" t="str">
        <f t="shared" si="354"/>
        <v/>
      </c>
      <c r="R28" s="5" t="str">
        <f t="shared" si="355"/>
        <v/>
      </c>
      <c r="S28" s="5" t="str">
        <f t="shared" si="356"/>
        <v/>
      </c>
      <c r="T28" s="5" t="str">
        <f t="shared" si="357"/>
        <v/>
      </c>
      <c r="U28" s="5" t="str">
        <f t="shared" si="358"/>
        <v/>
      </c>
      <c r="V28" s="5" t="str">
        <f t="shared" si="359"/>
        <v/>
      </c>
      <c r="W28" s="5" t="str">
        <f t="shared" si="360"/>
        <v/>
      </c>
      <c r="X28" s="5" t="str">
        <f t="shared" si="361"/>
        <v/>
      </c>
      <c r="Y28" s="5" t="str">
        <f t="shared" si="362"/>
        <v/>
      </c>
      <c r="Z28" s="5" t="str">
        <f t="shared" si="363"/>
        <v/>
      </c>
      <c r="AA28" s="5" t="str">
        <f t="shared" si="364"/>
        <v/>
      </c>
      <c r="AB28" s="5" t="str">
        <f t="shared" si="365"/>
        <v/>
      </c>
      <c r="AC28" s="5" t="str">
        <f t="shared" si="366"/>
        <v/>
      </c>
      <c r="AD28" s="5" t="str">
        <f t="shared" si="367"/>
        <v/>
      </c>
      <c r="AE28" s="5" t="str">
        <f t="shared" si="368"/>
        <v/>
      </c>
      <c r="AF28" s="5" t="str">
        <f t="shared" si="369"/>
        <v/>
      </c>
      <c r="AG28" s="5" t="str">
        <f t="shared" si="370"/>
        <v/>
      </c>
      <c r="AH28" s="5" t="str">
        <f t="shared" si="371"/>
        <v/>
      </c>
      <c r="AI28" s="5" t="str">
        <f t="shared" si="372"/>
        <v/>
      </c>
      <c r="AJ28" s="5" t="str">
        <f t="shared" si="373"/>
        <v/>
      </c>
      <c r="AK28" s="5" t="str">
        <f t="shared" si="374"/>
        <v/>
      </c>
      <c r="AL28" s="5" t="str">
        <f t="shared" si="375"/>
        <v/>
      </c>
      <c r="AM28" s="5" t="str">
        <f t="shared" si="376"/>
        <v/>
      </c>
      <c r="AN28" s="5" t="str">
        <f t="shared" si="377"/>
        <v/>
      </c>
      <c r="AO28" s="5" t="str">
        <f t="shared" ref="AO28:AS28" si="379">IF(AO21="","",AO21-AN21)</f>
        <v/>
      </c>
      <c r="AP28" s="5" t="str">
        <f t="shared" si="379"/>
        <v/>
      </c>
      <c r="AQ28" s="5" t="str">
        <f t="shared" si="379"/>
        <v/>
      </c>
      <c r="AR28" s="5" t="str">
        <f t="shared" si="379"/>
        <v/>
      </c>
      <c r="AS28" s="5" t="str">
        <f t="shared" si="379"/>
        <v/>
      </c>
    </row>
    <row r="29" spans="1:46" x14ac:dyDescent="0.15">
      <c r="A29" s="7">
        <f>SUM(C29:AS29)</f>
        <v>1</v>
      </c>
      <c r="B29" s="6" t="s">
        <v>15</v>
      </c>
      <c r="C29" s="5">
        <v>0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f t="shared" ref="J29" si="380">IF(J22="","",I22+I23-J22)</f>
        <v>0</v>
      </c>
      <c r="K29" s="5">
        <f t="shared" ref="K29" si="381">IF(K22="","",J22+J23-K22)</f>
        <v>0</v>
      </c>
      <c r="L29" s="5">
        <f t="shared" ref="L29" si="382">IF(L22="","",K22+K23-L22)</f>
        <v>0</v>
      </c>
      <c r="M29" s="5" t="str">
        <f t="shared" ref="M29" si="383">IF(M22="","",L22+L23-M22)</f>
        <v/>
      </c>
      <c r="N29" s="5" t="str">
        <f t="shared" ref="N29" si="384">IF(N22="","",M22+M23-N22)</f>
        <v/>
      </c>
      <c r="O29" s="5" t="str">
        <f t="shared" ref="O29" si="385">IF(O22="","",N22+N23-O22)</f>
        <v/>
      </c>
      <c r="P29" s="5" t="str">
        <f t="shared" ref="P29" si="386">IF(P22="","",O22+O23-P22)</f>
        <v/>
      </c>
      <c r="Q29" s="5" t="str">
        <f t="shared" ref="Q29" si="387">IF(Q22="","",P22+P23-Q22)</f>
        <v/>
      </c>
      <c r="R29" s="5" t="str">
        <f t="shared" ref="R29" si="388">IF(R22="","",Q22+Q23-R22)</f>
        <v/>
      </c>
      <c r="S29" s="5" t="str">
        <f t="shared" ref="S29" si="389">IF(S22="","",R22+R23-S22)</f>
        <v/>
      </c>
      <c r="T29" s="5" t="str">
        <f t="shared" ref="T29" si="390">IF(T22="","",S22+S23-T22)</f>
        <v/>
      </c>
      <c r="U29" s="5" t="str">
        <f t="shared" ref="U29" si="391">IF(U22="","",T22+T23-U22)</f>
        <v/>
      </c>
      <c r="V29" s="5" t="str">
        <f t="shared" ref="V29" si="392">IF(V22="","",U22+U23-V22)</f>
        <v/>
      </c>
      <c r="W29" s="5" t="str">
        <f t="shared" ref="W29" si="393">IF(W22="","",V22+V23-W22)</f>
        <v/>
      </c>
      <c r="X29" s="5" t="str">
        <f t="shared" ref="X29" si="394">IF(X22="","",W22+W23-X22)</f>
        <v/>
      </c>
      <c r="Y29" s="5" t="str">
        <f t="shared" ref="Y29" si="395">IF(Y22="","",X22+X23-Y22)</f>
        <v/>
      </c>
      <c r="Z29" s="5" t="str">
        <f t="shared" ref="Z29" si="396">IF(Z22="","",Y22+Y23-Z22)</f>
        <v/>
      </c>
      <c r="AA29" s="5" t="str">
        <f t="shared" ref="AA29" si="397">IF(AA22="","",Z22+Z23-AA22)</f>
        <v/>
      </c>
      <c r="AB29" s="5" t="str">
        <f t="shared" ref="AB29" si="398">IF(AB22="","",AA22+AA23-AB22)</f>
        <v/>
      </c>
      <c r="AC29" s="5" t="str">
        <f t="shared" ref="AC29" si="399">IF(AC22="","",AB22+AB23-AC22)</f>
        <v/>
      </c>
      <c r="AD29" s="5" t="str">
        <f t="shared" ref="AD29" si="400">IF(AD22="","",AC22+AC23-AD22)</f>
        <v/>
      </c>
      <c r="AE29" s="5" t="str">
        <f t="shared" ref="AE29" si="401">IF(AE22="","",AD22+AD23-AE22)</f>
        <v/>
      </c>
      <c r="AF29" s="5" t="str">
        <f t="shared" ref="AF29" si="402">IF(AF22="","",AE22+AE23-AF22)</f>
        <v/>
      </c>
      <c r="AG29" s="5" t="str">
        <f t="shared" ref="AG29" si="403">IF(AG22="","",AF22+AF23-AG22)</f>
        <v/>
      </c>
      <c r="AH29" s="5" t="str">
        <f t="shared" ref="AH29" si="404">IF(AH22="","",AG22+AG23-AH22)</f>
        <v/>
      </c>
      <c r="AI29" s="5" t="str">
        <f t="shared" ref="AI29" si="405">IF(AI22="","",AH22+AH23-AI22)</f>
        <v/>
      </c>
      <c r="AJ29" s="5" t="str">
        <f t="shared" ref="AJ29" si="406">IF(AJ22="","",AI22+AI23-AJ22)</f>
        <v/>
      </c>
      <c r="AK29" s="5" t="str">
        <f t="shared" ref="AK29" si="407">IF(AK22="","",AJ22+AJ23-AK22)</f>
        <v/>
      </c>
      <c r="AL29" s="5" t="str">
        <f t="shared" ref="AL29" si="408">IF(AL22="","",AK22+AK23-AL22)</f>
        <v/>
      </c>
      <c r="AM29" s="5" t="str">
        <f t="shared" ref="AM29" si="409">IF(AM22="","",AL22+AL23-AM22)</f>
        <v/>
      </c>
      <c r="AN29" s="5" t="str">
        <f t="shared" ref="AN29" si="410">IF(AN22="","",AM22+AM23-AN22)</f>
        <v/>
      </c>
      <c r="AO29" s="5" t="str">
        <f t="shared" ref="AO29:AS29" si="411">IF(AO22="","",AN22+AN23-AO22)</f>
        <v/>
      </c>
      <c r="AP29" s="5" t="str">
        <f t="shared" si="411"/>
        <v/>
      </c>
      <c r="AQ29" s="5" t="str">
        <f t="shared" si="411"/>
        <v/>
      </c>
      <c r="AR29" s="5" t="str">
        <f t="shared" si="411"/>
        <v/>
      </c>
      <c r="AS29" s="5" t="str">
        <f t="shared" si="411"/>
        <v/>
      </c>
    </row>
    <row r="30" spans="1:46" x14ac:dyDescent="0.15">
      <c r="A30" s="7">
        <f>SUM(C30:AS30)</f>
        <v>750</v>
      </c>
      <c r="B30" s="6" t="s">
        <v>16</v>
      </c>
      <c r="C30" s="5">
        <v>0</v>
      </c>
      <c r="D30" s="5">
        <v>0</v>
      </c>
      <c r="E30" s="5">
        <v>750</v>
      </c>
      <c r="F30" s="5">
        <v>0</v>
      </c>
      <c r="G30" s="5">
        <v>0</v>
      </c>
      <c r="H30" s="5">
        <v>0</v>
      </c>
      <c r="I30" s="5">
        <v>0</v>
      </c>
      <c r="J30" s="5">
        <f t="shared" ref="H30:AM30" si="412">IF(J20="","",J29*J24)</f>
        <v>0</v>
      </c>
      <c r="K30" s="5">
        <f t="shared" si="412"/>
        <v>0</v>
      </c>
      <c r="L30" s="5">
        <f t="shared" si="412"/>
        <v>0</v>
      </c>
      <c r="M30" s="5" t="str">
        <f t="shared" si="412"/>
        <v/>
      </c>
      <c r="N30" s="5" t="str">
        <f t="shared" si="412"/>
        <v/>
      </c>
      <c r="O30" s="5" t="str">
        <f t="shared" si="412"/>
        <v/>
      </c>
      <c r="P30" s="5" t="str">
        <f t="shared" si="412"/>
        <v/>
      </c>
      <c r="Q30" s="5" t="str">
        <f t="shared" si="412"/>
        <v/>
      </c>
      <c r="R30" s="5" t="str">
        <f t="shared" si="412"/>
        <v/>
      </c>
      <c r="S30" s="5" t="str">
        <f t="shared" si="412"/>
        <v/>
      </c>
      <c r="T30" s="5" t="str">
        <f t="shared" si="412"/>
        <v/>
      </c>
      <c r="U30" s="5" t="str">
        <f t="shared" si="412"/>
        <v/>
      </c>
      <c r="V30" s="5" t="str">
        <f t="shared" si="412"/>
        <v/>
      </c>
      <c r="W30" s="5" t="str">
        <f t="shared" si="412"/>
        <v/>
      </c>
      <c r="X30" s="5" t="str">
        <f t="shared" si="412"/>
        <v/>
      </c>
      <c r="Y30" s="5" t="str">
        <f t="shared" si="412"/>
        <v/>
      </c>
      <c r="Z30" s="5" t="str">
        <f t="shared" si="412"/>
        <v/>
      </c>
      <c r="AA30" s="5" t="str">
        <f t="shared" si="412"/>
        <v/>
      </c>
      <c r="AB30" s="5" t="str">
        <f t="shared" si="412"/>
        <v/>
      </c>
      <c r="AC30" s="5" t="str">
        <f t="shared" si="412"/>
        <v/>
      </c>
      <c r="AD30" s="5" t="str">
        <f t="shared" si="412"/>
        <v/>
      </c>
      <c r="AE30" s="5" t="str">
        <f t="shared" si="412"/>
        <v/>
      </c>
      <c r="AF30" s="5" t="str">
        <f t="shared" si="412"/>
        <v/>
      </c>
      <c r="AG30" s="5" t="str">
        <f t="shared" si="412"/>
        <v/>
      </c>
      <c r="AH30" s="5" t="str">
        <f t="shared" si="412"/>
        <v/>
      </c>
      <c r="AI30" s="5" t="str">
        <f t="shared" si="412"/>
        <v/>
      </c>
      <c r="AJ30" s="5" t="str">
        <f t="shared" si="412"/>
        <v/>
      </c>
      <c r="AK30" s="5" t="str">
        <f t="shared" si="412"/>
        <v/>
      </c>
      <c r="AL30" s="5" t="str">
        <f t="shared" si="412"/>
        <v/>
      </c>
      <c r="AM30" s="5" t="str">
        <f t="shared" si="412"/>
        <v/>
      </c>
      <c r="AN30" s="5" t="str">
        <f t="shared" ref="D30:AN30" si="413">IF(AN20="","",AN29*AN24)</f>
        <v/>
      </c>
      <c r="AO30" s="5" t="str">
        <f t="shared" ref="AO30:AS30" si="414">IF(AO20="","",AO29*AO24)</f>
        <v/>
      </c>
      <c r="AP30" s="5" t="str">
        <f t="shared" si="414"/>
        <v/>
      </c>
      <c r="AQ30" s="5" t="str">
        <f t="shared" si="414"/>
        <v/>
      </c>
      <c r="AR30" s="5" t="str">
        <f t="shared" si="414"/>
        <v/>
      </c>
      <c r="AS30" s="5" t="str">
        <f t="shared" si="414"/>
        <v/>
      </c>
    </row>
    <row r="31" spans="1:46" ht="12" thickBot="1" x14ac:dyDescent="0.2">
      <c r="A31" s="4">
        <f>IF(A30="","",A30/(A27*100))</f>
        <v>8.0645161290322578E-2</v>
      </c>
      <c r="B31" s="6" t="s">
        <v>18</v>
      </c>
      <c r="C31" s="18" t="s">
        <v>19</v>
      </c>
      <c r="D31" s="18" t="s">
        <v>19</v>
      </c>
      <c r="E31" s="18">
        <v>0.22058823529411764</v>
      </c>
      <c r="F31" s="18" t="s">
        <v>19</v>
      </c>
      <c r="G31" s="18" t="s">
        <v>19</v>
      </c>
      <c r="H31" s="18" t="s">
        <v>19</v>
      </c>
      <c r="I31" s="18" t="s">
        <v>19</v>
      </c>
      <c r="J31" s="18" t="str">
        <f t="shared" ref="H31:AM31" si="415">IF(J30="","",IF(J30=0,"",J30/(J27*100)))</f>
        <v/>
      </c>
      <c r="K31" s="18" t="str">
        <f t="shared" si="415"/>
        <v/>
      </c>
      <c r="L31" s="18" t="str">
        <f t="shared" si="415"/>
        <v/>
      </c>
      <c r="M31" s="18" t="str">
        <f t="shared" si="415"/>
        <v/>
      </c>
      <c r="N31" s="18" t="str">
        <f t="shared" si="415"/>
        <v/>
      </c>
      <c r="O31" s="18" t="str">
        <f t="shared" si="415"/>
        <v/>
      </c>
      <c r="P31" s="18" t="str">
        <f t="shared" si="415"/>
        <v/>
      </c>
      <c r="Q31" s="18" t="str">
        <f t="shared" si="415"/>
        <v/>
      </c>
      <c r="R31" s="18" t="str">
        <f t="shared" si="415"/>
        <v/>
      </c>
      <c r="S31" s="18" t="str">
        <f t="shared" si="415"/>
        <v/>
      </c>
      <c r="T31" s="18" t="str">
        <f t="shared" si="415"/>
        <v/>
      </c>
      <c r="U31" s="18" t="str">
        <f t="shared" si="415"/>
        <v/>
      </c>
      <c r="V31" s="18" t="str">
        <f t="shared" si="415"/>
        <v/>
      </c>
      <c r="W31" s="18" t="str">
        <f t="shared" si="415"/>
        <v/>
      </c>
      <c r="X31" s="18" t="str">
        <f t="shared" si="415"/>
        <v/>
      </c>
      <c r="Y31" s="18" t="str">
        <f t="shared" si="415"/>
        <v/>
      </c>
      <c r="Z31" s="18" t="str">
        <f t="shared" si="415"/>
        <v/>
      </c>
      <c r="AA31" s="18" t="str">
        <f t="shared" si="415"/>
        <v/>
      </c>
      <c r="AB31" s="18" t="str">
        <f t="shared" si="415"/>
        <v/>
      </c>
      <c r="AC31" s="18" t="str">
        <f t="shared" si="415"/>
        <v/>
      </c>
      <c r="AD31" s="18" t="str">
        <f t="shared" si="415"/>
        <v/>
      </c>
      <c r="AE31" s="18" t="str">
        <f t="shared" si="415"/>
        <v/>
      </c>
      <c r="AF31" s="18" t="str">
        <f t="shared" si="415"/>
        <v/>
      </c>
      <c r="AG31" s="18" t="str">
        <f t="shared" si="415"/>
        <v/>
      </c>
      <c r="AH31" s="18" t="str">
        <f t="shared" si="415"/>
        <v/>
      </c>
      <c r="AI31" s="18" t="str">
        <f t="shared" si="415"/>
        <v/>
      </c>
      <c r="AJ31" s="18" t="str">
        <f t="shared" si="415"/>
        <v/>
      </c>
      <c r="AK31" s="18" t="str">
        <f t="shared" si="415"/>
        <v/>
      </c>
      <c r="AL31" s="18" t="str">
        <f t="shared" si="415"/>
        <v/>
      </c>
      <c r="AM31" s="18" t="str">
        <f t="shared" si="415"/>
        <v/>
      </c>
      <c r="AN31" s="18" t="str">
        <f t="shared" ref="D31:AN31" si="416">IF(AN30="","",IF(AN30=0,"",AN30/(AN27*100)))</f>
        <v/>
      </c>
      <c r="AO31" s="18" t="str">
        <f t="shared" ref="AO31:AS31" si="417">IF(AO30="","",IF(AO30=0,"",AO30/(AO27*100)))</f>
        <v/>
      </c>
      <c r="AP31" s="18" t="str">
        <f t="shared" si="417"/>
        <v/>
      </c>
      <c r="AQ31" s="18" t="str">
        <f t="shared" si="417"/>
        <v/>
      </c>
      <c r="AR31" s="18" t="str">
        <f t="shared" si="417"/>
        <v/>
      </c>
      <c r="AS31" s="18" t="str">
        <f t="shared" si="417"/>
        <v/>
      </c>
    </row>
    <row r="32" spans="1:46" x14ac:dyDescent="0.15">
      <c r="A32" s="17" t="s">
        <v>1</v>
      </c>
      <c r="B32" s="9" t="s">
        <v>2</v>
      </c>
      <c r="C32" s="8">
        <v>6830</v>
      </c>
      <c r="D32" s="8">
        <v>6830</v>
      </c>
      <c r="E32" s="8">
        <v>6871</v>
      </c>
      <c r="F32" s="8">
        <v>6871</v>
      </c>
      <c r="G32" s="8">
        <v>6871</v>
      </c>
      <c r="H32" s="8">
        <v>6871</v>
      </c>
      <c r="I32" s="8">
        <v>6917</v>
      </c>
      <c r="J32" s="8">
        <f>IF(J8="","",I32)</f>
        <v>6917</v>
      </c>
      <c r="K32" s="8">
        <f t="shared" ref="K32" si="418">IF(K8="","",J32)</f>
        <v>6917</v>
      </c>
      <c r="L32" s="8">
        <v>6997</v>
      </c>
      <c r="M32" s="8" t="str">
        <f>IF(M8="","",L32)</f>
        <v/>
      </c>
      <c r="N32" s="8" t="str">
        <f t="shared" ref="N32" si="419">IF(N8="","",M32)</f>
        <v/>
      </c>
      <c r="O32" s="8" t="str">
        <f t="shared" ref="O32" si="420">IF(O8="","",N32)</f>
        <v/>
      </c>
      <c r="P32" s="8" t="str">
        <f>IF(P8="","",O32)</f>
        <v/>
      </c>
      <c r="Q32" s="8" t="str">
        <f>IF(Q8="","",P32)</f>
        <v/>
      </c>
      <c r="R32" s="8" t="str">
        <f t="shared" ref="R32" si="421">IF(R8="","",Q32)</f>
        <v/>
      </c>
      <c r="S32" s="8" t="str">
        <f>IF(S8="","",R32)</f>
        <v/>
      </c>
      <c r="T32" s="8" t="str">
        <f>IF(T8="","",S32)</f>
        <v/>
      </c>
      <c r="U32" s="8" t="str">
        <f t="shared" ref="U32" si="422">IF(U8="","",T32)</f>
        <v/>
      </c>
      <c r="V32" s="8" t="str">
        <f t="shared" ref="V32" si="423">IF(V8="","",U32)</f>
        <v/>
      </c>
      <c r="W32" s="8" t="str">
        <f>IF(W8="","",V32)</f>
        <v/>
      </c>
      <c r="X32" s="8" t="str">
        <f>IF(X8="","",W32)</f>
        <v/>
      </c>
      <c r="Y32" s="8" t="str">
        <f t="shared" ref="Y32" si="424">IF(Y8="","",X32)</f>
        <v/>
      </c>
      <c r="Z32" s="8" t="str">
        <f>IF(Z8="","",Y32)</f>
        <v/>
      </c>
      <c r="AA32" s="8" t="str">
        <f>IF(AA8="","",Z32)</f>
        <v/>
      </c>
      <c r="AB32" s="8" t="str">
        <f t="shared" ref="AB32" si="425">IF(AB8="","",AA32)</f>
        <v/>
      </c>
      <c r="AC32" s="8" t="str">
        <f t="shared" ref="AC32" si="426">IF(AC8="","",AB32)</f>
        <v/>
      </c>
      <c r="AD32" s="8" t="str">
        <f>IF(AD8="","",AC32)</f>
        <v/>
      </c>
      <c r="AE32" s="8" t="str">
        <f>IF(AE8="","",AD32)</f>
        <v/>
      </c>
      <c r="AF32" s="8" t="str">
        <f t="shared" ref="AF32" si="427">IF(AF8="","",AE32)</f>
        <v/>
      </c>
      <c r="AG32" s="8" t="str">
        <f>IF(AG8="","",AF32)</f>
        <v/>
      </c>
      <c r="AH32" s="8" t="str">
        <f t="shared" ref="AH32" si="428">IF(AH8="","",AG32)</f>
        <v/>
      </c>
      <c r="AI32" s="8" t="str">
        <f t="shared" ref="AI32" si="429">IF(AI8="","",AH32)</f>
        <v/>
      </c>
      <c r="AJ32" s="8" t="str">
        <f t="shared" ref="AJ32" si="430">IF(AJ8="","",AI32)</f>
        <v/>
      </c>
      <c r="AK32" s="8" t="str">
        <f>IF(AK8="","",AJ32)</f>
        <v/>
      </c>
      <c r="AL32" s="8" t="str">
        <f t="shared" ref="AL32" si="431">IF(AL8="","",AK32)</f>
        <v/>
      </c>
      <c r="AM32" s="8" t="str">
        <f t="shared" ref="AM32" si="432">IF(AM8="","",AL32)</f>
        <v/>
      </c>
      <c r="AN32" s="8" t="str">
        <f t="shared" ref="AN32" si="433">IF(AN8="","",AM32)</f>
        <v/>
      </c>
      <c r="AO32" s="8" t="str">
        <f t="shared" ref="AO32:AS32" si="434">IF(AO8="","",AN32)</f>
        <v/>
      </c>
      <c r="AP32" s="8" t="str">
        <f t="shared" si="434"/>
        <v/>
      </c>
      <c r="AQ32" s="8" t="str">
        <f t="shared" si="434"/>
        <v/>
      </c>
      <c r="AR32" s="8" t="str">
        <f t="shared" si="434"/>
        <v/>
      </c>
      <c r="AS32" s="8" t="str">
        <f t="shared" si="434"/>
        <v/>
      </c>
    </row>
    <row r="33" spans="1:45" x14ac:dyDescent="0.15">
      <c r="A33" s="16" t="s">
        <v>3</v>
      </c>
      <c r="B33" s="9" t="s">
        <v>4</v>
      </c>
      <c r="C33" s="8">
        <v>390</v>
      </c>
      <c r="D33" s="8">
        <v>390</v>
      </c>
      <c r="E33" s="8">
        <v>391</v>
      </c>
      <c r="F33" s="8">
        <v>391</v>
      </c>
      <c r="G33" s="8">
        <v>391</v>
      </c>
      <c r="H33" s="8">
        <v>391</v>
      </c>
      <c r="I33" s="8">
        <v>391</v>
      </c>
      <c r="J33" s="8">
        <f>IF(J8="","",I33)</f>
        <v>391</v>
      </c>
      <c r="K33" s="8">
        <f t="shared" ref="K33" si="435">IF(K8="","",J33)</f>
        <v>391</v>
      </c>
      <c r="L33" s="8">
        <v>392</v>
      </c>
      <c r="M33" s="8" t="str">
        <f t="shared" ref="M33" si="436">IF(M8="","",L33)</f>
        <v/>
      </c>
      <c r="N33" s="8" t="str">
        <f t="shared" ref="N33" si="437">IF(N8="","",M33)</f>
        <v/>
      </c>
      <c r="O33" s="8" t="str">
        <f t="shared" ref="O33" si="438">IF(O8="","",N33)</f>
        <v/>
      </c>
      <c r="P33" s="8" t="str">
        <f>IF(P8="","",O33)</f>
        <v/>
      </c>
      <c r="Q33" s="8" t="str">
        <f t="shared" ref="Q33" si="439">IF(Q8="","",P33)</f>
        <v/>
      </c>
      <c r="R33" s="8" t="str">
        <f t="shared" ref="R33" si="440">IF(R8="","",Q33)</f>
        <v/>
      </c>
      <c r="S33" s="8" t="str">
        <f>IF(S8="","",R33)</f>
        <v/>
      </c>
      <c r="T33" s="8" t="str">
        <f>IF(T8="","",S33)</f>
        <v/>
      </c>
      <c r="U33" s="8" t="str">
        <f t="shared" ref="U33" si="441">IF(U8="","",T33)</f>
        <v/>
      </c>
      <c r="V33" s="8" t="str">
        <f t="shared" ref="V33" si="442">IF(V8="","",U33)</f>
        <v/>
      </c>
      <c r="W33" s="8" t="str">
        <f>IF(W8="","",V33)</f>
        <v/>
      </c>
      <c r="X33" s="8" t="str">
        <f>IF(X8="","",W33)</f>
        <v/>
      </c>
      <c r="Y33" s="8" t="str">
        <f t="shared" ref="Y33" si="443">IF(Y8="","",X33)</f>
        <v/>
      </c>
      <c r="Z33" s="8" t="str">
        <f>IF(Z8="","",Y33)</f>
        <v/>
      </c>
      <c r="AA33" s="8" t="str">
        <f>IF(AA8="","",Z33)</f>
        <v/>
      </c>
      <c r="AB33" s="8" t="str">
        <f t="shared" ref="AB33" si="444">IF(AB8="","",AA33)</f>
        <v/>
      </c>
      <c r="AC33" s="8" t="str">
        <f t="shared" ref="AC33" si="445">IF(AC8="","",AB33)</f>
        <v/>
      </c>
      <c r="AD33" s="8" t="str">
        <f t="shared" ref="AD33" si="446">IF(AD8="","",AC33)</f>
        <v/>
      </c>
      <c r="AE33" s="8" t="str">
        <f>IF(AE8="","",AD33)</f>
        <v/>
      </c>
      <c r="AF33" s="8" t="str">
        <f t="shared" ref="AF33" si="447">IF(AF8="","",AE33)</f>
        <v/>
      </c>
      <c r="AG33" s="8" t="str">
        <f>IF(AG8="","",AF33)</f>
        <v/>
      </c>
      <c r="AH33" s="8" t="str">
        <f t="shared" ref="AH33" si="448">IF(AH8="","",AG33)</f>
        <v/>
      </c>
      <c r="AI33" s="8" t="str">
        <f t="shared" ref="AI33" si="449">IF(AI8="","",AH33)</f>
        <v/>
      </c>
      <c r="AJ33" s="8" t="str">
        <f t="shared" ref="AJ33" si="450">IF(AJ8="","",AI33)</f>
        <v/>
      </c>
      <c r="AK33" s="8" t="str">
        <f t="shared" ref="AK33" si="451">IF(AK8="","",AJ33)</f>
        <v/>
      </c>
      <c r="AL33" s="8" t="str">
        <f t="shared" ref="AL33" si="452">IF(AL8="","",AK33)</f>
        <v/>
      </c>
      <c r="AM33" s="8" t="str">
        <f t="shared" ref="AM33" si="453">IF(AM8="","",AL33)</f>
        <v/>
      </c>
      <c r="AN33" s="8" t="str">
        <f t="shared" ref="AN33" si="454">IF(AN8="","",AM33)</f>
        <v/>
      </c>
      <c r="AO33" s="8" t="str">
        <f t="shared" ref="AO33:AS33" si="455">IF(AO8="","",AN33)</f>
        <v/>
      </c>
      <c r="AP33" s="8" t="str">
        <f t="shared" si="455"/>
        <v/>
      </c>
      <c r="AQ33" s="8" t="str">
        <f t="shared" si="455"/>
        <v/>
      </c>
      <c r="AR33" s="8" t="str">
        <f t="shared" si="455"/>
        <v/>
      </c>
      <c r="AS33" s="8" t="str">
        <f t="shared" si="455"/>
        <v/>
      </c>
    </row>
    <row r="34" spans="1:45" x14ac:dyDescent="0.15">
      <c r="A34" s="15">
        <v>3</v>
      </c>
      <c r="B34" s="9" t="s">
        <v>5</v>
      </c>
      <c r="C34" s="8">
        <v>8</v>
      </c>
      <c r="D34" s="8">
        <v>8</v>
      </c>
      <c r="E34" s="8">
        <v>7</v>
      </c>
      <c r="F34" s="8">
        <v>7</v>
      </c>
      <c r="G34" s="8">
        <v>7</v>
      </c>
      <c r="H34" s="8">
        <v>7</v>
      </c>
      <c r="I34" s="8">
        <v>7</v>
      </c>
      <c r="J34" s="8">
        <f>IF(J32="","",(I34+I35))</f>
        <v>7</v>
      </c>
      <c r="K34" s="8">
        <f t="shared" ref="K34" si="456">IF(K32="","",(J34+J35))</f>
        <v>7</v>
      </c>
      <c r="L34" s="8">
        <v>6</v>
      </c>
      <c r="M34" s="8" t="str">
        <f t="shared" ref="M34" si="457">IF(M32="","",(L34+L35))</f>
        <v/>
      </c>
      <c r="N34" s="8" t="str">
        <f t="shared" ref="N34" si="458">IF(N32="","",(M34+M35))</f>
        <v/>
      </c>
      <c r="O34" s="8" t="str">
        <f t="shared" ref="O34" si="459">IF(O32="","",(N34+N35))</f>
        <v/>
      </c>
      <c r="P34" s="8" t="str">
        <f>IF(P32="","",(O34+O35))</f>
        <v/>
      </c>
      <c r="Q34" s="8" t="str">
        <f t="shared" ref="Q34" si="460">IF(Q32="","",(P34+P35))</f>
        <v/>
      </c>
      <c r="R34" s="8" t="str">
        <f t="shared" ref="R34" si="461">IF(R32="","",(Q34+Q35))</f>
        <v/>
      </c>
      <c r="S34" s="8" t="str">
        <f>IF(S32="","",(R34+R35))</f>
        <v/>
      </c>
      <c r="T34" s="8" t="str">
        <f>IF(T32="","",(S34+S35))</f>
        <v/>
      </c>
      <c r="U34" s="8" t="str">
        <f t="shared" ref="U34" si="462">IF(U32="","",(T34+T35))</f>
        <v/>
      </c>
      <c r="V34" s="8" t="str">
        <f t="shared" ref="V34" si="463">IF(V32="","",(U34+U35))</f>
        <v/>
      </c>
      <c r="W34" s="8" t="str">
        <f>IF(W32="","",(V34+V35))</f>
        <v/>
      </c>
      <c r="X34" s="8" t="str">
        <f>IF(X32="","",(W34+W35))</f>
        <v/>
      </c>
      <c r="Y34" s="8" t="str">
        <f t="shared" ref="Y34" si="464">IF(Y32="","",(X34+X35))</f>
        <v/>
      </c>
      <c r="Z34" s="8" t="str">
        <f>IF(Z32="","",(Y34+Y35))</f>
        <v/>
      </c>
      <c r="AA34" s="8" t="str">
        <f>IF(AA32="","",(Z34+Z35))</f>
        <v/>
      </c>
      <c r="AB34" s="8" t="str">
        <f t="shared" ref="AB34" si="465">IF(AB32="","",(AA34+AA35))</f>
        <v/>
      </c>
      <c r="AC34" s="8" t="str">
        <f t="shared" ref="AC34" si="466">IF(AC32="","",(AB34+AB35))</f>
        <v/>
      </c>
      <c r="AD34" s="8" t="str">
        <f t="shared" ref="AD34" si="467">IF(AD32="","",(AC34+AC35))</f>
        <v/>
      </c>
      <c r="AE34" s="8" t="str">
        <f>IF(AE32="","",(AD34+AD35))</f>
        <v/>
      </c>
      <c r="AF34" s="8" t="str">
        <f t="shared" ref="AF34" si="468">IF(AF32="","",(AE34+AE35))</f>
        <v/>
      </c>
      <c r="AG34" s="8" t="str">
        <f>IF(AG32="","",(AF34+AF35))</f>
        <v/>
      </c>
      <c r="AH34" s="8" t="str">
        <f t="shared" ref="AH34" si="469">IF(AH32="","",(AG34+AG35))</f>
        <v/>
      </c>
      <c r="AI34" s="8" t="str">
        <f t="shared" ref="AI34" si="470">IF(AI32="","",(AH34+AH35))</f>
        <v/>
      </c>
      <c r="AJ34" s="8" t="str">
        <f t="shared" ref="AJ34" si="471">IF(AJ32="","",(AI34+AI35))</f>
        <v/>
      </c>
      <c r="AK34" s="8" t="str">
        <f t="shared" ref="AK34" si="472">IF(AK32="","",(AJ34+AJ35))</f>
        <v/>
      </c>
      <c r="AL34" s="8" t="str">
        <f t="shared" ref="AL34" si="473">IF(AL32="","",(AK34+AK35))</f>
        <v/>
      </c>
      <c r="AM34" s="8" t="str">
        <f t="shared" ref="AM34" si="474">IF(AM32="","",(AL34+AL35))</f>
        <v/>
      </c>
      <c r="AN34" s="8" t="str">
        <f t="shared" ref="AN34" si="475">IF(AN32="","",(AM34+AM35))</f>
        <v/>
      </c>
      <c r="AO34" s="8" t="str">
        <f t="shared" ref="AO34:AS34" si="476">IF(AO32="","",(AN34+AN35))</f>
        <v/>
      </c>
      <c r="AP34" s="8" t="str">
        <f t="shared" si="476"/>
        <v/>
      </c>
      <c r="AQ34" s="8" t="str">
        <f t="shared" si="476"/>
        <v/>
      </c>
      <c r="AR34" s="8" t="str">
        <f t="shared" si="476"/>
        <v/>
      </c>
      <c r="AS34" s="8" t="str">
        <f t="shared" si="476"/>
        <v/>
      </c>
    </row>
    <row r="35" spans="1:45" x14ac:dyDescent="0.15">
      <c r="A35" s="14"/>
      <c r="B35" s="9" t="s">
        <v>7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</row>
    <row r="36" spans="1:45" x14ac:dyDescent="0.15">
      <c r="A36" s="7"/>
      <c r="B36" s="9" t="s">
        <v>8</v>
      </c>
      <c r="C36" s="8">
        <v>450</v>
      </c>
      <c r="D36" s="8">
        <v>450</v>
      </c>
      <c r="E36" s="8">
        <v>450</v>
      </c>
      <c r="F36" s="8">
        <v>450</v>
      </c>
      <c r="G36" s="8">
        <v>450</v>
      </c>
      <c r="H36" s="8">
        <v>450</v>
      </c>
      <c r="I36" s="8">
        <v>450</v>
      </c>
      <c r="J36" s="8">
        <f t="shared" ref="J36" si="477">IF(J32="","",I36)</f>
        <v>450</v>
      </c>
      <c r="K36" s="8">
        <f t="shared" ref="K36" si="478">IF(K32="","",J36)</f>
        <v>450</v>
      </c>
      <c r="L36" s="8">
        <f t="shared" ref="L36" si="479">IF(L32="","",K36)</f>
        <v>450</v>
      </c>
      <c r="M36" s="8" t="str">
        <f t="shared" ref="M36" si="480">IF(M32="","",L36)</f>
        <v/>
      </c>
      <c r="N36" s="8" t="str">
        <f t="shared" ref="N36" si="481">IF(N32="","",M36)</f>
        <v/>
      </c>
      <c r="O36" s="8" t="str">
        <f t="shared" ref="O36" si="482">IF(O32="","",N36)</f>
        <v/>
      </c>
      <c r="P36" s="8" t="str">
        <f t="shared" ref="P36" si="483">IF(P32="","",O36)</f>
        <v/>
      </c>
      <c r="Q36" s="8" t="str">
        <f t="shared" ref="Q36" si="484">IF(Q32="","",P36)</f>
        <v/>
      </c>
      <c r="R36" s="8" t="str">
        <f t="shared" ref="R36" si="485">IF(R32="","",Q36)</f>
        <v/>
      </c>
      <c r="S36" s="8" t="str">
        <f t="shared" ref="S36" si="486">IF(S32="","",R36)</f>
        <v/>
      </c>
      <c r="T36" s="8" t="str">
        <f t="shared" ref="T36" si="487">IF(T32="","",S36)</f>
        <v/>
      </c>
      <c r="U36" s="8" t="str">
        <f t="shared" ref="U36" si="488">IF(U32="","",T36)</f>
        <v/>
      </c>
      <c r="V36" s="8" t="str">
        <f t="shared" ref="V36" si="489">IF(V32="","",U36)</f>
        <v/>
      </c>
      <c r="W36" s="8" t="str">
        <f t="shared" ref="W36" si="490">IF(W32="","",V36)</f>
        <v/>
      </c>
      <c r="X36" s="8" t="str">
        <f t="shared" ref="X36" si="491">IF(X32="","",W36)</f>
        <v/>
      </c>
      <c r="Y36" s="8" t="str">
        <f t="shared" ref="Y36" si="492">IF(Y32="","",X36)</f>
        <v/>
      </c>
      <c r="Z36" s="8" t="str">
        <f t="shared" ref="Z36" si="493">IF(Z32="","",Y36)</f>
        <v/>
      </c>
      <c r="AA36" s="8" t="str">
        <f t="shared" ref="AA36" si="494">IF(AA32="","",Z36)</f>
        <v/>
      </c>
      <c r="AB36" s="8" t="str">
        <f t="shared" ref="AB36" si="495">IF(AB32="","",AA36)</f>
        <v/>
      </c>
      <c r="AC36" s="8" t="str">
        <f t="shared" ref="AC36" si="496">IF(AC32="","",AB36)</f>
        <v/>
      </c>
      <c r="AD36" s="8" t="str">
        <f t="shared" ref="AD36" si="497">IF(AD32="","",AC36)</f>
        <v/>
      </c>
      <c r="AE36" s="8" t="str">
        <f t="shared" ref="AE36" si="498">IF(AE32="","",AD36)</f>
        <v/>
      </c>
      <c r="AF36" s="8" t="str">
        <f t="shared" ref="AF36" si="499">IF(AF32="","",AE36)</f>
        <v/>
      </c>
      <c r="AG36" s="8" t="str">
        <f t="shared" ref="AG36" si="500">IF(AG32="","",AF36)</f>
        <v/>
      </c>
      <c r="AH36" s="8" t="str">
        <f t="shared" ref="AH36" si="501">IF(AH32="","",AG36)</f>
        <v/>
      </c>
      <c r="AI36" s="8" t="str">
        <f t="shared" ref="AI36" si="502">IF(AI32="","",AH36)</f>
        <v/>
      </c>
      <c r="AJ36" s="8" t="str">
        <f t="shared" ref="AJ36" si="503">IF(AJ32="","",AI36)</f>
        <v/>
      </c>
      <c r="AK36" s="8" t="str">
        <f t="shared" ref="AK36" si="504">IF(AK32="","",AJ36)</f>
        <v/>
      </c>
      <c r="AL36" s="8" t="str">
        <f t="shared" ref="AL36" si="505">IF(AL32="","",AK36)</f>
        <v/>
      </c>
      <c r="AM36" s="8" t="str">
        <f t="shared" ref="AM36" si="506">IF(AM32="","",AL36)</f>
        <v/>
      </c>
      <c r="AN36" s="8" t="str">
        <f t="shared" ref="AN36" si="507">IF(AN32="","",AM36)</f>
        <v/>
      </c>
      <c r="AO36" s="8" t="str">
        <f t="shared" ref="AO36:AS36" si="508">IF(AO32="","",AN36)</f>
        <v/>
      </c>
      <c r="AP36" s="8" t="str">
        <f t="shared" si="508"/>
        <v/>
      </c>
      <c r="AQ36" s="8" t="str">
        <f t="shared" si="508"/>
        <v/>
      </c>
      <c r="AR36" s="8" t="str">
        <f t="shared" si="508"/>
        <v/>
      </c>
      <c r="AS36" s="8" t="str">
        <f t="shared" si="508"/>
        <v/>
      </c>
    </row>
    <row r="37" spans="1:45" s="85" customFormat="1" x14ac:dyDescent="0.15">
      <c r="A37" s="14" t="s">
        <v>9</v>
      </c>
      <c r="B37" s="13" t="s">
        <v>10</v>
      </c>
      <c r="C37" s="12" t="s">
        <v>21</v>
      </c>
      <c r="D37" s="12" t="s">
        <v>21</v>
      </c>
      <c r="E37" s="12" t="s">
        <v>21</v>
      </c>
      <c r="F37" s="12" t="s">
        <v>21</v>
      </c>
      <c r="G37" s="12" t="s">
        <v>21</v>
      </c>
      <c r="H37" s="12" t="s">
        <v>21</v>
      </c>
      <c r="I37" s="12" t="s">
        <v>21</v>
      </c>
      <c r="J37" s="12" t="str">
        <f t="shared" ref="J37" si="509">IF(J32="","",I37)</f>
        <v>たまごっちマスコット</v>
      </c>
      <c r="K37" s="12" t="str">
        <f t="shared" ref="K37" si="510">IF(K32="","",J37)</f>
        <v>たまごっちマスコット</v>
      </c>
      <c r="L37" s="12" t="str">
        <f t="shared" ref="L37" si="511">IF(L32="","",K37)</f>
        <v>たまごっちマスコット</v>
      </c>
      <c r="M37" s="12" t="str">
        <f t="shared" ref="M37" si="512">IF(M32="","",L37)</f>
        <v/>
      </c>
      <c r="N37" s="12" t="str">
        <f t="shared" ref="N37" si="513">IF(N32="","",M37)</f>
        <v/>
      </c>
      <c r="O37" s="12" t="str">
        <f t="shared" ref="O37" si="514">IF(O32="","",N37)</f>
        <v/>
      </c>
      <c r="P37" s="12" t="str">
        <f t="shared" ref="P37" si="515">IF(P32="","",O37)</f>
        <v/>
      </c>
      <c r="Q37" s="12" t="str">
        <f t="shared" ref="Q37" si="516">IF(Q32="","",P37)</f>
        <v/>
      </c>
      <c r="R37" s="12" t="str">
        <f t="shared" ref="R37" si="517">IF(R32="","",Q37)</f>
        <v/>
      </c>
      <c r="S37" s="12" t="str">
        <f t="shared" ref="S37" si="518">IF(S32="","",R37)</f>
        <v/>
      </c>
      <c r="T37" s="12" t="str">
        <f t="shared" ref="T37" si="519">IF(T32="","",S37)</f>
        <v/>
      </c>
      <c r="U37" s="12" t="str">
        <f t="shared" ref="U37" si="520">IF(U32="","",T37)</f>
        <v/>
      </c>
      <c r="V37" s="12" t="str">
        <f t="shared" ref="V37" si="521">IF(V32="","",U37)</f>
        <v/>
      </c>
      <c r="W37" s="12" t="str">
        <f t="shared" ref="W37" si="522">IF(W32="","",V37)</f>
        <v/>
      </c>
      <c r="X37" s="12" t="str">
        <f t="shared" ref="X37" si="523">IF(X32="","",W37)</f>
        <v/>
      </c>
      <c r="Y37" s="12" t="str">
        <f t="shared" ref="Y37" si="524">IF(Y32="","",X37)</f>
        <v/>
      </c>
      <c r="Z37" s="12" t="str">
        <f t="shared" ref="Z37" si="525">IF(Z32="","",Y37)</f>
        <v/>
      </c>
      <c r="AA37" s="12" t="str">
        <f t="shared" ref="AA37" si="526">IF(AA32="","",Z37)</f>
        <v/>
      </c>
      <c r="AB37" s="12" t="str">
        <f t="shared" ref="AB37" si="527">IF(AB32="","",AA37)</f>
        <v/>
      </c>
      <c r="AC37" s="12" t="str">
        <f t="shared" ref="AC37" si="528">IF(AC32="","",AB37)</f>
        <v/>
      </c>
      <c r="AD37" s="12" t="str">
        <f t="shared" ref="AD37" si="529">IF(AD32="","",AC37)</f>
        <v/>
      </c>
      <c r="AE37" s="12" t="str">
        <f t="shared" ref="AE37" si="530">IF(AE32="","",AD37)</f>
        <v/>
      </c>
      <c r="AF37" s="12" t="str">
        <f t="shared" ref="AF37" si="531">IF(AF32="","",AE37)</f>
        <v/>
      </c>
      <c r="AG37" s="12" t="str">
        <f t="shared" ref="AG37" si="532">IF(AG32="","",AF37)</f>
        <v/>
      </c>
      <c r="AH37" s="12" t="str">
        <f t="shared" ref="AH37" si="533">IF(AH32="","",AG37)</f>
        <v/>
      </c>
      <c r="AI37" s="12" t="str">
        <f t="shared" ref="AI37" si="534">IF(AI32="","",AH37)</f>
        <v/>
      </c>
      <c r="AJ37" s="12" t="str">
        <f t="shared" ref="AJ37" si="535">IF(AJ32="","",AI37)</f>
        <v/>
      </c>
      <c r="AK37" s="12" t="str">
        <f t="shared" ref="AK37" si="536">IF(AK32="","",AJ37)</f>
        <v/>
      </c>
      <c r="AL37" s="12" t="str">
        <f t="shared" ref="AL37" si="537">IF(AL32="","",AK37)</f>
        <v/>
      </c>
      <c r="AM37" s="12" t="str">
        <f t="shared" ref="AM37" si="538">IF(AM32="","",AL37)</f>
        <v/>
      </c>
      <c r="AN37" s="12" t="str">
        <f t="shared" ref="AN37" si="539">IF(AN32="","",AM37)</f>
        <v/>
      </c>
      <c r="AO37" s="12" t="str">
        <f t="shared" ref="AO37:AS37" si="540">IF(AO32="","",AN37)</f>
        <v/>
      </c>
      <c r="AP37" s="12" t="str">
        <f t="shared" si="540"/>
        <v/>
      </c>
      <c r="AQ37" s="12" t="str">
        <f t="shared" si="540"/>
        <v/>
      </c>
      <c r="AR37" s="12" t="str">
        <f t="shared" si="540"/>
        <v/>
      </c>
      <c r="AS37" s="12" t="str">
        <f t="shared" si="540"/>
        <v/>
      </c>
    </row>
    <row r="38" spans="1:45" x14ac:dyDescent="0.15">
      <c r="A38" s="7">
        <f>AVERAGE(C39:AS39)*30*100</f>
        <v>50100</v>
      </c>
      <c r="B38" s="9" t="s">
        <v>12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1:45" x14ac:dyDescent="0.15">
      <c r="A39" s="7">
        <f>SUM(C39:AS39)</f>
        <v>167</v>
      </c>
      <c r="B39" s="6" t="s">
        <v>13</v>
      </c>
      <c r="C39" s="5">
        <v>0</v>
      </c>
      <c r="D39" s="5">
        <v>0</v>
      </c>
      <c r="E39" s="5">
        <v>41</v>
      </c>
      <c r="F39" s="5">
        <v>0</v>
      </c>
      <c r="G39" s="5">
        <v>0</v>
      </c>
      <c r="H39" s="5">
        <v>0</v>
      </c>
      <c r="I39" s="5">
        <v>46</v>
      </c>
      <c r="J39" s="5">
        <f t="shared" ref="J39:J40" si="541">IF(J32="","",J32-I32)</f>
        <v>0</v>
      </c>
      <c r="K39" s="5">
        <f t="shared" ref="K39:K40" si="542">IF(K32="","",K32-J32)</f>
        <v>0</v>
      </c>
      <c r="L39" s="5">
        <f t="shared" ref="L39:L40" si="543">IF(L32="","",L32-K32)</f>
        <v>80</v>
      </c>
      <c r="M39" s="5" t="str">
        <f t="shared" ref="M39:M40" si="544">IF(M32="","",M32-L32)</f>
        <v/>
      </c>
      <c r="N39" s="5" t="str">
        <f t="shared" ref="N39:N40" si="545">IF(N32="","",N32-M32)</f>
        <v/>
      </c>
      <c r="O39" s="5" t="str">
        <f t="shared" ref="O39:O40" si="546">IF(O32="","",O32-N32)</f>
        <v/>
      </c>
      <c r="P39" s="5" t="str">
        <f t="shared" ref="P39:P40" si="547">IF(P32="","",P32-O32)</f>
        <v/>
      </c>
      <c r="Q39" s="5" t="str">
        <f t="shared" ref="Q39:Q40" si="548">IF(Q32="","",Q32-P32)</f>
        <v/>
      </c>
      <c r="R39" s="5" t="str">
        <f t="shared" ref="R39:R40" si="549">IF(R32="","",R32-Q32)</f>
        <v/>
      </c>
      <c r="S39" s="5" t="str">
        <f t="shared" ref="S39:S40" si="550">IF(S32="","",S32-R32)</f>
        <v/>
      </c>
      <c r="T39" s="5" t="str">
        <f t="shared" ref="T39:T40" si="551">IF(T32="","",T32-S32)</f>
        <v/>
      </c>
      <c r="U39" s="5" t="str">
        <f t="shared" ref="U39:U40" si="552">IF(U32="","",U32-T32)</f>
        <v/>
      </c>
      <c r="V39" s="5" t="str">
        <f t="shared" ref="V39:V40" si="553">IF(V32="","",V32-U32)</f>
        <v/>
      </c>
      <c r="W39" s="5" t="str">
        <f t="shared" ref="W39:W40" si="554">IF(W32="","",W32-V32)</f>
        <v/>
      </c>
      <c r="X39" s="5" t="str">
        <f t="shared" ref="X39:X40" si="555">IF(X32="","",X32-W32)</f>
        <v/>
      </c>
      <c r="Y39" s="5" t="str">
        <f t="shared" ref="Y39:Y40" si="556">IF(Y32="","",Y32-X32)</f>
        <v/>
      </c>
      <c r="Z39" s="5" t="str">
        <f t="shared" ref="Z39:Z40" si="557">IF(Z32="","",Z32-Y32)</f>
        <v/>
      </c>
      <c r="AA39" s="5" t="str">
        <f t="shared" ref="AA39:AA40" si="558">IF(AA32="","",AA32-Z32)</f>
        <v/>
      </c>
      <c r="AB39" s="5" t="str">
        <f t="shared" ref="AB39:AB40" si="559">IF(AB32="","",AB32-AA32)</f>
        <v/>
      </c>
      <c r="AC39" s="5" t="str">
        <f t="shared" ref="AC39:AC40" si="560">IF(AC32="","",AC32-AB32)</f>
        <v/>
      </c>
      <c r="AD39" s="5" t="str">
        <f t="shared" ref="AD39:AD40" si="561">IF(AD32="","",AD32-AC32)</f>
        <v/>
      </c>
      <c r="AE39" s="5" t="str">
        <f t="shared" ref="AE39:AE40" si="562">IF(AE32="","",AE32-AD32)</f>
        <v/>
      </c>
      <c r="AF39" s="5" t="str">
        <f t="shared" ref="AF39:AF40" si="563">IF(AF32="","",AF32-AE32)</f>
        <v/>
      </c>
      <c r="AG39" s="5" t="str">
        <f t="shared" ref="AG39:AG40" si="564">IF(AG32="","",AG32-AF32)</f>
        <v/>
      </c>
      <c r="AH39" s="5" t="str">
        <f t="shared" ref="AH39:AH40" si="565">IF(AH32="","",AH32-AG32)</f>
        <v/>
      </c>
      <c r="AI39" s="5" t="str">
        <f t="shared" ref="AI39:AI40" si="566">IF(AI32="","",AI32-AH32)</f>
        <v/>
      </c>
      <c r="AJ39" s="5" t="str">
        <f t="shared" ref="AJ39:AJ40" si="567">IF(AJ32="","",AJ32-AI32)</f>
        <v/>
      </c>
      <c r="AK39" s="5" t="str">
        <f t="shared" ref="AK39:AK40" si="568">IF(AK32="","",AK32-AJ32)</f>
        <v/>
      </c>
      <c r="AL39" s="5" t="str">
        <f t="shared" ref="AL39:AL40" si="569">IF(AL32="","",AL32-AK32)</f>
        <v/>
      </c>
      <c r="AM39" s="5" t="str">
        <f t="shared" ref="AM39:AM40" si="570">IF(AM32="","",AM32-AL32)</f>
        <v/>
      </c>
      <c r="AN39" s="5" t="str">
        <f t="shared" ref="AN39:AN40" si="571">IF(AN32="","",AN32-AM32)</f>
        <v/>
      </c>
      <c r="AO39" s="5" t="str">
        <f t="shared" ref="AO39:AS39" si="572">IF(AO32="","",AO32-AN32)</f>
        <v/>
      </c>
      <c r="AP39" s="5" t="str">
        <f t="shared" si="572"/>
        <v/>
      </c>
      <c r="AQ39" s="5" t="str">
        <f t="shared" si="572"/>
        <v/>
      </c>
      <c r="AR39" s="5" t="str">
        <f t="shared" si="572"/>
        <v/>
      </c>
      <c r="AS39" s="5" t="str">
        <f t="shared" si="572"/>
        <v/>
      </c>
    </row>
    <row r="40" spans="1:45" x14ac:dyDescent="0.15">
      <c r="A40" s="7">
        <f>SUM(C40:AS40)</f>
        <v>2</v>
      </c>
      <c r="B40" s="6" t="s">
        <v>14</v>
      </c>
      <c r="C40" s="5">
        <v>0</v>
      </c>
      <c r="D40" s="5">
        <v>0</v>
      </c>
      <c r="E40" s="5">
        <v>1</v>
      </c>
      <c r="F40" s="5">
        <v>0</v>
      </c>
      <c r="G40" s="5">
        <v>0</v>
      </c>
      <c r="H40" s="5">
        <v>0</v>
      </c>
      <c r="I40" s="5">
        <v>0</v>
      </c>
      <c r="J40" s="5">
        <f t="shared" si="541"/>
        <v>0</v>
      </c>
      <c r="K40" s="5">
        <f t="shared" si="542"/>
        <v>0</v>
      </c>
      <c r="L40" s="5">
        <f t="shared" si="543"/>
        <v>1</v>
      </c>
      <c r="M40" s="5" t="str">
        <f t="shared" si="544"/>
        <v/>
      </c>
      <c r="N40" s="5" t="str">
        <f t="shared" si="545"/>
        <v/>
      </c>
      <c r="O40" s="5" t="str">
        <f t="shared" si="546"/>
        <v/>
      </c>
      <c r="P40" s="5" t="str">
        <f t="shared" si="547"/>
        <v/>
      </c>
      <c r="Q40" s="5" t="str">
        <f t="shared" si="548"/>
        <v/>
      </c>
      <c r="R40" s="5" t="str">
        <f t="shared" si="549"/>
        <v/>
      </c>
      <c r="S40" s="5" t="str">
        <f t="shared" si="550"/>
        <v/>
      </c>
      <c r="T40" s="5" t="str">
        <f t="shared" si="551"/>
        <v/>
      </c>
      <c r="U40" s="5" t="str">
        <f t="shared" si="552"/>
        <v/>
      </c>
      <c r="V40" s="5" t="str">
        <f t="shared" si="553"/>
        <v/>
      </c>
      <c r="W40" s="5" t="str">
        <f t="shared" si="554"/>
        <v/>
      </c>
      <c r="X40" s="5" t="str">
        <f t="shared" si="555"/>
        <v/>
      </c>
      <c r="Y40" s="5" t="str">
        <f t="shared" si="556"/>
        <v/>
      </c>
      <c r="Z40" s="5" t="str">
        <f t="shared" si="557"/>
        <v/>
      </c>
      <c r="AA40" s="5" t="str">
        <f t="shared" si="558"/>
        <v/>
      </c>
      <c r="AB40" s="5" t="str">
        <f t="shared" si="559"/>
        <v/>
      </c>
      <c r="AC40" s="5" t="str">
        <f t="shared" si="560"/>
        <v/>
      </c>
      <c r="AD40" s="5" t="str">
        <f t="shared" si="561"/>
        <v/>
      </c>
      <c r="AE40" s="5" t="str">
        <f t="shared" si="562"/>
        <v/>
      </c>
      <c r="AF40" s="5" t="str">
        <f t="shared" si="563"/>
        <v/>
      </c>
      <c r="AG40" s="5" t="str">
        <f t="shared" si="564"/>
        <v/>
      </c>
      <c r="AH40" s="5" t="str">
        <f t="shared" si="565"/>
        <v/>
      </c>
      <c r="AI40" s="5" t="str">
        <f t="shared" si="566"/>
        <v/>
      </c>
      <c r="AJ40" s="5" t="str">
        <f t="shared" si="567"/>
        <v/>
      </c>
      <c r="AK40" s="5" t="str">
        <f t="shared" si="568"/>
        <v/>
      </c>
      <c r="AL40" s="5" t="str">
        <f t="shared" si="569"/>
        <v/>
      </c>
      <c r="AM40" s="5" t="str">
        <f t="shared" si="570"/>
        <v/>
      </c>
      <c r="AN40" s="5" t="str">
        <f t="shared" si="571"/>
        <v/>
      </c>
      <c r="AO40" s="5" t="str">
        <f t="shared" ref="AO40:AS40" si="573">IF(AO33="","",AO33-AN33)</f>
        <v/>
      </c>
      <c r="AP40" s="5" t="str">
        <f t="shared" si="573"/>
        <v/>
      </c>
      <c r="AQ40" s="5" t="str">
        <f t="shared" si="573"/>
        <v/>
      </c>
      <c r="AR40" s="5" t="str">
        <f t="shared" si="573"/>
        <v/>
      </c>
      <c r="AS40" s="5" t="str">
        <f t="shared" si="573"/>
        <v/>
      </c>
    </row>
    <row r="41" spans="1:45" x14ac:dyDescent="0.15">
      <c r="A41" s="7">
        <f>SUM(C41:AS41)</f>
        <v>2</v>
      </c>
      <c r="B41" s="6" t="s">
        <v>15</v>
      </c>
      <c r="C41" s="5">
        <v>0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f t="shared" ref="J41" si="574">IF(J34="","",I34+I35-J34)</f>
        <v>0</v>
      </c>
      <c r="K41" s="5">
        <f t="shared" ref="K41" si="575">IF(K34="","",J34+J35-K34)</f>
        <v>0</v>
      </c>
      <c r="L41" s="5">
        <f t="shared" ref="L41" si="576">IF(L34="","",K34+K35-L34)</f>
        <v>1</v>
      </c>
      <c r="M41" s="5" t="str">
        <f t="shared" ref="M41" si="577">IF(M34="","",L34+L35-M34)</f>
        <v/>
      </c>
      <c r="N41" s="5" t="str">
        <f t="shared" ref="N41" si="578">IF(N34="","",M34+M35-N34)</f>
        <v/>
      </c>
      <c r="O41" s="5" t="str">
        <f t="shared" ref="O41" si="579">IF(O34="","",N34+N35-O34)</f>
        <v/>
      </c>
      <c r="P41" s="5" t="str">
        <f t="shared" ref="P41" si="580">IF(P34="","",O34+O35-P34)</f>
        <v/>
      </c>
      <c r="Q41" s="5" t="str">
        <f t="shared" ref="Q41" si="581">IF(Q34="","",P34+P35-Q34)</f>
        <v/>
      </c>
      <c r="R41" s="5" t="str">
        <f t="shared" ref="R41" si="582">IF(R34="","",Q34+Q35-R34)</f>
        <v/>
      </c>
      <c r="S41" s="5" t="str">
        <f t="shared" ref="S41" si="583">IF(S34="","",R34+R35-S34)</f>
        <v/>
      </c>
      <c r="T41" s="5" t="str">
        <f t="shared" ref="T41" si="584">IF(T34="","",S34+S35-T34)</f>
        <v/>
      </c>
      <c r="U41" s="5" t="str">
        <f t="shared" ref="U41" si="585">IF(U34="","",T34+T35-U34)</f>
        <v/>
      </c>
      <c r="V41" s="5" t="str">
        <f t="shared" ref="V41" si="586">IF(V34="","",U34+U35-V34)</f>
        <v/>
      </c>
      <c r="W41" s="5" t="str">
        <f t="shared" ref="W41" si="587">IF(W34="","",V34+V35-W34)</f>
        <v/>
      </c>
      <c r="X41" s="5" t="str">
        <f t="shared" ref="X41" si="588">IF(X34="","",W34+W35-X34)</f>
        <v/>
      </c>
      <c r="Y41" s="5" t="str">
        <f t="shared" ref="Y41" si="589">IF(Y34="","",X34+X35-Y34)</f>
        <v/>
      </c>
      <c r="Z41" s="5" t="str">
        <f t="shared" ref="Z41" si="590">IF(Z34="","",Y34+Y35-Z34)</f>
        <v/>
      </c>
      <c r="AA41" s="5" t="str">
        <f t="shared" ref="AA41" si="591">IF(AA34="","",Z34+Z35-AA34)</f>
        <v/>
      </c>
      <c r="AB41" s="5" t="str">
        <f t="shared" ref="AB41" si="592">IF(AB34="","",AA34+AA35-AB34)</f>
        <v/>
      </c>
      <c r="AC41" s="5" t="str">
        <f t="shared" ref="AC41" si="593">IF(AC34="","",AB34+AB35-AC34)</f>
        <v/>
      </c>
      <c r="AD41" s="5" t="str">
        <f t="shared" ref="AD41" si="594">IF(AD34="","",AC34+AC35-AD34)</f>
        <v/>
      </c>
      <c r="AE41" s="5" t="str">
        <f t="shared" ref="AE41" si="595">IF(AE34="","",AD34+AD35-AE34)</f>
        <v/>
      </c>
      <c r="AF41" s="5" t="str">
        <f t="shared" ref="AF41" si="596">IF(AF34="","",AE34+AE35-AF34)</f>
        <v/>
      </c>
      <c r="AG41" s="5" t="str">
        <f t="shared" ref="AG41" si="597">IF(AG34="","",AF34+AF35-AG34)</f>
        <v/>
      </c>
      <c r="AH41" s="5" t="str">
        <f t="shared" ref="AH41" si="598">IF(AH34="","",AG34+AG35-AH34)</f>
        <v/>
      </c>
      <c r="AI41" s="5" t="str">
        <f t="shared" ref="AI41" si="599">IF(AI34="","",AH34+AH35-AI34)</f>
        <v/>
      </c>
      <c r="AJ41" s="5" t="str">
        <f t="shared" ref="AJ41" si="600">IF(AJ34="","",AI34+AI35-AJ34)</f>
        <v/>
      </c>
      <c r="AK41" s="5" t="str">
        <f t="shared" ref="AK41" si="601">IF(AK34="","",AJ34+AJ35-AK34)</f>
        <v/>
      </c>
      <c r="AL41" s="5" t="str">
        <f t="shared" ref="AL41" si="602">IF(AL34="","",AK34+AK35-AL34)</f>
        <v/>
      </c>
      <c r="AM41" s="5" t="str">
        <f t="shared" ref="AM41" si="603">IF(AM34="","",AL34+AL35-AM34)</f>
        <v/>
      </c>
      <c r="AN41" s="5" t="str">
        <f t="shared" ref="AN41" si="604">IF(AN34="","",AM34+AM35-AN34)</f>
        <v/>
      </c>
      <c r="AO41" s="5" t="str">
        <f t="shared" ref="AO41:AS41" si="605">IF(AO34="","",AN34+AN35-AO34)</f>
        <v/>
      </c>
      <c r="AP41" s="5" t="str">
        <f t="shared" si="605"/>
        <v/>
      </c>
      <c r="AQ41" s="5" t="str">
        <f t="shared" si="605"/>
        <v/>
      </c>
      <c r="AR41" s="5" t="str">
        <f t="shared" si="605"/>
        <v/>
      </c>
      <c r="AS41" s="5" t="str">
        <f t="shared" si="605"/>
        <v/>
      </c>
    </row>
    <row r="42" spans="1:45" x14ac:dyDescent="0.15">
      <c r="A42" s="7">
        <f>SUM(C42:AS42)</f>
        <v>900</v>
      </c>
      <c r="B42" s="6" t="s">
        <v>16</v>
      </c>
      <c r="C42" s="5">
        <v>0</v>
      </c>
      <c r="D42" s="5">
        <v>0</v>
      </c>
      <c r="E42" s="5">
        <v>450</v>
      </c>
      <c r="F42" s="5">
        <v>0</v>
      </c>
      <c r="G42" s="5">
        <v>0</v>
      </c>
      <c r="H42" s="5">
        <v>0</v>
      </c>
      <c r="I42" s="5">
        <v>0</v>
      </c>
      <c r="J42" s="5">
        <f t="shared" ref="H42:AM42" si="606">IF(J32="","",J41*J36)</f>
        <v>0</v>
      </c>
      <c r="K42" s="5">
        <f t="shared" si="606"/>
        <v>0</v>
      </c>
      <c r="L42" s="5">
        <f t="shared" si="606"/>
        <v>450</v>
      </c>
      <c r="M42" s="5" t="str">
        <f t="shared" si="606"/>
        <v/>
      </c>
      <c r="N42" s="5" t="str">
        <f t="shared" si="606"/>
        <v/>
      </c>
      <c r="O42" s="5" t="str">
        <f t="shared" si="606"/>
        <v/>
      </c>
      <c r="P42" s="5" t="str">
        <f t="shared" si="606"/>
        <v/>
      </c>
      <c r="Q42" s="5" t="str">
        <f t="shared" si="606"/>
        <v/>
      </c>
      <c r="R42" s="5" t="str">
        <f t="shared" si="606"/>
        <v/>
      </c>
      <c r="S42" s="5" t="str">
        <f t="shared" si="606"/>
        <v/>
      </c>
      <c r="T42" s="5" t="str">
        <f t="shared" si="606"/>
        <v/>
      </c>
      <c r="U42" s="5" t="str">
        <f t="shared" si="606"/>
        <v/>
      </c>
      <c r="V42" s="5" t="str">
        <f t="shared" si="606"/>
        <v/>
      </c>
      <c r="W42" s="5" t="str">
        <f t="shared" si="606"/>
        <v/>
      </c>
      <c r="X42" s="5" t="str">
        <f t="shared" si="606"/>
        <v/>
      </c>
      <c r="Y42" s="5" t="str">
        <f t="shared" si="606"/>
        <v/>
      </c>
      <c r="Z42" s="5" t="str">
        <f t="shared" si="606"/>
        <v/>
      </c>
      <c r="AA42" s="5" t="str">
        <f t="shared" si="606"/>
        <v/>
      </c>
      <c r="AB42" s="5" t="str">
        <f t="shared" si="606"/>
        <v/>
      </c>
      <c r="AC42" s="5" t="str">
        <f t="shared" si="606"/>
        <v/>
      </c>
      <c r="AD42" s="5" t="str">
        <f t="shared" si="606"/>
        <v/>
      </c>
      <c r="AE42" s="5" t="str">
        <f t="shared" si="606"/>
        <v/>
      </c>
      <c r="AF42" s="5" t="str">
        <f t="shared" si="606"/>
        <v/>
      </c>
      <c r="AG42" s="5" t="str">
        <f t="shared" si="606"/>
        <v/>
      </c>
      <c r="AH42" s="5" t="str">
        <f t="shared" si="606"/>
        <v/>
      </c>
      <c r="AI42" s="5" t="str">
        <f t="shared" si="606"/>
        <v/>
      </c>
      <c r="AJ42" s="5" t="str">
        <f t="shared" si="606"/>
        <v/>
      </c>
      <c r="AK42" s="5" t="str">
        <f t="shared" si="606"/>
        <v/>
      </c>
      <c r="AL42" s="5" t="str">
        <f t="shared" si="606"/>
        <v/>
      </c>
      <c r="AM42" s="5" t="str">
        <f t="shared" si="606"/>
        <v/>
      </c>
      <c r="AN42" s="5" t="str">
        <f t="shared" ref="D42:AN42" si="607">IF(AN32="","",AN41*AN36)</f>
        <v/>
      </c>
      <c r="AO42" s="5" t="str">
        <f t="shared" ref="AO42:AS42" si="608">IF(AO32="","",AO41*AO36)</f>
        <v/>
      </c>
      <c r="AP42" s="5" t="str">
        <f t="shared" si="608"/>
        <v/>
      </c>
      <c r="AQ42" s="5" t="str">
        <f t="shared" si="608"/>
        <v/>
      </c>
      <c r="AR42" s="5" t="str">
        <f t="shared" si="608"/>
        <v/>
      </c>
      <c r="AS42" s="5" t="str">
        <f t="shared" si="608"/>
        <v/>
      </c>
    </row>
    <row r="43" spans="1:45" ht="12" thickBot="1" x14ac:dyDescent="0.2">
      <c r="A43" s="4">
        <f>IF(A42="","",A42/(A39*100))</f>
        <v>5.3892215568862277E-2</v>
      </c>
      <c r="B43" s="6" t="s">
        <v>18</v>
      </c>
      <c r="C43" s="18" t="s">
        <v>19</v>
      </c>
      <c r="D43" s="18" t="s">
        <v>19</v>
      </c>
      <c r="E43" s="18">
        <v>0.10975609756097561</v>
      </c>
      <c r="F43" s="18" t="s">
        <v>19</v>
      </c>
      <c r="G43" s="18" t="s">
        <v>19</v>
      </c>
      <c r="H43" s="18" t="s">
        <v>19</v>
      </c>
      <c r="I43" s="18" t="s">
        <v>19</v>
      </c>
      <c r="J43" s="18" t="str">
        <f t="shared" ref="H43:AM43" si="609">IF(J42="","",IF(J42=0,"",J42/(J39*100)))</f>
        <v/>
      </c>
      <c r="K43" s="18" t="str">
        <f t="shared" si="609"/>
        <v/>
      </c>
      <c r="L43" s="18">
        <f t="shared" si="609"/>
        <v>5.6250000000000001E-2</v>
      </c>
      <c r="M43" s="18" t="str">
        <f t="shared" si="609"/>
        <v/>
      </c>
      <c r="N43" s="18" t="str">
        <f t="shared" si="609"/>
        <v/>
      </c>
      <c r="O43" s="18" t="str">
        <f t="shared" si="609"/>
        <v/>
      </c>
      <c r="P43" s="18" t="str">
        <f t="shared" si="609"/>
        <v/>
      </c>
      <c r="Q43" s="18" t="str">
        <f t="shared" si="609"/>
        <v/>
      </c>
      <c r="R43" s="18" t="str">
        <f t="shared" si="609"/>
        <v/>
      </c>
      <c r="S43" s="18" t="str">
        <f t="shared" si="609"/>
        <v/>
      </c>
      <c r="T43" s="18" t="str">
        <f t="shared" si="609"/>
        <v/>
      </c>
      <c r="U43" s="18" t="str">
        <f t="shared" si="609"/>
        <v/>
      </c>
      <c r="V43" s="18" t="str">
        <f t="shared" si="609"/>
        <v/>
      </c>
      <c r="W43" s="18" t="str">
        <f t="shared" si="609"/>
        <v/>
      </c>
      <c r="X43" s="18" t="str">
        <f t="shared" si="609"/>
        <v/>
      </c>
      <c r="Y43" s="18" t="str">
        <f t="shared" si="609"/>
        <v/>
      </c>
      <c r="Z43" s="18" t="str">
        <f t="shared" si="609"/>
        <v/>
      </c>
      <c r="AA43" s="18" t="str">
        <f t="shared" si="609"/>
        <v/>
      </c>
      <c r="AB43" s="18" t="str">
        <f t="shared" si="609"/>
        <v/>
      </c>
      <c r="AC43" s="18" t="str">
        <f t="shared" si="609"/>
        <v/>
      </c>
      <c r="AD43" s="18" t="str">
        <f t="shared" si="609"/>
        <v/>
      </c>
      <c r="AE43" s="18" t="str">
        <f t="shared" si="609"/>
        <v/>
      </c>
      <c r="AF43" s="18" t="str">
        <f t="shared" si="609"/>
        <v/>
      </c>
      <c r="AG43" s="18" t="str">
        <f t="shared" si="609"/>
        <v/>
      </c>
      <c r="AH43" s="18" t="str">
        <f t="shared" si="609"/>
        <v/>
      </c>
      <c r="AI43" s="18" t="str">
        <f t="shared" si="609"/>
        <v/>
      </c>
      <c r="AJ43" s="18" t="str">
        <f t="shared" si="609"/>
        <v/>
      </c>
      <c r="AK43" s="18" t="str">
        <f t="shared" si="609"/>
        <v/>
      </c>
      <c r="AL43" s="18" t="str">
        <f t="shared" si="609"/>
        <v/>
      </c>
      <c r="AM43" s="18" t="str">
        <f t="shared" si="609"/>
        <v/>
      </c>
      <c r="AN43" s="18" t="str">
        <f t="shared" ref="D43:AN43" si="610">IF(AN42="","",IF(AN42=0,"",AN42/(AN39*100)))</f>
        <v/>
      </c>
      <c r="AO43" s="18" t="str">
        <f t="shared" ref="AO43:AS43" si="611">IF(AO42="","",IF(AO42=0,"",AO42/(AO39*100)))</f>
        <v/>
      </c>
      <c r="AP43" s="18" t="str">
        <f t="shared" si="611"/>
        <v/>
      </c>
      <c r="AQ43" s="18" t="str">
        <f t="shared" si="611"/>
        <v/>
      </c>
      <c r="AR43" s="18" t="str">
        <f t="shared" si="611"/>
        <v/>
      </c>
      <c r="AS43" s="18" t="str">
        <f t="shared" si="611"/>
        <v/>
      </c>
    </row>
    <row r="44" spans="1:45" x14ac:dyDescent="0.15">
      <c r="A44" s="17" t="s">
        <v>1</v>
      </c>
      <c r="B44" s="9" t="s">
        <v>2</v>
      </c>
      <c r="C44" s="8">
        <v>10244</v>
      </c>
      <c r="D44" s="8">
        <v>10244</v>
      </c>
      <c r="E44" s="8">
        <v>10286</v>
      </c>
      <c r="F44" s="8">
        <v>10286</v>
      </c>
      <c r="G44" s="8">
        <v>10286</v>
      </c>
      <c r="H44" s="8">
        <v>10286</v>
      </c>
      <c r="I44" s="8">
        <v>10311</v>
      </c>
      <c r="J44" s="8">
        <f>IF(J8="","",I44)</f>
        <v>10311</v>
      </c>
      <c r="K44" s="8">
        <f t="shared" ref="K44" si="612">IF(K8="","",J44)</f>
        <v>10311</v>
      </c>
      <c r="L44" s="8">
        <v>10360</v>
      </c>
      <c r="M44" s="8" t="str">
        <f>IF(M8="","",L44)</f>
        <v/>
      </c>
      <c r="N44" s="8" t="str">
        <f t="shared" ref="N44" si="613">IF(N8="","",M44)</f>
        <v/>
      </c>
      <c r="O44" s="8" t="str">
        <f t="shared" ref="O44" si="614">IF(O8="","",N44)</f>
        <v/>
      </c>
      <c r="P44" s="8" t="str">
        <f>IF(P8="","",O44)</f>
        <v/>
      </c>
      <c r="Q44" s="8" t="str">
        <f>IF(Q8="","",P44)</f>
        <v/>
      </c>
      <c r="R44" s="8" t="str">
        <f t="shared" ref="R44" si="615">IF(R8="","",Q44)</f>
        <v/>
      </c>
      <c r="S44" s="8" t="str">
        <f>IF(S8="","",R44)</f>
        <v/>
      </c>
      <c r="T44" s="8" t="str">
        <f>IF(T8="","",S44)</f>
        <v/>
      </c>
      <c r="U44" s="8" t="str">
        <f t="shared" ref="U44" si="616">IF(U8="","",T44)</f>
        <v/>
      </c>
      <c r="V44" s="8" t="str">
        <f t="shared" ref="V44" si="617">IF(V8="","",U44)</f>
        <v/>
      </c>
      <c r="W44" s="8" t="str">
        <f>IF(W8="","",V44)</f>
        <v/>
      </c>
      <c r="X44" s="8" t="str">
        <f>IF(X8="","",W44)</f>
        <v/>
      </c>
      <c r="Y44" s="8" t="str">
        <f t="shared" ref="Y44" si="618">IF(Y8="","",X44)</f>
        <v/>
      </c>
      <c r="Z44" s="8" t="str">
        <f>IF(Z8="","",Y44)</f>
        <v/>
      </c>
      <c r="AA44" s="8" t="str">
        <f>IF(AA8="","",Z44)</f>
        <v/>
      </c>
      <c r="AB44" s="8" t="str">
        <f t="shared" ref="AB44" si="619">IF(AB8="","",AA44)</f>
        <v/>
      </c>
      <c r="AC44" s="8" t="str">
        <f t="shared" ref="AC44" si="620">IF(AC8="","",AB44)</f>
        <v/>
      </c>
      <c r="AD44" s="8" t="str">
        <f>IF(AD8="","",AC44)</f>
        <v/>
      </c>
      <c r="AE44" s="8" t="str">
        <f>IF(AE8="","",AD44)</f>
        <v/>
      </c>
      <c r="AF44" s="8" t="str">
        <f t="shared" ref="AF44" si="621">IF(AF8="","",AE44)</f>
        <v/>
      </c>
      <c r="AG44" s="8" t="str">
        <f>IF(AG8="","",AF44)</f>
        <v/>
      </c>
      <c r="AH44" s="8" t="str">
        <f t="shared" ref="AH44" si="622">IF(AH8="","",AG44)</f>
        <v/>
      </c>
      <c r="AI44" s="8" t="str">
        <f t="shared" ref="AI44" si="623">IF(AI8="","",AH44)</f>
        <v/>
      </c>
      <c r="AJ44" s="8" t="str">
        <f t="shared" ref="AJ44" si="624">IF(AJ8="","",AI44)</f>
        <v/>
      </c>
      <c r="AK44" s="8" t="str">
        <f>IF(AK8="","",AJ44)</f>
        <v/>
      </c>
      <c r="AL44" s="8" t="str">
        <f t="shared" ref="AL44" si="625">IF(AL8="","",AK44)</f>
        <v/>
      </c>
      <c r="AM44" s="8" t="str">
        <f t="shared" ref="AM44" si="626">IF(AM8="","",AL44)</f>
        <v/>
      </c>
      <c r="AN44" s="8" t="str">
        <f t="shared" ref="AN44" si="627">IF(AN8="","",AM44)</f>
        <v/>
      </c>
      <c r="AO44" s="8" t="str">
        <f t="shared" ref="AO44:AS44" si="628">IF(AO8="","",AN44)</f>
        <v/>
      </c>
      <c r="AP44" s="8" t="str">
        <f t="shared" si="628"/>
        <v/>
      </c>
      <c r="AQ44" s="8" t="str">
        <f t="shared" si="628"/>
        <v/>
      </c>
      <c r="AR44" s="8" t="str">
        <f t="shared" si="628"/>
        <v/>
      </c>
      <c r="AS44" s="8" t="str">
        <f t="shared" si="628"/>
        <v/>
      </c>
    </row>
    <row r="45" spans="1:45" x14ac:dyDescent="0.15">
      <c r="A45" s="16" t="s">
        <v>3</v>
      </c>
      <c r="B45" s="9" t="s">
        <v>4</v>
      </c>
      <c r="C45" s="8">
        <v>597</v>
      </c>
      <c r="D45" s="8">
        <v>597</v>
      </c>
      <c r="E45" s="8">
        <v>598</v>
      </c>
      <c r="F45" s="8">
        <v>598</v>
      </c>
      <c r="G45" s="8">
        <v>598</v>
      </c>
      <c r="H45" s="8">
        <v>598</v>
      </c>
      <c r="I45" s="8">
        <v>599</v>
      </c>
      <c r="J45" s="8">
        <f t="shared" ref="J45" si="629">IF(J8="","",I45)</f>
        <v>599</v>
      </c>
      <c r="K45" s="8">
        <f t="shared" ref="K45" si="630">IF(K8="","",J45)</f>
        <v>599</v>
      </c>
      <c r="L45" s="8">
        <v>601</v>
      </c>
      <c r="M45" s="8" t="str">
        <f>IF(M8="","",L45)</f>
        <v/>
      </c>
      <c r="N45" s="8" t="str">
        <f t="shared" ref="N45" si="631">IF(N8="","",M45)</f>
        <v/>
      </c>
      <c r="O45" s="8" t="str">
        <f t="shared" ref="O45" si="632">IF(O8="","",N45)</f>
        <v/>
      </c>
      <c r="P45" s="8" t="str">
        <f>IF(P8="","",O45)</f>
        <v/>
      </c>
      <c r="Q45" s="8" t="str">
        <f>IF(Q8="","",P45)</f>
        <v/>
      </c>
      <c r="R45" s="8" t="str">
        <f t="shared" ref="R45" si="633">IF(R8="","",Q45)</f>
        <v/>
      </c>
      <c r="S45" s="8" t="str">
        <f>IF(S8="","",R45)</f>
        <v/>
      </c>
      <c r="T45" s="8" t="str">
        <f>IF(T8="","",S45)</f>
        <v/>
      </c>
      <c r="U45" s="8" t="str">
        <f t="shared" ref="U45" si="634">IF(U8="","",T45)</f>
        <v/>
      </c>
      <c r="V45" s="8" t="str">
        <f t="shared" ref="V45" si="635">IF(V8="","",U45)</f>
        <v/>
      </c>
      <c r="W45" s="8" t="str">
        <f>IF(W8="","",V45)</f>
        <v/>
      </c>
      <c r="X45" s="8" t="str">
        <f>IF(X8="","",W45)</f>
        <v/>
      </c>
      <c r="Y45" s="8" t="str">
        <f t="shared" ref="Y45" si="636">IF(Y8="","",X45)</f>
        <v/>
      </c>
      <c r="Z45" s="8" t="str">
        <f>IF(Z8="","",Y45)</f>
        <v/>
      </c>
      <c r="AA45" s="8" t="str">
        <f>IF(AA8="","",Z45)</f>
        <v/>
      </c>
      <c r="AB45" s="8" t="str">
        <f t="shared" ref="AB45" si="637">IF(AB8="","",AA45)</f>
        <v/>
      </c>
      <c r="AC45" s="8" t="str">
        <f t="shared" ref="AC45" si="638">IF(AC8="","",AB45)</f>
        <v/>
      </c>
      <c r="AD45" s="8" t="str">
        <f>IF(AD8="","",AC45)</f>
        <v/>
      </c>
      <c r="AE45" s="8" t="str">
        <f>IF(AE8="","",AD45)</f>
        <v/>
      </c>
      <c r="AF45" s="8" t="str">
        <f t="shared" ref="AF45" si="639">IF(AF8="","",AE45)</f>
        <v/>
      </c>
      <c r="AG45" s="8" t="str">
        <f>IF(AG8="","",AF45)</f>
        <v/>
      </c>
      <c r="AH45" s="8" t="str">
        <f t="shared" ref="AH45" si="640">IF(AH8="","",AG45)</f>
        <v/>
      </c>
      <c r="AI45" s="8" t="str">
        <f t="shared" ref="AI45" si="641">IF(AI8="","",AH45)</f>
        <v/>
      </c>
      <c r="AJ45" s="8" t="str">
        <f t="shared" ref="AJ45" si="642">IF(AJ8="","",AI45)</f>
        <v/>
      </c>
      <c r="AK45" s="8" t="str">
        <f>IF(AK8="","",AJ45)</f>
        <v/>
      </c>
      <c r="AL45" s="8" t="str">
        <f t="shared" ref="AL45" si="643">IF(AL8="","",AK45)</f>
        <v/>
      </c>
      <c r="AM45" s="8" t="str">
        <f t="shared" ref="AM45" si="644">IF(AM8="","",AL45)</f>
        <v/>
      </c>
      <c r="AN45" s="8" t="str">
        <f t="shared" ref="AN45" si="645">IF(AN8="","",AM45)</f>
        <v/>
      </c>
      <c r="AO45" s="8" t="str">
        <f t="shared" ref="AO45:AS45" si="646">IF(AO8="","",AN45)</f>
        <v/>
      </c>
      <c r="AP45" s="8" t="str">
        <f t="shared" si="646"/>
        <v/>
      </c>
      <c r="AQ45" s="8" t="str">
        <f t="shared" si="646"/>
        <v/>
      </c>
      <c r="AR45" s="8" t="str">
        <f t="shared" si="646"/>
        <v/>
      </c>
      <c r="AS45" s="8" t="str">
        <f t="shared" si="646"/>
        <v/>
      </c>
    </row>
    <row r="46" spans="1:45" x14ac:dyDescent="0.15">
      <c r="A46" s="15">
        <v>4</v>
      </c>
      <c r="B46" s="9" t="s">
        <v>5</v>
      </c>
      <c r="C46" s="8">
        <v>12</v>
      </c>
      <c r="D46" s="8">
        <v>12</v>
      </c>
      <c r="E46" s="8">
        <v>11</v>
      </c>
      <c r="F46" s="8">
        <v>17</v>
      </c>
      <c r="G46" s="8">
        <v>17</v>
      </c>
      <c r="H46" s="8">
        <v>17</v>
      </c>
      <c r="I46" s="8">
        <v>16</v>
      </c>
      <c r="J46" s="8">
        <f t="shared" ref="J46" si="647">IF(J44="","",(I46+I47))</f>
        <v>16</v>
      </c>
      <c r="K46" s="8">
        <f t="shared" ref="K46" si="648">IF(K44="","",(J46+J47))</f>
        <v>16</v>
      </c>
      <c r="L46" s="8">
        <v>14</v>
      </c>
      <c r="M46" s="8" t="str">
        <f>IF(M44="","",(L46+L47))</f>
        <v/>
      </c>
      <c r="N46" s="8" t="str">
        <f t="shared" ref="N46" si="649">IF(N44="","",(M46+M47))</f>
        <v/>
      </c>
      <c r="O46" s="8" t="str">
        <f t="shared" ref="O46" si="650">IF(O44="","",(N46+N47))</f>
        <v/>
      </c>
      <c r="P46" s="8" t="str">
        <f>IF(P44="","",(O46+O47))</f>
        <v/>
      </c>
      <c r="Q46" s="8" t="str">
        <f>IF(Q44="","",(P46+P47))</f>
        <v/>
      </c>
      <c r="R46" s="8" t="str">
        <f t="shared" ref="R46" si="651">IF(R44="","",(Q46+Q47))</f>
        <v/>
      </c>
      <c r="S46" s="8" t="str">
        <f>IF(S44="","",(R46+R47))</f>
        <v/>
      </c>
      <c r="T46" s="8" t="str">
        <f>IF(T44="","",(S46+S47))</f>
        <v/>
      </c>
      <c r="U46" s="8" t="str">
        <f t="shared" ref="U46" si="652">IF(U44="","",(T46+T47))</f>
        <v/>
      </c>
      <c r="V46" s="8" t="str">
        <f t="shared" ref="V46" si="653">IF(V44="","",(U46+U47))</f>
        <v/>
      </c>
      <c r="W46" s="8" t="str">
        <f>IF(W44="","",(V46+V47))</f>
        <v/>
      </c>
      <c r="X46" s="8" t="str">
        <f>IF(X44="","",(W46+W47))</f>
        <v/>
      </c>
      <c r="Y46" s="8" t="str">
        <f t="shared" ref="Y46" si="654">IF(Y44="","",(X46+X47))</f>
        <v/>
      </c>
      <c r="Z46" s="8" t="str">
        <f>IF(Z44="","",(Y46+Y47))</f>
        <v/>
      </c>
      <c r="AA46" s="8" t="str">
        <f>IF(AA44="","",(Z46+Z47))</f>
        <v/>
      </c>
      <c r="AB46" s="8" t="str">
        <f t="shared" ref="AB46" si="655">IF(AB44="","",(AA46+AA47))</f>
        <v/>
      </c>
      <c r="AC46" s="8" t="str">
        <f t="shared" ref="AC46" si="656">IF(AC44="","",(AB46+AB47))</f>
        <v/>
      </c>
      <c r="AD46" s="8" t="str">
        <f t="shared" ref="AD46" si="657">IF(AD44="","",(AC46+AC47))</f>
        <v/>
      </c>
      <c r="AE46" s="8" t="str">
        <f>IF(AE44="","",(AD46+AD47))</f>
        <v/>
      </c>
      <c r="AF46" s="8" t="str">
        <f t="shared" ref="AF46" si="658">IF(AF44="","",(AE46+AE47))</f>
        <v/>
      </c>
      <c r="AG46" s="8" t="str">
        <f>IF(AG44="","",(AF46+AF47))</f>
        <v/>
      </c>
      <c r="AH46" s="8" t="str">
        <f t="shared" ref="AH46" si="659">IF(AH44="","",(AG46+AG47))</f>
        <v/>
      </c>
      <c r="AI46" s="8" t="str">
        <f t="shared" ref="AI46" si="660">IF(AI44="","",(AH46+AH47))</f>
        <v/>
      </c>
      <c r="AJ46" s="8" t="str">
        <f t="shared" ref="AJ46" si="661">IF(AJ44="","",(AI46+AI47))</f>
        <v/>
      </c>
      <c r="AK46" s="8" t="str">
        <f>IF(AK44="","",(AJ46+AJ47))</f>
        <v/>
      </c>
      <c r="AL46" s="8" t="str">
        <f t="shared" ref="AL46" si="662">IF(AL44="","",(AK46+AK47))</f>
        <v/>
      </c>
      <c r="AM46" s="8" t="str">
        <f t="shared" ref="AM46" si="663">IF(AM44="","",(AL46+AL47))</f>
        <v/>
      </c>
      <c r="AN46" s="8" t="str">
        <f t="shared" ref="AN46" si="664">IF(AN44="","",(AM46+AM47))</f>
        <v/>
      </c>
      <c r="AO46" s="8" t="str">
        <f t="shared" ref="AO46:AS46" si="665">IF(AO44="","",(AN46+AN47))</f>
        <v/>
      </c>
      <c r="AP46" s="8" t="str">
        <f t="shared" si="665"/>
        <v/>
      </c>
      <c r="AQ46" s="8" t="str">
        <f t="shared" si="665"/>
        <v/>
      </c>
      <c r="AR46" s="8" t="str">
        <f t="shared" si="665"/>
        <v/>
      </c>
      <c r="AS46" s="8" t="str">
        <f t="shared" si="665"/>
        <v/>
      </c>
    </row>
    <row r="47" spans="1:45" x14ac:dyDescent="0.15">
      <c r="A47" s="14"/>
      <c r="B47" s="9" t="s">
        <v>7</v>
      </c>
      <c r="C47" s="8"/>
      <c r="D47" s="8"/>
      <c r="E47" s="8">
        <v>6</v>
      </c>
      <c r="F47" s="8"/>
      <c r="G47" s="8"/>
      <c r="H47" s="8"/>
      <c r="I47" s="8"/>
      <c r="J47" s="8"/>
      <c r="K47" s="8"/>
      <c r="L47" s="8">
        <v>3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</row>
    <row r="48" spans="1:45" x14ac:dyDescent="0.15">
      <c r="A48" s="7"/>
      <c r="B48" s="9" t="s">
        <v>8</v>
      </c>
      <c r="C48" s="8">
        <v>150</v>
      </c>
      <c r="D48" s="8">
        <v>150</v>
      </c>
      <c r="E48" s="8">
        <v>150</v>
      </c>
      <c r="F48" s="8">
        <v>150</v>
      </c>
      <c r="G48" s="8">
        <v>150</v>
      </c>
      <c r="H48" s="8">
        <v>150</v>
      </c>
      <c r="I48" s="8">
        <v>150</v>
      </c>
      <c r="J48" s="8">
        <f t="shared" ref="J48" si="666">IF(J44="","",I48)</f>
        <v>150</v>
      </c>
      <c r="K48" s="8">
        <f t="shared" ref="K48" si="667">IF(K44="","",J48)</f>
        <v>150</v>
      </c>
      <c r="L48" s="8">
        <f>IF(L44="","",K48)</f>
        <v>150</v>
      </c>
      <c r="M48" s="8" t="str">
        <f t="shared" ref="M48" si="668">IF(M44="","",L48)</f>
        <v/>
      </c>
      <c r="N48" s="8" t="str">
        <f t="shared" ref="N48" si="669">IF(N44="","",M48)</f>
        <v/>
      </c>
      <c r="O48" s="8" t="str">
        <f t="shared" ref="O48" si="670">IF(O44="","",N48)</f>
        <v/>
      </c>
      <c r="P48" s="8" t="str">
        <f t="shared" ref="P48" si="671">IF(P44="","",O48)</f>
        <v/>
      </c>
      <c r="Q48" s="8" t="str">
        <f t="shared" ref="Q48" si="672">IF(Q44="","",P48)</f>
        <v/>
      </c>
      <c r="R48" s="8" t="str">
        <f t="shared" ref="R48" si="673">IF(R44="","",Q48)</f>
        <v/>
      </c>
      <c r="S48" s="8" t="str">
        <f t="shared" ref="S48" si="674">IF(S44="","",R48)</f>
        <v/>
      </c>
      <c r="T48" s="8" t="str">
        <f t="shared" ref="T48" si="675">IF(T44="","",S48)</f>
        <v/>
      </c>
      <c r="U48" s="8" t="str">
        <f t="shared" ref="U48" si="676">IF(U44="","",T48)</f>
        <v/>
      </c>
      <c r="V48" s="8" t="str">
        <f t="shared" ref="V48" si="677">IF(V44="","",U48)</f>
        <v/>
      </c>
      <c r="W48" s="8" t="str">
        <f t="shared" ref="W48" si="678">IF(W44="","",V48)</f>
        <v/>
      </c>
      <c r="X48" s="8" t="str">
        <f t="shared" ref="X48" si="679">IF(X44="","",W48)</f>
        <v/>
      </c>
      <c r="Y48" s="8" t="str">
        <f t="shared" ref="Y48" si="680">IF(Y44="","",X48)</f>
        <v/>
      </c>
      <c r="Z48" s="8" t="str">
        <f t="shared" ref="Z48" si="681">IF(Z44="","",Y48)</f>
        <v/>
      </c>
      <c r="AA48" s="8" t="str">
        <f t="shared" ref="AA48" si="682">IF(AA44="","",Z48)</f>
        <v/>
      </c>
      <c r="AB48" s="8" t="str">
        <f t="shared" ref="AB48" si="683">IF(AB44="","",AA48)</f>
        <v/>
      </c>
      <c r="AC48" s="8" t="str">
        <f t="shared" ref="AC48" si="684">IF(AC44="","",AB48)</f>
        <v/>
      </c>
      <c r="AD48" s="8" t="str">
        <f t="shared" ref="AD48" si="685">IF(AD44="","",AC48)</f>
        <v/>
      </c>
      <c r="AE48" s="8" t="str">
        <f t="shared" ref="AE48" si="686">IF(AE44="","",AD48)</f>
        <v/>
      </c>
      <c r="AF48" s="8" t="str">
        <f t="shared" ref="AF48" si="687">IF(AF44="","",AE48)</f>
        <v/>
      </c>
      <c r="AG48" s="8" t="str">
        <f t="shared" ref="AG48" si="688">IF(AG44="","",AF48)</f>
        <v/>
      </c>
      <c r="AH48" s="8" t="str">
        <f t="shared" ref="AH48" si="689">IF(AH44="","",AG48)</f>
        <v/>
      </c>
      <c r="AI48" s="8" t="str">
        <f t="shared" ref="AI48" si="690">IF(AI44="","",AH48)</f>
        <v/>
      </c>
      <c r="AJ48" s="8" t="str">
        <f t="shared" ref="AJ48" si="691">IF(AJ44="","",AI48)</f>
        <v/>
      </c>
      <c r="AK48" s="8" t="str">
        <f t="shared" ref="AK48" si="692">IF(AK44="","",AJ48)</f>
        <v/>
      </c>
      <c r="AL48" s="8" t="str">
        <f t="shared" ref="AL48" si="693">IF(AL44="","",AK48)</f>
        <v/>
      </c>
      <c r="AM48" s="8" t="str">
        <f t="shared" ref="AM48" si="694">IF(AM44="","",AL48)</f>
        <v/>
      </c>
      <c r="AN48" s="8" t="str">
        <f t="shared" ref="AN48" si="695">IF(AN44="","",AM48)</f>
        <v/>
      </c>
      <c r="AO48" s="8" t="str">
        <f t="shared" ref="AO48:AS48" si="696">IF(AO44="","",AN48)</f>
        <v/>
      </c>
      <c r="AP48" s="8" t="str">
        <f t="shared" si="696"/>
        <v/>
      </c>
      <c r="AQ48" s="8" t="str">
        <f t="shared" si="696"/>
        <v/>
      </c>
      <c r="AR48" s="8" t="str">
        <f t="shared" si="696"/>
        <v/>
      </c>
      <c r="AS48" s="8" t="str">
        <f t="shared" si="696"/>
        <v/>
      </c>
    </row>
    <row r="49" spans="1:45" s="85" customFormat="1" x14ac:dyDescent="0.15">
      <c r="A49" s="14" t="s">
        <v>9</v>
      </c>
      <c r="B49" s="13" t="s">
        <v>10</v>
      </c>
      <c r="C49" s="12" t="s">
        <v>354</v>
      </c>
      <c r="D49" s="12" t="s">
        <v>354</v>
      </c>
      <c r="E49" s="12" t="s">
        <v>354</v>
      </c>
      <c r="F49" s="12" t="s">
        <v>354</v>
      </c>
      <c r="G49" s="12" t="s">
        <v>354</v>
      </c>
      <c r="H49" s="12" t="s">
        <v>354</v>
      </c>
      <c r="I49" s="12" t="s">
        <v>354</v>
      </c>
      <c r="J49" s="12" t="str">
        <f t="shared" ref="J49" si="697">IF(J44="","",I49)</f>
        <v>フルーツスクイーズ</v>
      </c>
      <c r="K49" s="12" t="str">
        <f t="shared" ref="K49" si="698">IF(K44="","",J49)</f>
        <v>フルーツスクイーズ</v>
      </c>
      <c r="L49" s="12" t="str">
        <f t="shared" ref="L49" si="699">IF(L44="","",K49)</f>
        <v>フルーツスクイーズ</v>
      </c>
      <c r="M49" s="12" t="str">
        <f t="shared" ref="M49" si="700">IF(M44="","",L49)</f>
        <v/>
      </c>
      <c r="N49" s="12" t="str">
        <f t="shared" ref="N49" si="701">IF(N44="","",M49)</f>
        <v/>
      </c>
      <c r="O49" s="12" t="str">
        <f t="shared" ref="O49" si="702">IF(O44="","",N49)</f>
        <v/>
      </c>
      <c r="P49" s="12" t="str">
        <f t="shared" ref="P49" si="703">IF(P44="","",O49)</f>
        <v/>
      </c>
      <c r="Q49" s="12" t="str">
        <f t="shared" ref="Q49" si="704">IF(Q44="","",P49)</f>
        <v/>
      </c>
      <c r="R49" s="12" t="str">
        <f t="shared" ref="R49" si="705">IF(R44="","",Q49)</f>
        <v/>
      </c>
      <c r="S49" s="12" t="str">
        <f t="shared" ref="S49" si="706">IF(S44="","",R49)</f>
        <v/>
      </c>
      <c r="T49" s="12" t="str">
        <f t="shared" ref="T49" si="707">IF(T44="","",S49)</f>
        <v/>
      </c>
      <c r="U49" s="12" t="str">
        <f t="shared" ref="U49" si="708">IF(U44="","",T49)</f>
        <v/>
      </c>
      <c r="V49" s="12" t="str">
        <f t="shared" ref="V49" si="709">IF(V44="","",U49)</f>
        <v/>
      </c>
      <c r="W49" s="12" t="str">
        <f t="shared" ref="W49" si="710">IF(W44="","",V49)</f>
        <v/>
      </c>
      <c r="X49" s="12" t="str">
        <f t="shared" ref="X49" si="711">IF(X44="","",W49)</f>
        <v/>
      </c>
      <c r="Y49" s="12" t="str">
        <f t="shared" ref="Y49" si="712">IF(Y44="","",X49)</f>
        <v/>
      </c>
      <c r="Z49" s="12" t="str">
        <f t="shared" ref="Z49" si="713">IF(Z44="","",Y49)</f>
        <v/>
      </c>
      <c r="AA49" s="12" t="str">
        <f t="shared" ref="AA49" si="714">IF(AA44="","",Z49)</f>
        <v/>
      </c>
      <c r="AB49" s="12" t="str">
        <f t="shared" ref="AB49" si="715">IF(AB44="","",AA49)</f>
        <v/>
      </c>
      <c r="AC49" s="12" t="str">
        <f t="shared" ref="AC49" si="716">IF(AC44="","",AB49)</f>
        <v/>
      </c>
      <c r="AD49" s="12" t="str">
        <f t="shared" ref="AD49" si="717">IF(AD44="","",AC49)</f>
        <v/>
      </c>
      <c r="AE49" s="12" t="str">
        <f t="shared" ref="AE49" si="718">IF(AE44="","",AD49)</f>
        <v/>
      </c>
      <c r="AF49" s="12" t="str">
        <f t="shared" ref="AF49" si="719">IF(AF44="","",AE49)</f>
        <v/>
      </c>
      <c r="AG49" s="12" t="str">
        <f t="shared" ref="AG49" si="720">IF(AG44="","",AF49)</f>
        <v/>
      </c>
      <c r="AH49" s="12" t="str">
        <f t="shared" ref="AH49" si="721">IF(AH44="","",AG49)</f>
        <v/>
      </c>
      <c r="AI49" s="12" t="str">
        <f t="shared" ref="AI49" si="722">IF(AI44="","",AH49)</f>
        <v/>
      </c>
      <c r="AJ49" s="12" t="str">
        <f t="shared" ref="AJ49" si="723">IF(AJ44="","",AI49)</f>
        <v/>
      </c>
      <c r="AK49" s="12" t="str">
        <f t="shared" ref="AK49" si="724">IF(AK44="","",AJ49)</f>
        <v/>
      </c>
      <c r="AL49" s="12" t="str">
        <f t="shared" ref="AL49" si="725">IF(AL44="","",AK49)</f>
        <v/>
      </c>
      <c r="AM49" s="12" t="str">
        <f t="shared" ref="AM49" si="726">IF(AM44="","",AL49)</f>
        <v/>
      </c>
      <c r="AN49" s="12" t="str">
        <f t="shared" ref="AN49" si="727">IF(AN44="","",AM49)</f>
        <v/>
      </c>
      <c r="AO49" s="12" t="str">
        <f t="shared" ref="AO49:AS49" si="728">IF(AO44="","",AN49)</f>
        <v/>
      </c>
      <c r="AP49" s="12" t="str">
        <f t="shared" si="728"/>
        <v/>
      </c>
      <c r="AQ49" s="12" t="str">
        <f t="shared" si="728"/>
        <v/>
      </c>
      <c r="AR49" s="12" t="str">
        <f t="shared" si="728"/>
        <v/>
      </c>
      <c r="AS49" s="12" t="str">
        <f t="shared" si="728"/>
        <v/>
      </c>
    </row>
    <row r="50" spans="1:45" x14ac:dyDescent="0.15">
      <c r="A50" s="7">
        <f>AVERAGE(C51:AS51)*30*100</f>
        <v>34800</v>
      </c>
      <c r="B50" s="9" t="s">
        <v>12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1:45" x14ac:dyDescent="0.15">
      <c r="A51" s="7">
        <f>SUM(C51:AS51)</f>
        <v>116</v>
      </c>
      <c r="B51" s="6" t="s">
        <v>13</v>
      </c>
      <c r="C51" s="5">
        <v>0</v>
      </c>
      <c r="D51" s="5">
        <v>0</v>
      </c>
      <c r="E51" s="5">
        <v>42</v>
      </c>
      <c r="F51" s="5">
        <v>0</v>
      </c>
      <c r="G51" s="5">
        <v>0</v>
      </c>
      <c r="H51" s="5">
        <v>0</v>
      </c>
      <c r="I51" s="5">
        <v>25</v>
      </c>
      <c r="J51" s="5">
        <f t="shared" ref="J51:J52" si="729">IF(J44="","",J44-I44)</f>
        <v>0</v>
      </c>
      <c r="K51" s="5">
        <f t="shared" ref="K51:K52" si="730">IF(K44="","",K44-J44)</f>
        <v>0</v>
      </c>
      <c r="L51" s="5">
        <f t="shared" ref="L51:L52" si="731">IF(L44="","",L44-K44)</f>
        <v>49</v>
      </c>
      <c r="M51" s="5" t="str">
        <f t="shared" ref="M51:M52" si="732">IF(M44="","",M44-L44)</f>
        <v/>
      </c>
      <c r="N51" s="5" t="str">
        <f t="shared" ref="N51:N52" si="733">IF(N44="","",N44-M44)</f>
        <v/>
      </c>
      <c r="O51" s="5" t="str">
        <f t="shared" ref="O51:O52" si="734">IF(O44="","",O44-N44)</f>
        <v/>
      </c>
      <c r="P51" s="5" t="str">
        <f t="shared" ref="P51:P52" si="735">IF(P44="","",P44-O44)</f>
        <v/>
      </c>
      <c r="Q51" s="5" t="str">
        <f t="shared" ref="Q51:Q52" si="736">IF(Q44="","",Q44-P44)</f>
        <v/>
      </c>
      <c r="R51" s="5" t="str">
        <f t="shared" ref="R51:R52" si="737">IF(R44="","",R44-Q44)</f>
        <v/>
      </c>
      <c r="S51" s="5" t="str">
        <f t="shared" ref="S51:S52" si="738">IF(S44="","",S44-R44)</f>
        <v/>
      </c>
      <c r="T51" s="5" t="str">
        <f t="shared" ref="T51:T52" si="739">IF(T44="","",T44-S44)</f>
        <v/>
      </c>
      <c r="U51" s="5" t="str">
        <f t="shared" ref="U51:U52" si="740">IF(U44="","",U44-T44)</f>
        <v/>
      </c>
      <c r="V51" s="5" t="str">
        <f t="shared" ref="V51:V52" si="741">IF(V44="","",V44-U44)</f>
        <v/>
      </c>
      <c r="W51" s="5" t="str">
        <f t="shared" ref="W51:W52" si="742">IF(W44="","",W44-V44)</f>
        <v/>
      </c>
      <c r="X51" s="5" t="str">
        <f t="shared" ref="X51:X52" si="743">IF(X44="","",X44-W44)</f>
        <v/>
      </c>
      <c r="Y51" s="5" t="str">
        <f t="shared" ref="Y51:Y52" si="744">IF(Y44="","",Y44-X44)</f>
        <v/>
      </c>
      <c r="Z51" s="5" t="str">
        <f t="shared" ref="Z51:Z52" si="745">IF(Z44="","",Z44-Y44)</f>
        <v/>
      </c>
      <c r="AA51" s="5" t="str">
        <f t="shared" ref="AA51:AA52" si="746">IF(AA44="","",AA44-Z44)</f>
        <v/>
      </c>
      <c r="AB51" s="5" t="str">
        <f t="shared" ref="AB51:AB52" si="747">IF(AB44="","",AB44-AA44)</f>
        <v/>
      </c>
      <c r="AC51" s="5" t="str">
        <f t="shared" ref="AC51:AC52" si="748">IF(AC44="","",AC44-AB44)</f>
        <v/>
      </c>
      <c r="AD51" s="5" t="str">
        <f t="shared" ref="AD51:AD52" si="749">IF(AD44="","",AD44-AC44)</f>
        <v/>
      </c>
      <c r="AE51" s="5" t="str">
        <f t="shared" ref="AE51:AE52" si="750">IF(AE44="","",AE44-AD44)</f>
        <v/>
      </c>
      <c r="AF51" s="5" t="str">
        <f t="shared" ref="AF51:AF52" si="751">IF(AF44="","",AF44-AE44)</f>
        <v/>
      </c>
      <c r="AG51" s="5" t="str">
        <f t="shared" ref="AG51:AG52" si="752">IF(AG44="","",AG44-AF44)</f>
        <v/>
      </c>
      <c r="AH51" s="5" t="str">
        <f t="shared" ref="AH51:AH52" si="753">IF(AH44="","",AH44-AG44)</f>
        <v/>
      </c>
      <c r="AI51" s="5" t="str">
        <f t="shared" ref="AI51:AI52" si="754">IF(AI44="","",AI44-AH44)</f>
        <v/>
      </c>
      <c r="AJ51" s="5" t="str">
        <f t="shared" ref="AJ51:AJ52" si="755">IF(AJ44="","",AJ44-AI44)</f>
        <v/>
      </c>
      <c r="AK51" s="5" t="str">
        <f t="shared" ref="AK51:AK52" si="756">IF(AK44="","",AK44-AJ44)</f>
        <v/>
      </c>
      <c r="AL51" s="5" t="str">
        <f t="shared" ref="AL51:AL52" si="757">IF(AL44="","",AL44-AK44)</f>
        <v/>
      </c>
      <c r="AM51" s="5" t="str">
        <f t="shared" ref="AM51:AM52" si="758">IF(AM44="","",AM44-AL44)</f>
        <v/>
      </c>
      <c r="AN51" s="5" t="str">
        <f t="shared" ref="AN51:AN52" si="759">IF(AN44="","",AN44-AM44)</f>
        <v/>
      </c>
      <c r="AO51" s="5" t="str">
        <f t="shared" ref="AO51:AS51" si="760">IF(AO44="","",AO44-AN44)</f>
        <v/>
      </c>
      <c r="AP51" s="5" t="str">
        <f t="shared" si="760"/>
        <v/>
      </c>
      <c r="AQ51" s="5" t="str">
        <f t="shared" si="760"/>
        <v/>
      </c>
      <c r="AR51" s="5" t="str">
        <f t="shared" si="760"/>
        <v/>
      </c>
      <c r="AS51" s="5" t="str">
        <f t="shared" si="760"/>
        <v/>
      </c>
    </row>
    <row r="52" spans="1:45" x14ac:dyDescent="0.15">
      <c r="A52" s="7">
        <f>SUM(C52:AS52)</f>
        <v>4</v>
      </c>
      <c r="B52" s="6" t="s">
        <v>14</v>
      </c>
      <c r="C52" s="5">
        <v>0</v>
      </c>
      <c r="D52" s="5">
        <v>0</v>
      </c>
      <c r="E52" s="5">
        <v>1</v>
      </c>
      <c r="F52" s="5">
        <v>0</v>
      </c>
      <c r="G52" s="5">
        <v>0</v>
      </c>
      <c r="H52" s="5">
        <v>0</v>
      </c>
      <c r="I52" s="5">
        <v>1</v>
      </c>
      <c r="J52" s="5">
        <f t="shared" si="729"/>
        <v>0</v>
      </c>
      <c r="K52" s="5">
        <f t="shared" si="730"/>
        <v>0</v>
      </c>
      <c r="L52" s="5">
        <f t="shared" si="731"/>
        <v>2</v>
      </c>
      <c r="M52" s="5" t="str">
        <f t="shared" si="732"/>
        <v/>
      </c>
      <c r="N52" s="5" t="str">
        <f t="shared" si="733"/>
        <v/>
      </c>
      <c r="O52" s="5" t="str">
        <f t="shared" si="734"/>
        <v/>
      </c>
      <c r="P52" s="5" t="str">
        <f t="shared" si="735"/>
        <v/>
      </c>
      <c r="Q52" s="5" t="str">
        <f t="shared" si="736"/>
        <v/>
      </c>
      <c r="R52" s="5" t="str">
        <f t="shared" si="737"/>
        <v/>
      </c>
      <c r="S52" s="5" t="str">
        <f t="shared" si="738"/>
        <v/>
      </c>
      <c r="T52" s="5" t="str">
        <f t="shared" si="739"/>
        <v/>
      </c>
      <c r="U52" s="5" t="str">
        <f t="shared" si="740"/>
        <v/>
      </c>
      <c r="V52" s="5" t="str">
        <f t="shared" si="741"/>
        <v/>
      </c>
      <c r="W52" s="5" t="str">
        <f t="shared" si="742"/>
        <v/>
      </c>
      <c r="X52" s="5" t="str">
        <f t="shared" si="743"/>
        <v/>
      </c>
      <c r="Y52" s="5" t="str">
        <f t="shared" si="744"/>
        <v/>
      </c>
      <c r="Z52" s="5" t="str">
        <f t="shared" si="745"/>
        <v/>
      </c>
      <c r="AA52" s="5" t="str">
        <f t="shared" si="746"/>
        <v/>
      </c>
      <c r="AB52" s="5" t="str">
        <f t="shared" si="747"/>
        <v/>
      </c>
      <c r="AC52" s="5" t="str">
        <f t="shared" si="748"/>
        <v/>
      </c>
      <c r="AD52" s="5" t="str">
        <f t="shared" si="749"/>
        <v/>
      </c>
      <c r="AE52" s="5" t="str">
        <f t="shared" si="750"/>
        <v/>
      </c>
      <c r="AF52" s="5" t="str">
        <f t="shared" si="751"/>
        <v/>
      </c>
      <c r="AG52" s="5" t="str">
        <f t="shared" si="752"/>
        <v/>
      </c>
      <c r="AH52" s="5" t="str">
        <f t="shared" si="753"/>
        <v/>
      </c>
      <c r="AI52" s="5" t="str">
        <f t="shared" si="754"/>
        <v/>
      </c>
      <c r="AJ52" s="5" t="str">
        <f t="shared" si="755"/>
        <v/>
      </c>
      <c r="AK52" s="5" t="str">
        <f t="shared" si="756"/>
        <v/>
      </c>
      <c r="AL52" s="5" t="str">
        <f t="shared" si="757"/>
        <v/>
      </c>
      <c r="AM52" s="5" t="str">
        <f t="shared" si="758"/>
        <v/>
      </c>
      <c r="AN52" s="5" t="str">
        <f t="shared" si="759"/>
        <v/>
      </c>
      <c r="AO52" s="5" t="str">
        <f t="shared" ref="AO52:AS52" si="761">IF(AO45="","",AO45-AN45)</f>
        <v/>
      </c>
      <c r="AP52" s="5" t="str">
        <f t="shared" si="761"/>
        <v/>
      </c>
      <c r="AQ52" s="5" t="str">
        <f t="shared" si="761"/>
        <v/>
      </c>
      <c r="AR52" s="5" t="str">
        <f t="shared" si="761"/>
        <v/>
      </c>
      <c r="AS52" s="5" t="str">
        <f t="shared" si="761"/>
        <v/>
      </c>
    </row>
    <row r="53" spans="1:45" x14ac:dyDescent="0.15">
      <c r="A53" s="7">
        <f>SUM(C53:AS53)</f>
        <v>4</v>
      </c>
      <c r="B53" s="6" t="s">
        <v>15</v>
      </c>
      <c r="C53" s="5">
        <v>0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1</v>
      </c>
      <c r="J53" s="5">
        <f t="shared" ref="J53" si="762">IF(J46="","",I46+I47-J46)</f>
        <v>0</v>
      </c>
      <c r="K53" s="5">
        <f t="shared" ref="K53" si="763">IF(K46="","",J46+J47-K46)</f>
        <v>0</v>
      </c>
      <c r="L53" s="5">
        <f t="shared" ref="L53" si="764">IF(L46="","",K46+K47-L46)</f>
        <v>2</v>
      </c>
      <c r="M53" s="5" t="str">
        <f t="shared" ref="M53" si="765">IF(M46="","",L46+L47-M46)</f>
        <v/>
      </c>
      <c r="N53" s="5" t="str">
        <f t="shared" ref="N53" si="766">IF(N46="","",M46+M47-N46)</f>
        <v/>
      </c>
      <c r="O53" s="5" t="str">
        <f t="shared" ref="O53" si="767">IF(O46="","",N46+N47-O46)</f>
        <v/>
      </c>
      <c r="P53" s="5" t="str">
        <f t="shared" ref="P53" si="768">IF(P46="","",O46+O47-P46)</f>
        <v/>
      </c>
      <c r="Q53" s="5" t="str">
        <f t="shared" ref="Q53" si="769">IF(Q46="","",P46+P47-Q46)</f>
        <v/>
      </c>
      <c r="R53" s="5" t="str">
        <f t="shared" ref="R53" si="770">IF(R46="","",Q46+Q47-R46)</f>
        <v/>
      </c>
      <c r="S53" s="5" t="str">
        <f t="shared" ref="S53" si="771">IF(S46="","",R46+R47-S46)</f>
        <v/>
      </c>
      <c r="T53" s="5" t="str">
        <f t="shared" ref="T53" si="772">IF(T46="","",S46+S47-T46)</f>
        <v/>
      </c>
      <c r="U53" s="5" t="str">
        <f t="shared" ref="U53" si="773">IF(U46="","",T46+T47-U46)</f>
        <v/>
      </c>
      <c r="V53" s="5" t="str">
        <f t="shared" ref="V53" si="774">IF(V46="","",U46+U47-V46)</f>
        <v/>
      </c>
      <c r="W53" s="5" t="str">
        <f t="shared" ref="W53" si="775">IF(W46="","",V46+V47-W46)</f>
        <v/>
      </c>
      <c r="X53" s="5" t="str">
        <f t="shared" ref="X53" si="776">IF(X46="","",W46+W47-X46)</f>
        <v/>
      </c>
      <c r="Y53" s="5" t="str">
        <f t="shared" ref="Y53" si="777">IF(Y46="","",X46+X47-Y46)</f>
        <v/>
      </c>
      <c r="Z53" s="5" t="str">
        <f t="shared" ref="Z53" si="778">IF(Z46="","",Y46+Y47-Z46)</f>
        <v/>
      </c>
      <c r="AA53" s="5" t="str">
        <f t="shared" ref="AA53" si="779">IF(AA46="","",Z46+Z47-AA46)</f>
        <v/>
      </c>
      <c r="AB53" s="5" t="str">
        <f t="shared" ref="AB53" si="780">IF(AB46="","",AA46+AA47-AB46)</f>
        <v/>
      </c>
      <c r="AC53" s="5" t="str">
        <f t="shared" ref="AC53" si="781">IF(AC46="","",AB46+AB47-AC46)</f>
        <v/>
      </c>
      <c r="AD53" s="5" t="str">
        <f t="shared" ref="AD53" si="782">IF(AD46="","",AC46+AC47-AD46)</f>
        <v/>
      </c>
      <c r="AE53" s="5" t="str">
        <f t="shared" ref="AE53" si="783">IF(AE46="","",AD46+AD47-AE46)</f>
        <v/>
      </c>
      <c r="AF53" s="5" t="str">
        <f t="shared" ref="AF53" si="784">IF(AF46="","",AE46+AE47-AF46)</f>
        <v/>
      </c>
      <c r="AG53" s="5" t="str">
        <f t="shared" ref="AG53" si="785">IF(AG46="","",AF46+AF47-AG46)</f>
        <v/>
      </c>
      <c r="AH53" s="5" t="str">
        <f t="shared" ref="AH53" si="786">IF(AH46="","",AG46+AG47-AH46)</f>
        <v/>
      </c>
      <c r="AI53" s="5" t="str">
        <f t="shared" ref="AI53" si="787">IF(AI46="","",AH46+AH47-AI46)</f>
        <v/>
      </c>
      <c r="AJ53" s="5" t="str">
        <f t="shared" ref="AJ53" si="788">IF(AJ46="","",AI46+AI47-AJ46)</f>
        <v/>
      </c>
      <c r="AK53" s="5" t="str">
        <f t="shared" ref="AK53" si="789">IF(AK46="","",AJ46+AJ47-AK46)</f>
        <v/>
      </c>
      <c r="AL53" s="5" t="str">
        <f t="shared" ref="AL53" si="790">IF(AL46="","",AK46+AK47-AL46)</f>
        <v/>
      </c>
      <c r="AM53" s="5" t="str">
        <f t="shared" ref="AM53" si="791">IF(AM46="","",AL46+AL47-AM46)</f>
        <v/>
      </c>
      <c r="AN53" s="5" t="str">
        <f t="shared" ref="AN53" si="792">IF(AN46="","",AM46+AM47-AN46)</f>
        <v/>
      </c>
      <c r="AO53" s="5" t="str">
        <f t="shared" ref="AO53:AS53" si="793">IF(AO46="","",AN46+AN47-AO46)</f>
        <v/>
      </c>
      <c r="AP53" s="5" t="str">
        <f t="shared" si="793"/>
        <v/>
      </c>
      <c r="AQ53" s="5" t="str">
        <f t="shared" si="793"/>
        <v/>
      </c>
      <c r="AR53" s="5" t="str">
        <f t="shared" si="793"/>
        <v/>
      </c>
      <c r="AS53" s="5" t="str">
        <f t="shared" si="793"/>
        <v/>
      </c>
    </row>
    <row r="54" spans="1:45" x14ac:dyDescent="0.15">
      <c r="A54" s="7">
        <f>SUM(C54:AS54)</f>
        <v>600</v>
      </c>
      <c r="B54" s="6" t="s">
        <v>16</v>
      </c>
      <c r="C54" s="5">
        <v>0</v>
      </c>
      <c r="D54" s="5">
        <v>0</v>
      </c>
      <c r="E54" s="5">
        <v>150</v>
      </c>
      <c r="F54" s="5">
        <v>0</v>
      </c>
      <c r="G54" s="5">
        <v>0</v>
      </c>
      <c r="H54" s="5">
        <v>0</v>
      </c>
      <c r="I54" s="5">
        <v>150</v>
      </c>
      <c r="J54" s="5">
        <f t="shared" ref="H54:AM54" si="794">IF(J44="","",J53*J48)</f>
        <v>0</v>
      </c>
      <c r="K54" s="5">
        <f t="shared" si="794"/>
        <v>0</v>
      </c>
      <c r="L54" s="5">
        <f t="shared" si="794"/>
        <v>300</v>
      </c>
      <c r="M54" s="5" t="str">
        <f t="shared" si="794"/>
        <v/>
      </c>
      <c r="N54" s="5" t="str">
        <f t="shared" si="794"/>
        <v/>
      </c>
      <c r="O54" s="5" t="str">
        <f t="shared" si="794"/>
        <v/>
      </c>
      <c r="P54" s="5" t="str">
        <f t="shared" si="794"/>
        <v/>
      </c>
      <c r="Q54" s="5" t="str">
        <f t="shared" si="794"/>
        <v/>
      </c>
      <c r="R54" s="5" t="str">
        <f t="shared" si="794"/>
        <v/>
      </c>
      <c r="S54" s="5" t="str">
        <f t="shared" si="794"/>
        <v/>
      </c>
      <c r="T54" s="5" t="str">
        <f t="shared" si="794"/>
        <v/>
      </c>
      <c r="U54" s="5" t="str">
        <f t="shared" si="794"/>
        <v/>
      </c>
      <c r="V54" s="5" t="str">
        <f t="shared" si="794"/>
        <v/>
      </c>
      <c r="W54" s="5" t="str">
        <f t="shared" si="794"/>
        <v/>
      </c>
      <c r="X54" s="5" t="str">
        <f t="shared" si="794"/>
        <v/>
      </c>
      <c r="Y54" s="5" t="str">
        <f t="shared" si="794"/>
        <v/>
      </c>
      <c r="Z54" s="5" t="str">
        <f t="shared" si="794"/>
        <v/>
      </c>
      <c r="AA54" s="5" t="str">
        <f t="shared" si="794"/>
        <v/>
      </c>
      <c r="AB54" s="5" t="str">
        <f t="shared" si="794"/>
        <v/>
      </c>
      <c r="AC54" s="5" t="str">
        <f t="shared" si="794"/>
        <v/>
      </c>
      <c r="AD54" s="5" t="str">
        <f t="shared" si="794"/>
        <v/>
      </c>
      <c r="AE54" s="5" t="str">
        <f t="shared" si="794"/>
        <v/>
      </c>
      <c r="AF54" s="5" t="str">
        <f t="shared" si="794"/>
        <v/>
      </c>
      <c r="AG54" s="5" t="str">
        <f t="shared" si="794"/>
        <v/>
      </c>
      <c r="AH54" s="5" t="str">
        <f t="shared" si="794"/>
        <v/>
      </c>
      <c r="AI54" s="5" t="str">
        <f t="shared" si="794"/>
        <v/>
      </c>
      <c r="AJ54" s="5" t="str">
        <f t="shared" si="794"/>
        <v/>
      </c>
      <c r="AK54" s="5" t="str">
        <f t="shared" si="794"/>
        <v/>
      </c>
      <c r="AL54" s="5" t="str">
        <f t="shared" si="794"/>
        <v/>
      </c>
      <c r="AM54" s="5" t="str">
        <f t="shared" si="794"/>
        <v/>
      </c>
      <c r="AN54" s="5" t="str">
        <f t="shared" ref="D54:AN54" si="795">IF(AN44="","",AN53*AN48)</f>
        <v/>
      </c>
      <c r="AO54" s="5" t="str">
        <f t="shared" ref="AO54:AS54" si="796">IF(AO44="","",AO53*AO48)</f>
        <v/>
      </c>
      <c r="AP54" s="5" t="str">
        <f t="shared" si="796"/>
        <v/>
      </c>
      <c r="AQ54" s="5" t="str">
        <f t="shared" si="796"/>
        <v/>
      </c>
      <c r="AR54" s="5" t="str">
        <f t="shared" si="796"/>
        <v/>
      </c>
      <c r="AS54" s="5" t="str">
        <f t="shared" si="796"/>
        <v/>
      </c>
    </row>
    <row r="55" spans="1:45" ht="12" thickBot="1" x14ac:dyDescent="0.2">
      <c r="A55" s="4">
        <f>IF(A54="","",A54/(A51*100))</f>
        <v>5.1724137931034482E-2</v>
      </c>
      <c r="B55" s="3" t="s">
        <v>18</v>
      </c>
      <c r="C55" s="2" t="s">
        <v>19</v>
      </c>
      <c r="D55" s="2" t="s">
        <v>19</v>
      </c>
      <c r="E55" s="2">
        <v>3.5714285714285712E-2</v>
      </c>
      <c r="F55" s="2" t="s">
        <v>19</v>
      </c>
      <c r="G55" s="2" t="s">
        <v>19</v>
      </c>
      <c r="H55" s="2" t="s">
        <v>19</v>
      </c>
      <c r="I55" s="2">
        <v>0.06</v>
      </c>
      <c r="J55" s="2" t="str">
        <f t="shared" ref="H55:AM55" si="797">IF(J54="","",IF(J54=0,"",J54/(J51*100)))</f>
        <v/>
      </c>
      <c r="K55" s="2" t="str">
        <f t="shared" si="797"/>
        <v/>
      </c>
      <c r="L55" s="2">
        <f t="shared" si="797"/>
        <v>6.1224489795918366E-2</v>
      </c>
      <c r="M55" s="2" t="str">
        <f t="shared" si="797"/>
        <v/>
      </c>
      <c r="N55" s="2" t="str">
        <f t="shared" si="797"/>
        <v/>
      </c>
      <c r="O55" s="2" t="str">
        <f t="shared" si="797"/>
        <v/>
      </c>
      <c r="P55" s="2" t="str">
        <f t="shared" si="797"/>
        <v/>
      </c>
      <c r="Q55" s="2" t="str">
        <f t="shared" si="797"/>
        <v/>
      </c>
      <c r="R55" s="2" t="str">
        <f t="shared" si="797"/>
        <v/>
      </c>
      <c r="S55" s="2" t="str">
        <f t="shared" si="797"/>
        <v/>
      </c>
      <c r="T55" s="2" t="str">
        <f t="shared" si="797"/>
        <v/>
      </c>
      <c r="U55" s="2" t="str">
        <f t="shared" si="797"/>
        <v/>
      </c>
      <c r="V55" s="2" t="str">
        <f t="shared" si="797"/>
        <v/>
      </c>
      <c r="W55" s="2" t="str">
        <f t="shared" si="797"/>
        <v/>
      </c>
      <c r="X55" s="2" t="str">
        <f t="shared" si="797"/>
        <v/>
      </c>
      <c r="Y55" s="2" t="str">
        <f t="shared" si="797"/>
        <v/>
      </c>
      <c r="Z55" s="2" t="str">
        <f t="shared" si="797"/>
        <v/>
      </c>
      <c r="AA55" s="2" t="str">
        <f t="shared" si="797"/>
        <v/>
      </c>
      <c r="AB55" s="2" t="str">
        <f t="shared" si="797"/>
        <v/>
      </c>
      <c r="AC55" s="2" t="str">
        <f t="shared" si="797"/>
        <v/>
      </c>
      <c r="AD55" s="2" t="str">
        <f t="shared" si="797"/>
        <v/>
      </c>
      <c r="AE55" s="2" t="str">
        <f t="shared" si="797"/>
        <v/>
      </c>
      <c r="AF55" s="2" t="str">
        <f t="shared" si="797"/>
        <v/>
      </c>
      <c r="AG55" s="2" t="str">
        <f t="shared" si="797"/>
        <v/>
      </c>
      <c r="AH55" s="2" t="str">
        <f t="shared" si="797"/>
        <v/>
      </c>
      <c r="AI55" s="2" t="str">
        <f t="shared" si="797"/>
        <v/>
      </c>
      <c r="AJ55" s="2" t="str">
        <f t="shared" si="797"/>
        <v/>
      </c>
      <c r="AK55" s="2" t="str">
        <f t="shared" si="797"/>
        <v/>
      </c>
      <c r="AL55" s="2" t="str">
        <f t="shared" si="797"/>
        <v/>
      </c>
      <c r="AM55" s="2" t="str">
        <f t="shared" si="797"/>
        <v/>
      </c>
      <c r="AN55" s="2" t="str">
        <f t="shared" ref="D55:AN55" si="798">IF(AN54="","",IF(AN54=0,"",AN54/(AN51*100)))</f>
        <v/>
      </c>
      <c r="AO55" s="2" t="str">
        <f t="shared" ref="AO55:AS55" si="799">IF(AO54="","",IF(AO54=0,"",AO54/(AO51*100)))</f>
        <v/>
      </c>
      <c r="AP55" s="2" t="str">
        <f t="shared" si="799"/>
        <v/>
      </c>
      <c r="AQ55" s="2" t="str">
        <f t="shared" si="799"/>
        <v/>
      </c>
      <c r="AR55" s="2" t="str">
        <f t="shared" si="799"/>
        <v/>
      </c>
      <c r="AS55" s="2" t="str">
        <f t="shared" si="799"/>
        <v/>
      </c>
    </row>
    <row r="56" spans="1:45" x14ac:dyDescent="0.15">
      <c r="A56" s="17" t="s">
        <v>1</v>
      </c>
      <c r="B56" s="39" t="s">
        <v>2</v>
      </c>
      <c r="C56" s="38">
        <v>14202</v>
      </c>
      <c r="D56" s="38">
        <v>14202</v>
      </c>
      <c r="E56" s="38">
        <v>14251</v>
      </c>
      <c r="F56" s="38">
        <v>14251</v>
      </c>
      <c r="G56" s="38">
        <v>14251</v>
      </c>
      <c r="H56" s="38">
        <v>14251</v>
      </c>
      <c r="I56" s="38">
        <v>14265</v>
      </c>
      <c r="J56" s="38">
        <f>IF(J$8="","",I56)</f>
        <v>14265</v>
      </c>
      <c r="K56" s="38">
        <f t="shared" ref="K56:K57" si="800">IF(K$8="","",J56)</f>
        <v>14265</v>
      </c>
      <c r="L56" s="38">
        <v>14276</v>
      </c>
      <c r="M56" s="38" t="str">
        <f>IF(M$8="","",L56)</f>
        <v/>
      </c>
      <c r="N56" s="38" t="str">
        <f t="shared" ref="N56:N57" si="801">IF(N$8="","",M56)</f>
        <v/>
      </c>
      <c r="O56" s="38" t="str">
        <f t="shared" ref="O56:O57" si="802">IF(O$8="","",N56)</f>
        <v/>
      </c>
      <c r="P56" s="38" t="str">
        <f>IF(P$8="","",O56)</f>
        <v/>
      </c>
      <c r="Q56" s="38" t="str">
        <f>IF(Q$8="","",P56)</f>
        <v/>
      </c>
      <c r="R56" s="38" t="str">
        <f t="shared" ref="R56:R57" si="803">IF(R$8="","",Q56)</f>
        <v/>
      </c>
      <c r="S56" s="38" t="str">
        <f>IF(S$8="","",R56)</f>
        <v/>
      </c>
      <c r="T56" s="38" t="str">
        <f>IF(T$8="","",S56)</f>
        <v/>
      </c>
      <c r="U56" s="38" t="str">
        <f t="shared" ref="U56:U57" si="804">IF(U$8="","",T56)</f>
        <v/>
      </c>
      <c r="V56" s="38" t="str">
        <f t="shared" ref="V56:V57" si="805">IF(V$8="","",U56)</f>
        <v/>
      </c>
      <c r="W56" s="38" t="str">
        <f>IF(W$8="","",V56)</f>
        <v/>
      </c>
      <c r="X56" s="38" t="str">
        <f>IF(X$8="","",W56)</f>
        <v/>
      </c>
      <c r="Y56" s="38" t="str">
        <f t="shared" ref="Y56:Y57" si="806">IF(Y$8="","",X56)</f>
        <v/>
      </c>
      <c r="Z56" s="38" t="str">
        <f>IF(Z$8="","",Y56)</f>
        <v/>
      </c>
      <c r="AA56" s="38" t="str">
        <f>IF(AA$8="","",Z56)</f>
        <v/>
      </c>
      <c r="AB56" s="38" t="str">
        <f t="shared" ref="AB56:AB57" si="807">IF(AB$8="","",AA56)</f>
        <v/>
      </c>
      <c r="AC56" s="38" t="str">
        <f t="shared" ref="AC56:AC57" si="808">IF(AC$8="","",AB56)</f>
        <v/>
      </c>
      <c r="AD56" s="38" t="str">
        <f>IF(AD$8="","",AC56)</f>
        <v/>
      </c>
      <c r="AE56" s="38" t="str">
        <f>IF(AE$8="","",AD56)</f>
        <v/>
      </c>
      <c r="AF56" s="38" t="str">
        <f t="shared" ref="AF56:AF57" si="809">IF(AF$8="","",AE56)</f>
        <v/>
      </c>
      <c r="AG56" s="38" t="str">
        <f>IF(AG$8="","",AF56)</f>
        <v/>
      </c>
      <c r="AH56" s="38" t="str">
        <f t="shared" ref="AH56:AH57" si="810">IF(AH$8="","",AG56)</f>
        <v/>
      </c>
      <c r="AI56" s="38" t="str">
        <f t="shared" ref="AI56:AI57" si="811">IF(AI$8="","",AH56)</f>
        <v/>
      </c>
      <c r="AJ56" s="38" t="str">
        <f t="shared" ref="AJ56:AJ57" si="812">IF(AJ$8="","",AI56)</f>
        <v/>
      </c>
      <c r="AK56" s="38" t="str">
        <f>IF(AK$8="","",AJ56)</f>
        <v/>
      </c>
      <c r="AL56" s="38" t="str">
        <f t="shared" ref="AL56:AL57" si="813">IF(AL$8="","",AK56)</f>
        <v/>
      </c>
      <c r="AM56" s="38" t="str">
        <f t="shared" ref="AM56:AM57" si="814">IF(AM$8="","",AL56)</f>
        <v/>
      </c>
      <c r="AN56" s="38" t="str">
        <f t="shared" ref="AN56:AN57" si="815">IF(AN$8="","",AM56)</f>
        <v/>
      </c>
      <c r="AO56" s="38" t="str">
        <f t="shared" ref="AO56:AS56" si="816">IF(AO$8="","",AN56)</f>
        <v/>
      </c>
      <c r="AP56" s="38" t="str">
        <f t="shared" si="816"/>
        <v/>
      </c>
      <c r="AQ56" s="38" t="str">
        <f t="shared" si="816"/>
        <v/>
      </c>
      <c r="AR56" s="38" t="str">
        <f t="shared" si="816"/>
        <v/>
      </c>
      <c r="AS56" s="38" t="str">
        <f t="shared" si="816"/>
        <v/>
      </c>
    </row>
    <row r="57" spans="1:45" x14ac:dyDescent="0.15">
      <c r="A57" s="16" t="s">
        <v>22</v>
      </c>
      <c r="B57" s="30" t="s">
        <v>4</v>
      </c>
      <c r="C57" s="29">
        <v>333</v>
      </c>
      <c r="D57" s="29">
        <v>333</v>
      </c>
      <c r="E57" s="29">
        <v>335</v>
      </c>
      <c r="F57" s="29">
        <v>335</v>
      </c>
      <c r="G57" s="29">
        <v>335</v>
      </c>
      <c r="H57" s="29">
        <v>335</v>
      </c>
      <c r="I57" s="29">
        <v>335</v>
      </c>
      <c r="J57" s="29">
        <f t="shared" ref="J57" si="817">IF(J$8="","",I57)</f>
        <v>335</v>
      </c>
      <c r="K57" s="29">
        <f t="shared" si="800"/>
        <v>335</v>
      </c>
      <c r="L57" s="29">
        <f>IF(L$8="","",K57)</f>
        <v>335</v>
      </c>
      <c r="M57" s="29" t="str">
        <f>IF(M$8="","",L57)</f>
        <v/>
      </c>
      <c r="N57" s="29" t="str">
        <f t="shared" si="801"/>
        <v/>
      </c>
      <c r="O57" s="29" t="str">
        <f t="shared" si="802"/>
        <v/>
      </c>
      <c r="P57" s="29" t="str">
        <f>IF(P$8="","",O57)</f>
        <v/>
      </c>
      <c r="Q57" s="29" t="str">
        <f>IF(Q$8="","",P57)</f>
        <v/>
      </c>
      <c r="R57" s="29" t="str">
        <f t="shared" si="803"/>
        <v/>
      </c>
      <c r="S57" s="29" t="str">
        <f t="shared" ref="S56:S57" si="818">IF(S$8="","",R57)</f>
        <v/>
      </c>
      <c r="T57" s="29" t="str">
        <f t="shared" ref="T57" si="819">IF(T$8="","",S57)</f>
        <v/>
      </c>
      <c r="U57" s="29" t="str">
        <f t="shared" si="804"/>
        <v/>
      </c>
      <c r="V57" s="29" t="str">
        <f t="shared" si="805"/>
        <v/>
      </c>
      <c r="W57" s="29" t="str">
        <f t="shared" ref="W56:W57" si="820">IF(W$8="","",V57)</f>
        <v/>
      </c>
      <c r="X57" s="29" t="str">
        <f t="shared" ref="X57" si="821">IF(X$8="","",W57)</f>
        <v/>
      </c>
      <c r="Y57" s="29" t="str">
        <f t="shared" si="806"/>
        <v/>
      </c>
      <c r="Z57" s="29" t="str">
        <f t="shared" ref="Z56:Z57" si="822">IF(Z$8="","",Y57)</f>
        <v/>
      </c>
      <c r="AA57" s="29" t="str">
        <f>IF(AA$8="","",Z57)</f>
        <v/>
      </c>
      <c r="AB57" s="29" t="str">
        <f t="shared" si="807"/>
        <v/>
      </c>
      <c r="AC57" s="29" t="str">
        <f t="shared" si="808"/>
        <v/>
      </c>
      <c r="AD57" s="29" t="str">
        <f t="shared" ref="AD56:AD57" si="823">IF(AD$8="","",AC57)</f>
        <v/>
      </c>
      <c r="AE57" s="29" t="str">
        <f t="shared" ref="AE57" si="824">IF(AE$8="","",AD57)</f>
        <v/>
      </c>
      <c r="AF57" s="29" t="str">
        <f t="shared" si="809"/>
        <v/>
      </c>
      <c r="AG57" s="29" t="str">
        <f>IF(AG$8="","",AF57)</f>
        <v/>
      </c>
      <c r="AH57" s="29" t="str">
        <f t="shared" si="810"/>
        <v/>
      </c>
      <c r="AI57" s="29" t="str">
        <f t="shared" si="811"/>
        <v/>
      </c>
      <c r="AJ57" s="29" t="str">
        <f t="shared" si="812"/>
        <v/>
      </c>
      <c r="AK57" s="29" t="str">
        <f t="shared" ref="AK56:AK57" si="825">IF(AK$8="","",AJ57)</f>
        <v/>
      </c>
      <c r="AL57" s="29" t="str">
        <f t="shared" si="813"/>
        <v/>
      </c>
      <c r="AM57" s="29" t="str">
        <f t="shared" si="814"/>
        <v/>
      </c>
      <c r="AN57" s="29" t="str">
        <f t="shared" si="815"/>
        <v/>
      </c>
      <c r="AO57" s="29" t="str">
        <f t="shared" ref="AO57:AS57" si="826">IF(AO$8="","",AN57)</f>
        <v/>
      </c>
      <c r="AP57" s="29" t="str">
        <f t="shared" si="826"/>
        <v/>
      </c>
      <c r="AQ57" s="29" t="str">
        <f t="shared" si="826"/>
        <v/>
      </c>
      <c r="AR57" s="29" t="str">
        <f t="shared" si="826"/>
        <v/>
      </c>
      <c r="AS57" s="29" t="str">
        <f t="shared" si="826"/>
        <v/>
      </c>
    </row>
    <row r="58" spans="1:45" x14ac:dyDescent="0.15">
      <c r="A58" s="15">
        <v>1</v>
      </c>
      <c r="B58" s="30" t="s">
        <v>5</v>
      </c>
      <c r="C58" s="29">
        <v>6</v>
      </c>
      <c r="D58" s="29">
        <v>6</v>
      </c>
      <c r="E58" s="29">
        <v>4</v>
      </c>
      <c r="F58" s="29">
        <v>4</v>
      </c>
      <c r="G58" s="29">
        <v>4</v>
      </c>
      <c r="H58" s="29">
        <v>4</v>
      </c>
      <c r="I58" s="29">
        <v>4</v>
      </c>
      <c r="J58" s="29">
        <f t="shared" ref="J58" si="827">IF(J$8="","",(I58+I59))</f>
        <v>4</v>
      </c>
      <c r="K58" s="29">
        <f t="shared" ref="K58" si="828">IF(K$8="","",(J58+J59))</f>
        <v>4</v>
      </c>
      <c r="L58" s="29">
        <f>IF(L$8="","",(K58+K59))</f>
        <v>4</v>
      </c>
      <c r="M58" s="29" t="str">
        <f>IF(M$8="","",(L58+L59))</f>
        <v/>
      </c>
      <c r="N58" s="29" t="str">
        <f t="shared" ref="N58" si="829">IF(N$8="","",(M58+M59))</f>
        <v/>
      </c>
      <c r="O58" s="29" t="str">
        <f t="shared" ref="O58" si="830">IF(O$8="","",(N58+N59))</f>
        <v/>
      </c>
      <c r="P58" s="29" t="str">
        <f>IF(P$8="","",(O58+O59))</f>
        <v/>
      </c>
      <c r="Q58" s="29" t="str">
        <f>IF(Q$8="","",(P58+P59))</f>
        <v/>
      </c>
      <c r="R58" s="29" t="str">
        <f t="shared" ref="R58" si="831">IF(R$8="","",(Q58+Q59))</f>
        <v/>
      </c>
      <c r="S58" s="29" t="str">
        <f t="shared" ref="S58" si="832">IF(S$8="","",(R58+R59))</f>
        <v/>
      </c>
      <c r="T58" s="29" t="str">
        <f t="shared" ref="T58" si="833">IF(T$8="","",(S58+S59))</f>
        <v/>
      </c>
      <c r="U58" s="29" t="str">
        <f t="shared" ref="U58" si="834">IF(U$8="","",(T58+T59))</f>
        <v/>
      </c>
      <c r="V58" s="29" t="str">
        <f t="shared" ref="V58" si="835">IF(V$8="","",(U58+U59))</f>
        <v/>
      </c>
      <c r="W58" s="29" t="str">
        <f t="shared" ref="W58" si="836">IF(W$8="","",(V58+V59))</f>
        <v/>
      </c>
      <c r="X58" s="29" t="str">
        <f t="shared" ref="X58" si="837">IF(X$8="","",(W58+W59))</f>
        <v/>
      </c>
      <c r="Y58" s="29" t="str">
        <f t="shared" ref="Y58" si="838">IF(Y$8="","",(X58+X59))</f>
        <v/>
      </c>
      <c r="Z58" s="29" t="str">
        <f t="shared" ref="Z58" si="839">IF(Z$8="","",(Y58+Y59))</f>
        <v/>
      </c>
      <c r="AA58" s="29" t="str">
        <f>IF(AA$8="","",(Z58+Z59))</f>
        <v/>
      </c>
      <c r="AB58" s="29" t="str">
        <f t="shared" ref="AB58" si="840">IF(AB$8="","",(AA58+AA59))</f>
        <v/>
      </c>
      <c r="AC58" s="29" t="str">
        <f t="shared" ref="AC58" si="841">IF(AC$8="","",(AB58+AB59))</f>
        <v/>
      </c>
      <c r="AD58" s="29" t="str">
        <f t="shared" ref="AD58" si="842">IF(AD$8="","",(AC58+AC59))</f>
        <v/>
      </c>
      <c r="AE58" s="29" t="str">
        <f t="shared" ref="AE58" si="843">IF(AE$8="","",(AD58+AD59))</f>
        <v/>
      </c>
      <c r="AF58" s="29" t="str">
        <f t="shared" ref="AF58" si="844">IF(AF$8="","",(AE58+AE59))</f>
        <v/>
      </c>
      <c r="AG58" s="29" t="str">
        <f>IF(AG$8="","",(AF58+AF59))</f>
        <v/>
      </c>
      <c r="AH58" s="29" t="str">
        <f t="shared" ref="AH58" si="845">IF(AH$8="","",(AG58+AG59))</f>
        <v/>
      </c>
      <c r="AI58" s="29" t="str">
        <f t="shared" ref="AI58" si="846">IF(AI$8="","",(AH58+AH59))</f>
        <v/>
      </c>
      <c r="AJ58" s="29" t="str">
        <f t="shared" ref="AJ58" si="847">IF(AJ$8="","",(AI58+AI59))</f>
        <v/>
      </c>
      <c r="AK58" s="29" t="str">
        <f t="shared" ref="AK58" si="848">IF(AK$8="","",(AJ58+AJ59))</f>
        <v/>
      </c>
      <c r="AL58" s="29" t="str">
        <f t="shared" ref="AL58" si="849">IF(AL$8="","",(AK58+AK59))</f>
        <v/>
      </c>
      <c r="AM58" s="29" t="str">
        <f t="shared" ref="AM58" si="850">IF(AM$8="","",(AL58+AL59))</f>
        <v/>
      </c>
      <c r="AN58" s="29" t="str">
        <f t="shared" ref="AN58" si="851">IF(AN$8="","",(AM58+AM59))</f>
        <v/>
      </c>
      <c r="AO58" s="29" t="str">
        <f t="shared" ref="AO58:AS58" si="852">IF(AO$8="","",(AN58+AN59))</f>
        <v/>
      </c>
      <c r="AP58" s="29" t="str">
        <f t="shared" si="852"/>
        <v/>
      </c>
      <c r="AQ58" s="29" t="str">
        <f t="shared" si="852"/>
        <v/>
      </c>
      <c r="AR58" s="29" t="str">
        <f t="shared" si="852"/>
        <v/>
      </c>
      <c r="AS58" s="29" t="str">
        <f t="shared" si="852"/>
        <v/>
      </c>
    </row>
    <row r="59" spans="1:45" x14ac:dyDescent="0.15">
      <c r="A59" s="92" t="s">
        <v>6</v>
      </c>
      <c r="B59" s="30" t="s">
        <v>7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</row>
    <row r="60" spans="1:45" x14ac:dyDescent="0.15">
      <c r="A60" s="93">
        <f>+(A63+A75+A87+A99)*100</f>
        <v>43200</v>
      </c>
      <c r="B60" s="30" t="s">
        <v>8</v>
      </c>
      <c r="C60" s="35">
        <v>750</v>
      </c>
      <c r="D60" s="35">
        <v>750</v>
      </c>
      <c r="E60" s="35">
        <v>750</v>
      </c>
      <c r="F60" s="35">
        <v>750</v>
      </c>
      <c r="G60" s="35">
        <v>750</v>
      </c>
      <c r="H60" s="35">
        <v>750</v>
      </c>
      <c r="I60" s="35">
        <v>750</v>
      </c>
      <c r="J60" s="35">
        <f t="shared" ref="J60:J61" si="853">IF(J$8="","",I60)</f>
        <v>750</v>
      </c>
      <c r="K60" s="35">
        <f t="shared" ref="K60:K61" si="854">IF(K$8="","",J60)</f>
        <v>750</v>
      </c>
      <c r="L60" s="35">
        <f t="shared" ref="L60:L61" si="855">IF(L$8="","",K60)</f>
        <v>750</v>
      </c>
      <c r="M60" s="35" t="str">
        <f t="shared" ref="M60:M61" si="856">IF(M$8="","",L60)</f>
        <v/>
      </c>
      <c r="N60" s="35" t="str">
        <f t="shared" ref="N60:N61" si="857">IF(N$8="","",M60)</f>
        <v/>
      </c>
      <c r="O60" s="35" t="str">
        <f t="shared" ref="O60:O61" si="858">IF(O$8="","",N60)</f>
        <v/>
      </c>
      <c r="P60" s="35" t="str">
        <f t="shared" ref="P60:P61" si="859">IF(P$8="","",O60)</f>
        <v/>
      </c>
      <c r="Q60" s="35" t="str">
        <f t="shared" ref="Q60:Q61" si="860">IF(Q$8="","",P60)</f>
        <v/>
      </c>
      <c r="R60" s="35" t="str">
        <f t="shared" ref="R60:R61" si="861">IF(R$8="","",Q60)</f>
        <v/>
      </c>
      <c r="S60" s="35" t="str">
        <f t="shared" ref="S60:S61" si="862">IF(S$8="","",R60)</f>
        <v/>
      </c>
      <c r="T60" s="35" t="str">
        <f t="shared" ref="T60:T61" si="863">IF(T$8="","",S60)</f>
        <v/>
      </c>
      <c r="U60" s="35" t="str">
        <f t="shared" ref="U60:U61" si="864">IF(U$8="","",T60)</f>
        <v/>
      </c>
      <c r="V60" s="35" t="str">
        <f t="shared" ref="V60:V61" si="865">IF(V$8="","",U60)</f>
        <v/>
      </c>
      <c r="W60" s="35" t="str">
        <f t="shared" ref="W60:W61" si="866">IF(W$8="","",V60)</f>
        <v/>
      </c>
      <c r="X60" s="35" t="str">
        <f t="shared" ref="X60:X61" si="867">IF(X$8="","",W60)</f>
        <v/>
      </c>
      <c r="Y60" s="35" t="str">
        <f t="shared" ref="Y60:Y61" si="868">IF(Y$8="","",X60)</f>
        <v/>
      </c>
      <c r="Z60" s="35" t="str">
        <f t="shared" ref="Z60:Z61" si="869">IF(Z$8="","",Y60)</f>
        <v/>
      </c>
      <c r="AA60" s="35" t="str">
        <f t="shared" ref="AA60:AA61" si="870">IF(AA$8="","",Z60)</f>
        <v/>
      </c>
      <c r="AB60" s="35" t="str">
        <f t="shared" ref="AB60:AB61" si="871">IF(AB$8="","",AA60)</f>
        <v/>
      </c>
      <c r="AC60" s="35" t="str">
        <f t="shared" ref="AC60:AC61" si="872">IF(AC$8="","",AB60)</f>
        <v/>
      </c>
      <c r="AD60" s="35" t="str">
        <f t="shared" ref="AD60:AD61" si="873">IF(AD$8="","",AC60)</f>
        <v/>
      </c>
      <c r="AE60" s="35" t="str">
        <f t="shared" ref="AE60:AE61" si="874">IF(AE$8="","",AD60)</f>
        <v/>
      </c>
      <c r="AF60" s="35" t="str">
        <f t="shared" ref="AF60:AF61" si="875">IF(AF$8="","",AE60)</f>
        <v/>
      </c>
      <c r="AG60" s="35" t="str">
        <f t="shared" ref="AG60:AG61" si="876">IF(AG$8="","",AF60)</f>
        <v/>
      </c>
      <c r="AH60" s="35" t="str">
        <f t="shared" ref="AH60:AH61" si="877">IF(AH$8="","",AG60)</f>
        <v/>
      </c>
      <c r="AI60" s="35" t="str">
        <f t="shared" ref="AI60:AI61" si="878">IF(AI$8="","",AH60)</f>
        <v/>
      </c>
      <c r="AJ60" s="35" t="str">
        <f t="shared" ref="AJ60:AJ61" si="879">IF(AJ$8="","",AI60)</f>
        <v/>
      </c>
      <c r="AK60" s="35" t="str">
        <f t="shared" ref="AK60:AK61" si="880">IF(AK$8="","",AJ60)</f>
        <v/>
      </c>
      <c r="AL60" s="35" t="str">
        <f t="shared" ref="AL60:AL61" si="881">IF(AL$8="","",AK60)</f>
        <v/>
      </c>
      <c r="AM60" s="35" t="str">
        <f t="shared" ref="AM60:AM61" si="882">IF(AM$8="","",AL60)</f>
        <v/>
      </c>
      <c r="AN60" s="35" t="str">
        <f t="shared" ref="AN60:AN61" si="883">IF(AN$8="","",AM60)</f>
        <v/>
      </c>
      <c r="AO60" s="35" t="str">
        <f t="shared" ref="AO60:AS60" si="884">IF(AO$8="","",AN60)</f>
        <v/>
      </c>
      <c r="AP60" s="35" t="str">
        <f t="shared" si="884"/>
        <v/>
      </c>
      <c r="AQ60" s="35" t="str">
        <f t="shared" si="884"/>
        <v/>
      </c>
      <c r="AR60" s="35" t="str">
        <f t="shared" si="884"/>
        <v/>
      </c>
      <c r="AS60" s="35" t="str">
        <f t="shared" si="884"/>
        <v/>
      </c>
    </row>
    <row r="61" spans="1:45" s="11" customFormat="1" x14ac:dyDescent="0.15">
      <c r="A61" s="14" t="s">
        <v>9</v>
      </c>
      <c r="B61" s="33" t="s">
        <v>10</v>
      </c>
      <c r="C61" s="32" t="s">
        <v>23</v>
      </c>
      <c r="D61" s="32" t="s">
        <v>23</v>
      </c>
      <c r="E61" s="32" t="s">
        <v>23</v>
      </c>
      <c r="F61" s="32" t="s">
        <v>23</v>
      </c>
      <c r="G61" s="32" t="s">
        <v>23</v>
      </c>
      <c r="H61" s="32" t="s">
        <v>23</v>
      </c>
      <c r="I61" s="32" t="s">
        <v>23</v>
      </c>
      <c r="J61" s="32" t="str">
        <f t="shared" si="853"/>
        <v>モンチッチキーケース</v>
      </c>
      <c r="K61" s="32" t="str">
        <f t="shared" si="854"/>
        <v>モンチッチキーケース</v>
      </c>
      <c r="L61" s="32" t="str">
        <f t="shared" si="855"/>
        <v>モンチッチキーケース</v>
      </c>
      <c r="M61" s="32" t="str">
        <f t="shared" si="856"/>
        <v/>
      </c>
      <c r="N61" s="32" t="str">
        <f t="shared" si="857"/>
        <v/>
      </c>
      <c r="O61" s="32" t="str">
        <f t="shared" si="858"/>
        <v/>
      </c>
      <c r="P61" s="32" t="str">
        <f t="shared" si="859"/>
        <v/>
      </c>
      <c r="Q61" s="32" t="str">
        <f t="shared" si="860"/>
        <v/>
      </c>
      <c r="R61" s="32" t="str">
        <f t="shared" si="861"/>
        <v/>
      </c>
      <c r="S61" s="32" t="str">
        <f t="shared" si="862"/>
        <v/>
      </c>
      <c r="T61" s="32" t="str">
        <f t="shared" si="863"/>
        <v/>
      </c>
      <c r="U61" s="32" t="str">
        <f t="shared" si="864"/>
        <v/>
      </c>
      <c r="V61" s="32" t="str">
        <f t="shared" si="865"/>
        <v/>
      </c>
      <c r="W61" s="32" t="str">
        <f t="shared" si="866"/>
        <v/>
      </c>
      <c r="X61" s="32" t="str">
        <f t="shared" si="867"/>
        <v/>
      </c>
      <c r="Y61" s="32" t="str">
        <f t="shared" si="868"/>
        <v/>
      </c>
      <c r="Z61" s="32" t="str">
        <f t="shared" si="869"/>
        <v/>
      </c>
      <c r="AA61" s="32" t="str">
        <f t="shared" si="870"/>
        <v/>
      </c>
      <c r="AB61" s="32" t="str">
        <f t="shared" si="871"/>
        <v/>
      </c>
      <c r="AC61" s="32" t="str">
        <f t="shared" si="872"/>
        <v/>
      </c>
      <c r="AD61" s="32" t="str">
        <f t="shared" si="873"/>
        <v/>
      </c>
      <c r="AE61" s="32" t="str">
        <f t="shared" si="874"/>
        <v/>
      </c>
      <c r="AF61" s="32" t="str">
        <f t="shared" si="875"/>
        <v/>
      </c>
      <c r="AG61" s="32" t="str">
        <f t="shared" si="876"/>
        <v/>
      </c>
      <c r="AH61" s="32" t="str">
        <f t="shared" si="877"/>
        <v/>
      </c>
      <c r="AI61" s="32" t="str">
        <f t="shared" si="878"/>
        <v/>
      </c>
      <c r="AJ61" s="32" t="str">
        <f t="shared" si="879"/>
        <v/>
      </c>
      <c r="AK61" s="32" t="str">
        <f t="shared" si="880"/>
        <v/>
      </c>
      <c r="AL61" s="32" t="str">
        <f t="shared" si="881"/>
        <v/>
      </c>
      <c r="AM61" s="32" t="str">
        <f t="shared" si="882"/>
        <v/>
      </c>
      <c r="AN61" s="32" t="str">
        <f t="shared" si="883"/>
        <v/>
      </c>
      <c r="AO61" s="32" t="str">
        <f t="shared" ref="AO61:AS61" si="885">IF(AO$8="","",AN61)</f>
        <v/>
      </c>
      <c r="AP61" s="32" t="str">
        <f t="shared" si="885"/>
        <v/>
      </c>
      <c r="AQ61" s="32" t="str">
        <f t="shared" si="885"/>
        <v/>
      </c>
      <c r="AR61" s="32" t="str">
        <f t="shared" si="885"/>
        <v/>
      </c>
      <c r="AS61" s="32" t="str">
        <f t="shared" si="885"/>
        <v/>
      </c>
    </row>
    <row r="62" spans="1:45" x14ac:dyDescent="0.15">
      <c r="A62" s="7">
        <f>AVERAGE(C63:AS63)*30*100</f>
        <v>22200</v>
      </c>
      <c r="B62" s="30" t="s">
        <v>12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r="63" spans="1:45" x14ac:dyDescent="0.15">
      <c r="A63" s="7">
        <f>SUM(C63:AS63)</f>
        <v>74</v>
      </c>
      <c r="B63" s="27" t="s">
        <v>13</v>
      </c>
      <c r="C63" s="26">
        <v>0</v>
      </c>
      <c r="D63" s="26">
        <v>0</v>
      </c>
      <c r="E63" s="26">
        <v>49</v>
      </c>
      <c r="F63" s="26">
        <v>0</v>
      </c>
      <c r="G63" s="26">
        <v>0</v>
      </c>
      <c r="H63" s="26">
        <v>0</v>
      </c>
      <c r="I63" s="26">
        <v>14</v>
      </c>
      <c r="J63" s="26">
        <f t="shared" ref="J63:J64" si="886">IF(J$8="","",J56-I56)</f>
        <v>0</v>
      </c>
      <c r="K63" s="26">
        <f t="shared" ref="K63:K64" si="887">IF(K$8="","",K56-J56)</f>
        <v>0</v>
      </c>
      <c r="L63" s="26">
        <f t="shared" ref="L63:L64" si="888">IF(L$8="","",L56-K56)</f>
        <v>11</v>
      </c>
      <c r="M63" s="26" t="str">
        <f t="shared" ref="M63:M64" si="889">IF(M$8="","",M56-L56)</f>
        <v/>
      </c>
      <c r="N63" s="26" t="str">
        <f t="shared" ref="N63:N64" si="890">IF(N$8="","",N56-M56)</f>
        <v/>
      </c>
      <c r="O63" s="26" t="str">
        <f t="shared" ref="O63:O64" si="891">IF(O$8="","",O56-N56)</f>
        <v/>
      </c>
      <c r="P63" s="26" t="str">
        <f t="shared" ref="P63:P64" si="892">IF(P$8="","",P56-O56)</f>
        <v/>
      </c>
      <c r="Q63" s="26" t="str">
        <f t="shared" ref="Q63:Q64" si="893">IF(Q$8="","",Q56-P56)</f>
        <v/>
      </c>
      <c r="R63" s="26" t="str">
        <f t="shared" ref="R63:R64" si="894">IF(R$8="","",R56-Q56)</f>
        <v/>
      </c>
      <c r="S63" s="26" t="str">
        <f t="shared" ref="S63:S64" si="895">IF(S$8="","",S56-R56)</f>
        <v/>
      </c>
      <c r="T63" s="26" t="str">
        <f t="shared" ref="T63:T64" si="896">IF(T$8="","",T56-S56)</f>
        <v/>
      </c>
      <c r="U63" s="26" t="str">
        <f t="shared" ref="U63:U64" si="897">IF(U$8="","",U56-T56)</f>
        <v/>
      </c>
      <c r="V63" s="26" t="str">
        <f t="shared" ref="V63:V64" si="898">IF(V$8="","",V56-U56)</f>
        <v/>
      </c>
      <c r="W63" s="26" t="str">
        <f t="shared" ref="W63:W64" si="899">IF(W$8="","",W56-V56)</f>
        <v/>
      </c>
      <c r="X63" s="26" t="str">
        <f t="shared" ref="X63:X64" si="900">IF(X$8="","",X56-W56)</f>
        <v/>
      </c>
      <c r="Y63" s="26" t="str">
        <f t="shared" ref="Y63:Y64" si="901">IF(Y$8="","",Y56-X56)</f>
        <v/>
      </c>
      <c r="Z63" s="26" t="str">
        <f t="shared" ref="Z63:Z64" si="902">IF(Z$8="","",Z56-Y56)</f>
        <v/>
      </c>
      <c r="AA63" s="26" t="str">
        <f t="shared" ref="AA63:AA64" si="903">IF(AA$8="","",AA56-Z56)</f>
        <v/>
      </c>
      <c r="AB63" s="26" t="str">
        <f t="shared" ref="AB63:AB64" si="904">IF(AB$8="","",AB56-AA56)</f>
        <v/>
      </c>
      <c r="AC63" s="26" t="str">
        <f t="shared" ref="AC63:AC64" si="905">IF(AC$8="","",AC56-AB56)</f>
        <v/>
      </c>
      <c r="AD63" s="26" t="str">
        <f t="shared" ref="AD63:AD64" si="906">IF(AD$8="","",AD56-AC56)</f>
        <v/>
      </c>
      <c r="AE63" s="26" t="str">
        <f t="shared" ref="AE63:AE64" si="907">IF(AE$8="","",AE56-AD56)</f>
        <v/>
      </c>
      <c r="AF63" s="26" t="str">
        <f t="shared" ref="AF63:AF64" si="908">IF(AF$8="","",AF56-AE56)</f>
        <v/>
      </c>
      <c r="AG63" s="26" t="str">
        <f t="shared" ref="AG63:AG64" si="909">IF(AG$8="","",AG56-AF56)</f>
        <v/>
      </c>
      <c r="AH63" s="26" t="str">
        <f t="shared" ref="AH63:AH64" si="910">IF(AH$8="","",AH56-AG56)</f>
        <v/>
      </c>
      <c r="AI63" s="26" t="str">
        <f t="shared" ref="AI63:AI64" si="911">IF(AI$8="","",AI56-AH56)</f>
        <v/>
      </c>
      <c r="AJ63" s="26" t="str">
        <f t="shared" ref="AJ63:AJ64" si="912">IF(AJ$8="","",AJ56-AI56)</f>
        <v/>
      </c>
      <c r="AK63" s="26" t="str">
        <f t="shared" ref="AK63:AK64" si="913">IF(AK$8="","",AK56-AJ56)</f>
        <v/>
      </c>
      <c r="AL63" s="26" t="str">
        <f t="shared" ref="AL63:AL64" si="914">IF(AL$8="","",AL56-AK56)</f>
        <v/>
      </c>
      <c r="AM63" s="26" t="str">
        <f t="shared" ref="AM63:AM64" si="915">IF(AM$8="","",AM56-AL56)</f>
        <v/>
      </c>
      <c r="AN63" s="26" t="str">
        <f t="shared" ref="AN63:AN64" si="916">IF(AN$8="","",AN56-AM56)</f>
        <v/>
      </c>
      <c r="AO63" s="26" t="str">
        <f t="shared" ref="AO63:AS63" si="917">IF(AO$8="","",AO56-AN56)</f>
        <v/>
      </c>
      <c r="AP63" s="26" t="str">
        <f t="shared" si="917"/>
        <v/>
      </c>
      <c r="AQ63" s="26" t="str">
        <f t="shared" si="917"/>
        <v/>
      </c>
      <c r="AR63" s="26" t="str">
        <f t="shared" si="917"/>
        <v/>
      </c>
      <c r="AS63" s="26" t="str">
        <f t="shared" si="917"/>
        <v/>
      </c>
    </row>
    <row r="64" spans="1:45" x14ac:dyDescent="0.15">
      <c r="A64" s="7">
        <f>SUM(C64:AS64)</f>
        <v>2</v>
      </c>
      <c r="B64" s="27" t="s">
        <v>14</v>
      </c>
      <c r="C64" s="26">
        <v>0</v>
      </c>
      <c r="D64" s="26">
        <v>0</v>
      </c>
      <c r="E64" s="26">
        <v>2</v>
      </c>
      <c r="F64" s="26">
        <v>0</v>
      </c>
      <c r="G64" s="26">
        <v>0</v>
      </c>
      <c r="H64" s="26">
        <v>0</v>
      </c>
      <c r="I64" s="26">
        <v>0</v>
      </c>
      <c r="J64" s="26">
        <f t="shared" si="886"/>
        <v>0</v>
      </c>
      <c r="K64" s="26">
        <f t="shared" si="887"/>
        <v>0</v>
      </c>
      <c r="L64" s="26">
        <f t="shared" si="888"/>
        <v>0</v>
      </c>
      <c r="M64" s="26" t="str">
        <f t="shared" si="889"/>
        <v/>
      </c>
      <c r="N64" s="26" t="str">
        <f t="shared" si="890"/>
        <v/>
      </c>
      <c r="O64" s="26" t="str">
        <f t="shared" si="891"/>
        <v/>
      </c>
      <c r="P64" s="26" t="str">
        <f t="shared" si="892"/>
        <v/>
      </c>
      <c r="Q64" s="26" t="str">
        <f t="shared" si="893"/>
        <v/>
      </c>
      <c r="R64" s="26" t="str">
        <f t="shared" si="894"/>
        <v/>
      </c>
      <c r="S64" s="26" t="str">
        <f t="shared" si="895"/>
        <v/>
      </c>
      <c r="T64" s="26" t="str">
        <f t="shared" si="896"/>
        <v/>
      </c>
      <c r="U64" s="26" t="str">
        <f t="shared" si="897"/>
        <v/>
      </c>
      <c r="V64" s="26" t="str">
        <f t="shared" si="898"/>
        <v/>
      </c>
      <c r="W64" s="26" t="str">
        <f t="shared" si="899"/>
        <v/>
      </c>
      <c r="X64" s="26" t="str">
        <f t="shared" si="900"/>
        <v/>
      </c>
      <c r="Y64" s="26" t="str">
        <f t="shared" si="901"/>
        <v/>
      </c>
      <c r="Z64" s="26" t="str">
        <f t="shared" si="902"/>
        <v/>
      </c>
      <c r="AA64" s="26" t="str">
        <f t="shared" si="903"/>
        <v/>
      </c>
      <c r="AB64" s="26" t="str">
        <f t="shared" si="904"/>
        <v/>
      </c>
      <c r="AC64" s="26" t="str">
        <f t="shared" si="905"/>
        <v/>
      </c>
      <c r="AD64" s="26" t="str">
        <f t="shared" si="906"/>
        <v/>
      </c>
      <c r="AE64" s="26" t="str">
        <f t="shared" si="907"/>
        <v/>
      </c>
      <c r="AF64" s="26" t="str">
        <f t="shared" si="908"/>
        <v/>
      </c>
      <c r="AG64" s="26" t="str">
        <f t="shared" si="909"/>
        <v/>
      </c>
      <c r="AH64" s="26" t="str">
        <f t="shared" si="910"/>
        <v/>
      </c>
      <c r="AI64" s="26" t="str">
        <f t="shared" si="911"/>
        <v/>
      </c>
      <c r="AJ64" s="26" t="str">
        <f t="shared" si="912"/>
        <v/>
      </c>
      <c r="AK64" s="26" t="str">
        <f t="shared" si="913"/>
        <v/>
      </c>
      <c r="AL64" s="26" t="str">
        <f t="shared" si="914"/>
        <v/>
      </c>
      <c r="AM64" s="26" t="str">
        <f t="shared" si="915"/>
        <v/>
      </c>
      <c r="AN64" s="26" t="str">
        <f t="shared" si="916"/>
        <v/>
      </c>
      <c r="AO64" s="26" t="str">
        <f t="shared" ref="AO64:AS64" si="918">IF(AO$8="","",AO57-AN57)</f>
        <v/>
      </c>
      <c r="AP64" s="26" t="str">
        <f t="shared" si="918"/>
        <v/>
      </c>
      <c r="AQ64" s="26" t="str">
        <f t="shared" si="918"/>
        <v/>
      </c>
      <c r="AR64" s="26" t="str">
        <f t="shared" si="918"/>
        <v/>
      </c>
      <c r="AS64" s="26" t="str">
        <f t="shared" si="918"/>
        <v/>
      </c>
    </row>
    <row r="65" spans="1:45" x14ac:dyDescent="0.15">
      <c r="A65" s="7">
        <f>SUM(C65:AS65)</f>
        <v>2</v>
      </c>
      <c r="B65" s="27" t="s">
        <v>15</v>
      </c>
      <c r="C65" s="26">
        <v>0</v>
      </c>
      <c r="D65" s="26">
        <v>0</v>
      </c>
      <c r="E65" s="26">
        <v>2</v>
      </c>
      <c r="F65" s="26">
        <v>0</v>
      </c>
      <c r="G65" s="26">
        <v>0</v>
      </c>
      <c r="H65" s="26">
        <v>0</v>
      </c>
      <c r="I65" s="26">
        <v>0</v>
      </c>
      <c r="J65" s="26">
        <f t="shared" ref="J65" si="919">IF(J$8="","",I58+I59-J58)</f>
        <v>0</v>
      </c>
      <c r="K65" s="26">
        <f t="shared" ref="K65" si="920">IF(K$8="","",J58+J59-K58)</f>
        <v>0</v>
      </c>
      <c r="L65" s="26">
        <f t="shared" ref="L65" si="921">IF(L$8="","",K58+K59-L58)</f>
        <v>0</v>
      </c>
      <c r="M65" s="26" t="str">
        <f t="shared" ref="M65" si="922">IF(M$8="","",L58+L59-M58)</f>
        <v/>
      </c>
      <c r="N65" s="26" t="str">
        <f t="shared" ref="N65" si="923">IF(N$8="","",M58+M59-N58)</f>
        <v/>
      </c>
      <c r="O65" s="26" t="str">
        <f t="shared" ref="O65" si="924">IF(O$8="","",N58+N59-O58)</f>
        <v/>
      </c>
      <c r="P65" s="26" t="str">
        <f t="shared" ref="P65" si="925">IF(P$8="","",O58+O59-P58)</f>
        <v/>
      </c>
      <c r="Q65" s="26" t="str">
        <f t="shared" ref="Q65" si="926">IF(Q$8="","",P58+P59-Q58)</f>
        <v/>
      </c>
      <c r="R65" s="26" t="str">
        <f t="shared" ref="R65" si="927">IF(R$8="","",Q58+Q59-R58)</f>
        <v/>
      </c>
      <c r="S65" s="26" t="str">
        <f t="shared" ref="S65" si="928">IF(S$8="","",R58+R59-S58)</f>
        <v/>
      </c>
      <c r="T65" s="26" t="str">
        <f t="shared" ref="T65" si="929">IF(T$8="","",S58+S59-T58)</f>
        <v/>
      </c>
      <c r="U65" s="26" t="str">
        <f t="shared" ref="U65" si="930">IF(U$8="","",T58+T59-U58)</f>
        <v/>
      </c>
      <c r="V65" s="26" t="str">
        <f t="shared" ref="V65" si="931">IF(V$8="","",U58+U59-V58)</f>
        <v/>
      </c>
      <c r="W65" s="26" t="str">
        <f t="shared" ref="W65" si="932">IF(W$8="","",V58+V59-W58)</f>
        <v/>
      </c>
      <c r="X65" s="26" t="str">
        <f t="shared" ref="X65" si="933">IF(X$8="","",W58+W59-X58)</f>
        <v/>
      </c>
      <c r="Y65" s="26" t="str">
        <f t="shared" ref="Y65" si="934">IF(Y$8="","",X58+X59-Y58)</f>
        <v/>
      </c>
      <c r="Z65" s="26" t="str">
        <f t="shared" ref="Z65" si="935">IF(Z$8="","",Y58+Y59-Z58)</f>
        <v/>
      </c>
      <c r="AA65" s="26" t="str">
        <f t="shared" ref="AA65" si="936">IF(AA$8="","",Z58+Z59-AA58)</f>
        <v/>
      </c>
      <c r="AB65" s="26" t="str">
        <f t="shared" ref="AB65" si="937">IF(AB$8="","",AA58+AA59-AB58)</f>
        <v/>
      </c>
      <c r="AC65" s="26" t="str">
        <f t="shared" ref="AC65" si="938">IF(AC$8="","",AB58+AB59-AC58)</f>
        <v/>
      </c>
      <c r="AD65" s="26" t="str">
        <f t="shared" ref="AD65" si="939">IF(AD$8="","",AC58+AC59-AD58)</f>
        <v/>
      </c>
      <c r="AE65" s="26" t="str">
        <f t="shared" ref="AE65" si="940">IF(AE$8="","",AD58+AD59-AE58)</f>
        <v/>
      </c>
      <c r="AF65" s="26" t="str">
        <f t="shared" ref="AF65" si="941">IF(AF$8="","",AE58+AE59-AF58)</f>
        <v/>
      </c>
      <c r="AG65" s="26" t="str">
        <f t="shared" ref="AG65" si="942">IF(AG$8="","",AF58+AF59-AG58)</f>
        <v/>
      </c>
      <c r="AH65" s="26" t="str">
        <f t="shared" ref="AH65" si="943">IF(AH$8="","",AG58+AG59-AH58)</f>
        <v/>
      </c>
      <c r="AI65" s="26" t="str">
        <f t="shared" ref="AI65" si="944">IF(AI$8="","",AH58+AH59-AI58)</f>
        <v/>
      </c>
      <c r="AJ65" s="26" t="str">
        <f t="shared" ref="AJ65" si="945">IF(AJ$8="","",AI58+AI59-AJ58)</f>
        <v/>
      </c>
      <c r="AK65" s="26" t="str">
        <f t="shared" ref="AK65" si="946">IF(AK$8="","",AJ58+AJ59-AK58)</f>
        <v/>
      </c>
      <c r="AL65" s="26" t="str">
        <f t="shared" ref="AL65" si="947">IF(AL$8="","",AK58+AK59-AL58)</f>
        <v/>
      </c>
      <c r="AM65" s="26" t="str">
        <f t="shared" ref="AM65" si="948">IF(AM$8="","",AL58+AL59-AM58)</f>
        <v/>
      </c>
      <c r="AN65" s="26" t="str">
        <f t="shared" ref="AN65" si="949">IF(AN$8="","",AM58+AM59-AN58)</f>
        <v/>
      </c>
      <c r="AO65" s="26" t="str">
        <f t="shared" ref="AO65:AS65" si="950">IF(AO$8="","",AN58+AN59-AO58)</f>
        <v/>
      </c>
      <c r="AP65" s="26" t="str">
        <f t="shared" si="950"/>
        <v/>
      </c>
      <c r="AQ65" s="26" t="str">
        <f t="shared" si="950"/>
        <v/>
      </c>
      <c r="AR65" s="26" t="str">
        <f t="shared" si="950"/>
        <v/>
      </c>
      <c r="AS65" s="26" t="str">
        <f t="shared" si="950"/>
        <v/>
      </c>
    </row>
    <row r="66" spans="1:45" x14ac:dyDescent="0.15">
      <c r="A66" s="7">
        <f>SUM(C66:AS66)</f>
        <v>1500</v>
      </c>
      <c r="B66" s="27" t="s">
        <v>16</v>
      </c>
      <c r="C66" s="26">
        <v>0</v>
      </c>
      <c r="D66" s="26">
        <v>0</v>
      </c>
      <c r="E66" s="26">
        <v>1500</v>
      </c>
      <c r="F66" s="26">
        <v>0</v>
      </c>
      <c r="G66" s="26">
        <v>0</v>
      </c>
      <c r="H66" s="26">
        <v>0</v>
      </c>
      <c r="I66" s="26">
        <v>0</v>
      </c>
      <c r="J66" s="26">
        <f t="shared" ref="H66:AM66" si="951">IF(J$8="","",J65*J60)</f>
        <v>0</v>
      </c>
      <c r="K66" s="26">
        <f t="shared" si="951"/>
        <v>0</v>
      </c>
      <c r="L66" s="26">
        <f t="shared" si="951"/>
        <v>0</v>
      </c>
      <c r="M66" s="26" t="str">
        <f t="shared" si="951"/>
        <v/>
      </c>
      <c r="N66" s="26" t="str">
        <f t="shared" si="951"/>
        <v/>
      </c>
      <c r="O66" s="26" t="str">
        <f t="shared" si="951"/>
        <v/>
      </c>
      <c r="P66" s="26" t="str">
        <f t="shared" si="951"/>
        <v/>
      </c>
      <c r="Q66" s="26" t="str">
        <f t="shared" si="951"/>
        <v/>
      </c>
      <c r="R66" s="26" t="str">
        <f t="shared" si="951"/>
        <v/>
      </c>
      <c r="S66" s="26" t="str">
        <f t="shared" si="951"/>
        <v/>
      </c>
      <c r="T66" s="26" t="str">
        <f t="shared" si="951"/>
        <v/>
      </c>
      <c r="U66" s="26" t="str">
        <f t="shared" si="951"/>
        <v/>
      </c>
      <c r="V66" s="26" t="str">
        <f t="shared" si="951"/>
        <v/>
      </c>
      <c r="W66" s="26" t="str">
        <f t="shared" si="951"/>
        <v/>
      </c>
      <c r="X66" s="26" t="str">
        <f t="shared" si="951"/>
        <v/>
      </c>
      <c r="Y66" s="26" t="str">
        <f t="shared" si="951"/>
        <v/>
      </c>
      <c r="Z66" s="26" t="str">
        <f t="shared" si="951"/>
        <v/>
      </c>
      <c r="AA66" s="26" t="str">
        <f t="shared" si="951"/>
        <v/>
      </c>
      <c r="AB66" s="26" t="str">
        <f t="shared" si="951"/>
        <v/>
      </c>
      <c r="AC66" s="26" t="str">
        <f t="shared" si="951"/>
        <v/>
      </c>
      <c r="AD66" s="26" t="str">
        <f t="shared" si="951"/>
        <v/>
      </c>
      <c r="AE66" s="26" t="str">
        <f t="shared" si="951"/>
        <v/>
      </c>
      <c r="AF66" s="26" t="str">
        <f t="shared" si="951"/>
        <v/>
      </c>
      <c r="AG66" s="26" t="str">
        <f t="shared" si="951"/>
        <v/>
      </c>
      <c r="AH66" s="26" t="str">
        <f t="shared" si="951"/>
        <v/>
      </c>
      <c r="AI66" s="26" t="str">
        <f t="shared" si="951"/>
        <v/>
      </c>
      <c r="AJ66" s="26" t="str">
        <f t="shared" si="951"/>
        <v/>
      </c>
      <c r="AK66" s="26" t="str">
        <f t="shared" si="951"/>
        <v/>
      </c>
      <c r="AL66" s="26" t="str">
        <f t="shared" si="951"/>
        <v/>
      </c>
      <c r="AM66" s="26" t="str">
        <f t="shared" si="951"/>
        <v/>
      </c>
      <c r="AN66" s="26" t="str">
        <f t="shared" ref="D66:AN66" si="952">IF(AN$8="","",AN65*AN60)</f>
        <v/>
      </c>
      <c r="AO66" s="26" t="str">
        <f t="shared" ref="AO66:AS66" si="953">IF(AO$8="","",AO65*AO60)</f>
        <v/>
      </c>
      <c r="AP66" s="26" t="str">
        <f t="shared" si="953"/>
        <v/>
      </c>
      <c r="AQ66" s="26" t="str">
        <f t="shared" si="953"/>
        <v/>
      </c>
      <c r="AR66" s="26" t="str">
        <f t="shared" si="953"/>
        <v/>
      </c>
      <c r="AS66" s="26" t="str">
        <f t="shared" si="953"/>
        <v/>
      </c>
    </row>
    <row r="67" spans="1:45" ht="12" thickBot="1" x14ac:dyDescent="0.2">
      <c r="A67" s="4">
        <f>IF(A66="","",A66/(A63*100))</f>
        <v>0.20270270270270271</v>
      </c>
      <c r="B67" s="27" t="s">
        <v>18</v>
      </c>
      <c r="C67" s="42" t="s">
        <v>19</v>
      </c>
      <c r="D67" s="42" t="s">
        <v>19</v>
      </c>
      <c r="E67" s="42">
        <v>0.30612244897959184</v>
      </c>
      <c r="F67" s="42" t="s">
        <v>19</v>
      </c>
      <c r="G67" s="42" t="s">
        <v>19</v>
      </c>
      <c r="H67" s="42" t="s">
        <v>19</v>
      </c>
      <c r="I67" s="42" t="s">
        <v>19</v>
      </c>
      <c r="J67" s="42" t="str">
        <f t="shared" ref="H67:AM67" si="954">IF(J$8="","",IF(J66=0,"",J66/(J63*100)))</f>
        <v/>
      </c>
      <c r="K67" s="42" t="str">
        <f t="shared" si="954"/>
        <v/>
      </c>
      <c r="L67" s="42" t="str">
        <f t="shared" si="954"/>
        <v/>
      </c>
      <c r="M67" s="42" t="str">
        <f t="shared" si="954"/>
        <v/>
      </c>
      <c r="N67" s="42" t="str">
        <f t="shared" si="954"/>
        <v/>
      </c>
      <c r="O67" s="42" t="str">
        <f t="shared" si="954"/>
        <v/>
      </c>
      <c r="P67" s="42" t="str">
        <f t="shared" si="954"/>
        <v/>
      </c>
      <c r="Q67" s="42" t="str">
        <f t="shared" si="954"/>
        <v/>
      </c>
      <c r="R67" s="42" t="str">
        <f t="shared" si="954"/>
        <v/>
      </c>
      <c r="S67" s="42" t="str">
        <f t="shared" si="954"/>
        <v/>
      </c>
      <c r="T67" s="42" t="str">
        <f t="shared" si="954"/>
        <v/>
      </c>
      <c r="U67" s="42" t="str">
        <f t="shared" si="954"/>
        <v/>
      </c>
      <c r="V67" s="42" t="str">
        <f t="shared" si="954"/>
        <v/>
      </c>
      <c r="W67" s="42" t="str">
        <f t="shared" si="954"/>
        <v/>
      </c>
      <c r="X67" s="42" t="str">
        <f t="shared" si="954"/>
        <v/>
      </c>
      <c r="Y67" s="42" t="str">
        <f t="shared" si="954"/>
        <v/>
      </c>
      <c r="Z67" s="42" t="str">
        <f t="shared" si="954"/>
        <v/>
      </c>
      <c r="AA67" s="42" t="str">
        <f t="shared" si="954"/>
        <v/>
      </c>
      <c r="AB67" s="42" t="str">
        <f t="shared" si="954"/>
        <v/>
      </c>
      <c r="AC67" s="42" t="str">
        <f t="shared" si="954"/>
        <v/>
      </c>
      <c r="AD67" s="42" t="str">
        <f t="shared" si="954"/>
        <v/>
      </c>
      <c r="AE67" s="42" t="str">
        <f t="shared" si="954"/>
        <v/>
      </c>
      <c r="AF67" s="42" t="str">
        <f t="shared" si="954"/>
        <v/>
      </c>
      <c r="AG67" s="42" t="str">
        <f t="shared" si="954"/>
        <v/>
      </c>
      <c r="AH67" s="42" t="str">
        <f t="shared" si="954"/>
        <v/>
      </c>
      <c r="AI67" s="42" t="str">
        <f t="shared" si="954"/>
        <v/>
      </c>
      <c r="AJ67" s="42" t="str">
        <f t="shared" si="954"/>
        <v/>
      </c>
      <c r="AK67" s="42" t="str">
        <f t="shared" si="954"/>
        <v/>
      </c>
      <c r="AL67" s="42" t="str">
        <f t="shared" si="954"/>
        <v/>
      </c>
      <c r="AM67" s="42" t="str">
        <f t="shared" si="954"/>
        <v/>
      </c>
      <c r="AN67" s="42" t="str">
        <f t="shared" ref="D67:AN67" si="955">IF(AN$8="","",IF(AN66=0,"",AN66/(AN63*100)))</f>
        <v/>
      </c>
      <c r="AO67" s="42" t="str">
        <f t="shared" ref="AO67:AS67" si="956">IF(AO$8="","",IF(AO66=0,"",AO66/(AO63*100)))</f>
        <v/>
      </c>
      <c r="AP67" s="42" t="str">
        <f t="shared" si="956"/>
        <v/>
      </c>
      <c r="AQ67" s="42" t="str">
        <f t="shared" si="956"/>
        <v/>
      </c>
      <c r="AR67" s="42" t="str">
        <f t="shared" si="956"/>
        <v/>
      </c>
      <c r="AS67" s="42" t="str">
        <f t="shared" si="956"/>
        <v/>
      </c>
    </row>
    <row r="68" spans="1:45" x14ac:dyDescent="0.15">
      <c r="A68" s="17" t="s">
        <v>1</v>
      </c>
      <c r="B68" s="41" t="s">
        <v>2</v>
      </c>
      <c r="C68" s="35">
        <v>14514</v>
      </c>
      <c r="D68" s="35">
        <v>14514</v>
      </c>
      <c r="E68" s="35">
        <v>14565</v>
      </c>
      <c r="F68" s="35">
        <v>14565</v>
      </c>
      <c r="G68" s="35">
        <v>14565</v>
      </c>
      <c r="H68" s="35">
        <v>14565</v>
      </c>
      <c r="I68" s="35">
        <v>14599</v>
      </c>
      <c r="J68" s="35">
        <f>IF(J$8="","",I68)</f>
        <v>14599</v>
      </c>
      <c r="K68" s="35">
        <f t="shared" ref="K68:K69" si="957">IF(K$8="","",J68)</f>
        <v>14599</v>
      </c>
      <c r="L68" s="35">
        <v>14669</v>
      </c>
      <c r="M68" s="35" t="str">
        <f>IF(M$8="","",L68)</f>
        <v/>
      </c>
      <c r="N68" s="35" t="str">
        <f t="shared" ref="N68:N69" si="958">IF(N$8="","",M68)</f>
        <v/>
      </c>
      <c r="O68" s="35" t="str">
        <f t="shared" ref="O68:O69" si="959">IF(O$8="","",N68)</f>
        <v/>
      </c>
      <c r="P68" s="35" t="str">
        <f>IF(P$8="","",O68)</f>
        <v/>
      </c>
      <c r="Q68" s="35" t="str">
        <f>IF(Q$8="","",P68)</f>
        <v/>
      </c>
      <c r="R68" s="35" t="str">
        <f t="shared" ref="R68:R69" si="960">IF(R$8="","",Q68)</f>
        <v/>
      </c>
      <c r="S68" s="35" t="str">
        <f>IF(S$8="","",R68)</f>
        <v/>
      </c>
      <c r="T68" s="35" t="str">
        <f>IF(T$8="","",S68)</f>
        <v/>
      </c>
      <c r="U68" s="35" t="str">
        <f t="shared" ref="U68:U69" si="961">IF(U$8="","",T68)</f>
        <v/>
      </c>
      <c r="V68" s="35" t="str">
        <f t="shared" ref="V68:V69" si="962">IF(V$8="","",U68)</f>
        <v/>
      </c>
      <c r="W68" s="35" t="str">
        <f>IF(W$8="","",V68)</f>
        <v/>
      </c>
      <c r="X68" s="35" t="str">
        <f>IF(X$8="","",W68)</f>
        <v/>
      </c>
      <c r="Y68" s="35" t="str">
        <f t="shared" ref="Y68:Y69" si="963">IF(Y$8="","",X68)</f>
        <v/>
      </c>
      <c r="Z68" s="35" t="str">
        <f>IF(Z$8="","",Y68)</f>
        <v/>
      </c>
      <c r="AA68" s="35" t="str">
        <f>IF(AA$8="","",Z68)</f>
        <v/>
      </c>
      <c r="AB68" s="35" t="str">
        <f t="shared" ref="AB68:AB69" si="964">IF(AB$8="","",AA68)</f>
        <v/>
      </c>
      <c r="AC68" s="35" t="str">
        <f t="shared" ref="AC68:AC69" si="965">IF(AC$8="","",AB68)</f>
        <v/>
      </c>
      <c r="AD68" s="35" t="str">
        <f>IF(AD$8="","",AC68)</f>
        <v/>
      </c>
      <c r="AE68" s="35" t="str">
        <f>IF(AE$8="","",AD68)</f>
        <v/>
      </c>
      <c r="AF68" s="35" t="str">
        <f t="shared" ref="AF68:AF69" si="966">IF(AF$8="","",AE68)</f>
        <v/>
      </c>
      <c r="AG68" s="35" t="str">
        <f>IF(AG$8="","",AF68)</f>
        <v/>
      </c>
      <c r="AH68" s="35" t="str">
        <f t="shared" ref="AH68:AH69" si="967">IF(AH$8="","",AG68)</f>
        <v/>
      </c>
      <c r="AI68" s="35" t="str">
        <f t="shared" ref="AI68:AI69" si="968">IF(AI$8="","",AH68)</f>
        <v/>
      </c>
      <c r="AJ68" s="35" t="str">
        <f t="shared" ref="AJ68:AJ69" si="969">IF(AJ$8="","",AI68)</f>
        <v/>
      </c>
      <c r="AK68" s="35" t="str">
        <f>IF(AK$8="","",AJ68)</f>
        <v/>
      </c>
      <c r="AL68" s="35" t="str">
        <f t="shared" ref="AL68:AL69" si="970">IF(AL$8="","",AK68)</f>
        <v/>
      </c>
      <c r="AM68" s="35" t="str">
        <f t="shared" ref="AM68:AM69" si="971">IF(AM$8="","",AL68)</f>
        <v/>
      </c>
      <c r="AN68" s="35" t="str">
        <f t="shared" ref="AN68:AN69" si="972">IF(AN$8="","",AM68)</f>
        <v/>
      </c>
      <c r="AO68" s="35" t="str">
        <f t="shared" ref="AO68:AS68" si="973">IF(AO$8="","",AN68)</f>
        <v/>
      </c>
      <c r="AP68" s="35" t="str">
        <f t="shared" si="973"/>
        <v/>
      </c>
      <c r="AQ68" s="35" t="str">
        <f t="shared" si="973"/>
        <v/>
      </c>
      <c r="AR68" s="35" t="str">
        <f t="shared" si="973"/>
        <v/>
      </c>
      <c r="AS68" s="35" t="str">
        <f t="shared" si="973"/>
        <v/>
      </c>
    </row>
    <row r="69" spans="1:45" x14ac:dyDescent="0.15">
      <c r="A69" s="16" t="s">
        <v>24</v>
      </c>
      <c r="B69" s="30" t="s">
        <v>4</v>
      </c>
      <c r="C69" s="29">
        <v>403</v>
      </c>
      <c r="D69" s="29">
        <v>403</v>
      </c>
      <c r="E69" s="29">
        <v>403</v>
      </c>
      <c r="F69" s="29">
        <v>403</v>
      </c>
      <c r="G69" s="29">
        <v>403</v>
      </c>
      <c r="H69" s="29">
        <v>403</v>
      </c>
      <c r="I69" s="29">
        <v>404</v>
      </c>
      <c r="J69" s="29">
        <f>IF(J$8="","",I69)</f>
        <v>404</v>
      </c>
      <c r="K69" s="29">
        <f t="shared" si="957"/>
        <v>404</v>
      </c>
      <c r="L69" s="29">
        <v>406</v>
      </c>
      <c r="M69" s="29" t="str">
        <f t="shared" ref="M69" si="974">IF(M$8="","",L69)</f>
        <v/>
      </c>
      <c r="N69" s="29" t="str">
        <f t="shared" si="958"/>
        <v/>
      </c>
      <c r="O69" s="29" t="str">
        <f t="shared" si="959"/>
        <v/>
      </c>
      <c r="P69" s="29" t="str">
        <f>IF(P$8="","",O69)</f>
        <v/>
      </c>
      <c r="Q69" s="29" t="str">
        <f>IF(Q$8="","",P69)</f>
        <v/>
      </c>
      <c r="R69" s="29" t="str">
        <f t="shared" si="960"/>
        <v/>
      </c>
      <c r="S69" s="29" t="str">
        <f t="shared" ref="S68:S69" si="975">IF(S$8="","",R69)</f>
        <v/>
      </c>
      <c r="T69" s="29" t="str">
        <f>IF(T$8="","",S69)</f>
        <v/>
      </c>
      <c r="U69" s="29" t="str">
        <f t="shared" si="961"/>
        <v/>
      </c>
      <c r="V69" s="29" t="str">
        <f t="shared" si="962"/>
        <v/>
      </c>
      <c r="W69" s="29" t="str">
        <f>IF(W$8="","",V69)</f>
        <v/>
      </c>
      <c r="X69" s="29" t="str">
        <f>IF(X$8="","",W69)</f>
        <v/>
      </c>
      <c r="Y69" s="29" t="str">
        <f t="shared" si="963"/>
        <v/>
      </c>
      <c r="Z69" s="29" t="str">
        <f>IF(Z$8="","",Y69)</f>
        <v/>
      </c>
      <c r="AA69" s="29" t="str">
        <f>IF(AA$8="","",Z69)</f>
        <v/>
      </c>
      <c r="AB69" s="29" t="str">
        <f t="shared" si="964"/>
        <v/>
      </c>
      <c r="AC69" s="29" t="str">
        <f t="shared" si="965"/>
        <v/>
      </c>
      <c r="AD69" s="29" t="str">
        <f>IF(AD$8="","",AC69)</f>
        <v/>
      </c>
      <c r="AE69" s="29" t="str">
        <f>IF(AE$8="","",AD69)</f>
        <v/>
      </c>
      <c r="AF69" s="29" t="str">
        <f t="shared" si="966"/>
        <v/>
      </c>
      <c r="AG69" s="29" t="str">
        <f t="shared" ref="AG68:AG69" si="976">IF(AG$8="","",AF69)</f>
        <v/>
      </c>
      <c r="AH69" s="29" t="str">
        <f t="shared" si="967"/>
        <v/>
      </c>
      <c r="AI69" s="29" t="str">
        <f t="shared" si="968"/>
        <v/>
      </c>
      <c r="AJ69" s="29" t="str">
        <f t="shared" si="969"/>
        <v/>
      </c>
      <c r="AK69" s="29" t="str">
        <f>IF(AK$8="","",AJ69)</f>
        <v/>
      </c>
      <c r="AL69" s="29" t="str">
        <f t="shared" si="970"/>
        <v/>
      </c>
      <c r="AM69" s="29" t="str">
        <f t="shared" si="971"/>
        <v/>
      </c>
      <c r="AN69" s="29" t="str">
        <f t="shared" si="972"/>
        <v/>
      </c>
      <c r="AO69" s="29" t="str">
        <f t="shared" ref="AO69:AS69" si="977">IF(AO$8="","",AN69)</f>
        <v/>
      </c>
      <c r="AP69" s="29" t="str">
        <f t="shared" si="977"/>
        <v/>
      </c>
      <c r="AQ69" s="29" t="str">
        <f t="shared" si="977"/>
        <v/>
      </c>
      <c r="AR69" s="29" t="str">
        <f t="shared" si="977"/>
        <v/>
      </c>
      <c r="AS69" s="29" t="str">
        <f t="shared" si="977"/>
        <v/>
      </c>
    </row>
    <row r="70" spans="1:45" x14ac:dyDescent="0.15">
      <c r="A70" s="15">
        <v>2</v>
      </c>
      <c r="B70" s="30" t="s">
        <v>5</v>
      </c>
      <c r="C70" s="29">
        <v>11</v>
      </c>
      <c r="D70" s="29">
        <v>11</v>
      </c>
      <c r="E70" s="29">
        <v>11</v>
      </c>
      <c r="F70" s="29">
        <v>11</v>
      </c>
      <c r="G70" s="29">
        <v>11</v>
      </c>
      <c r="H70" s="29">
        <v>11</v>
      </c>
      <c r="I70" s="29">
        <v>10</v>
      </c>
      <c r="J70" s="29">
        <f>IF(J$8="","",(I70+I71))</f>
        <v>10</v>
      </c>
      <c r="K70" s="29">
        <f t="shared" ref="K70" si="978">IF(K$8="","",(J70+J71))</f>
        <v>10</v>
      </c>
      <c r="L70" s="29">
        <v>7</v>
      </c>
      <c r="M70" s="29" t="str">
        <f>IF(M$8="","",(L70+L71))</f>
        <v/>
      </c>
      <c r="N70" s="29" t="str">
        <f t="shared" ref="N70" si="979">IF(N$8="","",(M70+M71))</f>
        <v/>
      </c>
      <c r="O70" s="29" t="str">
        <f t="shared" ref="O70" si="980">IF(O$8="","",(N70+N71))</f>
        <v/>
      </c>
      <c r="P70" s="29" t="str">
        <f>IF(P$8="","",(O70+O71))</f>
        <v/>
      </c>
      <c r="Q70" s="29" t="str">
        <f>IF(Q$8="","",(P70+P71))</f>
        <v/>
      </c>
      <c r="R70" s="29" t="str">
        <f t="shared" ref="R70" si="981">IF(R$8="","",(Q70+Q71))</f>
        <v/>
      </c>
      <c r="S70" s="29" t="str">
        <f t="shared" ref="S70" si="982">IF(S$8="","",(R70+R71))</f>
        <v/>
      </c>
      <c r="T70" s="29" t="str">
        <f>IF(T$8="","",(S70+S71))</f>
        <v/>
      </c>
      <c r="U70" s="29" t="str">
        <f t="shared" ref="U70" si="983">IF(U$8="","",(T70+T71))</f>
        <v/>
      </c>
      <c r="V70" s="29" t="str">
        <f t="shared" ref="V70" si="984">IF(V$8="","",(U70+U71))</f>
        <v/>
      </c>
      <c r="W70" s="29" t="str">
        <f>IF(W$8="","",(V70+V71))</f>
        <v/>
      </c>
      <c r="X70" s="29" t="str">
        <f>IF(X$8="","",(W70+W71))</f>
        <v/>
      </c>
      <c r="Y70" s="29" t="str">
        <f t="shared" ref="Y70" si="985">IF(Y$8="","",(X70+X71))</f>
        <v/>
      </c>
      <c r="Z70" s="29" t="str">
        <f>IF(Z$8="","",(Y70+Y71))</f>
        <v/>
      </c>
      <c r="AA70" s="29" t="str">
        <f>IF(AA$8="","",(Z70+Z71))</f>
        <v/>
      </c>
      <c r="AB70" s="29" t="str">
        <f t="shared" ref="AB70" si="986">IF(AB$8="","",(AA70+AA71))</f>
        <v/>
      </c>
      <c r="AC70" s="29" t="str">
        <f t="shared" ref="AC70" si="987">IF(AC$8="","",(AB70+AB71))</f>
        <v/>
      </c>
      <c r="AD70" s="29" t="str">
        <f>IF(AD$8="","",(AC70+AC71))</f>
        <v/>
      </c>
      <c r="AE70" s="29" t="str">
        <f>IF(AE$8="","",(AD70+AD71))</f>
        <v/>
      </c>
      <c r="AF70" s="29" t="str">
        <f t="shared" ref="AF70" si="988">IF(AF$8="","",(AE70+AE71))</f>
        <v/>
      </c>
      <c r="AG70" s="29" t="str">
        <f t="shared" ref="AG70" si="989">IF(AG$8="","",(AF70+AF71))</f>
        <v/>
      </c>
      <c r="AH70" s="29" t="str">
        <f t="shared" ref="AH70" si="990">IF(AH$8="","",(AG70+AG71))</f>
        <v/>
      </c>
      <c r="AI70" s="29" t="str">
        <f t="shared" ref="AI70" si="991">IF(AI$8="","",(AH70+AH71))</f>
        <v/>
      </c>
      <c r="AJ70" s="29" t="str">
        <f t="shared" ref="AJ70" si="992">IF(AJ$8="","",(AI70+AI71))</f>
        <v/>
      </c>
      <c r="AK70" s="29" t="str">
        <f>IF(AK$8="","",(AJ70+AJ71))</f>
        <v/>
      </c>
      <c r="AL70" s="29" t="str">
        <f t="shared" ref="AL70" si="993">IF(AL$8="","",(AK70+AK71))</f>
        <v/>
      </c>
      <c r="AM70" s="29" t="str">
        <f t="shared" ref="AM70" si="994">IF(AM$8="","",(AL70+AL71))</f>
        <v/>
      </c>
      <c r="AN70" s="29" t="str">
        <f t="shared" ref="AN70" si="995">IF(AN$8="","",(AM70+AM71))</f>
        <v/>
      </c>
      <c r="AO70" s="29" t="str">
        <f t="shared" ref="AO70:AS70" si="996">IF(AO$8="","",(AN70+AN71))</f>
        <v/>
      </c>
      <c r="AP70" s="29" t="str">
        <f t="shared" si="996"/>
        <v/>
      </c>
      <c r="AQ70" s="29" t="str">
        <f t="shared" si="996"/>
        <v/>
      </c>
      <c r="AR70" s="29" t="str">
        <f t="shared" si="996"/>
        <v/>
      </c>
      <c r="AS70" s="29" t="str">
        <f t="shared" si="996"/>
        <v/>
      </c>
    </row>
    <row r="71" spans="1:45" x14ac:dyDescent="0.15">
      <c r="A71" s="14"/>
      <c r="B71" s="30" t="s">
        <v>7</v>
      </c>
      <c r="C71" s="29"/>
      <c r="D71" s="29"/>
      <c r="E71" s="29"/>
      <c r="F71" s="29"/>
      <c r="G71" s="29"/>
      <c r="H71" s="29"/>
      <c r="I71" s="29"/>
      <c r="J71" s="29"/>
      <c r="K71" s="29"/>
      <c r="L71" s="29">
        <v>4</v>
      </c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</row>
    <row r="72" spans="1:45" x14ac:dyDescent="0.15">
      <c r="A72" s="7"/>
      <c r="B72" s="30" t="s">
        <v>8</v>
      </c>
      <c r="C72" s="35">
        <v>100</v>
      </c>
      <c r="D72" s="35">
        <v>100</v>
      </c>
      <c r="E72" s="35">
        <v>100</v>
      </c>
      <c r="F72" s="35">
        <v>100</v>
      </c>
      <c r="G72" s="35">
        <v>100</v>
      </c>
      <c r="H72" s="35">
        <v>100</v>
      </c>
      <c r="I72" s="35">
        <v>100</v>
      </c>
      <c r="J72" s="35">
        <f>IF(J$8="","",I72)</f>
        <v>100</v>
      </c>
      <c r="K72" s="35">
        <f t="shared" ref="K72:K73" si="997">IF(K$8="","",J72)</f>
        <v>100</v>
      </c>
      <c r="L72" s="35">
        <f t="shared" ref="L72:L73" si="998">IF(L$8="","",K72)</f>
        <v>100</v>
      </c>
      <c r="M72" s="35" t="str">
        <f t="shared" ref="M72:M73" si="999">IF(M$8="","",L72)</f>
        <v/>
      </c>
      <c r="N72" s="35" t="str">
        <f t="shared" ref="N72:N73" si="1000">IF(N$8="","",M72)</f>
        <v/>
      </c>
      <c r="O72" s="35" t="str">
        <f t="shared" ref="O72:O73" si="1001">IF(O$8="","",N72)</f>
        <v/>
      </c>
      <c r="P72" s="35" t="str">
        <f t="shared" ref="P72:P73" si="1002">IF(P$8="","",O72)</f>
        <v/>
      </c>
      <c r="Q72" s="35" t="str">
        <f t="shared" ref="Q72:Q73" si="1003">IF(Q$8="","",P72)</f>
        <v/>
      </c>
      <c r="R72" s="35" t="str">
        <f t="shared" ref="R72:R73" si="1004">IF(R$8="","",Q72)</f>
        <v/>
      </c>
      <c r="S72" s="35" t="str">
        <f t="shared" ref="S72:S73" si="1005">IF(S$8="","",R72)</f>
        <v/>
      </c>
      <c r="T72" s="35" t="str">
        <f t="shared" ref="T72:T73" si="1006">IF(T$8="","",S72)</f>
        <v/>
      </c>
      <c r="U72" s="35" t="str">
        <f t="shared" ref="U72:U73" si="1007">IF(U$8="","",T72)</f>
        <v/>
      </c>
      <c r="V72" s="35" t="str">
        <f t="shared" ref="V72:V73" si="1008">IF(V$8="","",U72)</f>
        <v/>
      </c>
      <c r="W72" s="35" t="str">
        <f t="shared" ref="W72:W73" si="1009">IF(W$8="","",V72)</f>
        <v/>
      </c>
      <c r="X72" s="35" t="str">
        <f t="shared" ref="X72:X73" si="1010">IF(X$8="","",W72)</f>
        <v/>
      </c>
      <c r="Y72" s="35" t="str">
        <f t="shared" ref="Y72:Y73" si="1011">IF(Y$8="","",X72)</f>
        <v/>
      </c>
      <c r="Z72" s="35" t="str">
        <f t="shared" ref="Z72:Z73" si="1012">IF(Z$8="","",Y72)</f>
        <v/>
      </c>
      <c r="AA72" s="35" t="str">
        <f t="shared" ref="AA72:AA73" si="1013">IF(AA$8="","",Z72)</f>
        <v/>
      </c>
      <c r="AB72" s="35" t="str">
        <f t="shared" ref="AB72:AB73" si="1014">IF(AB$8="","",AA72)</f>
        <v/>
      </c>
      <c r="AC72" s="35" t="str">
        <f t="shared" ref="AC72:AC73" si="1015">IF(AC$8="","",AB72)</f>
        <v/>
      </c>
      <c r="AD72" s="35" t="str">
        <f t="shared" ref="AD72:AD73" si="1016">IF(AD$8="","",AC72)</f>
        <v/>
      </c>
      <c r="AE72" s="35" t="str">
        <f t="shared" ref="AE72" si="1017">IF(AE$8="","",AD72)</f>
        <v/>
      </c>
      <c r="AF72" s="35" t="str">
        <f t="shared" ref="AF72:AF73" si="1018">IF(AF$8="","",AE72)</f>
        <v/>
      </c>
      <c r="AG72" s="35" t="str">
        <f t="shared" ref="AG72:AG73" si="1019">IF(AG$8="","",AF72)</f>
        <v/>
      </c>
      <c r="AH72" s="35" t="str">
        <f t="shared" ref="AH72:AH73" si="1020">IF(AH$8="","",AG72)</f>
        <v/>
      </c>
      <c r="AI72" s="35" t="str">
        <f t="shared" ref="AI72:AI73" si="1021">IF(AI$8="","",AH72)</f>
        <v/>
      </c>
      <c r="AJ72" s="35" t="str">
        <f t="shared" ref="AJ72:AJ73" si="1022">IF(AJ$8="","",AI72)</f>
        <v/>
      </c>
      <c r="AK72" s="35" t="str">
        <f t="shared" ref="AK72:AK73" si="1023">IF(AK$8="","",AJ72)</f>
        <v/>
      </c>
      <c r="AL72" s="35" t="str">
        <f t="shared" ref="AL72:AL73" si="1024">IF(AL$8="","",AK72)</f>
        <v/>
      </c>
      <c r="AM72" s="35" t="str">
        <f t="shared" ref="AM72:AM73" si="1025">IF(AM$8="","",AL72)</f>
        <v/>
      </c>
      <c r="AN72" s="35" t="str">
        <f t="shared" ref="AN72:AN73" si="1026">IF(AN$8="","",AM72)</f>
        <v/>
      </c>
      <c r="AO72" s="35" t="str">
        <f t="shared" ref="AO72:AS72" si="1027">IF(AO$8="","",AN72)</f>
        <v/>
      </c>
      <c r="AP72" s="35" t="str">
        <f t="shared" si="1027"/>
        <v/>
      </c>
      <c r="AQ72" s="35" t="str">
        <f t="shared" si="1027"/>
        <v/>
      </c>
      <c r="AR72" s="35" t="str">
        <f t="shared" si="1027"/>
        <v/>
      </c>
      <c r="AS72" s="35" t="str">
        <f t="shared" si="1027"/>
        <v/>
      </c>
    </row>
    <row r="73" spans="1:45" s="11" customFormat="1" x14ac:dyDescent="0.15">
      <c r="A73" s="14" t="s">
        <v>9</v>
      </c>
      <c r="B73" s="33" t="s">
        <v>10</v>
      </c>
      <c r="C73" s="32" t="s">
        <v>352</v>
      </c>
      <c r="D73" s="32" t="s">
        <v>352</v>
      </c>
      <c r="E73" s="32" t="s">
        <v>352</v>
      </c>
      <c r="F73" s="32" t="s">
        <v>352</v>
      </c>
      <c r="G73" s="32" t="s">
        <v>352</v>
      </c>
      <c r="H73" s="32" t="s">
        <v>352</v>
      </c>
      <c r="I73" s="32" t="s">
        <v>352</v>
      </c>
      <c r="J73" s="32" t="str">
        <f>IF(J$8="","",I73)</f>
        <v>ベアブリック</v>
      </c>
      <c r="K73" s="32" t="str">
        <f t="shared" si="997"/>
        <v>ベアブリック</v>
      </c>
      <c r="L73" s="32" t="str">
        <f t="shared" si="998"/>
        <v>ベアブリック</v>
      </c>
      <c r="M73" s="32" t="str">
        <f t="shared" si="999"/>
        <v/>
      </c>
      <c r="N73" s="32" t="str">
        <f t="shared" si="1000"/>
        <v/>
      </c>
      <c r="O73" s="32" t="str">
        <f t="shared" si="1001"/>
        <v/>
      </c>
      <c r="P73" s="32" t="str">
        <f t="shared" si="1002"/>
        <v/>
      </c>
      <c r="Q73" s="32" t="str">
        <f t="shared" si="1003"/>
        <v/>
      </c>
      <c r="R73" s="32" t="str">
        <f t="shared" si="1004"/>
        <v/>
      </c>
      <c r="S73" s="32" t="str">
        <f t="shared" si="1005"/>
        <v/>
      </c>
      <c r="T73" s="32" t="str">
        <f t="shared" si="1006"/>
        <v/>
      </c>
      <c r="U73" s="32" t="str">
        <f t="shared" si="1007"/>
        <v/>
      </c>
      <c r="V73" s="32" t="str">
        <f t="shared" si="1008"/>
        <v/>
      </c>
      <c r="W73" s="32" t="str">
        <f t="shared" si="1009"/>
        <v/>
      </c>
      <c r="X73" s="32" t="str">
        <f t="shared" si="1010"/>
        <v/>
      </c>
      <c r="Y73" s="32" t="str">
        <f t="shared" si="1011"/>
        <v/>
      </c>
      <c r="Z73" s="32" t="str">
        <f t="shared" si="1012"/>
        <v/>
      </c>
      <c r="AA73" s="32" t="str">
        <f t="shared" si="1013"/>
        <v/>
      </c>
      <c r="AB73" s="32" t="str">
        <f t="shared" si="1014"/>
        <v/>
      </c>
      <c r="AC73" s="32" t="str">
        <f t="shared" si="1015"/>
        <v/>
      </c>
      <c r="AD73" s="32" t="str">
        <f t="shared" si="1016"/>
        <v/>
      </c>
      <c r="AE73" s="32" t="str">
        <f>IF(AE$8="","",AD73)</f>
        <v/>
      </c>
      <c r="AF73" s="32" t="str">
        <f t="shared" si="1018"/>
        <v/>
      </c>
      <c r="AG73" s="32" t="str">
        <f t="shared" si="1019"/>
        <v/>
      </c>
      <c r="AH73" s="32" t="str">
        <f t="shared" si="1020"/>
        <v/>
      </c>
      <c r="AI73" s="32" t="str">
        <f t="shared" si="1021"/>
        <v/>
      </c>
      <c r="AJ73" s="32" t="str">
        <f t="shared" si="1022"/>
        <v/>
      </c>
      <c r="AK73" s="32" t="str">
        <f t="shared" si="1023"/>
        <v/>
      </c>
      <c r="AL73" s="32" t="str">
        <f t="shared" si="1024"/>
        <v/>
      </c>
      <c r="AM73" s="32" t="str">
        <f t="shared" si="1025"/>
        <v/>
      </c>
      <c r="AN73" s="32" t="str">
        <f t="shared" si="1026"/>
        <v/>
      </c>
      <c r="AO73" s="32" t="str">
        <f t="shared" ref="AO73:AS73" si="1028">IF(AO$8="","",AN73)</f>
        <v/>
      </c>
      <c r="AP73" s="32" t="str">
        <f t="shared" si="1028"/>
        <v/>
      </c>
      <c r="AQ73" s="32" t="str">
        <f t="shared" si="1028"/>
        <v/>
      </c>
      <c r="AR73" s="32" t="str">
        <f t="shared" si="1028"/>
        <v/>
      </c>
      <c r="AS73" s="32" t="str">
        <f t="shared" si="1028"/>
        <v/>
      </c>
    </row>
    <row r="74" spans="1:45" x14ac:dyDescent="0.15">
      <c r="A74" s="7">
        <f>AVERAGE(C75:AS75)*30*100</f>
        <v>46500</v>
      </c>
      <c r="B74" s="30" t="s">
        <v>12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r="75" spans="1:45" x14ac:dyDescent="0.15">
      <c r="A75" s="7">
        <f>SUM(C75:AS75)</f>
        <v>155</v>
      </c>
      <c r="B75" s="27" t="s">
        <v>13</v>
      </c>
      <c r="C75" s="26">
        <v>0</v>
      </c>
      <c r="D75" s="26">
        <v>0</v>
      </c>
      <c r="E75" s="26">
        <v>51</v>
      </c>
      <c r="F75" s="26">
        <v>0</v>
      </c>
      <c r="G75" s="26">
        <v>0</v>
      </c>
      <c r="H75" s="26">
        <v>0</v>
      </c>
      <c r="I75" s="26">
        <v>34</v>
      </c>
      <c r="J75" s="26">
        <f t="shared" ref="J75:J76" si="1029">IF(J$8="","",J68-I68)</f>
        <v>0</v>
      </c>
      <c r="K75" s="26">
        <f t="shared" ref="K75:K76" si="1030">IF(K$8="","",K68-J68)</f>
        <v>0</v>
      </c>
      <c r="L75" s="26">
        <f t="shared" ref="L75:L76" si="1031">IF(L$8="","",L68-K68)</f>
        <v>70</v>
      </c>
      <c r="M75" s="26" t="str">
        <f t="shared" ref="M75:M76" si="1032">IF(M$8="","",M68-L68)</f>
        <v/>
      </c>
      <c r="N75" s="26" t="str">
        <f t="shared" ref="N75:N76" si="1033">IF(N$8="","",N68-M68)</f>
        <v/>
      </c>
      <c r="O75" s="26" t="str">
        <f t="shared" ref="O75:O76" si="1034">IF(O$8="","",O68-N68)</f>
        <v/>
      </c>
      <c r="P75" s="26" t="str">
        <f t="shared" ref="P75:P76" si="1035">IF(P$8="","",P68-O68)</f>
        <v/>
      </c>
      <c r="Q75" s="26" t="str">
        <f t="shared" ref="Q75:Q76" si="1036">IF(Q$8="","",Q68-P68)</f>
        <v/>
      </c>
      <c r="R75" s="26" t="str">
        <f t="shared" ref="R75:R76" si="1037">IF(R$8="","",R68-Q68)</f>
        <v/>
      </c>
      <c r="S75" s="26" t="str">
        <f t="shared" ref="S75:S76" si="1038">IF(S$8="","",S68-R68)</f>
        <v/>
      </c>
      <c r="T75" s="26" t="str">
        <f t="shared" ref="T75:T76" si="1039">IF(T$8="","",T68-S68)</f>
        <v/>
      </c>
      <c r="U75" s="26" t="str">
        <f t="shared" ref="U75:U76" si="1040">IF(U$8="","",U68-T68)</f>
        <v/>
      </c>
      <c r="V75" s="26" t="str">
        <f t="shared" ref="V75:V76" si="1041">IF(V$8="","",V68-U68)</f>
        <v/>
      </c>
      <c r="W75" s="26" t="str">
        <f t="shared" ref="W75:W76" si="1042">IF(W$8="","",W68-V68)</f>
        <v/>
      </c>
      <c r="X75" s="26" t="str">
        <f t="shared" ref="X75:X76" si="1043">IF(X$8="","",X68-W68)</f>
        <v/>
      </c>
      <c r="Y75" s="26" t="str">
        <f t="shared" ref="Y75:Y76" si="1044">IF(Y$8="","",Y68-X68)</f>
        <v/>
      </c>
      <c r="Z75" s="26" t="str">
        <f t="shared" ref="Z75:Z76" si="1045">IF(Z$8="","",Z68-Y68)</f>
        <v/>
      </c>
      <c r="AA75" s="26" t="str">
        <f t="shared" ref="AA75:AA76" si="1046">IF(AA$8="","",AA68-Z68)</f>
        <v/>
      </c>
      <c r="AB75" s="26" t="str">
        <f t="shared" ref="AB75:AB76" si="1047">IF(AB$8="","",AB68-AA68)</f>
        <v/>
      </c>
      <c r="AC75" s="26" t="str">
        <f t="shared" ref="AC75:AC76" si="1048">IF(AC$8="","",AC68-AB68)</f>
        <v/>
      </c>
      <c r="AD75" s="26" t="str">
        <f t="shared" ref="AD75:AD76" si="1049">IF(AD$8="","",AD68-AC68)</f>
        <v/>
      </c>
      <c r="AE75" s="26" t="str">
        <f t="shared" ref="AE75:AE76" si="1050">IF(AE$8="","",AE68-AD68)</f>
        <v/>
      </c>
      <c r="AF75" s="26" t="str">
        <f t="shared" ref="AF75:AF76" si="1051">IF(AF$8="","",AF68-AE68)</f>
        <v/>
      </c>
      <c r="AG75" s="26" t="str">
        <f t="shared" ref="AG75:AG76" si="1052">IF(AG$8="","",AG68-AF68)</f>
        <v/>
      </c>
      <c r="AH75" s="26" t="str">
        <f t="shared" ref="AH75:AH76" si="1053">IF(AH$8="","",AH68-AG68)</f>
        <v/>
      </c>
      <c r="AI75" s="26" t="str">
        <f t="shared" ref="AI75:AI76" si="1054">IF(AI$8="","",AI68-AH68)</f>
        <v/>
      </c>
      <c r="AJ75" s="26" t="str">
        <f t="shared" ref="AJ75:AJ76" si="1055">IF(AJ$8="","",AJ68-AI68)</f>
        <v/>
      </c>
      <c r="AK75" s="26" t="str">
        <f t="shared" ref="AK75:AK76" si="1056">IF(AK$8="","",AK68-AJ68)</f>
        <v/>
      </c>
      <c r="AL75" s="26" t="str">
        <f t="shared" ref="AL75:AL76" si="1057">IF(AL$8="","",AL68-AK68)</f>
        <v/>
      </c>
      <c r="AM75" s="26" t="str">
        <f t="shared" ref="AM75:AM76" si="1058">IF(AM$8="","",AM68-AL68)</f>
        <v/>
      </c>
      <c r="AN75" s="26" t="str">
        <f t="shared" ref="AN75:AN76" si="1059">IF(AN$8="","",AN68-AM68)</f>
        <v/>
      </c>
      <c r="AO75" s="26" t="str">
        <f t="shared" ref="AO75:AS75" si="1060">IF(AO$8="","",AO68-AN68)</f>
        <v/>
      </c>
      <c r="AP75" s="26" t="str">
        <f t="shared" si="1060"/>
        <v/>
      </c>
      <c r="AQ75" s="26" t="str">
        <f t="shared" si="1060"/>
        <v/>
      </c>
      <c r="AR75" s="26" t="str">
        <f t="shared" si="1060"/>
        <v/>
      </c>
      <c r="AS75" s="26" t="str">
        <f t="shared" si="1060"/>
        <v/>
      </c>
    </row>
    <row r="76" spans="1:45" x14ac:dyDescent="0.15">
      <c r="A76" s="7">
        <f>SUM(C76:AS76)</f>
        <v>3</v>
      </c>
      <c r="B76" s="27" t="s">
        <v>14</v>
      </c>
      <c r="C76" s="26">
        <v>0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1</v>
      </c>
      <c r="J76" s="26">
        <f t="shared" si="1029"/>
        <v>0</v>
      </c>
      <c r="K76" s="26">
        <f t="shared" si="1030"/>
        <v>0</v>
      </c>
      <c r="L76" s="26">
        <f t="shared" si="1031"/>
        <v>2</v>
      </c>
      <c r="M76" s="26" t="str">
        <f t="shared" si="1032"/>
        <v/>
      </c>
      <c r="N76" s="26" t="str">
        <f t="shared" si="1033"/>
        <v/>
      </c>
      <c r="O76" s="26" t="str">
        <f t="shared" si="1034"/>
        <v/>
      </c>
      <c r="P76" s="26" t="str">
        <f t="shared" si="1035"/>
        <v/>
      </c>
      <c r="Q76" s="26" t="str">
        <f t="shared" si="1036"/>
        <v/>
      </c>
      <c r="R76" s="26" t="str">
        <f t="shared" si="1037"/>
        <v/>
      </c>
      <c r="S76" s="26" t="str">
        <f t="shared" si="1038"/>
        <v/>
      </c>
      <c r="T76" s="26" t="str">
        <f t="shared" si="1039"/>
        <v/>
      </c>
      <c r="U76" s="26" t="str">
        <f t="shared" si="1040"/>
        <v/>
      </c>
      <c r="V76" s="26" t="str">
        <f t="shared" si="1041"/>
        <v/>
      </c>
      <c r="W76" s="26" t="str">
        <f t="shared" si="1042"/>
        <v/>
      </c>
      <c r="X76" s="26" t="str">
        <f t="shared" si="1043"/>
        <v/>
      </c>
      <c r="Y76" s="26" t="str">
        <f t="shared" si="1044"/>
        <v/>
      </c>
      <c r="Z76" s="26" t="str">
        <f t="shared" si="1045"/>
        <v/>
      </c>
      <c r="AA76" s="26" t="str">
        <f t="shared" si="1046"/>
        <v/>
      </c>
      <c r="AB76" s="26" t="str">
        <f t="shared" si="1047"/>
        <v/>
      </c>
      <c r="AC76" s="26" t="str">
        <f t="shared" si="1048"/>
        <v/>
      </c>
      <c r="AD76" s="26" t="str">
        <f t="shared" si="1049"/>
        <v/>
      </c>
      <c r="AE76" s="26" t="str">
        <f t="shared" si="1050"/>
        <v/>
      </c>
      <c r="AF76" s="26" t="str">
        <f t="shared" si="1051"/>
        <v/>
      </c>
      <c r="AG76" s="26" t="str">
        <f t="shared" si="1052"/>
        <v/>
      </c>
      <c r="AH76" s="26" t="str">
        <f t="shared" si="1053"/>
        <v/>
      </c>
      <c r="AI76" s="26" t="str">
        <f t="shared" si="1054"/>
        <v/>
      </c>
      <c r="AJ76" s="26" t="str">
        <f t="shared" si="1055"/>
        <v/>
      </c>
      <c r="AK76" s="26" t="str">
        <f t="shared" si="1056"/>
        <v/>
      </c>
      <c r="AL76" s="26" t="str">
        <f t="shared" si="1057"/>
        <v/>
      </c>
      <c r="AM76" s="26" t="str">
        <f t="shared" si="1058"/>
        <v/>
      </c>
      <c r="AN76" s="26" t="str">
        <f t="shared" si="1059"/>
        <v/>
      </c>
      <c r="AO76" s="26" t="str">
        <f t="shared" ref="AO76:AS76" si="1061">IF(AO$8="","",AO69-AN69)</f>
        <v/>
      </c>
      <c r="AP76" s="26" t="str">
        <f t="shared" si="1061"/>
        <v/>
      </c>
      <c r="AQ76" s="26" t="str">
        <f t="shared" si="1061"/>
        <v/>
      </c>
      <c r="AR76" s="26" t="str">
        <f t="shared" si="1061"/>
        <v/>
      </c>
      <c r="AS76" s="26" t="str">
        <f t="shared" si="1061"/>
        <v/>
      </c>
    </row>
    <row r="77" spans="1:45" x14ac:dyDescent="0.15">
      <c r="A77" s="7">
        <f>SUM(C77:AS77)</f>
        <v>4</v>
      </c>
      <c r="B77" s="27" t="s">
        <v>15</v>
      </c>
      <c r="C77" s="26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1</v>
      </c>
      <c r="J77" s="26">
        <f t="shared" ref="J77" si="1062">IF(J$8="","",I70+I71-J70)</f>
        <v>0</v>
      </c>
      <c r="K77" s="26">
        <f t="shared" ref="K77" si="1063">IF(K$8="","",J70+J71-K70)</f>
        <v>0</v>
      </c>
      <c r="L77" s="26">
        <f t="shared" ref="L77" si="1064">IF(L$8="","",K70+K71-L70)</f>
        <v>3</v>
      </c>
      <c r="M77" s="26" t="str">
        <f t="shared" ref="M77" si="1065">IF(M$8="","",L70+L71-M70)</f>
        <v/>
      </c>
      <c r="N77" s="26" t="str">
        <f t="shared" ref="N77" si="1066">IF(N$8="","",M70+M71-N70)</f>
        <v/>
      </c>
      <c r="O77" s="26" t="str">
        <f t="shared" ref="O77" si="1067">IF(O$8="","",N70+N71-O70)</f>
        <v/>
      </c>
      <c r="P77" s="26" t="str">
        <f t="shared" ref="P77" si="1068">IF(P$8="","",O70+O71-P70)</f>
        <v/>
      </c>
      <c r="Q77" s="26" t="str">
        <f t="shared" ref="Q77" si="1069">IF(Q$8="","",P70+P71-Q70)</f>
        <v/>
      </c>
      <c r="R77" s="26" t="str">
        <f t="shared" ref="R77" si="1070">IF(R$8="","",Q70+Q71-R70)</f>
        <v/>
      </c>
      <c r="S77" s="26" t="str">
        <f t="shared" ref="S77" si="1071">IF(S$8="","",R70+R71-S70)</f>
        <v/>
      </c>
      <c r="T77" s="26" t="str">
        <f t="shared" ref="T77" si="1072">IF(T$8="","",S70+S71-T70)</f>
        <v/>
      </c>
      <c r="U77" s="26" t="str">
        <f t="shared" ref="U77" si="1073">IF(U$8="","",T70+T71-U70)</f>
        <v/>
      </c>
      <c r="V77" s="26" t="str">
        <f t="shared" ref="V77" si="1074">IF(V$8="","",U70+U71-V70)</f>
        <v/>
      </c>
      <c r="W77" s="26" t="str">
        <f t="shared" ref="W77" si="1075">IF(W$8="","",V70+V71-W70)</f>
        <v/>
      </c>
      <c r="X77" s="26" t="str">
        <f t="shared" ref="X77" si="1076">IF(X$8="","",W70+W71-X70)</f>
        <v/>
      </c>
      <c r="Y77" s="26" t="str">
        <f t="shared" ref="Y77" si="1077">IF(Y$8="","",X70+X71-Y70)</f>
        <v/>
      </c>
      <c r="Z77" s="26" t="str">
        <f t="shared" ref="Z77" si="1078">IF(Z$8="","",Y70+Y71-Z70)</f>
        <v/>
      </c>
      <c r="AA77" s="26" t="str">
        <f t="shared" ref="AA77" si="1079">IF(AA$8="","",Z70+Z71-AA70)</f>
        <v/>
      </c>
      <c r="AB77" s="26" t="str">
        <f t="shared" ref="AB77" si="1080">IF(AB$8="","",AA70+AA71-AB70)</f>
        <v/>
      </c>
      <c r="AC77" s="26" t="str">
        <f t="shared" ref="AC77" si="1081">IF(AC$8="","",AB70+AB71-AC70)</f>
        <v/>
      </c>
      <c r="AD77" s="26" t="str">
        <f t="shared" ref="AD77" si="1082">IF(AD$8="","",AC70+AC71-AD70)</f>
        <v/>
      </c>
      <c r="AE77" s="26" t="str">
        <f t="shared" ref="AE77" si="1083">IF(AE$8="","",AD70+AD71-AE70)</f>
        <v/>
      </c>
      <c r="AF77" s="26" t="str">
        <f t="shared" ref="AF77" si="1084">IF(AF$8="","",AE70+AE71-AF70)</f>
        <v/>
      </c>
      <c r="AG77" s="26" t="str">
        <f t="shared" ref="AG77" si="1085">IF(AG$8="","",AF70+AF71-AG70)</f>
        <v/>
      </c>
      <c r="AH77" s="26" t="str">
        <f t="shared" ref="AH77" si="1086">IF(AH$8="","",AG70+AG71-AH70)</f>
        <v/>
      </c>
      <c r="AI77" s="26" t="str">
        <f t="shared" ref="AI77" si="1087">IF(AI$8="","",AH70+AH71-AI70)</f>
        <v/>
      </c>
      <c r="AJ77" s="26" t="str">
        <f t="shared" ref="AJ77" si="1088">IF(AJ$8="","",AI70+AI71-AJ70)</f>
        <v/>
      </c>
      <c r="AK77" s="26" t="str">
        <f t="shared" ref="AK77" si="1089">IF(AK$8="","",AJ70+AJ71-AK70)</f>
        <v/>
      </c>
      <c r="AL77" s="26" t="str">
        <f t="shared" ref="AL77" si="1090">IF(AL$8="","",AK70+AK71-AL70)</f>
        <v/>
      </c>
      <c r="AM77" s="26" t="str">
        <f t="shared" ref="AM77" si="1091">IF(AM$8="","",AL70+AL71-AM70)</f>
        <v/>
      </c>
      <c r="AN77" s="26" t="str">
        <f t="shared" ref="AN77" si="1092">IF(AN$8="","",AM70+AM71-AN70)</f>
        <v/>
      </c>
      <c r="AO77" s="26" t="str">
        <f t="shared" ref="AO77:AS77" si="1093">IF(AO$8="","",AN70+AN71-AO70)</f>
        <v/>
      </c>
      <c r="AP77" s="26" t="str">
        <f t="shared" si="1093"/>
        <v/>
      </c>
      <c r="AQ77" s="26" t="str">
        <f t="shared" si="1093"/>
        <v/>
      </c>
      <c r="AR77" s="26" t="str">
        <f t="shared" si="1093"/>
        <v/>
      </c>
      <c r="AS77" s="26" t="str">
        <f t="shared" si="1093"/>
        <v/>
      </c>
    </row>
    <row r="78" spans="1:45" x14ac:dyDescent="0.15">
      <c r="A78" s="7">
        <f>SUM(C78:AS78)</f>
        <v>400</v>
      </c>
      <c r="B78" s="27" t="s">
        <v>16</v>
      </c>
      <c r="C78" s="26">
        <v>0</v>
      </c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100</v>
      </c>
      <c r="J78" s="26">
        <f t="shared" ref="H78:AM78" si="1094">IF(J$8="","",J77*J72)</f>
        <v>0</v>
      </c>
      <c r="K78" s="26">
        <f t="shared" si="1094"/>
        <v>0</v>
      </c>
      <c r="L78" s="26">
        <f t="shared" si="1094"/>
        <v>300</v>
      </c>
      <c r="M78" s="26" t="str">
        <f t="shared" si="1094"/>
        <v/>
      </c>
      <c r="N78" s="26" t="str">
        <f t="shared" si="1094"/>
        <v/>
      </c>
      <c r="O78" s="26" t="str">
        <f t="shared" si="1094"/>
        <v/>
      </c>
      <c r="P78" s="26" t="str">
        <f t="shared" si="1094"/>
        <v/>
      </c>
      <c r="Q78" s="26" t="str">
        <f t="shared" si="1094"/>
        <v/>
      </c>
      <c r="R78" s="26" t="str">
        <f t="shared" si="1094"/>
        <v/>
      </c>
      <c r="S78" s="26" t="str">
        <f t="shared" si="1094"/>
        <v/>
      </c>
      <c r="T78" s="26" t="str">
        <f t="shared" si="1094"/>
        <v/>
      </c>
      <c r="U78" s="26" t="str">
        <f t="shared" si="1094"/>
        <v/>
      </c>
      <c r="V78" s="26" t="str">
        <f t="shared" si="1094"/>
        <v/>
      </c>
      <c r="W78" s="26" t="str">
        <f t="shared" si="1094"/>
        <v/>
      </c>
      <c r="X78" s="26" t="str">
        <f t="shared" si="1094"/>
        <v/>
      </c>
      <c r="Y78" s="26" t="str">
        <f t="shared" si="1094"/>
        <v/>
      </c>
      <c r="Z78" s="26" t="str">
        <f t="shared" si="1094"/>
        <v/>
      </c>
      <c r="AA78" s="26" t="str">
        <f t="shared" si="1094"/>
        <v/>
      </c>
      <c r="AB78" s="26" t="str">
        <f t="shared" si="1094"/>
        <v/>
      </c>
      <c r="AC78" s="26" t="str">
        <f t="shared" si="1094"/>
        <v/>
      </c>
      <c r="AD78" s="26" t="str">
        <f t="shared" si="1094"/>
        <v/>
      </c>
      <c r="AE78" s="26" t="str">
        <f t="shared" si="1094"/>
        <v/>
      </c>
      <c r="AF78" s="26" t="str">
        <f t="shared" si="1094"/>
        <v/>
      </c>
      <c r="AG78" s="26" t="str">
        <f t="shared" si="1094"/>
        <v/>
      </c>
      <c r="AH78" s="26" t="str">
        <f t="shared" si="1094"/>
        <v/>
      </c>
      <c r="AI78" s="26" t="str">
        <f t="shared" si="1094"/>
        <v/>
      </c>
      <c r="AJ78" s="26" t="str">
        <f t="shared" si="1094"/>
        <v/>
      </c>
      <c r="AK78" s="26" t="str">
        <f t="shared" si="1094"/>
        <v/>
      </c>
      <c r="AL78" s="26" t="str">
        <f t="shared" si="1094"/>
        <v/>
      </c>
      <c r="AM78" s="26" t="str">
        <f t="shared" si="1094"/>
        <v/>
      </c>
      <c r="AN78" s="26" t="str">
        <f t="shared" ref="D78:AN78" si="1095">IF(AN$8="","",AN77*AN72)</f>
        <v/>
      </c>
      <c r="AO78" s="26" t="str">
        <f t="shared" ref="AO78:AS78" si="1096">IF(AO$8="","",AO77*AO72)</f>
        <v/>
      </c>
      <c r="AP78" s="26" t="str">
        <f t="shared" si="1096"/>
        <v/>
      </c>
      <c r="AQ78" s="26" t="str">
        <f t="shared" si="1096"/>
        <v/>
      </c>
      <c r="AR78" s="26" t="str">
        <f t="shared" si="1096"/>
        <v/>
      </c>
      <c r="AS78" s="26" t="str">
        <f t="shared" si="1096"/>
        <v/>
      </c>
    </row>
    <row r="79" spans="1:45" ht="12" thickBot="1" x14ac:dyDescent="0.2">
      <c r="A79" s="4">
        <f>IF(A78="","",A78/(A75*100))</f>
        <v>2.5806451612903226E-2</v>
      </c>
      <c r="B79" s="27" t="s">
        <v>18</v>
      </c>
      <c r="C79" s="42" t="s">
        <v>19</v>
      </c>
      <c r="D79" s="42" t="s">
        <v>19</v>
      </c>
      <c r="E79" s="42" t="s">
        <v>19</v>
      </c>
      <c r="F79" s="42" t="s">
        <v>19</v>
      </c>
      <c r="G79" s="42" t="s">
        <v>19</v>
      </c>
      <c r="H79" s="42" t="s">
        <v>19</v>
      </c>
      <c r="I79" s="42">
        <v>2.9411764705882353E-2</v>
      </c>
      <c r="J79" s="42" t="str">
        <f t="shared" ref="H79:AM79" si="1097">IF(J$8="","",IF(J78=0,"",J78/(J75*100)))</f>
        <v/>
      </c>
      <c r="K79" s="42" t="str">
        <f t="shared" si="1097"/>
        <v/>
      </c>
      <c r="L79" s="42">
        <f t="shared" si="1097"/>
        <v>4.2857142857142858E-2</v>
      </c>
      <c r="M79" s="42" t="str">
        <f t="shared" si="1097"/>
        <v/>
      </c>
      <c r="N79" s="42" t="str">
        <f t="shared" si="1097"/>
        <v/>
      </c>
      <c r="O79" s="42" t="str">
        <f t="shared" si="1097"/>
        <v/>
      </c>
      <c r="P79" s="42" t="str">
        <f t="shared" si="1097"/>
        <v/>
      </c>
      <c r="Q79" s="42" t="str">
        <f t="shared" si="1097"/>
        <v/>
      </c>
      <c r="R79" s="42" t="str">
        <f t="shared" si="1097"/>
        <v/>
      </c>
      <c r="S79" s="42" t="str">
        <f t="shared" si="1097"/>
        <v/>
      </c>
      <c r="T79" s="42" t="str">
        <f t="shared" si="1097"/>
        <v/>
      </c>
      <c r="U79" s="42" t="str">
        <f t="shared" si="1097"/>
        <v/>
      </c>
      <c r="V79" s="42" t="str">
        <f t="shared" si="1097"/>
        <v/>
      </c>
      <c r="W79" s="42" t="str">
        <f t="shared" si="1097"/>
        <v/>
      </c>
      <c r="X79" s="42" t="str">
        <f t="shared" si="1097"/>
        <v/>
      </c>
      <c r="Y79" s="42" t="str">
        <f t="shared" si="1097"/>
        <v/>
      </c>
      <c r="Z79" s="42" t="str">
        <f t="shared" si="1097"/>
        <v/>
      </c>
      <c r="AA79" s="42" t="str">
        <f t="shared" si="1097"/>
        <v/>
      </c>
      <c r="AB79" s="42" t="str">
        <f t="shared" si="1097"/>
        <v/>
      </c>
      <c r="AC79" s="42" t="str">
        <f t="shared" si="1097"/>
        <v/>
      </c>
      <c r="AD79" s="42" t="str">
        <f t="shared" si="1097"/>
        <v/>
      </c>
      <c r="AE79" s="42" t="str">
        <f t="shared" si="1097"/>
        <v/>
      </c>
      <c r="AF79" s="42" t="str">
        <f t="shared" si="1097"/>
        <v/>
      </c>
      <c r="AG79" s="42" t="str">
        <f t="shared" si="1097"/>
        <v/>
      </c>
      <c r="AH79" s="42" t="str">
        <f t="shared" si="1097"/>
        <v/>
      </c>
      <c r="AI79" s="42" t="str">
        <f t="shared" si="1097"/>
        <v/>
      </c>
      <c r="AJ79" s="42" t="str">
        <f t="shared" si="1097"/>
        <v/>
      </c>
      <c r="AK79" s="42" t="str">
        <f t="shared" si="1097"/>
        <v/>
      </c>
      <c r="AL79" s="42" t="str">
        <f t="shared" si="1097"/>
        <v/>
      </c>
      <c r="AM79" s="42" t="str">
        <f t="shared" si="1097"/>
        <v/>
      </c>
      <c r="AN79" s="42" t="str">
        <f t="shared" ref="D79:AN79" si="1098">IF(AN$8="","",IF(AN78=0,"",AN78/(AN75*100)))</f>
        <v/>
      </c>
      <c r="AO79" s="42" t="str">
        <f t="shared" ref="AO79:AS79" si="1099">IF(AO$8="","",IF(AO78=0,"",AO78/(AO75*100)))</f>
        <v/>
      </c>
      <c r="AP79" s="42" t="str">
        <f t="shared" si="1099"/>
        <v/>
      </c>
      <c r="AQ79" s="42" t="str">
        <f t="shared" si="1099"/>
        <v/>
      </c>
      <c r="AR79" s="42" t="str">
        <f t="shared" si="1099"/>
        <v/>
      </c>
      <c r="AS79" s="42" t="str">
        <f t="shared" si="1099"/>
        <v/>
      </c>
    </row>
    <row r="80" spans="1:45" x14ac:dyDescent="0.15">
      <c r="A80" s="17" t="s">
        <v>1</v>
      </c>
      <c r="B80" s="41" t="s">
        <v>2</v>
      </c>
      <c r="C80" s="35">
        <v>12121</v>
      </c>
      <c r="D80" s="35">
        <v>12121</v>
      </c>
      <c r="E80" s="35">
        <v>12177</v>
      </c>
      <c r="F80" s="35">
        <v>12177</v>
      </c>
      <c r="G80" s="35">
        <v>12177</v>
      </c>
      <c r="H80" s="35">
        <v>12177</v>
      </c>
      <c r="I80" s="35">
        <v>12191</v>
      </c>
      <c r="J80" s="35">
        <f>IF(J$8="","",I80)</f>
        <v>12191</v>
      </c>
      <c r="K80" s="35">
        <f t="shared" ref="K80:K81" si="1100">IF(K$8="","",J80)</f>
        <v>12191</v>
      </c>
      <c r="L80" s="35">
        <v>12224</v>
      </c>
      <c r="M80" s="35" t="str">
        <f>IF(M$8="","",L80)</f>
        <v/>
      </c>
      <c r="N80" s="35" t="str">
        <f t="shared" ref="N80:N81" si="1101">IF(N$8="","",M80)</f>
        <v/>
      </c>
      <c r="O80" s="35" t="str">
        <f t="shared" ref="O80:O81" si="1102">IF(O$8="","",N80)</f>
        <v/>
      </c>
      <c r="P80" s="35" t="str">
        <f>IF(P$8="","",O80)</f>
        <v/>
      </c>
      <c r="Q80" s="35" t="str">
        <f>IF(Q$8="","",P80)</f>
        <v/>
      </c>
      <c r="R80" s="35" t="str">
        <f t="shared" ref="R80:R81" si="1103">IF(R$8="","",Q80)</f>
        <v/>
      </c>
      <c r="S80" s="35" t="str">
        <f>IF(S$8="","",R80)</f>
        <v/>
      </c>
      <c r="T80" s="35" t="str">
        <f>IF(T$8="","",S80)</f>
        <v/>
      </c>
      <c r="U80" s="35" t="str">
        <f t="shared" ref="U80:U81" si="1104">IF(U$8="","",T80)</f>
        <v/>
      </c>
      <c r="V80" s="35" t="str">
        <f t="shared" ref="V80:V81" si="1105">IF(V$8="","",U80)</f>
        <v/>
      </c>
      <c r="W80" s="35" t="str">
        <f>IF(W$8="","",V80)</f>
        <v/>
      </c>
      <c r="X80" s="35" t="str">
        <f>IF(X$8="","",W80)</f>
        <v/>
      </c>
      <c r="Y80" s="35" t="str">
        <f t="shared" ref="Y80:Y81" si="1106">IF(Y$8="","",X80)</f>
        <v/>
      </c>
      <c r="Z80" s="35" t="str">
        <f>IF(Z$8="","",Y80)</f>
        <v/>
      </c>
      <c r="AA80" s="35" t="str">
        <f>IF(AA$8="","",Z80)</f>
        <v/>
      </c>
      <c r="AB80" s="35" t="str">
        <f t="shared" ref="AB80:AB81" si="1107">IF(AB$8="","",AA80)</f>
        <v/>
      </c>
      <c r="AC80" s="35" t="str">
        <f t="shared" ref="AC80:AC81" si="1108">IF(AC$8="","",AB80)</f>
        <v/>
      </c>
      <c r="AD80" s="35" t="str">
        <f>IF(AD$8="","",AC80)</f>
        <v/>
      </c>
      <c r="AE80" s="35" t="str">
        <f>IF(AE$8="","",AD80)</f>
        <v/>
      </c>
      <c r="AF80" s="35" t="str">
        <f t="shared" ref="AF80:AF81" si="1109">IF(AF$8="","",AE80)</f>
        <v/>
      </c>
      <c r="AG80" s="35" t="str">
        <f>IF(AG$8="","",AF80)</f>
        <v/>
      </c>
      <c r="AH80" s="35" t="str">
        <f t="shared" ref="AH80:AH81" si="1110">IF(AH$8="","",AG80)</f>
        <v/>
      </c>
      <c r="AI80" s="35" t="str">
        <f t="shared" ref="AI80:AI81" si="1111">IF(AI$8="","",AH80)</f>
        <v/>
      </c>
      <c r="AJ80" s="35" t="str">
        <f t="shared" ref="AJ80:AJ81" si="1112">IF(AJ$8="","",AI80)</f>
        <v/>
      </c>
      <c r="AK80" s="35" t="str">
        <f>IF(AK$8="","",AJ80)</f>
        <v/>
      </c>
      <c r="AL80" s="35" t="str">
        <f t="shared" ref="AL80:AL81" si="1113">IF(AL$8="","",AK80)</f>
        <v/>
      </c>
      <c r="AM80" s="35" t="str">
        <f t="shared" ref="AM80:AM81" si="1114">IF(AM$8="","",AL80)</f>
        <v/>
      </c>
      <c r="AN80" s="35" t="str">
        <f t="shared" ref="AN80:AN81" si="1115">IF(AN$8="","",AM80)</f>
        <v/>
      </c>
      <c r="AO80" s="35" t="str">
        <f t="shared" ref="AO80:AS80" si="1116">IF(AO$8="","",AN80)</f>
        <v/>
      </c>
      <c r="AP80" s="35" t="str">
        <f t="shared" si="1116"/>
        <v/>
      </c>
      <c r="AQ80" s="35" t="str">
        <f t="shared" si="1116"/>
        <v/>
      </c>
      <c r="AR80" s="35" t="str">
        <f t="shared" si="1116"/>
        <v/>
      </c>
      <c r="AS80" s="35" t="str">
        <f t="shared" si="1116"/>
        <v/>
      </c>
    </row>
    <row r="81" spans="1:45" x14ac:dyDescent="0.15">
      <c r="A81" s="16" t="s">
        <v>24</v>
      </c>
      <c r="B81" s="30" t="s">
        <v>4</v>
      </c>
      <c r="C81" s="29">
        <v>694</v>
      </c>
      <c r="D81" s="29">
        <v>694</v>
      </c>
      <c r="E81" s="29">
        <v>695</v>
      </c>
      <c r="F81" s="29">
        <v>695</v>
      </c>
      <c r="G81" s="29">
        <v>695</v>
      </c>
      <c r="H81" s="29">
        <v>695</v>
      </c>
      <c r="I81" s="29">
        <v>695</v>
      </c>
      <c r="J81" s="29">
        <f>IF(J$8="","",I81)</f>
        <v>695</v>
      </c>
      <c r="K81" s="29">
        <f t="shared" si="1100"/>
        <v>695</v>
      </c>
      <c r="L81" s="29">
        <v>697</v>
      </c>
      <c r="M81" s="29" t="str">
        <f>IF(M$8="","",L81)</f>
        <v/>
      </c>
      <c r="N81" s="29" t="str">
        <f t="shared" si="1101"/>
        <v/>
      </c>
      <c r="O81" s="29" t="str">
        <f t="shared" si="1102"/>
        <v/>
      </c>
      <c r="P81" s="29" t="str">
        <f>IF(P$8="","",O81)</f>
        <v/>
      </c>
      <c r="Q81" s="29" t="str">
        <f>IF(Q$8="","",P81)</f>
        <v/>
      </c>
      <c r="R81" s="29" t="str">
        <f t="shared" si="1103"/>
        <v/>
      </c>
      <c r="S81" s="29" t="str">
        <f t="shared" ref="S80:S81" si="1117">IF(S$8="","",R81)</f>
        <v/>
      </c>
      <c r="T81" s="29" t="str">
        <f>IF(T$8="","",S81)</f>
        <v/>
      </c>
      <c r="U81" s="29" t="str">
        <f t="shared" si="1104"/>
        <v/>
      </c>
      <c r="V81" s="29" t="str">
        <f t="shared" si="1105"/>
        <v/>
      </c>
      <c r="W81" s="29" t="str">
        <f>IF(W$8="","",V81)</f>
        <v/>
      </c>
      <c r="X81" s="29" t="str">
        <f>IF(X$8="","",W81)</f>
        <v/>
      </c>
      <c r="Y81" s="29" t="str">
        <f t="shared" si="1106"/>
        <v/>
      </c>
      <c r="Z81" s="29" t="str">
        <f>IF(Z$8="","",Y81)</f>
        <v/>
      </c>
      <c r="AA81" s="29" t="str">
        <f>IF(AA$8="","",Z81)</f>
        <v/>
      </c>
      <c r="AB81" s="29" t="str">
        <f t="shared" si="1107"/>
        <v/>
      </c>
      <c r="AC81" s="29" t="str">
        <f t="shared" si="1108"/>
        <v/>
      </c>
      <c r="AD81" s="29" t="str">
        <f>IF(AD$8="","",AC81)</f>
        <v/>
      </c>
      <c r="AE81" s="29" t="str">
        <f>IF(AE$8="","",AD81)</f>
        <v/>
      </c>
      <c r="AF81" s="29" t="str">
        <f t="shared" si="1109"/>
        <v/>
      </c>
      <c r="AG81" s="29" t="str">
        <f>IF(AG$8="","",AF81)</f>
        <v/>
      </c>
      <c r="AH81" s="29" t="str">
        <f t="shared" si="1110"/>
        <v/>
      </c>
      <c r="AI81" s="29" t="str">
        <f t="shared" si="1111"/>
        <v/>
      </c>
      <c r="AJ81" s="29" t="str">
        <f t="shared" si="1112"/>
        <v/>
      </c>
      <c r="AK81" s="29" t="str">
        <f t="shared" ref="AK80:AK81" si="1118">IF(AK$8="","",AJ81)</f>
        <v/>
      </c>
      <c r="AL81" s="29" t="str">
        <f t="shared" si="1113"/>
        <v/>
      </c>
      <c r="AM81" s="29" t="str">
        <f t="shared" si="1114"/>
        <v/>
      </c>
      <c r="AN81" s="29" t="str">
        <f t="shared" si="1115"/>
        <v/>
      </c>
      <c r="AO81" s="29" t="str">
        <f t="shared" ref="AO81:AS81" si="1119">IF(AO$8="","",AN81)</f>
        <v/>
      </c>
      <c r="AP81" s="29" t="str">
        <f t="shared" si="1119"/>
        <v/>
      </c>
      <c r="AQ81" s="29" t="str">
        <f t="shared" si="1119"/>
        <v/>
      </c>
      <c r="AR81" s="29" t="str">
        <f t="shared" si="1119"/>
        <v/>
      </c>
      <c r="AS81" s="29" t="str">
        <f t="shared" si="1119"/>
        <v/>
      </c>
    </row>
    <row r="82" spans="1:45" x14ac:dyDescent="0.15">
      <c r="A82" s="15">
        <v>3</v>
      </c>
      <c r="B82" s="30" t="s">
        <v>5</v>
      </c>
      <c r="C82" s="29">
        <v>74</v>
      </c>
      <c r="D82" s="29">
        <v>74</v>
      </c>
      <c r="E82" s="29">
        <v>73</v>
      </c>
      <c r="F82" s="29">
        <v>73</v>
      </c>
      <c r="G82" s="29">
        <v>73</v>
      </c>
      <c r="H82" s="29">
        <v>73</v>
      </c>
      <c r="I82" s="29">
        <v>73</v>
      </c>
      <c r="J82" s="29">
        <f>IF(J$8="","",(I82+I83))</f>
        <v>73</v>
      </c>
      <c r="K82" s="29">
        <f t="shared" ref="K82" si="1120">IF(K$8="","",(J82+J83))</f>
        <v>73</v>
      </c>
      <c r="L82" s="29">
        <v>71</v>
      </c>
      <c r="M82" s="29" t="str">
        <f>IF(M$8="","",(L82+L83))</f>
        <v/>
      </c>
      <c r="N82" s="29" t="str">
        <f t="shared" ref="N82" si="1121">IF(N$8="","",(M82+M83))</f>
        <v/>
      </c>
      <c r="O82" s="29" t="str">
        <f t="shared" ref="O82" si="1122">IF(O$8="","",(N82+N83))</f>
        <v/>
      </c>
      <c r="P82" s="29" t="str">
        <f>IF(P$8="","",(O82+O83))</f>
        <v/>
      </c>
      <c r="Q82" s="29" t="str">
        <f>IF(Q$8="","",(P82+P83))</f>
        <v/>
      </c>
      <c r="R82" s="29" t="str">
        <f t="shared" ref="R82" si="1123">IF(R$8="","",(Q82+Q83))</f>
        <v/>
      </c>
      <c r="S82" s="29" t="str">
        <f t="shared" ref="S82" si="1124">IF(S$8="","",(R82+R83))</f>
        <v/>
      </c>
      <c r="T82" s="29" t="str">
        <f t="shared" ref="T82" si="1125">IF(T$8="","",(S82+S83))</f>
        <v/>
      </c>
      <c r="U82" s="29" t="str">
        <f t="shared" ref="U82" si="1126">IF(U$8="","",(T82+T83))</f>
        <v/>
      </c>
      <c r="V82" s="29" t="str">
        <f t="shared" ref="V82" si="1127">IF(V$8="","",(U82+U83))</f>
        <v/>
      </c>
      <c r="W82" s="29" t="str">
        <f>IF(W$8="","",(V82+V83))</f>
        <v/>
      </c>
      <c r="X82" s="29" t="str">
        <f>IF(X$8="","",(W82+W83))</f>
        <v/>
      </c>
      <c r="Y82" s="29" t="str">
        <f t="shared" ref="Y82" si="1128">IF(Y$8="","",(X82+X83))</f>
        <v/>
      </c>
      <c r="Z82" s="29" t="str">
        <f>IF(Z$8="","",(Y82+Y83))</f>
        <v/>
      </c>
      <c r="AA82" s="29" t="str">
        <f>IF(AA$8="","",(Z82+Z83))</f>
        <v/>
      </c>
      <c r="AB82" s="29" t="str">
        <f t="shared" ref="AB82" si="1129">IF(AB$8="","",(AA82+AA83))</f>
        <v/>
      </c>
      <c r="AC82" s="29" t="str">
        <f t="shared" ref="AC82" si="1130">IF(AC$8="","",(AB82+AB83))</f>
        <v/>
      </c>
      <c r="AD82" s="29" t="str">
        <f>IF(AD$8="","",(AC82+AC83))</f>
        <v/>
      </c>
      <c r="AE82" s="29" t="str">
        <f t="shared" ref="AE82" si="1131">IF(AE$8="","",(AD82+AD83))</f>
        <v/>
      </c>
      <c r="AF82" s="29" t="str">
        <f t="shared" ref="AF82" si="1132">IF(AF$8="","",(AE82+AE83))</f>
        <v/>
      </c>
      <c r="AG82" s="29" t="str">
        <f>IF(AG$8="","",(AF82+AF83))</f>
        <v/>
      </c>
      <c r="AH82" s="29" t="str">
        <f t="shared" ref="AH82" si="1133">IF(AH$8="","",(AG82+AG83))</f>
        <v/>
      </c>
      <c r="AI82" s="29" t="str">
        <f t="shared" ref="AI82" si="1134">IF(AI$8="","",(AH82+AH83))</f>
        <v/>
      </c>
      <c r="AJ82" s="29" t="str">
        <f t="shared" ref="AJ82" si="1135">IF(AJ$8="","",(AI82+AI83))</f>
        <v/>
      </c>
      <c r="AK82" s="29" t="str">
        <f t="shared" ref="AK82" si="1136">IF(AK$8="","",(AJ82+AJ83))</f>
        <v/>
      </c>
      <c r="AL82" s="29" t="str">
        <f t="shared" ref="AL82" si="1137">IF(AL$8="","",(AK82+AK83))</f>
        <v/>
      </c>
      <c r="AM82" s="29" t="str">
        <f t="shared" ref="AM82" si="1138">IF(AM$8="","",(AL82+AL83))</f>
        <v/>
      </c>
      <c r="AN82" s="29" t="str">
        <f t="shared" ref="AN82" si="1139">IF(AN$8="","",(AM82+AM83))</f>
        <v/>
      </c>
      <c r="AO82" s="29" t="str">
        <f t="shared" ref="AO82:AS82" si="1140">IF(AO$8="","",(AN82+AN83))</f>
        <v/>
      </c>
      <c r="AP82" s="29" t="str">
        <f t="shared" si="1140"/>
        <v/>
      </c>
      <c r="AQ82" s="29" t="str">
        <f t="shared" si="1140"/>
        <v/>
      </c>
      <c r="AR82" s="29" t="str">
        <f t="shared" si="1140"/>
        <v/>
      </c>
      <c r="AS82" s="29" t="str">
        <f t="shared" si="1140"/>
        <v/>
      </c>
    </row>
    <row r="83" spans="1:45" x14ac:dyDescent="0.15">
      <c r="A83" s="14"/>
      <c r="B83" s="30" t="s">
        <v>7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</row>
    <row r="84" spans="1:45" x14ac:dyDescent="0.15">
      <c r="A84" s="7"/>
      <c r="B84" s="30" t="s">
        <v>8</v>
      </c>
      <c r="C84" s="35">
        <v>150</v>
      </c>
      <c r="D84" s="35">
        <v>150</v>
      </c>
      <c r="E84" s="35">
        <v>150</v>
      </c>
      <c r="F84" s="35">
        <v>150</v>
      </c>
      <c r="G84" s="35">
        <v>150</v>
      </c>
      <c r="H84" s="35">
        <v>150</v>
      </c>
      <c r="I84" s="35">
        <v>150</v>
      </c>
      <c r="J84" s="35">
        <f t="shared" ref="J84:J85" si="1141">IF(J$8="","",I84)</f>
        <v>150</v>
      </c>
      <c r="K84" s="35">
        <f t="shared" ref="K84:K85" si="1142">IF(K$8="","",J84)</f>
        <v>150</v>
      </c>
      <c r="L84" s="35">
        <f t="shared" ref="L84:L85" si="1143">IF(L$8="","",K84)</f>
        <v>150</v>
      </c>
      <c r="M84" s="35" t="str">
        <f t="shared" ref="M84:M85" si="1144">IF(M$8="","",L84)</f>
        <v/>
      </c>
      <c r="N84" s="35" t="str">
        <f t="shared" ref="N84:N85" si="1145">IF(N$8="","",M84)</f>
        <v/>
      </c>
      <c r="O84" s="35" t="str">
        <f t="shared" ref="O84:O85" si="1146">IF(O$8="","",N84)</f>
        <v/>
      </c>
      <c r="P84" s="35" t="str">
        <f t="shared" ref="P84:P85" si="1147">IF(P$8="","",O84)</f>
        <v/>
      </c>
      <c r="Q84" s="35" t="str">
        <f t="shared" ref="Q84:Q85" si="1148">IF(Q$8="","",P84)</f>
        <v/>
      </c>
      <c r="R84" s="35" t="str">
        <f t="shared" ref="R84:R85" si="1149">IF(R$8="","",Q84)</f>
        <v/>
      </c>
      <c r="S84" s="35" t="str">
        <f t="shared" ref="S84:S85" si="1150">IF(S$8="","",R84)</f>
        <v/>
      </c>
      <c r="T84" s="35" t="str">
        <f t="shared" ref="T84:T85" si="1151">IF(T$8="","",S84)</f>
        <v/>
      </c>
      <c r="U84" s="35" t="str">
        <f t="shared" ref="U84:U85" si="1152">IF(U$8="","",T84)</f>
        <v/>
      </c>
      <c r="V84" s="35" t="str">
        <f t="shared" ref="V84:V85" si="1153">IF(V$8="","",U84)</f>
        <v/>
      </c>
      <c r="W84" s="35" t="str">
        <f t="shared" ref="W84:W85" si="1154">IF(W$8="","",V84)</f>
        <v/>
      </c>
      <c r="X84" s="35" t="str">
        <f t="shared" ref="X84:X85" si="1155">IF(X$8="","",W84)</f>
        <v/>
      </c>
      <c r="Y84" s="35" t="str">
        <f t="shared" ref="Y84:Y85" si="1156">IF(Y$8="","",X84)</f>
        <v/>
      </c>
      <c r="Z84" s="35" t="str">
        <f t="shared" ref="Z84:Z85" si="1157">IF(Z$8="","",Y84)</f>
        <v/>
      </c>
      <c r="AA84" s="35" t="str">
        <f t="shared" ref="AA84:AA85" si="1158">IF(AA$8="","",Z84)</f>
        <v/>
      </c>
      <c r="AB84" s="35" t="str">
        <f t="shared" ref="AB84:AB85" si="1159">IF(AB$8="","",AA84)</f>
        <v/>
      </c>
      <c r="AC84" s="35" t="str">
        <f t="shared" ref="AC84:AC85" si="1160">IF(AC$8="","",AB84)</f>
        <v/>
      </c>
      <c r="AD84" s="35" t="str">
        <f t="shared" ref="AD84:AD85" si="1161">IF(AD$8="","",AC84)</f>
        <v/>
      </c>
      <c r="AE84" s="35" t="str">
        <f t="shared" ref="AE84:AE85" si="1162">IF(AE$8="","",AD84)</f>
        <v/>
      </c>
      <c r="AF84" s="35" t="str">
        <f t="shared" ref="AF84:AF85" si="1163">IF(AF$8="","",AE84)</f>
        <v/>
      </c>
      <c r="AG84" s="35" t="str">
        <f t="shared" ref="AG84:AG85" si="1164">IF(AG$8="","",AF84)</f>
        <v/>
      </c>
      <c r="AH84" s="35" t="str">
        <f t="shared" ref="AH84:AH85" si="1165">IF(AH$8="","",AG84)</f>
        <v/>
      </c>
      <c r="AI84" s="35" t="str">
        <f t="shared" ref="AI84:AI85" si="1166">IF(AI$8="","",AH84)</f>
        <v/>
      </c>
      <c r="AJ84" s="35" t="str">
        <f t="shared" ref="AJ84:AJ85" si="1167">IF(AJ$8="","",AI84)</f>
        <v/>
      </c>
      <c r="AK84" s="35" t="str">
        <f t="shared" ref="AK84:AK85" si="1168">IF(AK$8="","",AJ84)</f>
        <v/>
      </c>
      <c r="AL84" s="35" t="str">
        <f t="shared" ref="AL84:AL85" si="1169">IF(AL$8="","",AK84)</f>
        <v/>
      </c>
      <c r="AM84" s="35" t="str">
        <f t="shared" ref="AM84:AM85" si="1170">IF(AM$8="","",AL84)</f>
        <v/>
      </c>
      <c r="AN84" s="35" t="str">
        <f t="shared" ref="AN84:AN85" si="1171">IF(AN$8="","",AM84)</f>
        <v/>
      </c>
      <c r="AO84" s="35" t="str">
        <f t="shared" ref="AO84:AS84" si="1172">IF(AO$8="","",AN84)</f>
        <v/>
      </c>
      <c r="AP84" s="35" t="str">
        <f t="shared" si="1172"/>
        <v/>
      </c>
      <c r="AQ84" s="35" t="str">
        <f t="shared" si="1172"/>
        <v/>
      </c>
      <c r="AR84" s="35" t="str">
        <f t="shared" si="1172"/>
        <v/>
      </c>
      <c r="AS84" s="35" t="str">
        <f t="shared" si="1172"/>
        <v/>
      </c>
    </row>
    <row r="85" spans="1:45" s="11" customFormat="1" x14ac:dyDescent="0.15">
      <c r="A85" s="14" t="s">
        <v>9</v>
      </c>
      <c r="B85" s="33" t="s">
        <v>10</v>
      </c>
      <c r="C85" s="32" t="s">
        <v>25</v>
      </c>
      <c r="D85" s="32" t="s">
        <v>25</v>
      </c>
      <c r="E85" s="32" t="s">
        <v>25</v>
      </c>
      <c r="F85" s="32" t="s">
        <v>25</v>
      </c>
      <c r="G85" s="32" t="s">
        <v>25</v>
      </c>
      <c r="H85" s="32" t="s">
        <v>25</v>
      </c>
      <c r="I85" s="32" t="s">
        <v>25</v>
      </c>
      <c r="J85" s="32" t="str">
        <f t="shared" si="1141"/>
        <v>ラブブ風キーホルダー</v>
      </c>
      <c r="K85" s="32" t="str">
        <f t="shared" si="1142"/>
        <v>ラブブ風キーホルダー</v>
      </c>
      <c r="L85" s="32" t="str">
        <f t="shared" si="1143"/>
        <v>ラブブ風キーホルダー</v>
      </c>
      <c r="M85" s="32" t="str">
        <f t="shared" si="1144"/>
        <v/>
      </c>
      <c r="N85" s="32" t="str">
        <f t="shared" si="1145"/>
        <v/>
      </c>
      <c r="O85" s="32" t="str">
        <f t="shared" si="1146"/>
        <v/>
      </c>
      <c r="P85" s="32" t="str">
        <f t="shared" si="1147"/>
        <v/>
      </c>
      <c r="Q85" s="32" t="str">
        <f t="shared" si="1148"/>
        <v/>
      </c>
      <c r="R85" s="32" t="str">
        <f t="shared" si="1149"/>
        <v/>
      </c>
      <c r="S85" s="32" t="str">
        <f t="shared" si="1150"/>
        <v/>
      </c>
      <c r="T85" s="32" t="str">
        <f t="shared" si="1151"/>
        <v/>
      </c>
      <c r="U85" s="32" t="str">
        <f t="shared" si="1152"/>
        <v/>
      </c>
      <c r="V85" s="32" t="str">
        <f t="shared" si="1153"/>
        <v/>
      </c>
      <c r="W85" s="32" t="str">
        <f t="shared" si="1154"/>
        <v/>
      </c>
      <c r="X85" s="32" t="str">
        <f t="shared" si="1155"/>
        <v/>
      </c>
      <c r="Y85" s="32" t="str">
        <f t="shared" si="1156"/>
        <v/>
      </c>
      <c r="Z85" s="32" t="str">
        <f t="shared" si="1157"/>
        <v/>
      </c>
      <c r="AA85" s="32" t="str">
        <f t="shared" si="1158"/>
        <v/>
      </c>
      <c r="AB85" s="32" t="str">
        <f t="shared" si="1159"/>
        <v/>
      </c>
      <c r="AC85" s="32" t="str">
        <f t="shared" si="1160"/>
        <v/>
      </c>
      <c r="AD85" s="32" t="str">
        <f t="shared" si="1161"/>
        <v/>
      </c>
      <c r="AE85" s="32" t="str">
        <f t="shared" si="1162"/>
        <v/>
      </c>
      <c r="AF85" s="32" t="str">
        <f t="shared" si="1163"/>
        <v/>
      </c>
      <c r="AG85" s="32" t="str">
        <f t="shared" si="1164"/>
        <v/>
      </c>
      <c r="AH85" s="32" t="str">
        <f t="shared" si="1165"/>
        <v/>
      </c>
      <c r="AI85" s="32" t="str">
        <f t="shared" si="1166"/>
        <v/>
      </c>
      <c r="AJ85" s="32" t="str">
        <f t="shared" si="1167"/>
        <v/>
      </c>
      <c r="AK85" s="32" t="str">
        <f t="shared" si="1168"/>
        <v/>
      </c>
      <c r="AL85" s="32" t="str">
        <f t="shared" si="1169"/>
        <v/>
      </c>
      <c r="AM85" s="32" t="str">
        <f t="shared" si="1170"/>
        <v/>
      </c>
      <c r="AN85" s="32" t="str">
        <f t="shared" si="1171"/>
        <v/>
      </c>
      <c r="AO85" s="32" t="str">
        <f t="shared" ref="AO85:AS85" si="1173">IF(AO$8="","",AN85)</f>
        <v/>
      </c>
      <c r="AP85" s="32" t="str">
        <f t="shared" si="1173"/>
        <v/>
      </c>
      <c r="AQ85" s="32" t="str">
        <f t="shared" si="1173"/>
        <v/>
      </c>
      <c r="AR85" s="32" t="str">
        <f t="shared" si="1173"/>
        <v/>
      </c>
      <c r="AS85" s="32" t="str">
        <f t="shared" si="1173"/>
        <v/>
      </c>
    </row>
    <row r="86" spans="1:45" x14ac:dyDescent="0.15">
      <c r="A86" s="7">
        <f>AVERAGE(C87:AS87)*30*100</f>
        <v>30900</v>
      </c>
      <c r="B86" s="30" t="s">
        <v>12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</row>
    <row r="87" spans="1:45" x14ac:dyDescent="0.15">
      <c r="A87" s="7">
        <f>SUM(C87:AS87)</f>
        <v>103</v>
      </c>
      <c r="B87" s="27" t="s">
        <v>13</v>
      </c>
      <c r="C87" s="26">
        <v>0</v>
      </c>
      <c r="D87" s="26">
        <v>0</v>
      </c>
      <c r="E87" s="26">
        <v>56</v>
      </c>
      <c r="F87" s="26">
        <v>0</v>
      </c>
      <c r="G87" s="26">
        <v>0</v>
      </c>
      <c r="H87" s="26">
        <v>0</v>
      </c>
      <c r="I87" s="26">
        <v>14</v>
      </c>
      <c r="J87" s="26">
        <f t="shared" ref="J87:J88" si="1174">IF(J$8="","",J80-I80)</f>
        <v>0</v>
      </c>
      <c r="K87" s="26">
        <f t="shared" ref="K87:K88" si="1175">IF(K$8="","",K80-J80)</f>
        <v>0</v>
      </c>
      <c r="L87" s="26">
        <f t="shared" ref="L87:L88" si="1176">IF(L$8="","",L80-K80)</f>
        <v>33</v>
      </c>
      <c r="M87" s="26" t="str">
        <f t="shared" ref="M87:M88" si="1177">IF(M$8="","",M80-L80)</f>
        <v/>
      </c>
      <c r="N87" s="26" t="str">
        <f t="shared" ref="N87:N88" si="1178">IF(N$8="","",N80-M80)</f>
        <v/>
      </c>
      <c r="O87" s="26" t="str">
        <f t="shared" ref="O87:O88" si="1179">IF(O$8="","",O80-N80)</f>
        <v/>
      </c>
      <c r="P87" s="26" t="str">
        <f t="shared" ref="P87:P88" si="1180">IF(P$8="","",P80-O80)</f>
        <v/>
      </c>
      <c r="Q87" s="26" t="str">
        <f t="shared" ref="Q87:Q88" si="1181">IF(Q$8="","",Q80-P80)</f>
        <v/>
      </c>
      <c r="R87" s="26" t="str">
        <f t="shared" ref="R87:R88" si="1182">IF(R$8="","",R80-Q80)</f>
        <v/>
      </c>
      <c r="S87" s="26" t="str">
        <f t="shared" ref="S87:S88" si="1183">IF(S$8="","",S80-R80)</f>
        <v/>
      </c>
      <c r="T87" s="26" t="str">
        <f t="shared" ref="T87:T88" si="1184">IF(T$8="","",T80-S80)</f>
        <v/>
      </c>
      <c r="U87" s="26" t="str">
        <f t="shared" ref="U87:U88" si="1185">IF(U$8="","",U80-T80)</f>
        <v/>
      </c>
      <c r="V87" s="26" t="str">
        <f t="shared" ref="V87:V88" si="1186">IF(V$8="","",V80-U80)</f>
        <v/>
      </c>
      <c r="W87" s="26" t="str">
        <f t="shared" ref="W87:W88" si="1187">IF(W$8="","",W80-V80)</f>
        <v/>
      </c>
      <c r="X87" s="26" t="str">
        <f t="shared" ref="X87:X88" si="1188">IF(X$8="","",X80-W80)</f>
        <v/>
      </c>
      <c r="Y87" s="26" t="str">
        <f t="shared" ref="Y87:Y88" si="1189">IF(Y$8="","",Y80-X80)</f>
        <v/>
      </c>
      <c r="Z87" s="26" t="str">
        <f t="shared" ref="Z87:Z88" si="1190">IF(Z$8="","",Z80-Y80)</f>
        <v/>
      </c>
      <c r="AA87" s="26" t="str">
        <f t="shared" ref="AA87:AA88" si="1191">IF(AA$8="","",AA80-Z80)</f>
        <v/>
      </c>
      <c r="AB87" s="26" t="str">
        <f t="shared" ref="AB87:AB88" si="1192">IF(AB$8="","",AB80-AA80)</f>
        <v/>
      </c>
      <c r="AC87" s="26" t="str">
        <f t="shared" ref="AC87:AC88" si="1193">IF(AC$8="","",AC80-AB80)</f>
        <v/>
      </c>
      <c r="AD87" s="26" t="str">
        <f t="shared" ref="AD87:AD88" si="1194">IF(AD$8="","",AD80-AC80)</f>
        <v/>
      </c>
      <c r="AE87" s="26" t="str">
        <f t="shared" ref="AE87:AE88" si="1195">IF(AE$8="","",AE80-AD80)</f>
        <v/>
      </c>
      <c r="AF87" s="26" t="str">
        <f t="shared" ref="AF87:AF88" si="1196">IF(AF$8="","",AF80-AE80)</f>
        <v/>
      </c>
      <c r="AG87" s="26" t="str">
        <f t="shared" ref="AG87:AG88" si="1197">IF(AG$8="","",AG80-AF80)</f>
        <v/>
      </c>
      <c r="AH87" s="26" t="str">
        <f t="shared" ref="AH87:AH88" si="1198">IF(AH$8="","",AH80-AG80)</f>
        <v/>
      </c>
      <c r="AI87" s="26" t="str">
        <f t="shared" ref="AI87:AI88" si="1199">IF(AI$8="","",AI80-AH80)</f>
        <v/>
      </c>
      <c r="AJ87" s="26" t="str">
        <f t="shared" ref="AJ87:AJ88" si="1200">IF(AJ$8="","",AJ80-AI80)</f>
        <v/>
      </c>
      <c r="AK87" s="26" t="str">
        <f t="shared" ref="AK87:AK88" si="1201">IF(AK$8="","",AK80-AJ80)</f>
        <v/>
      </c>
      <c r="AL87" s="26" t="str">
        <f t="shared" ref="AL87:AL88" si="1202">IF(AL$8="","",AL80-AK80)</f>
        <v/>
      </c>
      <c r="AM87" s="26" t="str">
        <f t="shared" ref="AM87:AM88" si="1203">IF(AM$8="","",AM80-AL80)</f>
        <v/>
      </c>
      <c r="AN87" s="26" t="str">
        <f t="shared" ref="AN87:AN88" si="1204">IF(AN$8="","",AN80-AM80)</f>
        <v/>
      </c>
      <c r="AO87" s="26" t="str">
        <f t="shared" ref="AO87:AS87" si="1205">IF(AO$8="","",AO80-AN80)</f>
        <v/>
      </c>
      <c r="AP87" s="26" t="str">
        <f t="shared" si="1205"/>
        <v/>
      </c>
      <c r="AQ87" s="26" t="str">
        <f t="shared" si="1205"/>
        <v/>
      </c>
      <c r="AR87" s="26" t="str">
        <f t="shared" si="1205"/>
        <v/>
      </c>
      <c r="AS87" s="26" t="str">
        <f t="shared" si="1205"/>
        <v/>
      </c>
    </row>
    <row r="88" spans="1:45" x14ac:dyDescent="0.15">
      <c r="A88" s="7">
        <f>SUM(C88:AS88)</f>
        <v>3</v>
      </c>
      <c r="B88" s="27" t="s">
        <v>14</v>
      </c>
      <c r="C88" s="26">
        <v>0</v>
      </c>
      <c r="D88" s="26">
        <v>0</v>
      </c>
      <c r="E88" s="26">
        <v>1</v>
      </c>
      <c r="F88" s="26">
        <v>0</v>
      </c>
      <c r="G88" s="26">
        <v>0</v>
      </c>
      <c r="H88" s="26">
        <v>0</v>
      </c>
      <c r="I88" s="26">
        <v>0</v>
      </c>
      <c r="J88" s="26">
        <f t="shared" si="1174"/>
        <v>0</v>
      </c>
      <c r="K88" s="26">
        <f t="shared" si="1175"/>
        <v>0</v>
      </c>
      <c r="L88" s="26">
        <f t="shared" si="1176"/>
        <v>2</v>
      </c>
      <c r="M88" s="26" t="str">
        <f t="shared" si="1177"/>
        <v/>
      </c>
      <c r="N88" s="26" t="str">
        <f t="shared" si="1178"/>
        <v/>
      </c>
      <c r="O88" s="26" t="str">
        <f t="shared" si="1179"/>
        <v/>
      </c>
      <c r="P88" s="26" t="str">
        <f t="shared" si="1180"/>
        <v/>
      </c>
      <c r="Q88" s="26" t="str">
        <f t="shared" si="1181"/>
        <v/>
      </c>
      <c r="R88" s="26" t="str">
        <f t="shared" si="1182"/>
        <v/>
      </c>
      <c r="S88" s="26" t="str">
        <f t="shared" si="1183"/>
        <v/>
      </c>
      <c r="T88" s="26" t="str">
        <f t="shared" si="1184"/>
        <v/>
      </c>
      <c r="U88" s="26" t="str">
        <f t="shared" si="1185"/>
        <v/>
      </c>
      <c r="V88" s="26" t="str">
        <f t="shared" si="1186"/>
        <v/>
      </c>
      <c r="W88" s="26" t="str">
        <f t="shared" si="1187"/>
        <v/>
      </c>
      <c r="X88" s="26" t="str">
        <f t="shared" si="1188"/>
        <v/>
      </c>
      <c r="Y88" s="26" t="str">
        <f t="shared" si="1189"/>
        <v/>
      </c>
      <c r="Z88" s="26" t="str">
        <f t="shared" si="1190"/>
        <v/>
      </c>
      <c r="AA88" s="26" t="str">
        <f t="shared" si="1191"/>
        <v/>
      </c>
      <c r="AB88" s="26" t="str">
        <f t="shared" si="1192"/>
        <v/>
      </c>
      <c r="AC88" s="26" t="str">
        <f t="shared" si="1193"/>
        <v/>
      </c>
      <c r="AD88" s="26" t="str">
        <f t="shared" si="1194"/>
        <v/>
      </c>
      <c r="AE88" s="26" t="str">
        <f t="shared" si="1195"/>
        <v/>
      </c>
      <c r="AF88" s="26" t="str">
        <f t="shared" si="1196"/>
        <v/>
      </c>
      <c r="AG88" s="26" t="str">
        <f t="shared" si="1197"/>
        <v/>
      </c>
      <c r="AH88" s="26" t="str">
        <f t="shared" si="1198"/>
        <v/>
      </c>
      <c r="AI88" s="26" t="str">
        <f t="shared" si="1199"/>
        <v/>
      </c>
      <c r="AJ88" s="26" t="str">
        <f t="shared" si="1200"/>
        <v/>
      </c>
      <c r="AK88" s="26" t="str">
        <f t="shared" si="1201"/>
        <v/>
      </c>
      <c r="AL88" s="26" t="str">
        <f t="shared" si="1202"/>
        <v/>
      </c>
      <c r="AM88" s="26" t="str">
        <f t="shared" si="1203"/>
        <v/>
      </c>
      <c r="AN88" s="26" t="str">
        <f t="shared" si="1204"/>
        <v/>
      </c>
      <c r="AO88" s="26" t="str">
        <f t="shared" ref="AO88:AS88" si="1206">IF(AO$8="","",AO81-AN81)</f>
        <v/>
      </c>
      <c r="AP88" s="26" t="str">
        <f t="shared" si="1206"/>
        <v/>
      </c>
      <c r="AQ88" s="26" t="str">
        <f t="shared" si="1206"/>
        <v/>
      </c>
      <c r="AR88" s="26" t="str">
        <f t="shared" si="1206"/>
        <v/>
      </c>
      <c r="AS88" s="26" t="str">
        <f t="shared" si="1206"/>
        <v/>
      </c>
    </row>
    <row r="89" spans="1:45" x14ac:dyDescent="0.15">
      <c r="A89" s="7">
        <f>SUM(C89:AS89)</f>
        <v>3</v>
      </c>
      <c r="B89" s="27" t="s">
        <v>15</v>
      </c>
      <c r="C89" s="26">
        <v>0</v>
      </c>
      <c r="D89" s="26">
        <v>0</v>
      </c>
      <c r="E89" s="26">
        <v>1</v>
      </c>
      <c r="F89" s="26">
        <v>0</v>
      </c>
      <c r="G89" s="26">
        <v>0</v>
      </c>
      <c r="H89" s="26">
        <v>0</v>
      </c>
      <c r="I89" s="26">
        <v>0</v>
      </c>
      <c r="J89" s="26">
        <f t="shared" ref="J89" si="1207">IF(J$8="","",I82+I83-J82)</f>
        <v>0</v>
      </c>
      <c r="K89" s="26">
        <f t="shared" ref="K89" si="1208">IF(K$8="","",J82+J83-K82)</f>
        <v>0</v>
      </c>
      <c r="L89" s="26">
        <f t="shared" ref="L89" si="1209">IF(L$8="","",K82+K83-L82)</f>
        <v>2</v>
      </c>
      <c r="M89" s="26" t="str">
        <f t="shared" ref="M89" si="1210">IF(M$8="","",L82+L83-M82)</f>
        <v/>
      </c>
      <c r="N89" s="26" t="str">
        <f t="shared" ref="N89" si="1211">IF(N$8="","",M82+M83-N82)</f>
        <v/>
      </c>
      <c r="O89" s="26" t="str">
        <f t="shared" ref="O89" si="1212">IF(O$8="","",N82+N83-O82)</f>
        <v/>
      </c>
      <c r="P89" s="26" t="str">
        <f t="shared" ref="P89" si="1213">IF(P$8="","",O82+O83-P82)</f>
        <v/>
      </c>
      <c r="Q89" s="26" t="str">
        <f t="shared" ref="Q89" si="1214">IF(Q$8="","",P82+P83-Q82)</f>
        <v/>
      </c>
      <c r="R89" s="26" t="str">
        <f t="shared" ref="R89" si="1215">IF(R$8="","",Q82+Q83-R82)</f>
        <v/>
      </c>
      <c r="S89" s="26" t="str">
        <f t="shared" ref="S89" si="1216">IF(S$8="","",R82+R83-S82)</f>
        <v/>
      </c>
      <c r="T89" s="26" t="str">
        <f t="shared" ref="T89" si="1217">IF(T$8="","",S82+S83-T82)</f>
        <v/>
      </c>
      <c r="U89" s="26" t="str">
        <f t="shared" ref="U89" si="1218">IF(U$8="","",T82+T83-U82)</f>
        <v/>
      </c>
      <c r="V89" s="26" t="str">
        <f t="shared" ref="V89" si="1219">IF(V$8="","",U82+U83-V82)</f>
        <v/>
      </c>
      <c r="W89" s="26" t="str">
        <f t="shared" ref="W89" si="1220">IF(W$8="","",V82+V83-W82)</f>
        <v/>
      </c>
      <c r="X89" s="26" t="str">
        <f t="shared" ref="X89" si="1221">IF(X$8="","",W82+W83-X82)</f>
        <v/>
      </c>
      <c r="Y89" s="26" t="str">
        <f t="shared" ref="Y89" si="1222">IF(Y$8="","",X82+X83-Y82)</f>
        <v/>
      </c>
      <c r="Z89" s="26" t="str">
        <f t="shared" ref="Z89" si="1223">IF(Z$8="","",Y82+Y83-Z82)</f>
        <v/>
      </c>
      <c r="AA89" s="26" t="str">
        <f t="shared" ref="AA89" si="1224">IF(AA$8="","",Z82+Z83-AA82)</f>
        <v/>
      </c>
      <c r="AB89" s="26" t="str">
        <f t="shared" ref="AB89" si="1225">IF(AB$8="","",AA82+AA83-AB82)</f>
        <v/>
      </c>
      <c r="AC89" s="26" t="str">
        <f t="shared" ref="AC89" si="1226">IF(AC$8="","",AB82+AB83-AC82)</f>
        <v/>
      </c>
      <c r="AD89" s="26" t="str">
        <f t="shared" ref="AD89" si="1227">IF(AD$8="","",AC82+AC83-AD82)</f>
        <v/>
      </c>
      <c r="AE89" s="26" t="str">
        <f t="shared" ref="AE89" si="1228">IF(AE$8="","",AD82+AD83-AE82)</f>
        <v/>
      </c>
      <c r="AF89" s="26" t="str">
        <f t="shared" ref="AF89" si="1229">IF(AF$8="","",AE82+AE83-AF82)</f>
        <v/>
      </c>
      <c r="AG89" s="26" t="str">
        <f t="shared" ref="AG89" si="1230">IF(AG$8="","",AF82+AF83-AG82)</f>
        <v/>
      </c>
      <c r="AH89" s="26" t="str">
        <f t="shared" ref="AH89" si="1231">IF(AH$8="","",AG82+AG83-AH82)</f>
        <v/>
      </c>
      <c r="AI89" s="26" t="str">
        <f t="shared" ref="AI89" si="1232">IF(AI$8="","",AH82+AH83-AI82)</f>
        <v/>
      </c>
      <c r="AJ89" s="26" t="str">
        <f t="shared" ref="AJ89" si="1233">IF(AJ$8="","",AI82+AI83-AJ82)</f>
        <v/>
      </c>
      <c r="AK89" s="26" t="str">
        <f t="shared" ref="AK89" si="1234">IF(AK$8="","",AJ82+AJ83-AK82)</f>
        <v/>
      </c>
      <c r="AL89" s="26" t="str">
        <f t="shared" ref="AL89" si="1235">IF(AL$8="","",AK82+AK83-AL82)</f>
        <v/>
      </c>
      <c r="AM89" s="26" t="str">
        <f t="shared" ref="AM89" si="1236">IF(AM$8="","",AL82+AL83-AM82)</f>
        <v/>
      </c>
      <c r="AN89" s="26" t="str">
        <f t="shared" ref="AN89" si="1237">IF(AN$8="","",AM82+AM83-AN82)</f>
        <v/>
      </c>
      <c r="AO89" s="26" t="str">
        <f t="shared" ref="AO89:AS89" si="1238">IF(AO$8="","",AN82+AN83-AO82)</f>
        <v/>
      </c>
      <c r="AP89" s="26" t="str">
        <f t="shared" si="1238"/>
        <v/>
      </c>
      <c r="AQ89" s="26" t="str">
        <f t="shared" si="1238"/>
        <v/>
      </c>
      <c r="AR89" s="26" t="str">
        <f t="shared" si="1238"/>
        <v/>
      </c>
      <c r="AS89" s="26" t="str">
        <f t="shared" si="1238"/>
        <v/>
      </c>
    </row>
    <row r="90" spans="1:45" x14ac:dyDescent="0.15">
      <c r="A90" s="7">
        <f>SUM(C90:AS90)</f>
        <v>450</v>
      </c>
      <c r="B90" s="27" t="s">
        <v>16</v>
      </c>
      <c r="C90" s="26">
        <v>0</v>
      </c>
      <c r="D90" s="26">
        <v>0</v>
      </c>
      <c r="E90" s="26">
        <v>150</v>
      </c>
      <c r="F90" s="26">
        <v>0</v>
      </c>
      <c r="G90" s="26">
        <v>0</v>
      </c>
      <c r="H90" s="26">
        <v>0</v>
      </c>
      <c r="I90" s="26">
        <v>0</v>
      </c>
      <c r="J90" s="26">
        <f t="shared" ref="H90:AM90" si="1239">IF(J$8="","",J89*J84)</f>
        <v>0</v>
      </c>
      <c r="K90" s="26">
        <f t="shared" si="1239"/>
        <v>0</v>
      </c>
      <c r="L90" s="26">
        <f t="shared" si="1239"/>
        <v>300</v>
      </c>
      <c r="M90" s="26" t="str">
        <f t="shared" si="1239"/>
        <v/>
      </c>
      <c r="N90" s="26" t="str">
        <f t="shared" si="1239"/>
        <v/>
      </c>
      <c r="O90" s="26" t="str">
        <f t="shared" si="1239"/>
        <v/>
      </c>
      <c r="P90" s="26" t="str">
        <f t="shared" si="1239"/>
        <v/>
      </c>
      <c r="Q90" s="26" t="str">
        <f t="shared" si="1239"/>
        <v/>
      </c>
      <c r="R90" s="26" t="str">
        <f t="shared" si="1239"/>
        <v/>
      </c>
      <c r="S90" s="26" t="str">
        <f t="shared" si="1239"/>
        <v/>
      </c>
      <c r="T90" s="26" t="str">
        <f t="shared" si="1239"/>
        <v/>
      </c>
      <c r="U90" s="26" t="str">
        <f t="shared" si="1239"/>
        <v/>
      </c>
      <c r="V90" s="26" t="str">
        <f t="shared" si="1239"/>
        <v/>
      </c>
      <c r="W90" s="26" t="str">
        <f t="shared" si="1239"/>
        <v/>
      </c>
      <c r="X90" s="26" t="str">
        <f t="shared" si="1239"/>
        <v/>
      </c>
      <c r="Y90" s="26" t="str">
        <f t="shared" si="1239"/>
        <v/>
      </c>
      <c r="Z90" s="26" t="str">
        <f t="shared" si="1239"/>
        <v/>
      </c>
      <c r="AA90" s="26" t="str">
        <f t="shared" si="1239"/>
        <v/>
      </c>
      <c r="AB90" s="26" t="str">
        <f t="shared" si="1239"/>
        <v/>
      </c>
      <c r="AC90" s="26" t="str">
        <f t="shared" si="1239"/>
        <v/>
      </c>
      <c r="AD90" s="26" t="str">
        <f t="shared" si="1239"/>
        <v/>
      </c>
      <c r="AE90" s="26" t="str">
        <f t="shared" si="1239"/>
        <v/>
      </c>
      <c r="AF90" s="26" t="str">
        <f t="shared" si="1239"/>
        <v/>
      </c>
      <c r="AG90" s="26" t="str">
        <f t="shared" si="1239"/>
        <v/>
      </c>
      <c r="AH90" s="26" t="str">
        <f t="shared" si="1239"/>
        <v/>
      </c>
      <c r="AI90" s="26" t="str">
        <f t="shared" si="1239"/>
        <v/>
      </c>
      <c r="AJ90" s="26" t="str">
        <f t="shared" si="1239"/>
        <v/>
      </c>
      <c r="AK90" s="26" t="str">
        <f t="shared" si="1239"/>
        <v/>
      </c>
      <c r="AL90" s="26" t="str">
        <f t="shared" si="1239"/>
        <v/>
      </c>
      <c r="AM90" s="26" t="str">
        <f t="shared" si="1239"/>
        <v/>
      </c>
      <c r="AN90" s="26" t="str">
        <f t="shared" ref="D90:AN90" si="1240">IF(AN$8="","",AN89*AN84)</f>
        <v/>
      </c>
      <c r="AO90" s="26" t="str">
        <f t="shared" ref="AO90:AS90" si="1241">IF(AO$8="","",AO89*AO84)</f>
        <v/>
      </c>
      <c r="AP90" s="26" t="str">
        <f t="shared" si="1241"/>
        <v/>
      </c>
      <c r="AQ90" s="26" t="str">
        <f t="shared" si="1241"/>
        <v/>
      </c>
      <c r="AR90" s="26" t="str">
        <f t="shared" si="1241"/>
        <v/>
      </c>
      <c r="AS90" s="26" t="str">
        <f t="shared" si="1241"/>
        <v/>
      </c>
    </row>
    <row r="91" spans="1:45" ht="12" thickBot="1" x14ac:dyDescent="0.2">
      <c r="A91" s="4">
        <f>IF(A90="","",A90/(A87*100))</f>
        <v>4.3689320388349516E-2</v>
      </c>
      <c r="B91" s="27" t="s">
        <v>18</v>
      </c>
      <c r="C91" s="42" t="s">
        <v>19</v>
      </c>
      <c r="D91" s="42" t="s">
        <v>19</v>
      </c>
      <c r="E91" s="42">
        <v>2.6785714285714284E-2</v>
      </c>
      <c r="F91" s="42" t="s">
        <v>19</v>
      </c>
      <c r="G91" s="42" t="s">
        <v>19</v>
      </c>
      <c r="H91" s="42" t="s">
        <v>19</v>
      </c>
      <c r="I91" s="42" t="s">
        <v>19</v>
      </c>
      <c r="J91" s="42" t="str">
        <f t="shared" ref="H91:AM91" si="1242">IF(J$8="","",IF(J90=0,"",J90/(J87*100)))</f>
        <v/>
      </c>
      <c r="K91" s="42" t="str">
        <f t="shared" si="1242"/>
        <v/>
      </c>
      <c r="L91" s="42">
        <f t="shared" si="1242"/>
        <v>9.0909090909090912E-2</v>
      </c>
      <c r="M91" s="42" t="str">
        <f t="shared" si="1242"/>
        <v/>
      </c>
      <c r="N91" s="42" t="str">
        <f t="shared" si="1242"/>
        <v/>
      </c>
      <c r="O91" s="42" t="str">
        <f t="shared" si="1242"/>
        <v/>
      </c>
      <c r="P91" s="42" t="str">
        <f t="shared" si="1242"/>
        <v/>
      </c>
      <c r="Q91" s="42" t="str">
        <f t="shared" si="1242"/>
        <v/>
      </c>
      <c r="R91" s="42" t="str">
        <f t="shared" si="1242"/>
        <v/>
      </c>
      <c r="S91" s="42" t="str">
        <f t="shared" si="1242"/>
        <v/>
      </c>
      <c r="T91" s="42" t="str">
        <f t="shared" si="1242"/>
        <v/>
      </c>
      <c r="U91" s="42" t="str">
        <f t="shared" si="1242"/>
        <v/>
      </c>
      <c r="V91" s="42" t="str">
        <f t="shared" si="1242"/>
        <v/>
      </c>
      <c r="W91" s="42" t="str">
        <f t="shared" si="1242"/>
        <v/>
      </c>
      <c r="X91" s="42" t="str">
        <f t="shared" si="1242"/>
        <v/>
      </c>
      <c r="Y91" s="42" t="str">
        <f t="shared" si="1242"/>
        <v/>
      </c>
      <c r="Z91" s="42" t="str">
        <f t="shared" si="1242"/>
        <v/>
      </c>
      <c r="AA91" s="42" t="str">
        <f t="shared" si="1242"/>
        <v/>
      </c>
      <c r="AB91" s="42" t="str">
        <f t="shared" si="1242"/>
        <v/>
      </c>
      <c r="AC91" s="42" t="str">
        <f t="shared" si="1242"/>
        <v/>
      </c>
      <c r="AD91" s="42" t="str">
        <f t="shared" si="1242"/>
        <v/>
      </c>
      <c r="AE91" s="42" t="str">
        <f t="shared" si="1242"/>
        <v/>
      </c>
      <c r="AF91" s="42" t="str">
        <f t="shared" si="1242"/>
        <v/>
      </c>
      <c r="AG91" s="42" t="str">
        <f t="shared" si="1242"/>
        <v/>
      </c>
      <c r="AH91" s="42" t="str">
        <f t="shared" si="1242"/>
        <v/>
      </c>
      <c r="AI91" s="42" t="str">
        <f t="shared" si="1242"/>
        <v/>
      </c>
      <c r="AJ91" s="42" t="str">
        <f t="shared" si="1242"/>
        <v/>
      </c>
      <c r="AK91" s="42" t="str">
        <f t="shared" si="1242"/>
        <v/>
      </c>
      <c r="AL91" s="42" t="str">
        <f t="shared" si="1242"/>
        <v/>
      </c>
      <c r="AM91" s="42" t="str">
        <f t="shared" si="1242"/>
        <v/>
      </c>
      <c r="AN91" s="42" t="str">
        <f t="shared" ref="D91:AN91" si="1243">IF(AN$8="","",IF(AN90=0,"",AN90/(AN87*100)))</f>
        <v/>
      </c>
      <c r="AO91" s="42" t="str">
        <f t="shared" ref="AO91:AS91" si="1244">IF(AO$8="","",IF(AO90=0,"",AO90/(AO87*100)))</f>
        <v/>
      </c>
      <c r="AP91" s="42" t="str">
        <f t="shared" si="1244"/>
        <v/>
      </c>
      <c r="AQ91" s="42" t="str">
        <f t="shared" si="1244"/>
        <v/>
      </c>
      <c r="AR91" s="42" t="str">
        <f t="shared" si="1244"/>
        <v/>
      </c>
      <c r="AS91" s="42" t="str">
        <f t="shared" si="1244"/>
        <v/>
      </c>
    </row>
    <row r="92" spans="1:45" x14ac:dyDescent="0.15">
      <c r="A92" s="17" t="s">
        <v>1</v>
      </c>
      <c r="B92" s="41" t="s">
        <v>2</v>
      </c>
      <c r="C92" s="35">
        <v>18468</v>
      </c>
      <c r="D92" s="35">
        <v>18468</v>
      </c>
      <c r="E92" s="35">
        <v>18505</v>
      </c>
      <c r="F92" s="35">
        <v>18505</v>
      </c>
      <c r="G92" s="35">
        <v>18505</v>
      </c>
      <c r="H92" s="35">
        <v>18505</v>
      </c>
      <c r="I92" s="35">
        <v>18538</v>
      </c>
      <c r="J92" s="35">
        <f>IF(J$8="","",I92)</f>
        <v>18538</v>
      </c>
      <c r="K92" s="35">
        <f t="shared" ref="K92:K93" si="1245">IF(K$8="","",J92)</f>
        <v>18538</v>
      </c>
      <c r="L92" s="35">
        <v>18568</v>
      </c>
      <c r="M92" s="35" t="str">
        <f>IF(M$8="","",L92)</f>
        <v/>
      </c>
      <c r="N92" s="35" t="str">
        <f t="shared" ref="N92:N93" si="1246">IF(N$8="","",M92)</f>
        <v/>
      </c>
      <c r="O92" s="35" t="str">
        <f t="shared" ref="O92:O93" si="1247">IF(O$8="","",N92)</f>
        <v/>
      </c>
      <c r="P92" s="35" t="str">
        <f t="shared" ref="P92:P93" si="1248">IF(P$8="","",O92)</f>
        <v/>
      </c>
      <c r="Q92" s="35" t="str">
        <f>IF(Q$8="","",P92)</f>
        <v/>
      </c>
      <c r="R92" s="35" t="str">
        <f t="shared" ref="R92:R93" si="1249">IF(R$8="","",Q92)</f>
        <v/>
      </c>
      <c r="S92" s="35" t="str">
        <f>IF(S$8="","",R92)</f>
        <v/>
      </c>
      <c r="T92" s="35" t="str">
        <f>IF(T$8="","",S92)</f>
        <v/>
      </c>
      <c r="U92" s="35" t="str">
        <f t="shared" ref="U92:U93" si="1250">IF(U$8="","",T92)</f>
        <v/>
      </c>
      <c r="V92" s="35" t="str">
        <f t="shared" ref="V92:V93" si="1251">IF(V$8="","",U92)</f>
        <v/>
      </c>
      <c r="W92" s="35" t="str">
        <f>IF(W$8="","",V92)</f>
        <v/>
      </c>
      <c r="X92" s="35" t="str">
        <f>IF(X$8="","",W92)</f>
        <v/>
      </c>
      <c r="Y92" s="35" t="str">
        <f t="shared" ref="Y92:Y93" si="1252">IF(Y$8="","",X92)</f>
        <v/>
      </c>
      <c r="Z92" s="35" t="str">
        <f>IF(Z$8="","",Y92)</f>
        <v/>
      </c>
      <c r="AA92" s="35" t="str">
        <f>IF(AA$8="","",Z92)</f>
        <v/>
      </c>
      <c r="AB92" s="35" t="str">
        <f t="shared" ref="AB92:AB93" si="1253">IF(AB$8="","",AA92)</f>
        <v/>
      </c>
      <c r="AC92" s="35" t="str">
        <f t="shared" ref="AC92:AC93" si="1254">IF(AC$8="","",AB92)</f>
        <v/>
      </c>
      <c r="AD92" s="35" t="str">
        <f>IF(AD$8="","",AC92)</f>
        <v/>
      </c>
      <c r="AE92" s="35" t="str">
        <f>IF(AE$8="","",AD92)</f>
        <v/>
      </c>
      <c r="AF92" s="35" t="str">
        <f t="shared" ref="AF92:AF93" si="1255">IF(AF$8="","",AE92)</f>
        <v/>
      </c>
      <c r="AG92" s="35" t="str">
        <f>IF(AG$8="","",AF92)</f>
        <v/>
      </c>
      <c r="AH92" s="35" t="str">
        <f t="shared" ref="AH92:AH93" si="1256">IF(AH$8="","",AG92)</f>
        <v/>
      </c>
      <c r="AI92" s="35" t="str">
        <f t="shared" ref="AI92:AI93" si="1257">IF(AI$8="","",AH92)</f>
        <v/>
      </c>
      <c r="AJ92" s="35" t="str">
        <f t="shared" ref="AJ92:AJ93" si="1258">IF(AJ$8="","",AI92)</f>
        <v/>
      </c>
      <c r="AK92" s="35" t="str">
        <f>IF(AK$8="","",AJ92)</f>
        <v/>
      </c>
      <c r="AL92" s="35" t="str">
        <f t="shared" ref="AL92:AL93" si="1259">IF(AL$8="","",AK92)</f>
        <v/>
      </c>
      <c r="AM92" s="35" t="str">
        <f t="shared" ref="AM92:AM93" si="1260">IF(AM$8="","",AL92)</f>
        <v/>
      </c>
      <c r="AN92" s="35" t="str">
        <f t="shared" ref="AN92:AN93" si="1261">IF(AN$8="","",AM92)</f>
        <v/>
      </c>
      <c r="AO92" s="35" t="str">
        <f t="shared" ref="AO92:AS92" si="1262">IF(AO$8="","",AN92)</f>
        <v/>
      </c>
      <c r="AP92" s="35" t="str">
        <f t="shared" si="1262"/>
        <v/>
      </c>
      <c r="AQ92" s="35" t="str">
        <f t="shared" si="1262"/>
        <v/>
      </c>
      <c r="AR92" s="35" t="str">
        <f t="shared" si="1262"/>
        <v/>
      </c>
      <c r="AS92" s="35" t="str">
        <f t="shared" si="1262"/>
        <v/>
      </c>
    </row>
    <row r="93" spans="1:45" x14ac:dyDescent="0.15">
      <c r="A93" s="16" t="s">
        <v>24</v>
      </c>
      <c r="B93" s="30" t="s">
        <v>4</v>
      </c>
      <c r="C93" s="29">
        <v>644</v>
      </c>
      <c r="D93" s="29">
        <v>644</v>
      </c>
      <c r="E93" s="29">
        <v>649</v>
      </c>
      <c r="F93" s="29">
        <v>649</v>
      </c>
      <c r="G93" s="29">
        <v>649</v>
      </c>
      <c r="H93" s="29">
        <v>649</v>
      </c>
      <c r="I93" s="29">
        <v>654</v>
      </c>
      <c r="J93" s="29">
        <f>IF(J$8="","",I93)</f>
        <v>654</v>
      </c>
      <c r="K93" s="29">
        <f t="shared" si="1245"/>
        <v>654</v>
      </c>
      <c r="L93" s="29">
        <v>656</v>
      </c>
      <c r="M93" s="29" t="str">
        <f t="shared" ref="M93" si="1263">IF(M$8="","",L93)</f>
        <v/>
      </c>
      <c r="N93" s="29" t="str">
        <f t="shared" si="1246"/>
        <v/>
      </c>
      <c r="O93" s="29" t="str">
        <f t="shared" si="1247"/>
        <v/>
      </c>
      <c r="P93" s="29" t="str">
        <f t="shared" si="1248"/>
        <v/>
      </c>
      <c r="Q93" s="29" t="str">
        <f>IF(Q$8="","",P93)</f>
        <v/>
      </c>
      <c r="R93" s="29" t="str">
        <f t="shared" si="1249"/>
        <v/>
      </c>
      <c r="S93" s="29" t="str">
        <f>IF(S$8="","",R93)</f>
        <v/>
      </c>
      <c r="T93" s="29" t="str">
        <f t="shared" ref="T93" si="1264">IF(T$8="","",S93)</f>
        <v/>
      </c>
      <c r="U93" s="29" t="str">
        <f t="shared" si="1250"/>
        <v/>
      </c>
      <c r="V93" s="29" t="str">
        <f t="shared" si="1251"/>
        <v/>
      </c>
      <c r="W93" s="29" t="str">
        <f>IF(W$8="","",V93)</f>
        <v/>
      </c>
      <c r="X93" s="29" t="str">
        <f>IF(X$8="","",W93)</f>
        <v/>
      </c>
      <c r="Y93" s="29" t="str">
        <f t="shared" si="1252"/>
        <v/>
      </c>
      <c r="Z93" s="29" t="str">
        <f>IF(Z$8="","",Y93)</f>
        <v/>
      </c>
      <c r="AA93" s="29" t="str">
        <f>IF(AA$8="","",Z93)</f>
        <v/>
      </c>
      <c r="AB93" s="29" t="str">
        <f t="shared" si="1253"/>
        <v/>
      </c>
      <c r="AC93" s="29" t="str">
        <f t="shared" si="1254"/>
        <v/>
      </c>
      <c r="AD93" s="29" t="str">
        <f>IF(AD$8="","",AC93)</f>
        <v/>
      </c>
      <c r="AE93" s="29" t="str">
        <f t="shared" ref="AE93" si="1265">IF(AE$8="","",AD93)</f>
        <v/>
      </c>
      <c r="AF93" s="29" t="str">
        <f t="shared" si="1255"/>
        <v/>
      </c>
      <c r="AG93" s="29" t="str">
        <f>IF(AG$8="","",AF93)</f>
        <v/>
      </c>
      <c r="AH93" s="29" t="str">
        <f t="shared" si="1256"/>
        <v/>
      </c>
      <c r="AI93" s="29" t="str">
        <f t="shared" si="1257"/>
        <v/>
      </c>
      <c r="AJ93" s="29" t="str">
        <f t="shared" si="1258"/>
        <v/>
      </c>
      <c r="AK93" s="29" t="str">
        <f>IF(AK$8="","",AJ93)</f>
        <v/>
      </c>
      <c r="AL93" s="29" t="str">
        <f t="shared" si="1259"/>
        <v/>
      </c>
      <c r="AM93" s="29" t="str">
        <f t="shared" si="1260"/>
        <v/>
      </c>
      <c r="AN93" s="29" t="str">
        <f t="shared" si="1261"/>
        <v/>
      </c>
      <c r="AO93" s="29" t="str">
        <f t="shared" ref="AO93:AS93" si="1266">IF(AO$8="","",AN93)</f>
        <v/>
      </c>
      <c r="AP93" s="29" t="str">
        <f t="shared" si="1266"/>
        <v/>
      </c>
      <c r="AQ93" s="29" t="str">
        <f t="shared" si="1266"/>
        <v/>
      </c>
      <c r="AR93" s="29" t="str">
        <f t="shared" si="1266"/>
        <v/>
      </c>
      <c r="AS93" s="29" t="str">
        <f t="shared" si="1266"/>
        <v/>
      </c>
    </row>
    <row r="94" spans="1:45" x14ac:dyDescent="0.15">
      <c r="A94" s="15">
        <v>4</v>
      </c>
      <c r="B94" s="30" t="s">
        <v>5</v>
      </c>
      <c r="C94" s="29">
        <v>22</v>
      </c>
      <c r="D94" s="29">
        <v>22</v>
      </c>
      <c r="E94" s="29">
        <v>17</v>
      </c>
      <c r="F94" s="29">
        <v>29</v>
      </c>
      <c r="G94" s="29">
        <v>29</v>
      </c>
      <c r="H94" s="29">
        <v>29</v>
      </c>
      <c r="I94" s="29">
        <v>24</v>
      </c>
      <c r="J94" s="29">
        <f>IF(J$8="","",(I94+I95))</f>
        <v>24</v>
      </c>
      <c r="K94" s="29">
        <f t="shared" ref="K94" si="1267">IF(K$8="","",(J94+J95))</f>
        <v>24</v>
      </c>
      <c r="L94" s="29">
        <v>21</v>
      </c>
      <c r="M94" s="29" t="str">
        <f t="shared" ref="M94" si="1268">IF(M$8="","",(L94+L95))</f>
        <v/>
      </c>
      <c r="N94" s="29" t="str">
        <f t="shared" ref="N94" si="1269">IF(N$8="","",(M94+M95))</f>
        <v/>
      </c>
      <c r="O94" s="29" t="str">
        <f t="shared" ref="O94" si="1270">IF(O$8="","",(N94+N95))</f>
        <v/>
      </c>
      <c r="P94" s="29" t="str">
        <f t="shared" ref="P94" si="1271">IF(P$8="","",(O94+O95))</f>
        <v/>
      </c>
      <c r="Q94" s="29" t="str">
        <f>IF(Q$8="","",(P94+P95))</f>
        <v/>
      </c>
      <c r="R94" s="29" t="str">
        <f t="shared" ref="R94" si="1272">IF(R$8="","",(Q94+Q95))</f>
        <v/>
      </c>
      <c r="S94" s="29" t="str">
        <f>IF(S$8="","",(R94+R95))</f>
        <v/>
      </c>
      <c r="T94" s="29" t="str">
        <f t="shared" ref="T94" si="1273">IF(T$8="","",(S94+S95))</f>
        <v/>
      </c>
      <c r="U94" s="29" t="str">
        <f t="shared" ref="U94" si="1274">IF(U$8="","",(T94+T95))</f>
        <v/>
      </c>
      <c r="V94" s="29" t="str">
        <f t="shared" ref="V94" si="1275">IF(V$8="","",(U94+U95))</f>
        <v/>
      </c>
      <c r="W94" s="29" t="str">
        <f>IF(W$8="","",(V94+V95))</f>
        <v/>
      </c>
      <c r="X94" s="29" t="str">
        <f>IF(X$8="","",(W94+W95))</f>
        <v/>
      </c>
      <c r="Y94" s="29" t="str">
        <f t="shared" ref="Y94" si="1276">IF(Y$8="","",(X94+X95))</f>
        <v/>
      </c>
      <c r="Z94" s="29" t="str">
        <f>IF(Z$8="","",(Y94+Y95))</f>
        <v/>
      </c>
      <c r="AA94" s="29" t="str">
        <f>IF(AA$8="","",(Z94+Z95))</f>
        <v/>
      </c>
      <c r="AB94" s="29" t="str">
        <f t="shared" ref="AB94" si="1277">IF(AB$8="","",(AA94+AA95))</f>
        <v/>
      </c>
      <c r="AC94" s="29" t="str">
        <f t="shared" ref="AC94" si="1278">IF(AC$8="","",(AB94+AB95))</f>
        <v/>
      </c>
      <c r="AD94" s="29" t="str">
        <f>IF(AD$8="","",(AC94+AC95))</f>
        <v/>
      </c>
      <c r="AE94" s="29" t="str">
        <f t="shared" ref="AE94" si="1279">IF(AE$8="","",(AD94+AD95))</f>
        <v/>
      </c>
      <c r="AF94" s="29" t="str">
        <f t="shared" ref="AF94" si="1280">IF(AF$8="","",(AE94+AE95))</f>
        <v/>
      </c>
      <c r="AG94" s="29" t="str">
        <f>IF(AG$8="","",(AF94+AF95))</f>
        <v/>
      </c>
      <c r="AH94" s="29" t="str">
        <f t="shared" ref="AH94" si="1281">IF(AH$8="","",(AG94+AG95))</f>
        <v/>
      </c>
      <c r="AI94" s="29" t="str">
        <f t="shared" ref="AI94" si="1282">IF(AI$8="","",(AH94+AH95))</f>
        <v/>
      </c>
      <c r="AJ94" s="29" t="str">
        <f t="shared" ref="AJ94" si="1283">IF(AJ$8="","",(AI94+AI95))</f>
        <v/>
      </c>
      <c r="AK94" s="29" t="str">
        <f>IF(AK$8="","",(AJ94+AJ95))</f>
        <v/>
      </c>
      <c r="AL94" s="29" t="str">
        <f t="shared" ref="AL94" si="1284">IF(AL$8="","",(AK94+AK95))</f>
        <v/>
      </c>
      <c r="AM94" s="29" t="str">
        <f t="shared" ref="AM94" si="1285">IF(AM$8="","",(AL94+AL95))</f>
        <v/>
      </c>
      <c r="AN94" s="29" t="str">
        <f t="shared" ref="AN94" si="1286">IF(AN$8="","",(AM94+AM95))</f>
        <v/>
      </c>
      <c r="AO94" s="29" t="str">
        <f t="shared" ref="AO94:AS94" si="1287">IF(AO$8="","",(AN94+AN95))</f>
        <v/>
      </c>
      <c r="AP94" s="29" t="str">
        <f t="shared" si="1287"/>
        <v/>
      </c>
      <c r="AQ94" s="29" t="str">
        <f t="shared" si="1287"/>
        <v/>
      </c>
      <c r="AR94" s="29" t="str">
        <f t="shared" si="1287"/>
        <v/>
      </c>
      <c r="AS94" s="29" t="str">
        <f t="shared" si="1287"/>
        <v/>
      </c>
    </row>
    <row r="95" spans="1:45" x14ac:dyDescent="0.15">
      <c r="A95" s="14"/>
      <c r="B95" s="30" t="s">
        <v>7</v>
      </c>
      <c r="C95" s="29"/>
      <c r="D95" s="29"/>
      <c r="E95" s="29">
        <v>12</v>
      </c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</row>
    <row r="96" spans="1:45" x14ac:dyDescent="0.15">
      <c r="A96" s="7"/>
      <c r="B96" s="30" t="s">
        <v>8</v>
      </c>
      <c r="C96" s="35">
        <v>400</v>
      </c>
      <c r="D96" s="35">
        <v>400</v>
      </c>
      <c r="E96" s="35">
        <v>400</v>
      </c>
      <c r="F96" s="35">
        <v>400</v>
      </c>
      <c r="G96" s="35">
        <v>400</v>
      </c>
      <c r="H96" s="35">
        <v>400</v>
      </c>
      <c r="I96" s="35">
        <v>400</v>
      </c>
      <c r="J96" s="35">
        <f t="shared" ref="J96:J97" si="1288">IF(J$8="","",I96)</f>
        <v>400</v>
      </c>
      <c r="K96" s="35">
        <f t="shared" ref="K96:K97" si="1289">IF(K$8="","",J96)</f>
        <v>400</v>
      </c>
      <c r="L96" s="35">
        <f t="shared" ref="L96:L97" si="1290">IF(L$8="","",K96)</f>
        <v>400</v>
      </c>
      <c r="M96" s="35" t="str">
        <f t="shared" ref="M96:M97" si="1291">IF(M$8="","",L96)</f>
        <v/>
      </c>
      <c r="N96" s="35" t="str">
        <f t="shared" ref="N96:N97" si="1292">IF(N$8="","",M96)</f>
        <v/>
      </c>
      <c r="O96" s="35" t="str">
        <f t="shared" ref="O96:O97" si="1293">IF(O$8="","",N96)</f>
        <v/>
      </c>
      <c r="P96" s="35" t="str">
        <f t="shared" ref="P96:P97" si="1294">IF(P$8="","",O96)</f>
        <v/>
      </c>
      <c r="Q96" s="35" t="str">
        <f t="shared" ref="Q96:Q97" si="1295">IF(Q$8="","",P96)</f>
        <v/>
      </c>
      <c r="R96" s="35" t="str">
        <f t="shared" ref="R96:R97" si="1296">IF(R$8="","",Q96)</f>
        <v/>
      </c>
      <c r="S96" s="35" t="str">
        <f t="shared" ref="S96:S97" si="1297">IF(S$8="","",R96)</f>
        <v/>
      </c>
      <c r="T96" s="35" t="str">
        <f t="shared" ref="T96:T97" si="1298">IF(T$8="","",S96)</f>
        <v/>
      </c>
      <c r="U96" s="35" t="str">
        <f t="shared" ref="U96:U97" si="1299">IF(U$8="","",T96)</f>
        <v/>
      </c>
      <c r="V96" s="35" t="str">
        <f t="shared" ref="V96:V97" si="1300">IF(V$8="","",U96)</f>
        <v/>
      </c>
      <c r="W96" s="35" t="str">
        <f t="shared" ref="W96:W97" si="1301">IF(W$8="","",V96)</f>
        <v/>
      </c>
      <c r="X96" s="35" t="str">
        <f t="shared" ref="X96:X97" si="1302">IF(X$8="","",W96)</f>
        <v/>
      </c>
      <c r="Y96" s="35" t="str">
        <f t="shared" ref="Y96:Y97" si="1303">IF(Y$8="","",X96)</f>
        <v/>
      </c>
      <c r="Z96" s="35" t="str">
        <f t="shared" ref="Z96:Z97" si="1304">IF(Z$8="","",Y96)</f>
        <v/>
      </c>
      <c r="AA96" s="35" t="str">
        <f t="shared" ref="AA96:AA97" si="1305">IF(AA$8="","",Z96)</f>
        <v/>
      </c>
      <c r="AB96" s="35" t="str">
        <f t="shared" ref="AB96:AB97" si="1306">IF(AB$8="","",AA96)</f>
        <v/>
      </c>
      <c r="AC96" s="35" t="str">
        <f t="shared" ref="AC96:AC97" si="1307">IF(AC$8="","",AB96)</f>
        <v/>
      </c>
      <c r="AD96" s="35" t="str">
        <f t="shared" ref="AD96:AD97" si="1308">IF(AD$8="","",AC96)</f>
        <v/>
      </c>
      <c r="AE96" s="35" t="str">
        <f t="shared" ref="AE96:AE97" si="1309">IF(AE$8="","",AD96)</f>
        <v/>
      </c>
      <c r="AF96" s="35" t="str">
        <f t="shared" ref="AF96:AF97" si="1310">IF(AF$8="","",AE96)</f>
        <v/>
      </c>
      <c r="AG96" s="35" t="str">
        <f t="shared" ref="AG96:AG97" si="1311">IF(AG$8="","",AF96)</f>
        <v/>
      </c>
      <c r="AH96" s="35" t="str">
        <f t="shared" ref="AH96:AH97" si="1312">IF(AH$8="","",AG96)</f>
        <v/>
      </c>
      <c r="AI96" s="35" t="str">
        <f t="shared" ref="AI96:AI97" si="1313">IF(AI$8="","",AH96)</f>
        <v/>
      </c>
      <c r="AJ96" s="35" t="str">
        <f t="shared" ref="AJ96:AJ97" si="1314">IF(AJ$8="","",AI96)</f>
        <v/>
      </c>
      <c r="AK96" s="35" t="str">
        <f t="shared" ref="AK96:AK97" si="1315">IF(AK$8="","",AJ96)</f>
        <v/>
      </c>
      <c r="AL96" s="35" t="str">
        <f t="shared" ref="AL96:AL97" si="1316">IF(AL$8="","",AK96)</f>
        <v/>
      </c>
      <c r="AM96" s="35" t="str">
        <f t="shared" ref="AM96:AM97" si="1317">IF(AM$8="","",AL96)</f>
        <v/>
      </c>
      <c r="AN96" s="35" t="str">
        <f t="shared" ref="AN96:AN97" si="1318">IF(AN$8="","",AM96)</f>
        <v/>
      </c>
      <c r="AO96" s="35" t="str">
        <f t="shared" ref="AO96:AS96" si="1319">IF(AO$8="","",AN96)</f>
        <v/>
      </c>
      <c r="AP96" s="35" t="str">
        <f t="shared" si="1319"/>
        <v/>
      </c>
      <c r="AQ96" s="35" t="str">
        <f t="shared" si="1319"/>
        <v/>
      </c>
      <c r="AR96" s="35" t="str">
        <f t="shared" si="1319"/>
        <v/>
      </c>
      <c r="AS96" s="35" t="str">
        <f t="shared" si="1319"/>
        <v/>
      </c>
    </row>
    <row r="97" spans="1:45" s="11" customFormat="1" x14ac:dyDescent="0.15">
      <c r="A97" s="14" t="s">
        <v>9</v>
      </c>
      <c r="B97" s="33" t="s">
        <v>10</v>
      </c>
      <c r="C97" s="32" t="s">
        <v>26</v>
      </c>
      <c r="D97" s="32" t="s">
        <v>26</v>
      </c>
      <c r="E97" s="32" t="s">
        <v>26</v>
      </c>
      <c r="F97" s="32" t="s">
        <v>26</v>
      </c>
      <c r="G97" s="32" t="s">
        <v>26</v>
      </c>
      <c r="H97" s="32" t="s">
        <v>26</v>
      </c>
      <c r="I97" s="32" t="s">
        <v>26</v>
      </c>
      <c r="J97" s="32" t="str">
        <f t="shared" si="1288"/>
        <v>ラブブMC</v>
      </c>
      <c r="K97" s="32" t="str">
        <f t="shared" si="1289"/>
        <v>ラブブMC</v>
      </c>
      <c r="L97" s="32" t="str">
        <f t="shared" si="1290"/>
        <v>ラブブMC</v>
      </c>
      <c r="M97" s="32" t="str">
        <f t="shared" si="1291"/>
        <v/>
      </c>
      <c r="N97" s="32" t="str">
        <f t="shared" si="1292"/>
        <v/>
      </c>
      <c r="O97" s="32" t="str">
        <f t="shared" si="1293"/>
        <v/>
      </c>
      <c r="P97" s="32" t="str">
        <f t="shared" si="1294"/>
        <v/>
      </c>
      <c r="Q97" s="32" t="str">
        <f t="shared" si="1295"/>
        <v/>
      </c>
      <c r="R97" s="32" t="str">
        <f t="shared" si="1296"/>
        <v/>
      </c>
      <c r="S97" s="32" t="str">
        <f t="shared" si="1297"/>
        <v/>
      </c>
      <c r="T97" s="32" t="str">
        <f t="shared" si="1298"/>
        <v/>
      </c>
      <c r="U97" s="32" t="str">
        <f t="shared" si="1299"/>
        <v/>
      </c>
      <c r="V97" s="32" t="str">
        <f t="shared" si="1300"/>
        <v/>
      </c>
      <c r="W97" s="32" t="str">
        <f t="shared" si="1301"/>
        <v/>
      </c>
      <c r="X97" s="32" t="str">
        <f t="shared" si="1302"/>
        <v/>
      </c>
      <c r="Y97" s="32" t="str">
        <f t="shared" si="1303"/>
        <v/>
      </c>
      <c r="Z97" s="32" t="str">
        <f t="shared" si="1304"/>
        <v/>
      </c>
      <c r="AA97" s="32" t="str">
        <f t="shared" si="1305"/>
        <v/>
      </c>
      <c r="AB97" s="32" t="str">
        <f t="shared" si="1306"/>
        <v/>
      </c>
      <c r="AC97" s="32" t="str">
        <f t="shared" si="1307"/>
        <v/>
      </c>
      <c r="AD97" s="32" t="str">
        <f t="shared" si="1308"/>
        <v/>
      </c>
      <c r="AE97" s="32" t="str">
        <f t="shared" si="1309"/>
        <v/>
      </c>
      <c r="AF97" s="32" t="str">
        <f t="shared" si="1310"/>
        <v/>
      </c>
      <c r="AG97" s="32" t="str">
        <f t="shared" si="1311"/>
        <v/>
      </c>
      <c r="AH97" s="32" t="str">
        <f t="shared" si="1312"/>
        <v/>
      </c>
      <c r="AI97" s="32" t="str">
        <f t="shared" si="1313"/>
        <v/>
      </c>
      <c r="AJ97" s="32" t="str">
        <f t="shared" si="1314"/>
        <v/>
      </c>
      <c r="AK97" s="32" t="str">
        <f t="shared" si="1315"/>
        <v/>
      </c>
      <c r="AL97" s="32" t="str">
        <f t="shared" si="1316"/>
        <v/>
      </c>
      <c r="AM97" s="32" t="str">
        <f t="shared" si="1317"/>
        <v/>
      </c>
      <c r="AN97" s="32" t="str">
        <f t="shared" si="1318"/>
        <v/>
      </c>
      <c r="AO97" s="32" t="str">
        <f t="shared" ref="AO97:AS97" si="1320">IF(AO$8="","",AN97)</f>
        <v/>
      </c>
      <c r="AP97" s="32" t="str">
        <f t="shared" si="1320"/>
        <v/>
      </c>
      <c r="AQ97" s="32" t="str">
        <f t="shared" si="1320"/>
        <v/>
      </c>
      <c r="AR97" s="32" t="str">
        <f t="shared" si="1320"/>
        <v/>
      </c>
      <c r="AS97" s="32" t="str">
        <f t="shared" si="1320"/>
        <v/>
      </c>
    </row>
    <row r="98" spans="1:45" x14ac:dyDescent="0.15">
      <c r="A98" s="7">
        <f>AVERAGE(C99:AS99)*30*100</f>
        <v>30000</v>
      </c>
      <c r="B98" s="30" t="s">
        <v>12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</row>
    <row r="99" spans="1:45" x14ac:dyDescent="0.15">
      <c r="A99" s="7">
        <f>SUM(C99:AS99)</f>
        <v>100</v>
      </c>
      <c r="B99" s="27" t="s">
        <v>13</v>
      </c>
      <c r="C99" s="26">
        <v>0</v>
      </c>
      <c r="D99" s="26">
        <v>0</v>
      </c>
      <c r="E99" s="26">
        <v>37</v>
      </c>
      <c r="F99" s="26">
        <v>0</v>
      </c>
      <c r="G99" s="26">
        <v>0</v>
      </c>
      <c r="H99" s="26">
        <v>0</v>
      </c>
      <c r="I99" s="26">
        <v>33</v>
      </c>
      <c r="J99" s="26">
        <f t="shared" ref="J99:J100" si="1321">IF(J$8="","",J92-I92)</f>
        <v>0</v>
      </c>
      <c r="K99" s="26">
        <f t="shared" ref="K99:K100" si="1322">IF(K$8="","",K92-J92)</f>
        <v>0</v>
      </c>
      <c r="L99" s="26">
        <f t="shared" ref="L99:L100" si="1323">IF(L$8="","",L92-K92)</f>
        <v>30</v>
      </c>
      <c r="M99" s="26" t="str">
        <f t="shared" ref="M99:M100" si="1324">IF(M$8="","",M92-L92)</f>
        <v/>
      </c>
      <c r="N99" s="26" t="str">
        <f t="shared" ref="N99:N100" si="1325">IF(N$8="","",N92-M92)</f>
        <v/>
      </c>
      <c r="O99" s="26" t="str">
        <f t="shared" ref="O99:O100" si="1326">IF(O$8="","",O92-N92)</f>
        <v/>
      </c>
      <c r="P99" s="26" t="str">
        <f t="shared" ref="P99:P100" si="1327">IF(P$8="","",P92-O92)</f>
        <v/>
      </c>
      <c r="Q99" s="26" t="str">
        <f t="shared" ref="Q99:Q100" si="1328">IF(Q$8="","",Q92-P92)</f>
        <v/>
      </c>
      <c r="R99" s="26" t="str">
        <f t="shared" ref="R99:R100" si="1329">IF(R$8="","",R92-Q92)</f>
        <v/>
      </c>
      <c r="S99" s="26" t="str">
        <f t="shared" ref="S99:S100" si="1330">IF(S$8="","",S92-R92)</f>
        <v/>
      </c>
      <c r="T99" s="26" t="str">
        <f t="shared" ref="T99:T100" si="1331">IF(T$8="","",T92-S92)</f>
        <v/>
      </c>
      <c r="U99" s="26" t="str">
        <f t="shared" ref="U99:U100" si="1332">IF(U$8="","",U92-T92)</f>
        <v/>
      </c>
      <c r="V99" s="26" t="str">
        <f t="shared" ref="V99:V100" si="1333">IF(V$8="","",V92-U92)</f>
        <v/>
      </c>
      <c r="W99" s="26" t="str">
        <f t="shared" ref="W99:W100" si="1334">IF(W$8="","",W92-V92)</f>
        <v/>
      </c>
      <c r="X99" s="26" t="str">
        <f t="shared" ref="X99:X100" si="1335">IF(X$8="","",X92-W92)</f>
        <v/>
      </c>
      <c r="Y99" s="26" t="str">
        <f t="shared" ref="Y99:Y100" si="1336">IF(Y$8="","",Y92-X92)</f>
        <v/>
      </c>
      <c r="Z99" s="26" t="str">
        <f t="shared" ref="Z99:Z100" si="1337">IF(Z$8="","",Z92-Y92)</f>
        <v/>
      </c>
      <c r="AA99" s="26" t="str">
        <f t="shared" ref="AA99:AA100" si="1338">IF(AA$8="","",AA92-Z92)</f>
        <v/>
      </c>
      <c r="AB99" s="26" t="str">
        <f t="shared" ref="AB99:AB100" si="1339">IF(AB$8="","",AB92-AA92)</f>
        <v/>
      </c>
      <c r="AC99" s="26" t="str">
        <f t="shared" ref="AC99:AC100" si="1340">IF(AC$8="","",AC92-AB92)</f>
        <v/>
      </c>
      <c r="AD99" s="26" t="str">
        <f t="shared" ref="AD99:AD100" si="1341">IF(AD$8="","",AD92-AC92)</f>
        <v/>
      </c>
      <c r="AE99" s="26" t="str">
        <f t="shared" ref="AE99:AE100" si="1342">IF(AE$8="","",AE92-AD92)</f>
        <v/>
      </c>
      <c r="AF99" s="26" t="str">
        <f t="shared" ref="AF99:AF100" si="1343">IF(AF$8="","",AF92-AE92)</f>
        <v/>
      </c>
      <c r="AG99" s="26" t="str">
        <f t="shared" ref="AG99:AG100" si="1344">IF(AG$8="","",AG92-AF92)</f>
        <v/>
      </c>
      <c r="AH99" s="26" t="str">
        <f t="shared" ref="AH99:AH100" si="1345">IF(AH$8="","",AH92-AG92)</f>
        <v/>
      </c>
      <c r="AI99" s="26" t="str">
        <f t="shared" ref="AI99:AI100" si="1346">IF(AI$8="","",AI92-AH92)</f>
        <v/>
      </c>
      <c r="AJ99" s="26" t="str">
        <f t="shared" ref="AJ99:AJ100" si="1347">IF(AJ$8="","",AJ92-AI92)</f>
        <v/>
      </c>
      <c r="AK99" s="26" t="str">
        <f t="shared" ref="AK99:AK100" si="1348">IF(AK$8="","",AK92-AJ92)</f>
        <v/>
      </c>
      <c r="AL99" s="26" t="str">
        <f t="shared" ref="AL99:AL100" si="1349">IF(AL$8="","",AL92-AK92)</f>
        <v/>
      </c>
      <c r="AM99" s="26" t="str">
        <f t="shared" ref="AM99:AM100" si="1350">IF(AM$8="","",AM92-AL92)</f>
        <v/>
      </c>
      <c r="AN99" s="26" t="str">
        <f t="shared" ref="AN99:AN100" si="1351">IF(AN$8="","",AN92-AM92)</f>
        <v/>
      </c>
      <c r="AO99" s="26" t="str">
        <f t="shared" ref="AO99:AS99" si="1352">IF(AO$8="","",AO92-AN92)</f>
        <v/>
      </c>
      <c r="AP99" s="26" t="str">
        <f t="shared" si="1352"/>
        <v/>
      </c>
      <c r="AQ99" s="26" t="str">
        <f t="shared" si="1352"/>
        <v/>
      </c>
      <c r="AR99" s="26" t="str">
        <f t="shared" si="1352"/>
        <v/>
      </c>
      <c r="AS99" s="26" t="str">
        <f t="shared" si="1352"/>
        <v/>
      </c>
    </row>
    <row r="100" spans="1:45" x14ac:dyDescent="0.15">
      <c r="A100" s="7">
        <f>SUM(C100:AS100)</f>
        <v>12</v>
      </c>
      <c r="B100" s="27" t="s">
        <v>14</v>
      </c>
      <c r="C100" s="26">
        <v>0</v>
      </c>
      <c r="D100" s="26">
        <v>0</v>
      </c>
      <c r="E100" s="26">
        <v>5</v>
      </c>
      <c r="F100" s="26">
        <v>0</v>
      </c>
      <c r="G100" s="26">
        <v>0</v>
      </c>
      <c r="H100" s="26">
        <v>0</v>
      </c>
      <c r="I100" s="26">
        <v>5</v>
      </c>
      <c r="J100" s="26">
        <f t="shared" si="1321"/>
        <v>0</v>
      </c>
      <c r="K100" s="26">
        <f t="shared" si="1322"/>
        <v>0</v>
      </c>
      <c r="L100" s="26">
        <f t="shared" si="1323"/>
        <v>2</v>
      </c>
      <c r="M100" s="26" t="str">
        <f t="shared" si="1324"/>
        <v/>
      </c>
      <c r="N100" s="26" t="str">
        <f t="shared" si="1325"/>
        <v/>
      </c>
      <c r="O100" s="26" t="str">
        <f t="shared" si="1326"/>
        <v/>
      </c>
      <c r="P100" s="26" t="str">
        <f t="shared" si="1327"/>
        <v/>
      </c>
      <c r="Q100" s="26" t="str">
        <f t="shared" si="1328"/>
        <v/>
      </c>
      <c r="R100" s="26" t="str">
        <f t="shared" si="1329"/>
        <v/>
      </c>
      <c r="S100" s="26" t="str">
        <f t="shared" si="1330"/>
        <v/>
      </c>
      <c r="T100" s="26" t="str">
        <f t="shared" si="1331"/>
        <v/>
      </c>
      <c r="U100" s="26" t="str">
        <f t="shared" si="1332"/>
        <v/>
      </c>
      <c r="V100" s="26" t="str">
        <f t="shared" si="1333"/>
        <v/>
      </c>
      <c r="W100" s="26" t="str">
        <f t="shared" si="1334"/>
        <v/>
      </c>
      <c r="X100" s="26" t="str">
        <f t="shared" si="1335"/>
        <v/>
      </c>
      <c r="Y100" s="26" t="str">
        <f t="shared" si="1336"/>
        <v/>
      </c>
      <c r="Z100" s="26" t="str">
        <f t="shared" si="1337"/>
        <v/>
      </c>
      <c r="AA100" s="26" t="str">
        <f t="shared" si="1338"/>
        <v/>
      </c>
      <c r="AB100" s="26" t="str">
        <f t="shared" si="1339"/>
        <v/>
      </c>
      <c r="AC100" s="26" t="str">
        <f t="shared" si="1340"/>
        <v/>
      </c>
      <c r="AD100" s="26" t="str">
        <f t="shared" si="1341"/>
        <v/>
      </c>
      <c r="AE100" s="26" t="str">
        <f t="shared" si="1342"/>
        <v/>
      </c>
      <c r="AF100" s="26" t="str">
        <f t="shared" si="1343"/>
        <v/>
      </c>
      <c r="AG100" s="26" t="str">
        <f t="shared" si="1344"/>
        <v/>
      </c>
      <c r="AH100" s="26" t="str">
        <f t="shared" si="1345"/>
        <v/>
      </c>
      <c r="AI100" s="26" t="str">
        <f t="shared" si="1346"/>
        <v/>
      </c>
      <c r="AJ100" s="26" t="str">
        <f t="shared" si="1347"/>
        <v/>
      </c>
      <c r="AK100" s="26" t="str">
        <f t="shared" si="1348"/>
        <v/>
      </c>
      <c r="AL100" s="26" t="str">
        <f t="shared" si="1349"/>
        <v/>
      </c>
      <c r="AM100" s="26" t="str">
        <f t="shared" si="1350"/>
        <v/>
      </c>
      <c r="AN100" s="26" t="str">
        <f t="shared" si="1351"/>
        <v/>
      </c>
      <c r="AO100" s="26" t="str">
        <f t="shared" ref="AO100:AS100" si="1353">IF(AO$8="","",AO93-AN93)</f>
        <v/>
      </c>
      <c r="AP100" s="26" t="str">
        <f t="shared" si="1353"/>
        <v/>
      </c>
      <c r="AQ100" s="26" t="str">
        <f t="shared" si="1353"/>
        <v/>
      </c>
      <c r="AR100" s="26" t="str">
        <f t="shared" si="1353"/>
        <v/>
      </c>
      <c r="AS100" s="26" t="str">
        <f t="shared" si="1353"/>
        <v/>
      </c>
    </row>
    <row r="101" spans="1:45" x14ac:dyDescent="0.15">
      <c r="A101" s="7">
        <f>SUM(C101:AS101)</f>
        <v>13</v>
      </c>
      <c r="B101" s="27" t="s">
        <v>15</v>
      </c>
      <c r="C101" s="26">
        <v>0</v>
      </c>
      <c r="D101" s="26">
        <v>0</v>
      </c>
      <c r="E101" s="26">
        <v>5</v>
      </c>
      <c r="F101" s="26">
        <v>0</v>
      </c>
      <c r="G101" s="26">
        <v>0</v>
      </c>
      <c r="H101" s="26">
        <v>0</v>
      </c>
      <c r="I101" s="26">
        <v>5</v>
      </c>
      <c r="J101" s="26">
        <f t="shared" ref="J101" si="1354">IF(J$8="","",I94+I95-J94)</f>
        <v>0</v>
      </c>
      <c r="K101" s="26">
        <f t="shared" ref="K101" si="1355">IF(K$8="","",J94+J95-K94)</f>
        <v>0</v>
      </c>
      <c r="L101" s="26">
        <f t="shared" ref="L101" si="1356">IF(L$8="","",K94+K95-L94)</f>
        <v>3</v>
      </c>
      <c r="M101" s="26" t="str">
        <f t="shared" ref="M101" si="1357">IF(M$8="","",L94+L95-M94)</f>
        <v/>
      </c>
      <c r="N101" s="26" t="str">
        <f t="shared" ref="N101" si="1358">IF(N$8="","",M94+M95-N94)</f>
        <v/>
      </c>
      <c r="O101" s="26" t="str">
        <f t="shared" ref="O101" si="1359">IF(O$8="","",N94+N95-O94)</f>
        <v/>
      </c>
      <c r="P101" s="26" t="str">
        <f t="shared" ref="P101" si="1360">IF(P$8="","",O94+O95-P94)</f>
        <v/>
      </c>
      <c r="Q101" s="26" t="str">
        <f t="shared" ref="Q101" si="1361">IF(Q$8="","",P94+P95-Q94)</f>
        <v/>
      </c>
      <c r="R101" s="26" t="str">
        <f t="shared" ref="R101" si="1362">IF(R$8="","",Q94+Q95-R94)</f>
        <v/>
      </c>
      <c r="S101" s="26" t="str">
        <f t="shared" ref="S101" si="1363">IF(S$8="","",R94+R95-S94)</f>
        <v/>
      </c>
      <c r="T101" s="26" t="str">
        <f t="shared" ref="T101" si="1364">IF(T$8="","",S94+S95-T94)</f>
        <v/>
      </c>
      <c r="U101" s="26" t="str">
        <f t="shared" ref="U101" si="1365">IF(U$8="","",T94+T95-U94)</f>
        <v/>
      </c>
      <c r="V101" s="26" t="str">
        <f t="shared" ref="V101" si="1366">IF(V$8="","",U94+U95-V94)</f>
        <v/>
      </c>
      <c r="W101" s="26" t="str">
        <f t="shared" ref="W101" si="1367">IF(W$8="","",V94+V95-W94)</f>
        <v/>
      </c>
      <c r="X101" s="26" t="str">
        <f t="shared" ref="X101" si="1368">IF(X$8="","",W94+W95-X94)</f>
        <v/>
      </c>
      <c r="Y101" s="26" t="str">
        <f t="shared" ref="Y101" si="1369">IF(Y$8="","",X94+X95-Y94)</f>
        <v/>
      </c>
      <c r="Z101" s="26" t="str">
        <f t="shared" ref="Z101" si="1370">IF(Z$8="","",Y94+Y95-Z94)</f>
        <v/>
      </c>
      <c r="AA101" s="26" t="str">
        <f t="shared" ref="AA101" si="1371">IF(AA$8="","",Z94+Z95-AA94)</f>
        <v/>
      </c>
      <c r="AB101" s="26" t="str">
        <f t="shared" ref="AB101" si="1372">IF(AB$8="","",AA94+AA95-AB94)</f>
        <v/>
      </c>
      <c r="AC101" s="26" t="str">
        <f>IF(AC$8="","",AB94+AB95-AC94)</f>
        <v/>
      </c>
      <c r="AD101" s="26" t="str">
        <f t="shared" ref="AD101" si="1373">IF(AD$8="","",AC94+AC95-AD94)</f>
        <v/>
      </c>
      <c r="AE101" s="26" t="str">
        <f t="shared" ref="AE101" si="1374">IF(AE$8="","",AD94+AD95-AE94)</f>
        <v/>
      </c>
      <c r="AF101" s="26" t="str">
        <f t="shared" ref="AF101" si="1375">IF(AF$8="","",AE94+AE95-AF94)</f>
        <v/>
      </c>
      <c r="AG101" s="26" t="str">
        <f t="shared" ref="AG101" si="1376">IF(AG$8="","",AF94+AF95-AG94)</f>
        <v/>
      </c>
      <c r="AH101" s="26" t="str">
        <f t="shared" ref="AH101" si="1377">IF(AH$8="","",AG94+AG95-AH94)</f>
        <v/>
      </c>
      <c r="AI101" s="26" t="str">
        <f t="shared" ref="AI101" si="1378">IF(AI$8="","",AH94+AH95-AI94)</f>
        <v/>
      </c>
      <c r="AJ101" s="26" t="str">
        <f t="shared" ref="AJ101" si="1379">IF(AJ$8="","",AI94+AI95-AJ94)</f>
        <v/>
      </c>
      <c r="AK101" s="26" t="str">
        <f t="shared" ref="AK101" si="1380">IF(AK$8="","",AJ94+AJ95-AK94)</f>
        <v/>
      </c>
      <c r="AL101" s="26" t="str">
        <f t="shared" ref="AL101" si="1381">IF(AL$8="","",AK94+AK95-AL94)</f>
        <v/>
      </c>
      <c r="AM101" s="26" t="str">
        <f t="shared" ref="AM101" si="1382">IF(AM$8="","",AL94+AL95-AM94)</f>
        <v/>
      </c>
      <c r="AN101" s="26" t="str">
        <f t="shared" ref="AN101" si="1383">IF(AN$8="","",AM94+AM95-AN94)</f>
        <v/>
      </c>
      <c r="AO101" s="26" t="str">
        <f t="shared" ref="AO101:AS101" si="1384">IF(AO$8="","",AN94+AN95-AO94)</f>
        <v/>
      </c>
      <c r="AP101" s="26" t="str">
        <f t="shared" si="1384"/>
        <v/>
      </c>
      <c r="AQ101" s="26" t="str">
        <f t="shared" si="1384"/>
        <v/>
      </c>
      <c r="AR101" s="26" t="str">
        <f t="shared" si="1384"/>
        <v/>
      </c>
      <c r="AS101" s="26" t="str">
        <f t="shared" si="1384"/>
        <v/>
      </c>
    </row>
    <row r="102" spans="1:45" x14ac:dyDescent="0.15">
      <c r="A102" s="7">
        <f>SUM(C102:AS102)</f>
        <v>5200</v>
      </c>
      <c r="B102" s="27" t="s">
        <v>16</v>
      </c>
      <c r="C102" s="26">
        <v>0</v>
      </c>
      <c r="D102" s="26">
        <v>0</v>
      </c>
      <c r="E102" s="26">
        <v>2000</v>
      </c>
      <c r="F102" s="26">
        <v>0</v>
      </c>
      <c r="G102" s="26">
        <v>0</v>
      </c>
      <c r="H102" s="26">
        <v>0</v>
      </c>
      <c r="I102" s="26">
        <v>2000</v>
      </c>
      <c r="J102" s="26">
        <f t="shared" ref="H102:AM102" si="1385">IF(J$8="","",J101*J96)</f>
        <v>0</v>
      </c>
      <c r="K102" s="26">
        <f t="shared" si="1385"/>
        <v>0</v>
      </c>
      <c r="L102" s="26">
        <f t="shared" si="1385"/>
        <v>1200</v>
      </c>
      <c r="M102" s="26" t="str">
        <f t="shared" si="1385"/>
        <v/>
      </c>
      <c r="N102" s="26" t="str">
        <f t="shared" si="1385"/>
        <v/>
      </c>
      <c r="O102" s="26" t="str">
        <f t="shared" si="1385"/>
        <v/>
      </c>
      <c r="P102" s="26" t="str">
        <f t="shared" si="1385"/>
        <v/>
      </c>
      <c r="Q102" s="26" t="str">
        <f t="shared" si="1385"/>
        <v/>
      </c>
      <c r="R102" s="26" t="str">
        <f t="shared" si="1385"/>
        <v/>
      </c>
      <c r="S102" s="26" t="str">
        <f t="shared" si="1385"/>
        <v/>
      </c>
      <c r="T102" s="26" t="str">
        <f t="shared" si="1385"/>
        <v/>
      </c>
      <c r="U102" s="26" t="str">
        <f t="shared" si="1385"/>
        <v/>
      </c>
      <c r="V102" s="26" t="str">
        <f t="shared" si="1385"/>
        <v/>
      </c>
      <c r="W102" s="26" t="str">
        <f t="shared" si="1385"/>
        <v/>
      </c>
      <c r="X102" s="26" t="str">
        <f t="shared" si="1385"/>
        <v/>
      </c>
      <c r="Y102" s="26" t="str">
        <f t="shared" si="1385"/>
        <v/>
      </c>
      <c r="Z102" s="26" t="str">
        <f t="shared" si="1385"/>
        <v/>
      </c>
      <c r="AA102" s="26" t="str">
        <f t="shared" si="1385"/>
        <v/>
      </c>
      <c r="AB102" s="26" t="str">
        <f t="shared" si="1385"/>
        <v/>
      </c>
      <c r="AC102" s="26" t="str">
        <f t="shared" si="1385"/>
        <v/>
      </c>
      <c r="AD102" s="26" t="str">
        <f t="shared" si="1385"/>
        <v/>
      </c>
      <c r="AE102" s="26" t="str">
        <f t="shared" si="1385"/>
        <v/>
      </c>
      <c r="AF102" s="26" t="str">
        <f t="shared" si="1385"/>
        <v/>
      </c>
      <c r="AG102" s="26" t="str">
        <f t="shared" si="1385"/>
        <v/>
      </c>
      <c r="AH102" s="26" t="str">
        <f t="shared" si="1385"/>
        <v/>
      </c>
      <c r="AI102" s="26" t="str">
        <f t="shared" si="1385"/>
        <v/>
      </c>
      <c r="AJ102" s="26" t="str">
        <f t="shared" si="1385"/>
        <v/>
      </c>
      <c r="AK102" s="26" t="str">
        <f t="shared" si="1385"/>
        <v/>
      </c>
      <c r="AL102" s="26" t="str">
        <f t="shared" si="1385"/>
        <v/>
      </c>
      <c r="AM102" s="26" t="str">
        <f t="shared" si="1385"/>
        <v/>
      </c>
      <c r="AN102" s="26" t="str">
        <f t="shared" ref="D102:AN102" si="1386">IF(AN$8="","",AN101*AN96)</f>
        <v/>
      </c>
      <c r="AO102" s="26" t="str">
        <f t="shared" ref="AO102:AS102" si="1387">IF(AO$8="","",AO101*AO96)</f>
        <v/>
      </c>
      <c r="AP102" s="26" t="str">
        <f t="shared" si="1387"/>
        <v/>
      </c>
      <c r="AQ102" s="26" t="str">
        <f t="shared" si="1387"/>
        <v/>
      </c>
      <c r="AR102" s="26" t="str">
        <f t="shared" si="1387"/>
        <v/>
      </c>
      <c r="AS102" s="26" t="str">
        <f t="shared" si="1387"/>
        <v/>
      </c>
    </row>
    <row r="103" spans="1:45" ht="12" thickBot="1" x14ac:dyDescent="0.2">
      <c r="A103" s="4">
        <f>IF(A102="","",A102/(A99*100))</f>
        <v>0.52</v>
      </c>
      <c r="B103" s="24" t="s">
        <v>18</v>
      </c>
      <c r="C103" s="23" t="s">
        <v>19</v>
      </c>
      <c r="D103" s="23" t="s">
        <v>19</v>
      </c>
      <c r="E103" s="23">
        <v>0.54054054054054057</v>
      </c>
      <c r="F103" s="23" t="s">
        <v>19</v>
      </c>
      <c r="G103" s="23" t="s">
        <v>19</v>
      </c>
      <c r="H103" s="23" t="s">
        <v>19</v>
      </c>
      <c r="I103" s="23">
        <v>0.60606060606060608</v>
      </c>
      <c r="J103" s="23" t="str">
        <f t="shared" ref="H103:AM103" si="1388">IF(J$8="","",IF(J102=0,"",J102/(J99*100)))</f>
        <v/>
      </c>
      <c r="K103" s="23" t="str">
        <f t="shared" si="1388"/>
        <v/>
      </c>
      <c r="L103" s="23">
        <f t="shared" si="1388"/>
        <v>0.4</v>
      </c>
      <c r="M103" s="23" t="str">
        <f t="shared" si="1388"/>
        <v/>
      </c>
      <c r="N103" s="23" t="str">
        <f t="shared" si="1388"/>
        <v/>
      </c>
      <c r="O103" s="23" t="str">
        <f t="shared" si="1388"/>
        <v/>
      </c>
      <c r="P103" s="23" t="str">
        <f t="shared" si="1388"/>
        <v/>
      </c>
      <c r="Q103" s="23" t="str">
        <f t="shared" si="1388"/>
        <v/>
      </c>
      <c r="R103" s="23" t="str">
        <f t="shared" si="1388"/>
        <v/>
      </c>
      <c r="S103" s="23" t="str">
        <f t="shared" si="1388"/>
        <v/>
      </c>
      <c r="T103" s="23" t="str">
        <f t="shared" si="1388"/>
        <v/>
      </c>
      <c r="U103" s="23" t="str">
        <f t="shared" si="1388"/>
        <v/>
      </c>
      <c r="V103" s="23" t="str">
        <f t="shared" si="1388"/>
        <v/>
      </c>
      <c r="W103" s="23" t="str">
        <f t="shared" si="1388"/>
        <v/>
      </c>
      <c r="X103" s="23" t="str">
        <f t="shared" si="1388"/>
        <v/>
      </c>
      <c r="Y103" s="23" t="str">
        <f t="shared" si="1388"/>
        <v/>
      </c>
      <c r="Z103" s="23" t="str">
        <f t="shared" si="1388"/>
        <v/>
      </c>
      <c r="AA103" s="23" t="str">
        <f t="shared" si="1388"/>
        <v/>
      </c>
      <c r="AB103" s="23" t="str">
        <f t="shared" si="1388"/>
        <v/>
      </c>
      <c r="AC103" s="23" t="str">
        <f t="shared" si="1388"/>
        <v/>
      </c>
      <c r="AD103" s="23" t="str">
        <f t="shared" si="1388"/>
        <v/>
      </c>
      <c r="AE103" s="23" t="str">
        <f t="shared" si="1388"/>
        <v/>
      </c>
      <c r="AF103" s="23" t="str">
        <f t="shared" si="1388"/>
        <v/>
      </c>
      <c r="AG103" s="23" t="str">
        <f t="shared" si="1388"/>
        <v/>
      </c>
      <c r="AH103" s="23" t="str">
        <f t="shared" si="1388"/>
        <v/>
      </c>
      <c r="AI103" s="23" t="str">
        <f t="shared" si="1388"/>
        <v/>
      </c>
      <c r="AJ103" s="23" t="str">
        <f t="shared" si="1388"/>
        <v/>
      </c>
      <c r="AK103" s="23" t="str">
        <f t="shared" si="1388"/>
        <v/>
      </c>
      <c r="AL103" s="23" t="str">
        <f t="shared" si="1388"/>
        <v/>
      </c>
      <c r="AM103" s="23" t="str">
        <f t="shared" si="1388"/>
        <v/>
      </c>
      <c r="AN103" s="23" t="str">
        <f t="shared" ref="D103:AN103" si="1389">IF(AN$8="","",IF(AN102=0,"",AN102/(AN99*100)))</f>
        <v/>
      </c>
      <c r="AO103" s="23" t="str">
        <f t="shared" ref="AO103:AS103" si="1390">IF(AO$8="","",IF(AO102=0,"",AO102/(AO99*100)))</f>
        <v/>
      </c>
      <c r="AP103" s="23" t="str">
        <f t="shared" si="1390"/>
        <v/>
      </c>
      <c r="AQ103" s="23" t="str">
        <f t="shared" si="1390"/>
        <v/>
      </c>
      <c r="AR103" s="23" t="str">
        <f t="shared" si="1390"/>
        <v/>
      </c>
      <c r="AS103" s="23" t="str">
        <f t="shared" si="1390"/>
        <v/>
      </c>
    </row>
    <row r="104" spans="1:45" x14ac:dyDescent="0.15">
      <c r="A104" s="17" t="s">
        <v>1</v>
      </c>
      <c r="B104" s="39" t="s">
        <v>2</v>
      </c>
      <c r="C104" s="38">
        <v>3269</v>
      </c>
      <c r="D104" s="38">
        <v>3269</v>
      </c>
      <c r="E104" s="38">
        <v>3305</v>
      </c>
      <c r="F104" s="38">
        <v>3305</v>
      </c>
      <c r="G104" s="38">
        <v>3305</v>
      </c>
      <c r="H104" s="38">
        <v>3305</v>
      </c>
      <c r="I104" s="38">
        <v>3321</v>
      </c>
      <c r="J104" s="38">
        <f>IF(J$8="","",I104)</f>
        <v>3321</v>
      </c>
      <c r="K104" s="38">
        <f t="shared" ref="K104:K105" si="1391">IF(K$8="","",J104)</f>
        <v>3321</v>
      </c>
      <c r="L104" s="38">
        <v>3347</v>
      </c>
      <c r="M104" s="38" t="str">
        <f>IF(M$8="","",L104)</f>
        <v/>
      </c>
      <c r="N104" s="38" t="str">
        <f t="shared" ref="N104:N105" si="1392">IF(N$8="","",M104)</f>
        <v/>
      </c>
      <c r="O104" s="38" t="str">
        <f t="shared" ref="O104:O105" si="1393">IF(O$8="","",N104)</f>
        <v/>
      </c>
      <c r="P104" s="38" t="str">
        <f>IF(P$8="","",O104)</f>
        <v/>
      </c>
      <c r="Q104" s="38" t="str">
        <f>IF(Q$8="","",P104)</f>
        <v/>
      </c>
      <c r="R104" s="38" t="str">
        <f t="shared" ref="R104:R105" si="1394">IF(R$8="","",Q104)</f>
        <v/>
      </c>
      <c r="S104" s="38" t="str">
        <f>IF(S$8="","",R104)</f>
        <v/>
      </c>
      <c r="T104" s="38" t="str">
        <f>IF(T$8="","",S104)</f>
        <v/>
      </c>
      <c r="U104" s="38" t="str">
        <f t="shared" ref="U104:U105" si="1395">IF(U$8="","",T104)</f>
        <v/>
      </c>
      <c r="V104" s="38" t="str">
        <f t="shared" ref="V104:V105" si="1396">IF(V$8="","",U104)</f>
        <v/>
      </c>
      <c r="W104" s="38" t="str">
        <f>IF(W$8="","",V104)</f>
        <v/>
      </c>
      <c r="X104" s="38" t="str">
        <f>IF(X$8="","",W104)</f>
        <v/>
      </c>
      <c r="Y104" s="38" t="str">
        <f t="shared" ref="Y104:Y105" si="1397">IF(Y$8="","",X104)</f>
        <v/>
      </c>
      <c r="Z104" s="38" t="str">
        <f>IF(Z$8="","",Y104)</f>
        <v/>
      </c>
      <c r="AA104" s="38" t="str">
        <f>IF(AA$8="","",Z104)</f>
        <v/>
      </c>
      <c r="AB104" s="38" t="str">
        <f t="shared" ref="AB104:AB105" si="1398">IF(AB$8="","",AA104)</f>
        <v/>
      </c>
      <c r="AC104" s="38" t="str">
        <f t="shared" ref="AC104:AC105" si="1399">IF(AC$8="","",AB104)</f>
        <v/>
      </c>
      <c r="AD104" s="38" t="str">
        <f>IF(AD$8="","",AC104)</f>
        <v/>
      </c>
      <c r="AE104" s="38" t="str">
        <f>IF(AE$8="","",AD104)</f>
        <v/>
      </c>
      <c r="AF104" s="38" t="str">
        <f t="shared" ref="AF104:AF105" si="1400">IF(AF$8="","",AE104)</f>
        <v/>
      </c>
      <c r="AG104" s="38" t="str">
        <f>IF(AG$8="","",AF104)</f>
        <v/>
      </c>
      <c r="AH104" s="38" t="str">
        <f t="shared" ref="AH104:AH105" si="1401">IF(AH$8="","",AG104)</f>
        <v/>
      </c>
      <c r="AI104" s="38" t="str">
        <f t="shared" ref="AI104:AI105" si="1402">IF(AI$8="","",AH104)</f>
        <v/>
      </c>
      <c r="AJ104" s="38" t="str">
        <f t="shared" ref="AJ104:AJ105" si="1403">IF(AJ$8="","",AI104)</f>
        <v/>
      </c>
      <c r="AK104" s="38" t="str">
        <f>IF(AK$8="","",AJ104)</f>
        <v/>
      </c>
      <c r="AL104" s="38" t="str">
        <f t="shared" ref="AL104:AL105" si="1404">IF(AL$8="","",AK104)</f>
        <v/>
      </c>
      <c r="AM104" s="38" t="str">
        <f t="shared" ref="AM104:AM105" si="1405">IF(AM$8="","",AL104)</f>
        <v/>
      </c>
      <c r="AN104" s="38" t="str">
        <f t="shared" ref="AN104:AN105" si="1406">IF(AN$8="","",AM104)</f>
        <v/>
      </c>
      <c r="AO104" s="38" t="str">
        <f t="shared" ref="AO104:AS104" si="1407">IF(AO$8="","",AN104)</f>
        <v/>
      </c>
      <c r="AP104" s="38" t="str">
        <f t="shared" si="1407"/>
        <v/>
      </c>
      <c r="AQ104" s="38" t="str">
        <f t="shared" si="1407"/>
        <v/>
      </c>
      <c r="AR104" s="38" t="str">
        <f t="shared" si="1407"/>
        <v/>
      </c>
      <c r="AS104" s="38" t="str">
        <f t="shared" si="1407"/>
        <v/>
      </c>
    </row>
    <row r="105" spans="1:45" x14ac:dyDescent="0.15">
      <c r="A105" s="16" t="s">
        <v>27</v>
      </c>
      <c r="B105" s="30" t="s">
        <v>4</v>
      </c>
      <c r="C105" s="29">
        <v>62</v>
      </c>
      <c r="D105" s="29">
        <v>62</v>
      </c>
      <c r="E105" s="29">
        <v>62</v>
      </c>
      <c r="F105" s="29">
        <v>62</v>
      </c>
      <c r="G105" s="29">
        <v>62</v>
      </c>
      <c r="H105" s="29">
        <v>62</v>
      </c>
      <c r="I105" s="29">
        <v>63</v>
      </c>
      <c r="J105" s="29">
        <f>IF(J$8="","",I105)</f>
        <v>63</v>
      </c>
      <c r="K105" s="29">
        <f t="shared" si="1391"/>
        <v>63</v>
      </c>
      <c r="L105" s="29">
        <f>IF(L$8="","",K105)</f>
        <v>63</v>
      </c>
      <c r="M105" s="29" t="str">
        <f>IF(M$8="","",L105)</f>
        <v/>
      </c>
      <c r="N105" s="29" t="str">
        <f t="shared" si="1392"/>
        <v/>
      </c>
      <c r="O105" s="29" t="str">
        <f t="shared" si="1393"/>
        <v/>
      </c>
      <c r="P105" s="29" t="str">
        <f>IF(P$8="","",O105)</f>
        <v/>
      </c>
      <c r="Q105" s="29" t="str">
        <f>IF(Q$8="","",P105)</f>
        <v/>
      </c>
      <c r="R105" s="29" t="str">
        <f t="shared" si="1394"/>
        <v/>
      </c>
      <c r="S105" s="29" t="str">
        <f t="shared" ref="S104:S105" si="1408">IF(S$8="","",R105)</f>
        <v/>
      </c>
      <c r="T105" s="29" t="str">
        <f t="shared" ref="T105" si="1409">IF(T$8="","",S105)</f>
        <v/>
      </c>
      <c r="U105" s="29" t="str">
        <f t="shared" si="1395"/>
        <v/>
      </c>
      <c r="V105" s="29" t="str">
        <f t="shared" si="1396"/>
        <v/>
      </c>
      <c r="W105" s="29" t="str">
        <f>IF(W$8="","",V105)</f>
        <v/>
      </c>
      <c r="X105" s="29" t="str">
        <f>IF(X$8="","",W105)</f>
        <v/>
      </c>
      <c r="Y105" s="29" t="str">
        <f t="shared" si="1397"/>
        <v/>
      </c>
      <c r="Z105" s="29" t="str">
        <f>IF(Z$8="","",Y105)</f>
        <v/>
      </c>
      <c r="AA105" s="29" t="str">
        <f>IF(AA$8="","",Z105)</f>
        <v/>
      </c>
      <c r="AB105" s="29" t="str">
        <f t="shared" si="1398"/>
        <v/>
      </c>
      <c r="AC105" s="29" t="str">
        <f t="shared" si="1399"/>
        <v/>
      </c>
      <c r="AD105" s="29" t="str">
        <f t="shared" ref="AD104:AD105" si="1410">IF(AD$8="","",AC105)</f>
        <v/>
      </c>
      <c r="AE105" s="29" t="str">
        <f t="shared" ref="AE105" si="1411">IF(AE$8="","",AD105)</f>
        <v/>
      </c>
      <c r="AF105" s="29" t="str">
        <f t="shared" si="1400"/>
        <v/>
      </c>
      <c r="AG105" s="29" t="str">
        <f t="shared" ref="AG104:AG105" si="1412">IF(AG$8="","",AF105)</f>
        <v/>
      </c>
      <c r="AH105" s="29" t="str">
        <f t="shared" si="1401"/>
        <v/>
      </c>
      <c r="AI105" s="29" t="str">
        <f t="shared" si="1402"/>
        <v/>
      </c>
      <c r="AJ105" s="29" t="str">
        <f t="shared" si="1403"/>
        <v/>
      </c>
      <c r="AK105" s="29" t="str">
        <f>IF(AK$8="","",AJ105)</f>
        <v/>
      </c>
      <c r="AL105" s="29" t="str">
        <f t="shared" si="1404"/>
        <v/>
      </c>
      <c r="AM105" s="29" t="str">
        <f t="shared" si="1405"/>
        <v/>
      </c>
      <c r="AN105" s="29" t="str">
        <f t="shared" si="1406"/>
        <v/>
      </c>
      <c r="AO105" s="29" t="str">
        <f t="shared" ref="AO105:AS105" si="1413">IF(AO$8="","",AN105)</f>
        <v/>
      </c>
      <c r="AP105" s="29" t="str">
        <f t="shared" si="1413"/>
        <v/>
      </c>
      <c r="AQ105" s="29" t="str">
        <f t="shared" si="1413"/>
        <v/>
      </c>
      <c r="AR105" s="29" t="str">
        <f t="shared" si="1413"/>
        <v/>
      </c>
      <c r="AS105" s="29" t="str">
        <f t="shared" si="1413"/>
        <v/>
      </c>
    </row>
    <row r="106" spans="1:45" x14ac:dyDescent="0.15">
      <c r="A106" s="15">
        <v>1</v>
      </c>
      <c r="B106" s="30" t="s">
        <v>5</v>
      </c>
      <c r="C106" s="29">
        <v>12</v>
      </c>
      <c r="D106" s="29">
        <v>12</v>
      </c>
      <c r="E106" s="29">
        <v>12</v>
      </c>
      <c r="F106" s="29">
        <v>12</v>
      </c>
      <c r="G106" s="29">
        <v>12</v>
      </c>
      <c r="H106" s="29">
        <v>12</v>
      </c>
      <c r="I106" s="29">
        <v>11</v>
      </c>
      <c r="J106" s="29">
        <f>IF(J$8="","",(I106+I107))</f>
        <v>11</v>
      </c>
      <c r="K106" s="29">
        <f t="shared" ref="K106" si="1414">IF(K$8="","",(J106+J107))</f>
        <v>11</v>
      </c>
      <c r="L106" s="29">
        <f t="shared" ref="L106" si="1415">IF(L$8="","",(K106+K107))</f>
        <v>11</v>
      </c>
      <c r="M106" s="29" t="str">
        <f>IF(M$8="","",(L106+L107))</f>
        <v/>
      </c>
      <c r="N106" s="29" t="str">
        <f t="shared" ref="N106" si="1416">IF(N$8="","",(M106+M107))</f>
        <v/>
      </c>
      <c r="O106" s="29" t="str">
        <f t="shared" ref="O106" si="1417">IF(O$8="","",(N106+N107))</f>
        <v/>
      </c>
      <c r="P106" s="29" t="str">
        <f>IF(P$8="","",(O106+O107))</f>
        <v/>
      </c>
      <c r="Q106" s="29" t="str">
        <f t="shared" ref="Q106" si="1418">IF(Q$8="","",(P106+P107))</f>
        <v/>
      </c>
      <c r="R106" s="29" t="str">
        <f t="shared" ref="R106" si="1419">IF(R$8="","",(Q106+Q107))</f>
        <v/>
      </c>
      <c r="S106" s="29" t="str">
        <f t="shared" ref="S106" si="1420">IF(S$8="","",(R106+R107))</f>
        <v/>
      </c>
      <c r="T106" s="29" t="str">
        <f t="shared" ref="T106" si="1421">IF(T$8="","",(S106+S107))</f>
        <v/>
      </c>
      <c r="U106" s="29" t="str">
        <f t="shared" ref="U106" si="1422">IF(U$8="","",(T106+T107))</f>
        <v/>
      </c>
      <c r="V106" s="29" t="str">
        <f t="shared" ref="V106" si="1423">IF(V$8="","",(U106+U107))</f>
        <v/>
      </c>
      <c r="W106" s="29" t="str">
        <f>IF(W$8="","",(V106+V107))</f>
        <v/>
      </c>
      <c r="X106" s="29" t="str">
        <f t="shared" ref="X106" si="1424">IF(X$8="","",(W106+W107))</f>
        <v/>
      </c>
      <c r="Y106" s="29" t="str">
        <f t="shared" ref="Y106" si="1425">IF(Y$8="","",(X106+X107))</f>
        <v/>
      </c>
      <c r="Z106" s="29" t="str">
        <f>IF(Z$8="","",(Y106+Y107))</f>
        <v/>
      </c>
      <c r="AA106" s="29" t="str">
        <f>IF(AA$8="","",(Z106+Z107))</f>
        <v/>
      </c>
      <c r="AB106" s="29" t="str">
        <f t="shared" ref="AB106" si="1426">IF(AB$8="","",(AA106+AA107))</f>
        <v/>
      </c>
      <c r="AC106" s="29" t="str">
        <f t="shared" ref="AC106" si="1427">IF(AC$8="","",(AB106+AB107))</f>
        <v/>
      </c>
      <c r="AD106" s="29" t="str">
        <f t="shared" ref="AD106" si="1428">IF(AD$8="","",(AC106+AC107))</f>
        <v/>
      </c>
      <c r="AE106" s="29" t="str">
        <f t="shared" ref="AE106" si="1429">IF(AE$8="","",(AD106+AD107))</f>
        <v/>
      </c>
      <c r="AF106" s="29" t="str">
        <f t="shared" ref="AF106" si="1430">IF(AF$8="","",(AE106+AE107))</f>
        <v/>
      </c>
      <c r="AG106" s="29" t="str">
        <f t="shared" ref="AG106" si="1431">IF(AG$8="","",(AF106+AF107))</f>
        <v/>
      </c>
      <c r="AH106" s="29" t="str">
        <f t="shared" ref="AH106" si="1432">IF(AH$8="","",(AG106+AG107))</f>
        <v/>
      </c>
      <c r="AI106" s="29" t="str">
        <f t="shared" ref="AI106" si="1433">IF(AI$8="","",(AH106+AH107))</f>
        <v/>
      </c>
      <c r="AJ106" s="29" t="str">
        <f t="shared" ref="AJ106" si="1434">IF(AJ$8="","",(AI106+AI107))</f>
        <v/>
      </c>
      <c r="AK106" s="29" t="str">
        <f>IF(AK$8="","",(AJ106+AJ107))</f>
        <v/>
      </c>
      <c r="AL106" s="29" t="str">
        <f t="shared" ref="AL106" si="1435">IF(AL$8="","",(AK106+AK107))</f>
        <v/>
      </c>
      <c r="AM106" s="29" t="str">
        <f t="shared" ref="AM106" si="1436">IF(AM$8="","",(AL106+AL107))</f>
        <v/>
      </c>
      <c r="AN106" s="29" t="str">
        <f t="shared" ref="AN106" si="1437">IF(AN$8="","",(AM106+AM107))</f>
        <v/>
      </c>
      <c r="AO106" s="29" t="str">
        <f t="shared" ref="AO106:AS106" si="1438">IF(AO$8="","",(AN106+AN107))</f>
        <v/>
      </c>
      <c r="AP106" s="29" t="str">
        <f t="shared" si="1438"/>
        <v/>
      </c>
      <c r="AQ106" s="29" t="str">
        <f t="shared" si="1438"/>
        <v/>
      </c>
      <c r="AR106" s="29" t="str">
        <f t="shared" si="1438"/>
        <v/>
      </c>
      <c r="AS106" s="29" t="str">
        <f t="shared" si="1438"/>
        <v/>
      </c>
    </row>
    <row r="107" spans="1:45" x14ac:dyDescent="0.15">
      <c r="A107" s="92" t="s">
        <v>6</v>
      </c>
      <c r="B107" s="30" t="s">
        <v>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x14ac:dyDescent="0.15">
      <c r="A108" s="93">
        <f>+(A111+A123+A135+A147)*100</f>
        <v>65400</v>
      </c>
      <c r="B108" s="30" t="s">
        <v>8</v>
      </c>
      <c r="C108" s="35">
        <v>800</v>
      </c>
      <c r="D108" s="35">
        <v>800</v>
      </c>
      <c r="E108" s="35">
        <v>800</v>
      </c>
      <c r="F108" s="35">
        <v>800</v>
      </c>
      <c r="G108" s="35">
        <v>800</v>
      </c>
      <c r="H108" s="35">
        <v>800</v>
      </c>
      <c r="I108" s="35">
        <v>800</v>
      </c>
      <c r="J108" s="35">
        <f t="shared" ref="J108:J109" si="1439">IF(J$8="","",I108)</f>
        <v>800</v>
      </c>
      <c r="K108" s="35">
        <f t="shared" ref="K108:K109" si="1440">IF(K$8="","",J108)</f>
        <v>800</v>
      </c>
      <c r="L108" s="35">
        <f t="shared" ref="L108:L109" si="1441">IF(L$8="","",K108)</f>
        <v>800</v>
      </c>
      <c r="M108" s="35" t="str">
        <f t="shared" ref="M108:M109" si="1442">IF(M$8="","",L108)</f>
        <v/>
      </c>
      <c r="N108" s="35" t="str">
        <f t="shared" ref="N108:N109" si="1443">IF(N$8="","",M108)</f>
        <v/>
      </c>
      <c r="O108" s="35" t="str">
        <f t="shared" ref="O108:O109" si="1444">IF(O$8="","",N108)</f>
        <v/>
      </c>
      <c r="P108" s="35" t="str">
        <f t="shared" ref="P108:P109" si="1445">IF(P$8="","",O108)</f>
        <v/>
      </c>
      <c r="Q108" s="35" t="str">
        <f t="shared" ref="Q108:Q109" si="1446">IF(Q$8="","",P108)</f>
        <v/>
      </c>
      <c r="R108" s="35" t="str">
        <f t="shared" ref="R108:R109" si="1447">IF(R$8="","",Q108)</f>
        <v/>
      </c>
      <c r="S108" s="35" t="str">
        <f t="shared" ref="S108:S109" si="1448">IF(S$8="","",R108)</f>
        <v/>
      </c>
      <c r="T108" s="35" t="str">
        <f t="shared" ref="T108:T109" si="1449">IF(T$8="","",S108)</f>
        <v/>
      </c>
      <c r="U108" s="35" t="str">
        <f t="shared" ref="U108:U109" si="1450">IF(U$8="","",T108)</f>
        <v/>
      </c>
      <c r="V108" s="35" t="str">
        <f t="shared" ref="V108:V109" si="1451">IF(V$8="","",U108)</f>
        <v/>
      </c>
      <c r="W108" s="35" t="str">
        <f t="shared" ref="W108:W109" si="1452">IF(W$8="","",V108)</f>
        <v/>
      </c>
      <c r="X108" s="35" t="str">
        <f t="shared" ref="X108:X109" si="1453">IF(X$8="","",W108)</f>
        <v/>
      </c>
      <c r="Y108" s="35" t="str">
        <f t="shared" ref="Y108:Y109" si="1454">IF(Y$8="","",X108)</f>
        <v/>
      </c>
      <c r="Z108" s="35" t="str">
        <f t="shared" ref="Z108:Z109" si="1455">IF(Z$8="","",Y108)</f>
        <v/>
      </c>
      <c r="AA108" s="35" t="str">
        <f t="shared" ref="AA108:AA109" si="1456">IF(AA$8="","",Z108)</f>
        <v/>
      </c>
      <c r="AB108" s="35" t="str">
        <f t="shared" ref="AB108:AB109" si="1457">IF(AB$8="","",AA108)</f>
        <v/>
      </c>
      <c r="AC108" s="35" t="str">
        <f t="shared" ref="AC108:AC109" si="1458">IF(AC$8="","",AB108)</f>
        <v/>
      </c>
      <c r="AD108" s="35" t="str">
        <f t="shared" ref="AD108:AD109" si="1459">IF(AD$8="","",AC108)</f>
        <v/>
      </c>
      <c r="AE108" s="35" t="str">
        <f t="shared" ref="AE108:AE109" si="1460">IF(AE$8="","",AD108)</f>
        <v/>
      </c>
      <c r="AF108" s="35" t="str">
        <f t="shared" ref="AF108:AF109" si="1461">IF(AF$8="","",AE108)</f>
        <v/>
      </c>
      <c r="AG108" s="35" t="str">
        <f t="shared" ref="AG108:AG109" si="1462">IF(AG$8="","",AF108)</f>
        <v/>
      </c>
      <c r="AH108" s="35" t="str">
        <f t="shared" ref="AH108:AH109" si="1463">IF(AH$8="","",AG108)</f>
        <v/>
      </c>
      <c r="AI108" s="35" t="str">
        <f t="shared" ref="AI108:AI109" si="1464">IF(AI$8="","",AH108)</f>
        <v/>
      </c>
      <c r="AJ108" s="35" t="str">
        <f t="shared" ref="AJ108:AJ109" si="1465">IF(AJ$8="","",AI108)</f>
        <v/>
      </c>
      <c r="AK108" s="35" t="str">
        <f t="shared" ref="AK108:AK109" si="1466">IF(AK$8="","",AJ108)</f>
        <v/>
      </c>
      <c r="AL108" s="35" t="str">
        <f t="shared" ref="AL108:AL109" si="1467">IF(AL$8="","",AK108)</f>
        <v/>
      </c>
      <c r="AM108" s="35" t="str">
        <f t="shared" ref="AM108:AM109" si="1468">IF(AM$8="","",AL108)</f>
        <v/>
      </c>
      <c r="AN108" s="35" t="str">
        <f t="shared" ref="AN108:AN109" si="1469">IF(AN$8="","",AM108)</f>
        <v/>
      </c>
      <c r="AO108" s="35" t="str">
        <f t="shared" ref="AO108:AS108" si="1470">IF(AO$8="","",AN108)</f>
        <v/>
      </c>
      <c r="AP108" s="35" t="str">
        <f t="shared" si="1470"/>
        <v/>
      </c>
      <c r="AQ108" s="35" t="str">
        <f t="shared" si="1470"/>
        <v/>
      </c>
      <c r="AR108" s="35" t="str">
        <f t="shared" si="1470"/>
        <v/>
      </c>
      <c r="AS108" s="35" t="str">
        <f t="shared" si="1470"/>
        <v/>
      </c>
    </row>
    <row r="109" spans="1:45" s="85" customFormat="1" x14ac:dyDescent="0.15">
      <c r="A109" s="14" t="s">
        <v>9</v>
      </c>
      <c r="B109" s="33" t="s">
        <v>10</v>
      </c>
      <c r="C109" s="32" t="s">
        <v>28</v>
      </c>
      <c r="D109" s="32" t="s">
        <v>28</v>
      </c>
      <c r="E109" s="32" t="s">
        <v>28</v>
      </c>
      <c r="F109" s="32" t="s">
        <v>28</v>
      </c>
      <c r="G109" s="32" t="s">
        <v>28</v>
      </c>
      <c r="H109" s="32" t="s">
        <v>28</v>
      </c>
      <c r="I109" s="32" t="s">
        <v>28</v>
      </c>
      <c r="J109" s="32" t="str">
        <f t="shared" si="1439"/>
        <v>ジャグラーイヤホン</v>
      </c>
      <c r="K109" s="32" t="str">
        <f t="shared" si="1440"/>
        <v>ジャグラーイヤホン</v>
      </c>
      <c r="L109" s="32" t="str">
        <f t="shared" si="1441"/>
        <v>ジャグラーイヤホン</v>
      </c>
      <c r="M109" s="32" t="str">
        <f t="shared" si="1442"/>
        <v/>
      </c>
      <c r="N109" s="32" t="str">
        <f t="shared" si="1443"/>
        <v/>
      </c>
      <c r="O109" s="32" t="str">
        <f t="shared" si="1444"/>
        <v/>
      </c>
      <c r="P109" s="32" t="str">
        <f t="shared" si="1445"/>
        <v/>
      </c>
      <c r="Q109" s="32" t="str">
        <f t="shared" si="1446"/>
        <v/>
      </c>
      <c r="R109" s="32" t="str">
        <f t="shared" si="1447"/>
        <v/>
      </c>
      <c r="S109" s="32" t="str">
        <f t="shared" si="1448"/>
        <v/>
      </c>
      <c r="T109" s="32" t="str">
        <f t="shared" si="1449"/>
        <v/>
      </c>
      <c r="U109" s="32" t="str">
        <f t="shared" si="1450"/>
        <v/>
      </c>
      <c r="V109" s="32" t="str">
        <f t="shared" si="1451"/>
        <v/>
      </c>
      <c r="W109" s="32" t="str">
        <f t="shared" si="1452"/>
        <v/>
      </c>
      <c r="X109" s="32" t="str">
        <f t="shared" si="1453"/>
        <v/>
      </c>
      <c r="Y109" s="32" t="str">
        <f t="shared" si="1454"/>
        <v/>
      </c>
      <c r="Z109" s="32" t="str">
        <f t="shared" si="1455"/>
        <v/>
      </c>
      <c r="AA109" s="32" t="str">
        <f t="shared" si="1456"/>
        <v/>
      </c>
      <c r="AB109" s="32" t="str">
        <f t="shared" si="1457"/>
        <v/>
      </c>
      <c r="AC109" s="32" t="str">
        <f t="shared" si="1458"/>
        <v/>
      </c>
      <c r="AD109" s="32" t="str">
        <f t="shared" si="1459"/>
        <v/>
      </c>
      <c r="AE109" s="32" t="str">
        <f t="shared" si="1460"/>
        <v/>
      </c>
      <c r="AF109" s="32" t="str">
        <f t="shared" si="1461"/>
        <v/>
      </c>
      <c r="AG109" s="32" t="str">
        <f t="shared" si="1462"/>
        <v/>
      </c>
      <c r="AH109" s="32" t="str">
        <f t="shared" si="1463"/>
        <v/>
      </c>
      <c r="AI109" s="32" t="str">
        <f t="shared" si="1464"/>
        <v/>
      </c>
      <c r="AJ109" s="32" t="str">
        <f t="shared" si="1465"/>
        <v/>
      </c>
      <c r="AK109" s="32" t="str">
        <f t="shared" si="1466"/>
        <v/>
      </c>
      <c r="AL109" s="32" t="str">
        <f t="shared" si="1467"/>
        <v/>
      </c>
      <c r="AM109" s="32" t="str">
        <f t="shared" si="1468"/>
        <v/>
      </c>
      <c r="AN109" s="32" t="str">
        <f t="shared" si="1469"/>
        <v/>
      </c>
      <c r="AO109" s="32" t="str">
        <f t="shared" ref="AO109:AS109" si="1471">IF(AO$8="","",AN109)</f>
        <v/>
      </c>
      <c r="AP109" s="32" t="str">
        <f t="shared" si="1471"/>
        <v/>
      </c>
      <c r="AQ109" s="32" t="str">
        <f t="shared" si="1471"/>
        <v/>
      </c>
      <c r="AR109" s="32" t="str">
        <f t="shared" si="1471"/>
        <v/>
      </c>
      <c r="AS109" s="32" t="str">
        <f t="shared" si="1471"/>
        <v/>
      </c>
    </row>
    <row r="110" spans="1:45" x14ac:dyDescent="0.15">
      <c r="A110" s="7">
        <f>AVERAGE(C111:AS111)*30*100</f>
        <v>23400</v>
      </c>
      <c r="B110" s="30" t="s">
        <v>12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x14ac:dyDescent="0.15">
      <c r="A111" s="7">
        <f>SUM(C111:AS111)</f>
        <v>78</v>
      </c>
      <c r="B111" s="27" t="s">
        <v>13</v>
      </c>
      <c r="C111" s="26">
        <v>0</v>
      </c>
      <c r="D111" s="26">
        <v>0</v>
      </c>
      <c r="E111" s="26">
        <v>36</v>
      </c>
      <c r="F111" s="26">
        <v>0</v>
      </c>
      <c r="G111" s="26">
        <v>0</v>
      </c>
      <c r="H111" s="26">
        <v>0</v>
      </c>
      <c r="I111" s="26">
        <v>16</v>
      </c>
      <c r="J111" s="26">
        <f t="shared" ref="J111:J112" si="1472">IF(J$8="","",J104-I104)</f>
        <v>0</v>
      </c>
      <c r="K111" s="26">
        <f t="shared" ref="K111:K112" si="1473">IF(K$8="","",K104-J104)</f>
        <v>0</v>
      </c>
      <c r="L111" s="26">
        <f t="shared" ref="L111:L112" si="1474">IF(L$8="","",L104-K104)</f>
        <v>26</v>
      </c>
      <c r="M111" s="26" t="str">
        <f t="shared" ref="M111:M112" si="1475">IF(M$8="","",M104-L104)</f>
        <v/>
      </c>
      <c r="N111" s="26" t="str">
        <f t="shared" ref="N111:N112" si="1476">IF(N$8="","",N104-M104)</f>
        <v/>
      </c>
      <c r="O111" s="26" t="str">
        <f t="shared" ref="O111:O112" si="1477">IF(O$8="","",O104-N104)</f>
        <v/>
      </c>
      <c r="P111" s="26" t="str">
        <f t="shared" ref="P111:P112" si="1478">IF(P$8="","",P104-O104)</f>
        <v/>
      </c>
      <c r="Q111" s="26" t="str">
        <f t="shared" ref="Q111:Q112" si="1479">IF(Q$8="","",Q104-P104)</f>
        <v/>
      </c>
      <c r="R111" s="26" t="str">
        <f t="shared" ref="R111:R112" si="1480">IF(R$8="","",R104-Q104)</f>
        <v/>
      </c>
      <c r="S111" s="26" t="str">
        <f t="shared" ref="S111:S112" si="1481">IF(S$8="","",S104-R104)</f>
        <v/>
      </c>
      <c r="T111" s="26" t="str">
        <f t="shared" ref="T111:T112" si="1482">IF(T$8="","",T104-S104)</f>
        <v/>
      </c>
      <c r="U111" s="26" t="str">
        <f t="shared" ref="U111:U112" si="1483">IF(U$8="","",U104-T104)</f>
        <v/>
      </c>
      <c r="V111" s="26" t="str">
        <f t="shared" ref="V111:V112" si="1484">IF(V$8="","",V104-U104)</f>
        <v/>
      </c>
      <c r="W111" s="26" t="str">
        <f t="shared" ref="W111:W112" si="1485">IF(W$8="","",W104-V104)</f>
        <v/>
      </c>
      <c r="X111" s="26" t="str">
        <f t="shared" ref="X111:X112" si="1486">IF(X$8="","",X104-W104)</f>
        <v/>
      </c>
      <c r="Y111" s="26" t="str">
        <f t="shared" ref="Y111:Y112" si="1487">IF(Y$8="","",Y104-X104)</f>
        <v/>
      </c>
      <c r="Z111" s="26" t="str">
        <f t="shared" ref="Z111:Z112" si="1488">IF(Z$8="","",Z104-Y104)</f>
        <v/>
      </c>
      <c r="AA111" s="26" t="str">
        <f t="shared" ref="AA111:AA112" si="1489">IF(AA$8="","",AA104-Z104)</f>
        <v/>
      </c>
      <c r="AB111" s="26" t="str">
        <f t="shared" ref="AB111:AB112" si="1490">IF(AB$8="","",AB104-AA104)</f>
        <v/>
      </c>
      <c r="AC111" s="26" t="str">
        <f t="shared" ref="AC111:AC112" si="1491">IF(AC$8="","",AC104-AB104)</f>
        <v/>
      </c>
      <c r="AD111" s="26" t="str">
        <f t="shared" ref="AD111:AD112" si="1492">IF(AD$8="","",AD104-AC104)</f>
        <v/>
      </c>
      <c r="AE111" s="26" t="str">
        <f t="shared" ref="AE111:AE112" si="1493">IF(AE$8="","",AE104-AD104)</f>
        <v/>
      </c>
      <c r="AF111" s="26" t="str">
        <f t="shared" ref="AF111:AF112" si="1494">IF(AF$8="","",AF104-AE104)</f>
        <v/>
      </c>
      <c r="AG111" s="26" t="str">
        <f t="shared" ref="AG111:AG112" si="1495">IF(AG$8="","",AG104-AF104)</f>
        <v/>
      </c>
      <c r="AH111" s="26" t="str">
        <f t="shared" ref="AH111:AH112" si="1496">IF(AH$8="","",AH104-AG104)</f>
        <v/>
      </c>
      <c r="AI111" s="26" t="str">
        <f t="shared" ref="AI111:AI112" si="1497">IF(AI$8="","",AI104-AH104)</f>
        <v/>
      </c>
      <c r="AJ111" s="26" t="str">
        <f t="shared" ref="AJ111:AJ112" si="1498">IF(AJ$8="","",AJ104-AI104)</f>
        <v/>
      </c>
      <c r="AK111" s="26" t="str">
        <f t="shared" ref="AK111:AK112" si="1499">IF(AK$8="","",AK104-AJ104)</f>
        <v/>
      </c>
      <c r="AL111" s="26" t="str">
        <f t="shared" ref="AL111:AL112" si="1500">IF(AL$8="","",AL104-AK104)</f>
        <v/>
      </c>
      <c r="AM111" s="26" t="str">
        <f t="shared" ref="AM111:AM112" si="1501">IF(AM$8="","",AM104-AL104)</f>
        <v/>
      </c>
      <c r="AN111" s="26" t="str">
        <f t="shared" ref="AN111:AN112" si="1502">IF(AN$8="","",AN104-AM104)</f>
        <v/>
      </c>
      <c r="AO111" s="26" t="str">
        <f t="shared" ref="AO111:AS111" si="1503">IF(AO$8="","",AO104-AN104)</f>
        <v/>
      </c>
      <c r="AP111" s="26" t="str">
        <f t="shared" si="1503"/>
        <v/>
      </c>
      <c r="AQ111" s="26" t="str">
        <f t="shared" si="1503"/>
        <v/>
      </c>
      <c r="AR111" s="26" t="str">
        <f t="shared" si="1503"/>
        <v/>
      </c>
      <c r="AS111" s="26" t="str">
        <f t="shared" si="1503"/>
        <v/>
      </c>
    </row>
    <row r="112" spans="1:45" x14ac:dyDescent="0.15">
      <c r="A112" s="7">
        <f>SUM(C112:AS112)</f>
        <v>1</v>
      </c>
      <c r="B112" s="27" t="s">
        <v>14</v>
      </c>
      <c r="C112" s="26">
        <v>0</v>
      </c>
      <c r="D112" s="26">
        <v>0</v>
      </c>
      <c r="E112" s="26">
        <v>0</v>
      </c>
      <c r="F112" s="26">
        <v>0</v>
      </c>
      <c r="G112" s="26">
        <v>0</v>
      </c>
      <c r="H112" s="26">
        <v>0</v>
      </c>
      <c r="I112" s="26">
        <v>1</v>
      </c>
      <c r="J112" s="26">
        <f t="shared" si="1472"/>
        <v>0</v>
      </c>
      <c r="K112" s="26">
        <f t="shared" si="1473"/>
        <v>0</v>
      </c>
      <c r="L112" s="26">
        <f t="shared" si="1474"/>
        <v>0</v>
      </c>
      <c r="M112" s="26" t="str">
        <f t="shared" si="1475"/>
        <v/>
      </c>
      <c r="N112" s="26" t="str">
        <f t="shared" si="1476"/>
        <v/>
      </c>
      <c r="O112" s="26" t="str">
        <f t="shared" si="1477"/>
        <v/>
      </c>
      <c r="P112" s="26" t="str">
        <f t="shared" si="1478"/>
        <v/>
      </c>
      <c r="Q112" s="26" t="str">
        <f t="shared" si="1479"/>
        <v/>
      </c>
      <c r="R112" s="26" t="str">
        <f t="shared" si="1480"/>
        <v/>
      </c>
      <c r="S112" s="26" t="str">
        <f t="shared" si="1481"/>
        <v/>
      </c>
      <c r="T112" s="26" t="str">
        <f t="shared" si="1482"/>
        <v/>
      </c>
      <c r="U112" s="26" t="str">
        <f t="shared" si="1483"/>
        <v/>
      </c>
      <c r="V112" s="26" t="str">
        <f t="shared" si="1484"/>
        <v/>
      </c>
      <c r="W112" s="26" t="str">
        <f t="shared" si="1485"/>
        <v/>
      </c>
      <c r="X112" s="26" t="str">
        <f t="shared" si="1486"/>
        <v/>
      </c>
      <c r="Y112" s="26" t="str">
        <f t="shared" si="1487"/>
        <v/>
      </c>
      <c r="Z112" s="26" t="str">
        <f t="shared" si="1488"/>
        <v/>
      </c>
      <c r="AA112" s="26" t="str">
        <f t="shared" si="1489"/>
        <v/>
      </c>
      <c r="AB112" s="26" t="str">
        <f t="shared" si="1490"/>
        <v/>
      </c>
      <c r="AC112" s="26" t="str">
        <f t="shared" si="1491"/>
        <v/>
      </c>
      <c r="AD112" s="26" t="str">
        <f t="shared" si="1492"/>
        <v/>
      </c>
      <c r="AE112" s="26" t="str">
        <f t="shared" si="1493"/>
        <v/>
      </c>
      <c r="AF112" s="26" t="str">
        <f t="shared" si="1494"/>
        <v/>
      </c>
      <c r="AG112" s="26" t="str">
        <f t="shared" si="1495"/>
        <v/>
      </c>
      <c r="AH112" s="26" t="str">
        <f t="shared" si="1496"/>
        <v/>
      </c>
      <c r="AI112" s="26" t="str">
        <f t="shared" si="1497"/>
        <v/>
      </c>
      <c r="AJ112" s="26" t="str">
        <f t="shared" si="1498"/>
        <v/>
      </c>
      <c r="AK112" s="26" t="str">
        <f t="shared" si="1499"/>
        <v/>
      </c>
      <c r="AL112" s="26" t="str">
        <f t="shared" si="1500"/>
        <v/>
      </c>
      <c r="AM112" s="26" t="str">
        <f t="shared" si="1501"/>
        <v/>
      </c>
      <c r="AN112" s="26" t="str">
        <f t="shared" si="1502"/>
        <v/>
      </c>
      <c r="AO112" s="26" t="str">
        <f t="shared" ref="AO112:AS112" si="1504">IF(AO$8="","",AO105-AN105)</f>
        <v/>
      </c>
      <c r="AP112" s="26" t="str">
        <f t="shared" si="1504"/>
        <v/>
      </c>
      <c r="AQ112" s="26" t="str">
        <f t="shared" si="1504"/>
        <v/>
      </c>
      <c r="AR112" s="26" t="str">
        <f t="shared" si="1504"/>
        <v/>
      </c>
      <c r="AS112" s="26" t="str">
        <f t="shared" si="1504"/>
        <v/>
      </c>
    </row>
    <row r="113" spans="1:45" x14ac:dyDescent="0.15">
      <c r="A113" s="7">
        <f>SUM(C113:AS113)</f>
        <v>1</v>
      </c>
      <c r="B113" s="27" t="s">
        <v>15</v>
      </c>
      <c r="C113" s="26">
        <v>0</v>
      </c>
      <c r="D113" s="26">
        <v>0</v>
      </c>
      <c r="E113" s="26">
        <v>0</v>
      </c>
      <c r="F113" s="26">
        <v>0</v>
      </c>
      <c r="G113" s="26">
        <v>0</v>
      </c>
      <c r="H113" s="26">
        <v>0</v>
      </c>
      <c r="I113" s="26">
        <v>1</v>
      </c>
      <c r="J113" s="26">
        <f t="shared" ref="J113" si="1505">IF(J$8="","",I106+I107-J106)</f>
        <v>0</v>
      </c>
      <c r="K113" s="26">
        <f t="shared" ref="K113" si="1506">IF(K$8="","",J106+J107-K106)</f>
        <v>0</v>
      </c>
      <c r="L113" s="26">
        <f t="shared" ref="L113" si="1507">IF(L$8="","",K106+K107-L106)</f>
        <v>0</v>
      </c>
      <c r="M113" s="26" t="str">
        <f t="shared" ref="M113" si="1508">IF(M$8="","",L106+L107-M106)</f>
        <v/>
      </c>
      <c r="N113" s="26" t="str">
        <f t="shared" ref="N113" si="1509">IF(N$8="","",M106+M107-N106)</f>
        <v/>
      </c>
      <c r="O113" s="26" t="str">
        <f t="shared" ref="O113" si="1510">IF(O$8="","",N106+N107-O106)</f>
        <v/>
      </c>
      <c r="P113" s="26" t="str">
        <f t="shared" ref="P113" si="1511">IF(P$8="","",O106+O107-P106)</f>
        <v/>
      </c>
      <c r="Q113" s="26" t="str">
        <f t="shared" ref="Q113" si="1512">IF(Q$8="","",P106+P107-Q106)</f>
        <v/>
      </c>
      <c r="R113" s="26" t="str">
        <f t="shared" ref="R113" si="1513">IF(R$8="","",Q106+Q107-R106)</f>
        <v/>
      </c>
      <c r="S113" s="26" t="str">
        <f t="shared" ref="S113" si="1514">IF(S$8="","",R106+R107-S106)</f>
        <v/>
      </c>
      <c r="T113" s="26" t="str">
        <f t="shared" ref="T113" si="1515">IF(T$8="","",S106+S107-T106)</f>
        <v/>
      </c>
      <c r="U113" s="26" t="str">
        <f t="shared" ref="U113" si="1516">IF(U$8="","",T106+T107-U106)</f>
        <v/>
      </c>
      <c r="V113" s="26" t="str">
        <f t="shared" ref="V113" si="1517">IF(V$8="","",U106+U107-V106)</f>
        <v/>
      </c>
      <c r="W113" s="26" t="str">
        <f t="shared" ref="W113" si="1518">IF(W$8="","",V106+V107-W106)</f>
        <v/>
      </c>
      <c r="X113" s="26" t="str">
        <f t="shared" ref="X113" si="1519">IF(X$8="","",W106+W107-X106)</f>
        <v/>
      </c>
      <c r="Y113" s="26" t="str">
        <f t="shared" ref="Y113" si="1520">IF(Y$8="","",X106+X107-Y106)</f>
        <v/>
      </c>
      <c r="Z113" s="26" t="str">
        <f t="shared" ref="Z113" si="1521">IF(Z$8="","",Y106+Y107-Z106)</f>
        <v/>
      </c>
      <c r="AA113" s="26" t="str">
        <f t="shared" ref="AA113" si="1522">IF(AA$8="","",Z106+Z107-AA106)</f>
        <v/>
      </c>
      <c r="AB113" s="26" t="str">
        <f t="shared" ref="AB113" si="1523">IF(AB$8="","",AA106+AA107-AB106)</f>
        <v/>
      </c>
      <c r="AC113" s="26" t="str">
        <f t="shared" ref="AC113" si="1524">IF(AC$8="","",AB106+AB107-AC106)</f>
        <v/>
      </c>
      <c r="AD113" s="26" t="str">
        <f t="shared" ref="AD113" si="1525">IF(AD$8="","",AC106+AC107-AD106)</f>
        <v/>
      </c>
      <c r="AE113" s="26" t="str">
        <f t="shared" ref="AE113" si="1526">IF(AE$8="","",AD106+AD107-AE106)</f>
        <v/>
      </c>
      <c r="AF113" s="26" t="str">
        <f t="shared" ref="AF113" si="1527">IF(AF$8="","",AE106+AE107-AF106)</f>
        <v/>
      </c>
      <c r="AG113" s="26" t="str">
        <f t="shared" ref="AG113" si="1528">IF(AG$8="","",AF106+AF107-AG106)</f>
        <v/>
      </c>
      <c r="AH113" s="26" t="str">
        <f t="shared" ref="AH113" si="1529">IF(AH$8="","",AG106+AG107-AH106)</f>
        <v/>
      </c>
      <c r="AI113" s="26" t="str">
        <f t="shared" ref="AI113" si="1530">IF(AI$8="","",AH106+AH107-AI106)</f>
        <v/>
      </c>
      <c r="AJ113" s="26" t="str">
        <f t="shared" ref="AJ113" si="1531">IF(AJ$8="","",AI106+AI107-AJ106)</f>
        <v/>
      </c>
      <c r="AK113" s="26" t="str">
        <f t="shared" ref="AK113" si="1532">IF(AK$8="","",AJ106+AJ107-AK106)</f>
        <v/>
      </c>
      <c r="AL113" s="26" t="str">
        <f t="shared" ref="AL113" si="1533">IF(AL$8="","",AK106+AK107-AL106)</f>
        <v/>
      </c>
      <c r="AM113" s="26" t="str">
        <f t="shared" ref="AM113" si="1534">IF(AM$8="","",AL106+AL107-AM106)</f>
        <v/>
      </c>
      <c r="AN113" s="26" t="str">
        <f t="shared" ref="AN113" si="1535">IF(AN$8="","",AM106+AM107-AN106)</f>
        <v/>
      </c>
      <c r="AO113" s="26" t="str">
        <f t="shared" ref="AO113:AS113" si="1536">IF(AO$8="","",AN106+AN107-AO106)</f>
        <v/>
      </c>
      <c r="AP113" s="26" t="str">
        <f t="shared" si="1536"/>
        <v/>
      </c>
      <c r="AQ113" s="26" t="str">
        <f t="shared" si="1536"/>
        <v/>
      </c>
      <c r="AR113" s="26" t="str">
        <f t="shared" si="1536"/>
        <v/>
      </c>
      <c r="AS113" s="26" t="str">
        <f t="shared" si="1536"/>
        <v/>
      </c>
    </row>
    <row r="114" spans="1:45" x14ac:dyDescent="0.15">
      <c r="A114" s="7">
        <f>SUM(C114:AS114)</f>
        <v>800</v>
      </c>
      <c r="B114" s="27" t="s">
        <v>16</v>
      </c>
      <c r="C114" s="26">
        <v>0</v>
      </c>
      <c r="D114" s="26">
        <v>0</v>
      </c>
      <c r="E114" s="26">
        <v>0</v>
      </c>
      <c r="F114" s="26">
        <v>0</v>
      </c>
      <c r="G114" s="26">
        <v>0</v>
      </c>
      <c r="H114" s="26">
        <v>0</v>
      </c>
      <c r="I114" s="26">
        <v>800</v>
      </c>
      <c r="J114" s="26">
        <f t="shared" ref="H114:AM114" si="1537">IF(J$8="","",J113*J108)</f>
        <v>0</v>
      </c>
      <c r="K114" s="26">
        <f t="shared" si="1537"/>
        <v>0</v>
      </c>
      <c r="L114" s="26">
        <f t="shared" si="1537"/>
        <v>0</v>
      </c>
      <c r="M114" s="26" t="str">
        <f t="shared" si="1537"/>
        <v/>
      </c>
      <c r="N114" s="26" t="str">
        <f t="shared" si="1537"/>
        <v/>
      </c>
      <c r="O114" s="26" t="str">
        <f t="shared" si="1537"/>
        <v/>
      </c>
      <c r="P114" s="26" t="str">
        <f t="shared" si="1537"/>
        <v/>
      </c>
      <c r="Q114" s="26" t="str">
        <f t="shared" si="1537"/>
        <v/>
      </c>
      <c r="R114" s="26" t="str">
        <f t="shared" si="1537"/>
        <v/>
      </c>
      <c r="S114" s="26" t="str">
        <f t="shared" si="1537"/>
        <v/>
      </c>
      <c r="T114" s="26" t="str">
        <f t="shared" si="1537"/>
        <v/>
      </c>
      <c r="U114" s="26" t="str">
        <f t="shared" si="1537"/>
        <v/>
      </c>
      <c r="V114" s="26" t="str">
        <f t="shared" si="1537"/>
        <v/>
      </c>
      <c r="W114" s="26" t="str">
        <f t="shared" si="1537"/>
        <v/>
      </c>
      <c r="X114" s="26" t="str">
        <f t="shared" si="1537"/>
        <v/>
      </c>
      <c r="Y114" s="26" t="str">
        <f t="shared" si="1537"/>
        <v/>
      </c>
      <c r="Z114" s="26" t="str">
        <f t="shared" si="1537"/>
        <v/>
      </c>
      <c r="AA114" s="26" t="str">
        <f t="shared" si="1537"/>
        <v/>
      </c>
      <c r="AB114" s="26" t="str">
        <f t="shared" si="1537"/>
        <v/>
      </c>
      <c r="AC114" s="26" t="str">
        <f t="shared" si="1537"/>
        <v/>
      </c>
      <c r="AD114" s="26" t="str">
        <f t="shared" si="1537"/>
        <v/>
      </c>
      <c r="AE114" s="26" t="str">
        <f t="shared" si="1537"/>
        <v/>
      </c>
      <c r="AF114" s="26" t="str">
        <f t="shared" si="1537"/>
        <v/>
      </c>
      <c r="AG114" s="26" t="str">
        <f t="shared" si="1537"/>
        <v/>
      </c>
      <c r="AH114" s="26" t="str">
        <f t="shared" si="1537"/>
        <v/>
      </c>
      <c r="AI114" s="26" t="str">
        <f t="shared" si="1537"/>
        <v/>
      </c>
      <c r="AJ114" s="26" t="str">
        <f t="shared" si="1537"/>
        <v/>
      </c>
      <c r="AK114" s="26" t="str">
        <f t="shared" si="1537"/>
        <v/>
      </c>
      <c r="AL114" s="26" t="str">
        <f t="shared" si="1537"/>
        <v/>
      </c>
      <c r="AM114" s="26" t="str">
        <f t="shared" si="1537"/>
        <v/>
      </c>
      <c r="AN114" s="26" t="str">
        <f t="shared" ref="D114:AN114" si="1538">IF(AN$8="","",AN113*AN108)</f>
        <v/>
      </c>
      <c r="AO114" s="26" t="str">
        <f t="shared" ref="AO114:AS114" si="1539">IF(AO$8="","",AO113*AO108)</f>
        <v/>
      </c>
      <c r="AP114" s="26" t="str">
        <f t="shared" si="1539"/>
        <v/>
      </c>
      <c r="AQ114" s="26" t="str">
        <f t="shared" si="1539"/>
        <v/>
      </c>
      <c r="AR114" s="26" t="str">
        <f t="shared" si="1539"/>
        <v/>
      </c>
      <c r="AS114" s="26" t="str">
        <f t="shared" si="1539"/>
        <v/>
      </c>
    </row>
    <row r="115" spans="1:45" ht="12" thickBot="1" x14ac:dyDescent="0.2">
      <c r="A115" s="4">
        <f>IF(A114="","",A114/(A111*100))</f>
        <v>0.10256410256410256</v>
      </c>
      <c r="B115" s="27" t="s">
        <v>18</v>
      </c>
      <c r="C115" s="42" t="s">
        <v>19</v>
      </c>
      <c r="D115" s="42" t="s">
        <v>19</v>
      </c>
      <c r="E115" s="42" t="s">
        <v>19</v>
      </c>
      <c r="F115" s="42" t="s">
        <v>19</v>
      </c>
      <c r="G115" s="42" t="s">
        <v>19</v>
      </c>
      <c r="H115" s="42" t="s">
        <v>19</v>
      </c>
      <c r="I115" s="42">
        <v>0.5</v>
      </c>
      <c r="J115" s="42" t="str">
        <f t="shared" ref="H115:AM115" si="1540">IF(J$8="","",IF(J114=0,"",J114/(J111*100)))</f>
        <v/>
      </c>
      <c r="K115" s="42" t="str">
        <f t="shared" si="1540"/>
        <v/>
      </c>
      <c r="L115" s="42" t="str">
        <f t="shared" si="1540"/>
        <v/>
      </c>
      <c r="M115" s="42" t="str">
        <f t="shared" si="1540"/>
        <v/>
      </c>
      <c r="N115" s="42" t="str">
        <f t="shared" si="1540"/>
        <v/>
      </c>
      <c r="O115" s="42" t="str">
        <f t="shared" si="1540"/>
        <v/>
      </c>
      <c r="P115" s="42" t="str">
        <f t="shared" si="1540"/>
        <v/>
      </c>
      <c r="Q115" s="42" t="str">
        <f t="shared" si="1540"/>
        <v/>
      </c>
      <c r="R115" s="42" t="str">
        <f t="shared" si="1540"/>
        <v/>
      </c>
      <c r="S115" s="42" t="str">
        <f t="shared" si="1540"/>
        <v/>
      </c>
      <c r="T115" s="42" t="str">
        <f t="shared" si="1540"/>
        <v/>
      </c>
      <c r="U115" s="42" t="str">
        <f t="shared" si="1540"/>
        <v/>
      </c>
      <c r="V115" s="42" t="str">
        <f t="shared" si="1540"/>
        <v/>
      </c>
      <c r="W115" s="42" t="str">
        <f t="shared" si="1540"/>
        <v/>
      </c>
      <c r="X115" s="42" t="str">
        <f t="shared" si="1540"/>
        <v/>
      </c>
      <c r="Y115" s="42" t="str">
        <f t="shared" si="1540"/>
        <v/>
      </c>
      <c r="Z115" s="42" t="str">
        <f t="shared" si="1540"/>
        <v/>
      </c>
      <c r="AA115" s="42" t="str">
        <f t="shared" si="1540"/>
        <v/>
      </c>
      <c r="AB115" s="42" t="str">
        <f t="shared" si="1540"/>
        <v/>
      </c>
      <c r="AC115" s="42" t="str">
        <f t="shared" si="1540"/>
        <v/>
      </c>
      <c r="AD115" s="42" t="str">
        <f t="shared" si="1540"/>
        <v/>
      </c>
      <c r="AE115" s="42" t="str">
        <f t="shared" si="1540"/>
        <v/>
      </c>
      <c r="AF115" s="42" t="str">
        <f t="shared" si="1540"/>
        <v/>
      </c>
      <c r="AG115" s="42" t="str">
        <f t="shared" si="1540"/>
        <v/>
      </c>
      <c r="AH115" s="42" t="str">
        <f t="shared" si="1540"/>
        <v/>
      </c>
      <c r="AI115" s="42" t="str">
        <f t="shared" si="1540"/>
        <v/>
      </c>
      <c r="AJ115" s="42" t="str">
        <f t="shared" si="1540"/>
        <v/>
      </c>
      <c r="AK115" s="42" t="str">
        <f t="shared" si="1540"/>
        <v/>
      </c>
      <c r="AL115" s="42" t="str">
        <f t="shared" si="1540"/>
        <v/>
      </c>
      <c r="AM115" s="42" t="str">
        <f t="shared" si="1540"/>
        <v/>
      </c>
      <c r="AN115" s="42" t="str">
        <f t="shared" ref="D115:AN115" si="1541">IF(AN$8="","",IF(AN114=0,"",AN114/(AN111*100)))</f>
        <v/>
      </c>
      <c r="AO115" s="42" t="str">
        <f t="shared" ref="AO115:AS115" si="1542">IF(AO$8="","",IF(AO114=0,"",AO114/(AO111*100)))</f>
        <v/>
      </c>
      <c r="AP115" s="42" t="str">
        <f t="shared" si="1542"/>
        <v/>
      </c>
      <c r="AQ115" s="42" t="str">
        <f t="shared" si="1542"/>
        <v/>
      </c>
      <c r="AR115" s="42" t="str">
        <f t="shared" si="1542"/>
        <v/>
      </c>
      <c r="AS115" s="42" t="str">
        <f t="shared" si="1542"/>
        <v/>
      </c>
    </row>
    <row r="116" spans="1:45" x14ac:dyDescent="0.15">
      <c r="A116" s="17" t="s">
        <v>1</v>
      </c>
      <c r="B116" s="41" t="s">
        <v>2</v>
      </c>
      <c r="C116" s="35">
        <v>3568</v>
      </c>
      <c r="D116" s="35">
        <v>3568</v>
      </c>
      <c r="E116" s="35">
        <v>3632</v>
      </c>
      <c r="F116" s="35">
        <v>3632</v>
      </c>
      <c r="G116" s="35">
        <v>3632</v>
      </c>
      <c r="H116" s="35">
        <v>3632</v>
      </c>
      <c r="I116" s="35">
        <v>3638</v>
      </c>
      <c r="J116" s="35">
        <f>IF(J$8="","",I116)</f>
        <v>3638</v>
      </c>
      <c r="K116" s="35">
        <f t="shared" ref="K116:K117" si="1543">IF(K$8="","",J116)</f>
        <v>3638</v>
      </c>
      <c r="L116" s="35">
        <v>3755</v>
      </c>
      <c r="M116" s="35" t="str">
        <f>IF(M$8="","",L116)</f>
        <v/>
      </c>
      <c r="N116" s="35" t="str">
        <f t="shared" ref="N116:N117" si="1544">IF(N$8="","",M116)</f>
        <v/>
      </c>
      <c r="O116" s="35" t="str">
        <f t="shared" ref="O116:O117" si="1545">IF(O$8="","",N116)</f>
        <v/>
      </c>
      <c r="P116" s="35" t="str">
        <f>IF(P$8="","",O116)</f>
        <v/>
      </c>
      <c r="Q116" s="35" t="str">
        <f>IF(Q$8="","",P116)</f>
        <v/>
      </c>
      <c r="R116" s="35" t="str">
        <f t="shared" ref="R116:R117" si="1546">IF(R$8="","",Q116)</f>
        <v/>
      </c>
      <c r="S116" s="35" t="str">
        <f>IF(S$8="","",R116)</f>
        <v/>
      </c>
      <c r="T116" s="35" t="str">
        <f>IF(T$8="","",S116)</f>
        <v/>
      </c>
      <c r="U116" s="35" t="str">
        <f t="shared" ref="U116:U117" si="1547">IF(U$8="","",T116)</f>
        <v/>
      </c>
      <c r="V116" s="35" t="str">
        <f t="shared" ref="V116:V117" si="1548">IF(V$8="","",U116)</f>
        <v/>
      </c>
      <c r="W116" s="35" t="str">
        <f>IF(W$8="","",V116)</f>
        <v/>
      </c>
      <c r="X116" s="35" t="str">
        <f>IF(X$8="","",W116)</f>
        <v/>
      </c>
      <c r="Y116" s="35" t="str">
        <f t="shared" ref="Y116:Y117" si="1549">IF(Y$8="","",X116)</f>
        <v/>
      </c>
      <c r="Z116" s="35" t="str">
        <f>IF(Z$8="","",Y116)</f>
        <v/>
      </c>
      <c r="AA116" s="35" t="str">
        <f>IF(AA$8="","",Z116)</f>
        <v/>
      </c>
      <c r="AB116" s="35" t="str">
        <f t="shared" ref="AB116:AB117" si="1550">IF(AB$8="","",AA116)</f>
        <v/>
      </c>
      <c r="AC116" s="35" t="str">
        <f t="shared" ref="AC116:AC117" si="1551">IF(AC$8="","",AB116)</f>
        <v/>
      </c>
      <c r="AD116" s="35" t="str">
        <f>IF(AD$8="","",AC116)</f>
        <v/>
      </c>
      <c r="AE116" s="35" t="str">
        <f>IF(AE$8="","",AD116)</f>
        <v/>
      </c>
      <c r="AF116" s="35" t="str">
        <f t="shared" ref="AF116:AF117" si="1552">IF(AF$8="","",AE116)</f>
        <v/>
      </c>
      <c r="AG116" s="35" t="str">
        <f>IF(AG$8="","",AF116)</f>
        <v/>
      </c>
      <c r="AH116" s="35" t="str">
        <f t="shared" ref="AH116:AH117" si="1553">IF(AH$8="","",AG116)</f>
        <v/>
      </c>
      <c r="AI116" s="35" t="str">
        <f t="shared" ref="AI116:AI117" si="1554">IF(AI$8="","",AH116)</f>
        <v/>
      </c>
      <c r="AJ116" s="35" t="str">
        <f t="shared" ref="AJ116:AJ117" si="1555">IF(AJ$8="","",AI116)</f>
        <v/>
      </c>
      <c r="AK116" s="35" t="str">
        <f>IF(AK$8="","",AJ116)</f>
        <v/>
      </c>
      <c r="AL116" s="35" t="str">
        <f t="shared" ref="AL116:AL117" si="1556">IF(AL$8="","",AK116)</f>
        <v/>
      </c>
      <c r="AM116" s="35" t="str">
        <f t="shared" ref="AM116:AM117" si="1557">IF(AM$8="","",AL116)</f>
        <v/>
      </c>
      <c r="AN116" s="35" t="str">
        <f t="shared" ref="AN116:AN117" si="1558">IF(AN$8="","",AM116)</f>
        <v/>
      </c>
      <c r="AO116" s="35" t="str">
        <f t="shared" ref="AO116:AS116" si="1559">IF(AO$8="","",AN116)</f>
        <v/>
      </c>
      <c r="AP116" s="35" t="str">
        <f t="shared" si="1559"/>
        <v/>
      </c>
      <c r="AQ116" s="35" t="str">
        <f t="shared" si="1559"/>
        <v/>
      </c>
      <c r="AR116" s="35" t="str">
        <f t="shared" si="1559"/>
        <v/>
      </c>
      <c r="AS116" s="35" t="str">
        <f t="shared" si="1559"/>
        <v/>
      </c>
    </row>
    <row r="117" spans="1:45" x14ac:dyDescent="0.15">
      <c r="A117" s="16" t="s">
        <v>29</v>
      </c>
      <c r="B117" s="30" t="s">
        <v>4</v>
      </c>
      <c r="C117" s="29">
        <v>98</v>
      </c>
      <c r="D117" s="29">
        <v>98</v>
      </c>
      <c r="E117" s="29">
        <v>103</v>
      </c>
      <c r="F117" s="29">
        <v>103</v>
      </c>
      <c r="G117" s="29">
        <v>103</v>
      </c>
      <c r="H117" s="29">
        <v>103</v>
      </c>
      <c r="I117" s="29">
        <v>103</v>
      </c>
      <c r="J117" s="29">
        <f t="shared" ref="J117" si="1560">IF(J$8="","",I117)</f>
        <v>103</v>
      </c>
      <c r="K117" s="29">
        <f t="shared" si="1543"/>
        <v>103</v>
      </c>
      <c r="L117" s="29">
        <v>106</v>
      </c>
      <c r="M117" s="29" t="str">
        <f>IF(M$8="","",L117)</f>
        <v/>
      </c>
      <c r="N117" s="29" t="str">
        <f t="shared" si="1544"/>
        <v/>
      </c>
      <c r="O117" s="29" t="str">
        <f t="shared" si="1545"/>
        <v/>
      </c>
      <c r="P117" s="29" t="str">
        <f>IF(P$8="","",O117)</f>
        <v/>
      </c>
      <c r="Q117" s="29" t="str">
        <f t="shared" ref="Q117" si="1561">IF(Q$8="","",P117)</f>
        <v/>
      </c>
      <c r="R117" s="29" t="str">
        <f t="shared" si="1546"/>
        <v/>
      </c>
      <c r="S117" s="29" t="str">
        <f>IF(S$8="","",R117)</f>
        <v/>
      </c>
      <c r="T117" s="29" t="str">
        <f t="shared" ref="T117" si="1562">IF(T$8="","",S117)</f>
        <v/>
      </c>
      <c r="U117" s="29" t="str">
        <f t="shared" si="1547"/>
        <v/>
      </c>
      <c r="V117" s="29" t="str">
        <f t="shared" si="1548"/>
        <v/>
      </c>
      <c r="W117" s="29" t="str">
        <f>IF(W$8="","",V117)</f>
        <v/>
      </c>
      <c r="X117" s="29" t="str">
        <f t="shared" ref="X117" si="1563">IF(X$8="","",W117)</f>
        <v/>
      </c>
      <c r="Y117" s="29" t="str">
        <f t="shared" si="1549"/>
        <v/>
      </c>
      <c r="Z117" s="29" t="str">
        <f>IF(Z$8="","",Y117)</f>
        <v/>
      </c>
      <c r="AA117" s="29" t="str">
        <f>IF(AA$8="","",Z117)</f>
        <v/>
      </c>
      <c r="AB117" s="29" t="str">
        <f t="shared" si="1550"/>
        <v/>
      </c>
      <c r="AC117" s="29" t="str">
        <f t="shared" si="1551"/>
        <v/>
      </c>
      <c r="AD117" s="29" t="str">
        <f>IF(AD$8="","",AC117)</f>
        <v/>
      </c>
      <c r="AE117" s="29" t="str">
        <f t="shared" ref="AE117" si="1564">IF(AE$8="","",AD117)</f>
        <v/>
      </c>
      <c r="AF117" s="29" t="str">
        <f t="shared" si="1552"/>
        <v/>
      </c>
      <c r="AG117" s="29" t="str">
        <f>IF(AG$8="","",AF117)</f>
        <v/>
      </c>
      <c r="AH117" s="29" t="str">
        <f t="shared" si="1553"/>
        <v/>
      </c>
      <c r="AI117" s="29" t="str">
        <f t="shared" si="1554"/>
        <v/>
      </c>
      <c r="AJ117" s="29" t="str">
        <f t="shared" si="1555"/>
        <v/>
      </c>
      <c r="AK117" s="29" t="str">
        <f t="shared" ref="AK116:AK117" si="1565">IF(AK$8="","",AJ117)</f>
        <v/>
      </c>
      <c r="AL117" s="29" t="str">
        <f t="shared" si="1556"/>
        <v/>
      </c>
      <c r="AM117" s="29" t="str">
        <f t="shared" si="1557"/>
        <v/>
      </c>
      <c r="AN117" s="29" t="str">
        <f t="shared" si="1558"/>
        <v/>
      </c>
      <c r="AO117" s="29" t="str">
        <f t="shared" ref="AO117:AS117" si="1566">IF(AO$8="","",AN117)</f>
        <v/>
      </c>
      <c r="AP117" s="29" t="str">
        <f t="shared" si="1566"/>
        <v/>
      </c>
      <c r="AQ117" s="29" t="str">
        <f t="shared" si="1566"/>
        <v/>
      </c>
      <c r="AR117" s="29" t="str">
        <f t="shared" si="1566"/>
        <v/>
      </c>
      <c r="AS117" s="29" t="str">
        <f t="shared" si="1566"/>
        <v/>
      </c>
    </row>
    <row r="118" spans="1:45" x14ac:dyDescent="0.15">
      <c r="A118" s="15">
        <v>2</v>
      </c>
      <c r="B118" s="30" t="s">
        <v>5</v>
      </c>
      <c r="C118" s="29">
        <v>89</v>
      </c>
      <c r="D118" s="29">
        <v>89</v>
      </c>
      <c r="E118" s="29">
        <v>84</v>
      </c>
      <c r="F118" s="29">
        <v>84</v>
      </c>
      <c r="G118" s="29">
        <v>84</v>
      </c>
      <c r="H118" s="29">
        <v>84</v>
      </c>
      <c r="I118" s="29">
        <v>10</v>
      </c>
      <c r="J118" s="29">
        <f t="shared" ref="J118" si="1567">IF(J$8="","",(I118+I119))</f>
        <v>10</v>
      </c>
      <c r="K118" s="29">
        <f t="shared" ref="K118" si="1568">IF(K$8="","",(J118+J119))</f>
        <v>10</v>
      </c>
      <c r="L118" s="29">
        <v>6</v>
      </c>
      <c r="M118" s="29" t="str">
        <f>IF(M$8="","",(L118+L119))</f>
        <v/>
      </c>
      <c r="N118" s="29" t="str">
        <f t="shared" ref="N118" si="1569">IF(N$8="","",(M118+M119))</f>
        <v/>
      </c>
      <c r="O118" s="29" t="str">
        <f t="shared" ref="O118" si="1570">IF(O$8="","",(N118+N119))</f>
        <v/>
      </c>
      <c r="P118" s="29" t="str">
        <f>IF(P$8="","",(O118+O119))</f>
        <v/>
      </c>
      <c r="Q118" s="29" t="str">
        <f t="shared" ref="Q118" si="1571">IF(Q$8="","",(P118+P119))</f>
        <v/>
      </c>
      <c r="R118" s="29" t="str">
        <f t="shared" ref="R118" si="1572">IF(R$8="","",(Q118+Q119))</f>
        <v/>
      </c>
      <c r="S118" s="29" t="str">
        <f t="shared" ref="S118" si="1573">IF(S$8="","",(R118+R119))</f>
        <v/>
      </c>
      <c r="T118" s="29" t="str">
        <f t="shared" ref="T118" si="1574">IF(T$8="","",(S118+S119))</f>
        <v/>
      </c>
      <c r="U118" s="29" t="str">
        <f t="shared" ref="U118" si="1575">IF(U$8="","",(T118+T119))</f>
        <v/>
      </c>
      <c r="V118" s="29" t="str">
        <f t="shared" ref="V118" si="1576">IF(V$8="","",(U118+U119))</f>
        <v/>
      </c>
      <c r="W118" s="29" t="str">
        <f>IF(W$8="","",(V118+V119))</f>
        <v/>
      </c>
      <c r="X118" s="29" t="str">
        <f t="shared" ref="X118" si="1577">IF(X$8="","",(W118+W119))</f>
        <v/>
      </c>
      <c r="Y118" s="29" t="str">
        <f t="shared" ref="Y118" si="1578">IF(Y$8="","",(X118+X119))</f>
        <v/>
      </c>
      <c r="Z118" s="29" t="str">
        <f>IF(Z$8="","",(Y118+Y119))</f>
        <v/>
      </c>
      <c r="AA118" s="29" t="str">
        <f>IF(AA$8="","",(Z118+Z119))</f>
        <v/>
      </c>
      <c r="AB118" s="29" t="str">
        <f t="shared" ref="AB118" si="1579">IF(AB$8="","",(AA118+AA119))</f>
        <v/>
      </c>
      <c r="AC118" s="29" t="str">
        <f t="shared" ref="AC118" si="1580">IF(AC$8="","",(AB118+AB119))</f>
        <v/>
      </c>
      <c r="AD118" s="29" t="str">
        <f>IF(AD$8="","",(AC118+AC119))</f>
        <v/>
      </c>
      <c r="AE118" s="29" t="str">
        <f t="shared" ref="AE118" si="1581">IF(AE$8="","",(AD118+AD119))</f>
        <v/>
      </c>
      <c r="AF118" s="29" t="str">
        <f t="shared" ref="AF118" si="1582">IF(AF$8="","",(AE118+AE119))</f>
        <v/>
      </c>
      <c r="AG118" s="29" t="str">
        <f>IF(AG$8="","",(AF118+AF119))</f>
        <v/>
      </c>
      <c r="AH118" s="29" t="str">
        <f t="shared" ref="AH118" si="1583">IF(AH$8="","",(AG118+AG119))</f>
        <v/>
      </c>
      <c r="AI118" s="29" t="str">
        <f t="shared" ref="AI118" si="1584">IF(AI$8="","",(AH118+AH119))</f>
        <v/>
      </c>
      <c r="AJ118" s="29" t="str">
        <f t="shared" ref="AJ118" si="1585">IF(AJ$8="","",(AI118+AI119))</f>
        <v/>
      </c>
      <c r="AK118" s="29" t="str">
        <f>IF(AK$8="","",(AJ118+AJ119))</f>
        <v/>
      </c>
      <c r="AL118" s="29" t="str">
        <f t="shared" ref="AL118" si="1586">IF(AL$8="","",(AK118+AK119))</f>
        <v/>
      </c>
      <c r="AM118" s="29" t="str">
        <f t="shared" ref="AM118" si="1587">IF(AM$8="","",(AL118+AL119))</f>
        <v/>
      </c>
      <c r="AN118" s="29" t="str">
        <f t="shared" ref="AN118" si="1588">IF(AN$8="","",(AM118+AM119))</f>
        <v/>
      </c>
      <c r="AO118" s="29" t="str">
        <f t="shared" ref="AO118:AS118" si="1589">IF(AO$8="","",(AN118+AN119))</f>
        <v/>
      </c>
      <c r="AP118" s="29" t="str">
        <f t="shared" si="1589"/>
        <v/>
      </c>
      <c r="AQ118" s="29" t="str">
        <f t="shared" si="1589"/>
        <v/>
      </c>
      <c r="AR118" s="29" t="str">
        <f t="shared" si="1589"/>
        <v/>
      </c>
      <c r="AS118" s="29" t="str">
        <f t="shared" si="1589"/>
        <v/>
      </c>
    </row>
    <row r="119" spans="1:45" x14ac:dyDescent="0.15">
      <c r="A119" s="14"/>
      <c r="B119" s="30" t="s">
        <v>7</v>
      </c>
      <c r="C119" s="29"/>
      <c r="D119" s="29"/>
      <c r="E119" s="29"/>
      <c r="F119" s="29"/>
      <c r="G119" s="29"/>
      <c r="H119" s="29">
        <v>-74</v>
      </c>
      <c r="I119" s="29"/>
      <c r="J119" s="29"/>
      <c r="K119" s="29"/>
      <c r="L119" s="29">
        <v>4</v>
      </c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</row>
    <row r="120" spans="1:45" x14ac:dyDescent="0.15">
      <c r="A120" s="7"/>
      <c r="B120" s="30" t="s">
        <v>8</v>
      </c>
      <c r="C120" s="35">
        <v>750</v>
      </c>
      <c r="D120" s="35">
        <v>750</v>
      </c>
      <c r="E120" s="35">
        <v>750</v>
      </c>
      <c r="F120" s="35">
        <v>750</v>
      </c>
      <c r="G120" s="35">
        <v>750</v>
      </c>
      <c r="H120" s="35">
        <v>750</v>
      </c>
      <c r="I120" s="35">
        <v>750</v>
      </c>
      <c r="J120" s="35">
        <f t="shared" ref="J120:J121" si="1590">IF(J$8="","",I120)</f>
        <v>750</v>
      </c>
      <c r="K120" s="35">
        <f t="shared" ref="K120:K121" si="1591">IF(K$8="","",J120)</f>
        <v>750</v>
      </c>
      <c r="L120" s="35">
        <f t="shared" ref="L120:L121" si="1592">IF(L$8="","",K120)</f>
        <v>750</v>
      </c>
      <c r="M120" s="35" t="str">
        <f t="shared" ref="M120:M121" si="1593">IF(M$8="","",L120)</f>
        <v/>
      </c>
      <c r="N120" s="35" t="str">
        <f t="shared" ref="N120:N121" si="1594">IF(N$8="","",M120)</f>
        <v/>
      </c>
      <c r="O120" s="35" t="str">
        <f t="shared" ref="O120:O121" si="1595">IF(O$8="","",N120)</f>
        <v/>
      </c>
      <c r="P120" s="35" t="str">
        <f>IF(P$8="","",O120)</f>
        <v/>
      </c>
      <c r="Q120" s="35" t="str">
        <f t="shared" ref="Q120:Q121" si="1596">IF(Q$8="","",P120)</f>
        <v/>
      </c>
      <c r="R120" s="35" t="str">
        <f t="shared" ref="R120:R121" si="1597">IF(R$8="","",Q120)</f>
        <v/>
      </c>
      <c r="S120" s="35" t="str">
        <f t="shared" ref="S120:S121" si="1598">IF(S$8="","",R120)</f>
        <v/>
      </c>
      <c r="T120" s="35" t="str">
        <f t="shared" ref="T120" si="1599">IF(T$8="","",S120)</f>
        <v/>
      </c>
      <c r="U120" s="35" t="str">
        <f t="shared" ref="U120:U121" si="1600">IF(U$8="","",T120)</f>
        <v/>
      </c>
      <c r="V120" s="35" t="str">
        <f t="shared" ref="V120:V121" si="1601">IF(V$8="","",U120)</f>
        <v/>
      </c>
      <c r="W120" s="35" t="str">
        <f t="shared" ref="W120:W121" si="1602">IF(W$8="","",V120)</f>
        <v/>
      </c>
      <c r="X120" s="35" t="str">
        <f t="shared" ref="X120" si="1603">IF(X$8="","",W120)</f>
        <v/>
      </c>
      <c r="Y120" s="35" t="str">
        <f t="shared" ref="Y120:Y121" si="1604">IF(Y$8="","",X120)</f>
        <v/>
      </c>
      <c r="Z120" s="35" t="str">
        <f t="shared" ref="Z120:Z121" si="1605">IF(Z$8="","",Y120)</f>
        <v/>
      </c>
      <c r="AA120" s="35" t="str">
        <f t="shared" ref="AA120:AA121" si="1606">IF(AA$8="","",Z120)</f>
        <v/>
      </c>
      <c r="AB120" s="35" t="str">
        <f t="shared" ref="AB120:AB121" si="1607">IF(AB$8="","",AA120)</f>
        <v/>
      </c>
      <c r="AC120" s="35" t="str">
        <f t="shared" ref="AC120:AC121" si="1608">IF(AC$8="","",AB120)</f>
        <v/>
      </c>
      <c r="AD120" s="35" t="str">
        <f t="shared" ref="AD120:AD121" si="1609">IF(AD$8="","",AC120)</f>
        <v/>
      </c>
      <c r="AE120" s="35" t="str">
        <f t="shared" ref="AE120:AE121" si="1610">IF(AE$8="","",AD120)</f>
        <v/>
      </c>
      <c r="AF120" s="35" t="str">
        <f t="shared" ref="AF120:AF121" si="1611">IF(AF$8="","",AE120)</f>
        <v/>
      </c>
      <c r="AG120" s="35" t="str">
        <f t="shared" ref="AG120:AG121" si="1612">IF(AG$8="","",AF120)</f>
        <v/>
      </c>
      <c r="AH120" s="35" t="str">
        <f t="shared" ref="AH120:AH121" si="1613">IF(AH$8="","",AG120)</f>
        <v/>
      </c>
      <c r="AI120" s="35" t="str">
        <f t="shared" ref="AI120:AI121" si="1614">IF(AI$8="","",AH120)</f>
        <v/>
      </c>
      <c r="AJ120" s="35" t="str">
        <f t="shared" ref="AJ120:AJ121" si="1615">IF(AJ$8="","",AI120)</f>
        <v/>
      </c>
      <c r="AK120" s="35" t="str">
        <f t="shared" ref="AK120:AK121" si="1616">IF(AK$8="","",AJ120)</f>
        <v/>
      </c>
      <c r="AL120" s="35" t="str">
        <f t="shared" ref="AL120:AL121" si="1617">IF(AL$8="","",AK120)</f>
        <v/>
      </c>
      <c r="AM120" s="35" t="str">
        <f t="shared" ref="AM120:AM121" si="1618">IF(AM$8="","",AL120)</f>
        <v/>
      </c>
      <c r="AN120" s="35" t="str">
        <f t="shared" ref="AN120:AN121" si="1619">IF(AN$8="","",AM120)</f>
        <v/>
      </c>
      <c r="AO120" s="35" t="str">
        <f t="shared" ref="AO120:AS120" si="1620">IF(AO$8="","",AN120)</f>
        <v/>
      </c>
      <c r="AP120" s="35" t="str">
        <f t="shared" si="1620"/>
        <v/>
      </c>
      <c r="AQ120" s="35" t="str">
        <f t="shared" si="1620"/>
        <v/>
      </c>
      <c r="AR120" s="35" t="str">
        <f t="shared" si="1620"/>
        <v/>
      </c>
      <c r="AS120" s="35" t="str">
        <f t="shared" si="1620"/>
        <v/>
      </c>
    </row>
    <row r="121" spans="1:45" s="85" customFormat="1" x14ac:dyDescent="0.15">
      <c r="A121" s="14" t="s">
        <v>9</v>
      </c>
      <c r="B121" s="33" t="s">
        <v>10</v>
      </c>
      <c r="C121" s="32" t="s">
        <v>347</v>
      </c>
      <c r="D121" s="32" t="s">
        <v>347</v>
      </c>
      <c r="E121" s="32" t="s">
        <v>347</v>
      </c>
      <c r="F121" s="32" t="s">
        <v>347</v>
      </c>
      <c r="G121" s="32" t="s">
        <v>347</v>
      </c>
      <c r="H121" s="32" t="s">
        <v>347</v>
      </c>
      <c r="I121" s="32" t="s">
        <v>367</v>
      </c>
      <c r="J121" s="32" t="str">
        <f t="shared" si="1590"/>
        <v>クリームタルトスクイーズ</v>
      </c>
      <c r="K121" s="32" t="str">
        <f t="shared" si="1591"/>
        <v>クリームタルトスクイーズ</v>
      </c>
      <c r="L121" s="32" t="str">
        <f t="shared" si="1592"/>
        <v>クリームタルトスクイーズ</v>
      </c>
      <c r="M121" s="32" t="str">
        <f t="shared" si="1593"/>
        <v/>
      </c>
      <c r="N121" s="32" t="str">
        <f t="shared" si="1594"/>
        <v/>
      </c>
      <c r="O121" s="32" t="str">
        <f t="shared" si="1595"/>
        <v/>
      </c>
      <c r="P121" s="32" t="str">
        <f t="shared" ref="P120:P121" si="1621">IF(P$8="","",O121)</f>
        <v/>
      </c>
      <c r="Q121" s="32" t="str">
        <f t="shared" si="1596"/>
        <v/>
      </c>
      <c r="R121" s="32" t="str">
        <f t="shared" si="1597"/>
        <v/>
      </c>
      <c r="S121" s="32" t="str">
        <f t="shared" si="1598"/>
        <v/>
      </c>
      <c r="T121" s="32" t="str">
        <f>IF(T$8="","",S121)</f>
        <v/>
      </c>
      <c r="U121" s="32" t="str">
        <f t="shared" si="1600"/>
        <v/>
      </c>
      <c r="V121" s="32" t="str">
        <f t="shared" si="1601"/>
        <v/>
      </c>
      <c r="W121" s="32" t="str">
        <f t="shared" si="1602"/>
        <v/>
      </c>
      <c r="X121" s="32" t="str">
        <f>IF(X$8="","",W121)</f>
        <v/>
      </c>
      <c r="Y121" s="32" t="str">
        <f t="shared" si="1604"/>
        <v/>
      </c>
      <c r="Z121" s="32" t="str">
        <f t="shared" si="1605"/>
        <v/>
      </c>
      <c r="AA121" s="32" t="str">
        <f t="shared" si="1606"/>
        <v/>
      </c>
      <c r="AB121" s="32" t="str">
        <f t="shared" si="1607"/>
        <v/>
      </c>
      <c r="AC121" s="32" t="str">
        <f t="shared" si="1608"/>
        <v/>
      </c>
      <c r="AD121" s="32" t="str">
        <f t="shared" si="1609"/>
        <v/>
      </c>
      <c r="AE121" s="32" t="str">
        <f t="shared" si="1610"/>
        <v/>
      </c>
      <c r="AF121" s="32" t="str">
        <f t="shared" si="1611"/>
        <v/>
      </c>
      <c r="AG121" s="32" t="str">
        <f t="shared" si="1612"/>
        <v/>
      </c>
      <c r="AH121" s="32" t="str">
        <f t="shared" si="1613"/>
        <v/>
      </c>
      <c r="AI121" s="32" t="str">
        <f t="shared" si="1614"/>
        <v/>
      </c>
      <c r="AJ121" s="32" t="str">
        <f t="shared" si="1615"/>
        <v/>
      </c>
      <c r="AK121" s="32" t="str">
        <f>IF(AK$8="","",AJ121)</f>
        <v/>
      </c>
      <c r="AL121" s="32" t="str">
        <f t="shared" si="1617"/>
        <v/>
      </c>
      <c r="AM121" s="32" t="str">
        <f t="shared" si="1618"/>
        <v/>
      </c>
      <c r="AN121" s="32" t="str">
        <f t="shared" si="1619"/>
        <v/>
      </c>
      <c r="AO121" s="32" t="str">
        <f t="shared" ref="AO121:AS121" si="1622">IF(AO$8="","",AN121)</f>
        <v/>
      </c>
      <c r="AP121" s="32" t="str">
        <f t="shared" si="1622"/>
        <v/>
      </c>
      <c r="AQ121" s="32" t="str">
        <f t="shared" si="1622"/>
        <v/>
      </c>
      <c r="AR121" s="32" t="str">
        <f t="shared" si="1622"/>
        <v/>
      </c>
      <c r="AS121" s="32" t="str">
        <f t="shared" si="1622"/>
        <v/>
      </c>
    </row>
    <row r="122" spans="1:45" x14ac:dyDescent="0.15">
      <c r="A122" s="7">
        <f>AVERAGE(C123:AS123)*30*100</f>
        <v>56100</v>
      </c>
      <c r="B122" s="30" t="s">
        <v>12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</row>
    <row r="123" spans="1:45" x14ac:dyDescent="0.15">
      <c r="A123" s="7">
        <f>SUM(C123:AS123)</f>
        <v>187</v>
      </c>
      <c r="B123" s="27" t="s">
        <v>13</v>
      </c>
      <c r="C123" s="26">
        <v>0</v>
      </c>
      <c r="D123" s="26">
        <v>0</v>
      </c>
      <c r="E123" s="26">
        <v>64</v>
      </c>
      <c r="F123" s="26">
        <v>0</v>
      </c>
      <c r="G123" s="26">
        <v>0</v>
      </c>
      <c r="H123" s="26">
        <v>0</v>
      </c>
      <c r="I123" s="26">
        <v>6</v>
      </c>
      <c r="J123" s="26">
        <f t="shared" ref="J123:J124" si="1623">IF(J$8="","",J116-I116)</f>
        <v>0</v>
      </c>
      <c r="K123" s="26">
        <f t="shared" ref="K123:K124" si="1624">IF(K$8="","",K116-J116)</f>
        <v>0</v>
      </c>
      <c r="L123" s="26">
        <f t="shared" ref="L123:L124" si="1625">IF(L$8="","",L116-K116)</f>
        <v>117</v>
      </c>
      <c r="M123" s="26" t="str">
        <f t="shared" ref="M123:M124" si="1626">IF(M$8="","",M116-L116)</f>
        <v/>
      </c>
      <c r="N123" s="26" t="str">
        <f t="shared" ref="N123:N124" si="1627">IF(N$8="","",N116-M116)</f>
        <v/>
      </c>
      <c r="O123" s="26" t="str">
        <f t="shared" ref="O123:O124" si="1628">IF(O$8="","",O116-N116)</f>
        <v/>
      </c>
      <c r="P123" s="26" t="str">
        <f t="shared" ref="P123:P124" si="1629">IF(P$8="","",P116-O116)</f>
        <v/>
      </c>
      <c r="Q123" s="26" t="str">
        <f t="shared" ref="Q123:Q124" si="1630">IF(Q$8="","",Q116-P116)</f>
        <v/>
      </c>
      <c r="R123" s="26" t="str">
        <f t="shared" ref="R123:R124" si="1631">IF(R$8="","",R116-Q116)</f>
        <v/>
      </c>
      <c r="S123" s="26" t="str">
        <f t="shared" ref="S123:S124" si="1632">IF(S$8="","",S116-R116)</f>
        <v/>
      </c>
      <c r="T123" s="26" t="str">
        <f t="shared" ref="T123:T124" si="1633">IF(T$8="","",T116-S116)</f>
        <v/>
      </c>
      <c r="U123" s="26" t="str">
        <f t="shared" ref="U123:U124" si="1634">IF(U$8="","",U116-T116)</f>
        <v/>
      </c>
      <c r="V123" s="26" t="str">
        <f t="shared" ref="V123:V124" si="1635">IF(V$8="","",V116-U116)</f>
        <v/>
      </c>
      <c r="W123" s="26" t="str">
        <f t="shared" ref="W123:W124" si="1636">IF(W$8="","",W116-V116)</f>
        <v/>
      </c>
      <c r="X123" s="26" t="str">
        <f t="shared" ref="X123:X124" si="1637">IF(X$8="","",X116-W116)</f>
        <v/>
      </c>
      <c r="Y123" s="26" t="str">
        <f t="shared" ref="Y123:Y124" si="1638">IF(Y$8="","",Y116-X116)</f>
        <v/>
      </c>
      <c r="Z123" s="26" t="str">
        <f t="shared" ref="Z123:Z124" si="1639">IF(Z$8="","",Z116-Y116)</f>
        <v/>
      </c>
      <c r="AA123" s="26" t="str">
        <f t="shared" ref="AA123:AA124" si="1640">IF(AA$8="","",AA116-Z116)</f>
        <v/>
      </c>
      <c r="AB123" s="26" t="str">
        <f t="shared" ref="AB123:AB124" si="1641">IF(AB$8="","",AB116-AA116)</f>
        <v/>
      </c>
      <c r="AC123" s="26" t="str">
        <f t="shared" ref="AC123:AC124" si="1642">IF(AC$8="","",AC116-AB116)</f>
        <v/>
      </c>
      <c r="AD123" s="26" t="str">
        <f t="shared" ref="AD123:AD124" si="1643">IF(AD$8="","",AD116-AC116)</f>
        <v/>
      </c>
      <c r="AE123" s="26" t="str">
        <f t="shared" ref="AE123:AE124" si="1644">IF(AE$8="","",AE116-AD116)</f>
        <v/>
      </c>
      <c r="AF123" s="26" t="str">
        <f t="shared" ref="AF123:AF124" si="1645">IF(AF$8="","",AF116-AE116)</f>
        <v/>
      </c>
      <c r="AG123" s="26" t="str">
        <f t="shared" ref="AG123:AG124" si="1646">IF(AG$8="","",AG116-AF116)</f>
        <v/>
      </c>
      <c r="AH123" s="26" t="str">
        <f t="shared" ref="AH123:AH124" si="1647">IF(AH$8="","",AH116-AG116)</f>
        <v/>
      </c>
      <c r="AI123" s="26" t="str">
        <f t="shared" ref="AI123:AI124" si="1648">IF(AI$8="","",AI116-AH116)</f>
        <v/>
      </c>
      <c r="AJ123" s="26" t="str">
        <f t="shared" ref="AJ123:AJ124" si="1649">IF(AJ$8="","",AJ116-AI116)</f>
        <v/>
      </c>
      <c r="AK123" s="26" t="str">
        <f t="shared" ref="AK123:AK124" si="1650">IF(AK$8="","",AK116-AJ116)</f>
        <v/>
      </c>
      <c r="AL123" s="26" t="str">
        <f t="shared" ref="AL123:AL124" si="1651">IF(AL$8="","",AL116-AK116)</f>
        <v/>
      </c>
      <c r="AM123" s="26" t="str">
        <f t="shared" ref="AM123:AM124" si="1652">IF(AM$8="","",AM116-AL116)</f>
        <v/>
      </c>
      <c r="AN123" s="26" t="str">
        <f t="shared" ref="AN123:AN124" si="1653">IF(AN$8="","",AN116-AM116)</f>
        <v/>
      </c>
      <c r="AO123" s="26" t="str">
        <f t="shared" ref="AO123:AS123" si="1654">IF(AO$8="","",AO116-AN116)</f>
        <v/>
      </c>
      <c r="AP123" s="26" t="str">
        <f t="shared" si="1654"/>
        <v/>
      </c>
      <c r="AQ123" s="26" t="str">
        <f t="shared" si="1654"/>
        <v/>
      </c>
      <c r="AR123" s="26" t="str">
        <f t="shared" si="1654"/>
        <v/>
      </c>
      <c r="AS123" s="26" t="str">
        <f t="shared" si="1654"/>
        <v/>
      </c>
    </row>
    <row r="124" spans="1:45" x14ac:dyDescent="0.15">
      <c r="A124" s="7">
        <f>SUM(C124:AS124)</f>
        <v>8</v>
      </c>
      <c r="B124" s="27" t="s">
        <v>14</v>
      </c>
      <c r="C124" s="26">
        <v>0</v>
      </c>
      <c r="D124" s="26">
        <v>0</v>
      </c>
      <c r="E124" s="26">
        <v>5</v>
      </c>
      <c r="F124" s="26">
        <v>0</v>
      </c>
      <c r="G124" s="26">
        <v>0</v>
      </c>
      <c r="H124" s="26">
        <v>0</v>
      </c>
      <c r="I124" s="26">
        <v>0</v>
      </c>
      <c r="J124" s="26">
        <f t="shared" si="1623"/>
        <v>0</v>
      </c>
      <c r="K124" s="26">
        <f t="shared" si="1624"/>
        <v>0</v>
      </c>
      <c r="L124" s="26">
        <f t="shared" si="1625"/>
        <v>3</v>
      </c>
      <c r="M124" s="26" t="str">
        <f t="shared" si="1626"/>
        <v/>
      </c>
      <c r="N124" s="26" t="str">
        <f t="shared" si="1627"/>
        <v/>
      </c>
      <c r="O124" s="26" t="str">
        <f t="shared" si="1628"/>
        <v/>
      </c>
      <c r="P124" s="26" t="str">
        <f t="shared" si="1629"/>
        <v/>
      </c>
      <c r="Q124" s="26" t="str">
        <f t="shared" si="1630"/>
        <v/>
      </c>
      <c r="R124" s="26" t="str">
        <f t="shared" si="1631"/>
        <v/>
      </c>
      <c r="S124" s="26" t="str">
        <f t="shared" si="1632"/>
        <v/>
      </c>
      <c r="T124" s="26" t="str">
        <f t="shared" si="1633"/>
        <v/>
      </c>
      <c r="U124" s="26" t="str">
        <f t="shared" si="1634"/>
        <v/>
      </c>
      <c r="V124" s="26" t="str">
        <f t="shared" si="1635"/>
        <v/>
      </c>
      <c r="W124" s="26" t="str">
        <f t="shared" si="1636"/>
        <v/>
      </c>
      <c r="X124" s="26" t="str">
        <f t="shared" si="1637"/>
        <v/>
      </c>
      <c r="Y124" s="26" t="str">
        <f t="shared" si="1638"/>
        <v/>
      </c>
      <c r="Z124" s="26" t="str">
        <f t="shared" si="1639"/>
        <v/>
      </c>
      <c r="AA124" s="26" t="str">
        <f t="shared" si="1640"/>
        <v/>
      </c>
      <c r="AB124" s="26" t="str">
        <f t="shared" si="1641"/>
        <v/>
      </c>
      <c r="AC124" s="26" t="str">
        <f t="shared" si="1642"/>
        <v/>
      </c>
      <c r="AD124" s="26" t="str">
        <f t="shared" si="1643"/>
        <v/>
      </c>
      <c r="AE124" s="26" t="str">
        <f t="shared" si="1644"/>
        <v/>
      </c>
      <c r="AF124" s="26" t="str">
        <f t="shared" si="1645"/>
        <v/>
      </c>
      <c r="AG124" s="26" t="str">
        <f t="shared" si="1646"/>
        <v/>
      </c>
      <c r="AH124" s="26" t="str">
        <f t="shared" si="1647"/>
        <v/>
      </c>
      <c r="AI124" s="26" t="str">
        <f t="shared" si="1648"/>
        <v/>
      </c>
      <c r="AJ124" s="26" t="str">
        <f t="shared" si="1649"/>
        <v/>
      </c>
      <c r="AK124" s="26" t="str">
        <f t="shared" si="1650"/>
        <v/>
      </c>
      <c r="AL124" s="26" t="str">
        <f t="shared" si="1651"/>
        <v/>
      </c>
      <c r="AM124" s="26" t="str">
        <f t="shared" si="1652"/>
        <v/>
      </c>
      <c r="AN124" s="26" t="str">
        <f t="shared" si="1653"/>
        <v/>
      </c>
      <c r="AO124" s="26" t="str">
        <f t="shared" ref="AO124:AS124" si="1655">IF(AO$8="","",AO117-AN117)</f>
        <v/>
      </c>
      <c r="AP124" s="26" t="str">
        <f t="shared" si="1655"/>
        <v/>
      </c>
      <c r="AQ124" s="26" t="str">
        <f t="shared" si="1655"/>
        <v/>
      </c>
      <c r="AR124" s="26" t="str">
        <f t="shared" si="1655"/>
        <v/>
      </c>
      <c r="AS124" s="26" t="str">
        <f t="shared" si="1655"/>
        <v/>
      </c>
    </row>
    <row r="125" spans="1:45" x14ac:dyDescent="0.15">
      <c r="A125" s="7">
        <f>SUM(C125:AS125)</f>
        <v>9</v>
      </c>
      <c r="B125" s="27" t="s">
        <v>15</v>
      </c>
      <c r="C125" s="26">
        <v>0</v>
      </c>
      <c r="D125" s="26">
        <v>0</v>
      </c>
      <c r="E125" s="26">
        <v>5</v>
      </c>
      <c r="F125" s="26">
        <v>0</v>
      </c>
      <c r="G125" s="26">
        <v>0</v>
      </c>
      <c r="H125" s="26">
        <v>0</v>
      </c>
      <c r="I125" s="26">
        <v>0</v>
      </c>
      <c r="J125" s="26">
        <f t="shared" ref="J125" si="1656">IF(J$8="","",I118+I119-J118)</f>
        <v>0</v>
      </c>
      <c r="K125" s="26">
        <f t="shared" ref="K125" si="1657">IF(K$8="","",J118+J119-K118)</f>
        <v>0</v>
      </c>
      <c r="L125" s="26">
        <f t="shared" ref="L125" si="1658">IF(L$8="","",K118+K119-L118)</f>
        <v>4</v>
      </c>
      <c r="M125" s="26" t="str">
        <f t="shared" ref="M125" si="1659">IF(M$8="","",L118+L119-M118)</f>
        <v/>
      </c>
      <c r="N125" s="26" t="str">
        <f t="shared" ref="N125" si="1660">IF(N$8="","",M118+M119-N118)</f>
        <v/>
      </c>
      <c r="O125" s="26" t="str">
        <f t="shared" ref="O125" si="1661">IF(O$8="","",N118+N119-O118)</f>
        <v/>
      </c>
      <c r="P125" s="26" t="str">
        <f t="shared" ref="P125" si="1662">IF(P$8="","",O118+O119-P118)</f>
        <v/>
      </c>
      <c r="Q125" s="26" t="str">
        <f t="shared" ref="Q125" si="1663">IF(Q$8="","",P118+P119-Q118)</f>
        <v/>
      </c>
      <c r="R125" s="26" t="str">
        <f t="shared" ref="R125" si="1664">IF(R$8="","",Q118+Q119-R118)</f>
        <v/>
      </c>
      <c r="S125" s="26" t="str">
        <f t="shared" ref="S125" si="1665">IF(S$8="","",R118+R119-S118)</f>
        <v/>
      </c>
      <c r="T125" s="26" t="str">
        <f t="shared" ref="T125" si="1666">IF(T$8="","",S118+S119-T118)</f>
        <v/>
      </c>
      <c r="U125" s="26" t="str">
        <f t="shared" ref="U125" si="1667">IF(U$8="","",T118+T119-U118)</f>
        <v/>
      </c>
      <c r="V125" s="26" t="str">
        <f t="shared" ref="V125" si="1668">IF(V$8="","",U118+U119-V118)</f>
        <v/>
      </c>
      <c r="W125" s="26" t="str">
        <f t="shared" ref="W125" si="1669">IF(W$8="","",V118+V119-W118)</f>
        <v/>
      </c>
      <c r="X125" s="26" t="str">
        <f t="shared" ref="X125" si="1670">IF(X$8="","",W118+W119-X118)</f>
        <v/>
      </c>
      <c r="Y125" s="26" t="str">
        <f t="shared" ref="Y125" si="1671">IF(Y$8="","",X118+X119-Y118)</f>
        <v/>
      </c>
      <c r="Z125" s="26" t="str">
        <f t="shared" ref="Z125" si="1672">IF(Z$8="","",Y118+Y119-Z118)</f>
        <v/>
      </c>
      <c r="AA125" s="26" t="str">
        <f t="shared" ref="AA125" si="1673">IF(AA$8="","",Z118+Z119-AA118)</f>
        <v/>
      </c>
      <c r="AB125" s="26" t="str">
        <f t="shared" ref="AB125" si="1674">IF(AB$8="","",AA118+AA119-AB118)</f>
        <v/>
      </c>
      <c r="AC125" s="26" t="str">
        <f t="shared" ref="AC125" si="1675">IF(AC$8="","",AB118+AB119-AC118)</f>
        <v/>
      </c>
      <c r="AD125" s="26" t="str">
        <f t="shared" ref="AD125" si="1676">IF(AD$8="","",AC118+AC119-AD118)</f>
        <v/>
      </c>
      <c r="AE125" s="26" t="str">
        <f t="shared" ref="AE125" si="1677">IF(AE$8="","",AD118+AD119-AE118)</f>
        <v/>
      </c>
      <c r="AF125" s="26" t="str">
        <f t="shared" ref="AF125" si="1678">IF(AF$8="","",AE118+AE119-AF118)</f>
        <v/>
      </c>
      <c r="AG125" s="26" t="str">
        <f t="shared" ref="AG125" si="1679">IF(AG$8="","",AF118+AF119-AG118)</f>
        <v/>
      </c>
      <c r="AH125" s="26" t="str">
        <f t="shared" ref="AH125" si="1680">IF(AH$8="","",AG118+AG119-AH118)</f>
        <v/>
      </c>
      <c r="AI125" s="26" t="str">
        <f t="shared" ref="AI125" si="1681">IF(AI$8="","",AH118+AH119-AI118)</f>
        <v/>
      </c>
      <c r="AJ125" s="26" t="str">
        <f t="shared" ref="AJ125" si="1682">IF(AJ$8="","",AI118+AI119-AJ118)</f>
        <v/>
      </c>
      <c r="AK125" s="26" t="str">
        <f t="shared" ref="AK125" si="1683">IF(AK$8="","",AJ118+AJ119-AK118)</f>
        <v/>
      </c>
      <c r="AL125" s="26" t="str">
        <f t="shared" ref="AL125" si="1684">IF(AL$8="","",AK118+AK119-AL118)</f>
        <v/>
      </c>
      <c r="AM125" s="26" t="str">
        <f t="shared" ref="AM125" si="1685">IF(AM$8="","",AL118+AL119-AM118)</f>
        <v/>
      </c>
      <c r="AN125" s="26" t="str">
        <f t="shared" ref="AN125" si="1686">IF(AN$8="","",AM118+AM119-AN118)</f>
        <v/>
      </c>
      <c r="AO125" s="26" t="str">
        <f t="shared" ref="AO125:AS125" si="1687">IF(AO$8="","",AN118+AN119-AO118)</f>
        <v/>
      </c>
      <c r="AP125" s="26" t="str">
        <f t="shared" si="1687"/>
        <v/>
      </c>
      <c r="AQ125" s="26" t="str">
        <f t="shared" si="1687"/>
        <v/>
      </c>
      <c r="AR125" s="26" t="str">
        <f t="shared" si="1687"/>
        <v/>
      </c>
      <c r="AS125" s="26" t="str">
        <f t="shared" si="1687"/>
        <v/>
      </c>
    </row>
    <row r="126" spans="1:45" x14ac:dyDescent="0.15">
      <c r="A126" s="7">
        <f>SUM(C126:AS126)</f>
        <v>6750</v>
      </c>
      <c r="B126" s="27" t="s">
        <v>16</v>
      </c>
      <c r="C126" s="26">
        <v>0</v>
      </c>
      <c r="D126" s="26">
        <v>0</v>
      </c>
      <c r="E126" s="26">
        <v>3750</v>
      </c>
      <c r="F126" s="26">
        <v>0</v>
      </c>
      <c r="G126" s="26">
        <v>0</v>
      </c>
      <c r="H126" s="26">
        <v>0</v>
      </c>
      <c r="I126" s="26">
        <v>0</v>
      </c>
      <c r="J126" s="26">
        <f t="shared" ref="H126:AM126" si="1688">IF(J$8="","",J125*J120)</f>
        <v>0</v>
      </c>
      <c r="K126" s="26">
        <f t="shared" si="1688"/>
        <v>0</v>
      </c>
      <c r="L126" s="26">
        <f t="shared" si="1688"/>
        <v>3000</v>
      </c>
      <c r="M126" s="26" t="str">
        <f t="shared" si="1688"/>
        <v/>
      </c>
      <c r="N126" s="26" t="str">
        <f t="shared" si="1688"/>
        <v/>
      </c>
      <c r="O126" s="26" t="str">
        <f t="shared" si="1688"/>
        <v/>
      </c>
      <c r="P126" s="26" t="str">
        <f t="shared" si="1688"/>
        <v/>
      </c>
      <c r="Q126" s="26" t="str">
        <f t="shared" si="1688"/>
        <v/>
      </c>
      <c r="R126" s="26" t="str">
        <f t="shared" si="1688"/>
        <v/>
      </c>
      <c r="S126" s="26" t="str">
        <f t="shared" si="1688"/>
        <v/>
      </c>
      <c r="T126" s="26" t="str">
        <f t="shared" si="1688"/>
        <v/>
      </c>
      <c r="U126" s="26" t="str">
        <f t="shared" si="1688"/>
        <v/>
      </c>
      <c r="V126" s="26" t="str">
        <f t="shared" si="1688"/>
        <v/>
      </c>
      <c r="W126" s="26" t="str">
        <f t="shared" si="1688"/>
        <v/>
      </c>
      <c r="X126" s="26" t="str">
        <f t="shared" si="1688"/>
        <v/>
      </c>
      <c r="Y126" s="26" t="str">
        <f t="shared" si="1688"/>
        <v/>
      </c>
      <c r="Z126" s="26" t="str">
        <f t="shared" si="1688"/>
        <v/>
      </c>
      <c r="AA126" s="26" t="str">
        <f t="shared" si="1688"/>
        <v/>
      </c>
      <c r="AB126" s="26" t="str">
        <f t="shared" si="1688"/>
        <v/>
      </c>
      <c r="AC126" s="26" t="str">
        <f t="shared" si="1688"/>
        <v/>
      </c>
      <c r="AD126" s="26" t="str">
        <f t="shared" si="1688"/>
        <v/>
      </c>
      <c r="AE126" s="26" t="str">
        <f t="shared" si="1688"/>
        <v/>
      </c>
      <c r="AF126" s="26" t="str">
        <f t="shared" si="1688"/>
        <v/>
      </c>
      <c r="AG126" s="26" t="str">
        <f t="shared" si="1688"/>
        <v/>
      </c>
      <c r="AH126" s="26" t="str">
        <f t="shared" si="1688"/>
        <v/>
      </c>
      <c r="AI126" s="26" t="str">
        <f t="shared" si="1688"/>
        <v/>
      </c>
      <c r="AJ126" s="26" t="str">
        <f t="shared" si="1688"/>
        <v/>
      </c>
      <c r="AK126" s="26" t="str">
        <f t="shared" si="1688"/>
        <v/>
      </c>
      <c r="AL126" s="26" t="str">
        <f t="shared" si="1688"/>
        <v/>
      </c>
      <c r="AM126" s="26" t="str">
        <f t="shared" si="1688"/>
        <v/>
      </c>
      <c r="AN126" s="26" t="str">
        <f t="shared" ref="D126:AN126" si="1689">IF(AN$8="","",AN125*AN120)</f>
        <v/>
      </c>
      <c r="AO126" s="26" t="str">
        <f t="shared" ref="AO126:AS126" si="1690">IF(AO$8="","",AO125*AO120)</f>
        <v/>
      </c>
      <c r="AP126" s="26" t="str">
        <f t="shared" si="1690"/>
        <v/>
      </c>
      <c r="AQ126" s="26" t="str">
        <f t="shared" si="1690"/>
        <v/>
      </c>
      <c r="AR126" s="26" t="str">
        <f t="shared" si="1690"/>
        <v/>
      </c>
      <c r="AS126" s="26" t="str">
        <f t="shared" si="1690"/>
        <v/>
      </c>
    </row>
    <row r="127" spans="1:45" ht="12" thickBot="1" x14ac:dyDescent="0.2">
      <c r="A127" s="4">
        <f>IF(A126="","",A126/(A123*100))</f>
        <v>0.36096256684491979</v>
      </c>
      <c r="B127" s="27" t="s">
        <v>18</v>
      </c>
      <c r="C127" s="42" t="s">
        <v>19</v>
      </c>
      <c r="D127" s="42" t="s">
        <v>19</v>
      </c>
      <c r="E127" s="42">
        <v>0.5859375</v>
      </c>
      <c r="F127" s="42" t="s">
        <v>19</v>
      </c>
      <c r="G127" s="42" t="s">
        <v>19</v>
      </c>
      <c r="H127" s="42" t="s">
        <v>19</v>
      </c>
      <c r="I127" s="42" t="s">
        <v>19</v>
      </c>
      <c r="J127" s="42" t="str">
        <f t="shared" ref="H127:AM127" si="1691">IF(J$8="","",IF(J126=0,"",J126/(J123*100)))</f>
        <v/>
      </c>
      <c r="K127" s="42" t="str">
        <f t="shared" si="1691"/>
        <v/>
      </c>
      <c r="L127" s="42">
        <f t="shared" si="1691"/>
        <v>0.25641025641025639</v>
      </c>
      <c r="M127" s="42" t="str">
        <f t="shared" si="1691"/>
        <v/>
      </c>
      <c r="N127" s="42" t="str">
        <f t="shared" si="1691"/>
        <v/>
      </c>
      <c r="O127" s="42" t="str">
        <f t="shared" si="1691"/>
        <v/>
      </c>
      <c r="P127" s="42" t="str">
        <f t="shared" si="1691"/>
        <v/>
      </c>
      <c r="Q127" s="42" t="str">
        <f t="shared" si="1691"/>
        <v/>
      </c>
      <c r="R127" s="42" t="str">
        <f t="shared" si="1691"/>
        <v/>
      </c>
      <c r="S127" s="42" t="str">
        <f t="shared" si="1691"/>
        <v/>
      </c>
      <c r="T127" s="42" t="str">
        <f t="shared" si="1691"/>
        <v/>
      </c>
      <c r="U127" s="42" t="str">
        <f t="shared" si="1691"/>
        <v/>
      </c>
      <c r="V127" s="42" t="str">
        <f t="shared" si="1691"/>
        <v/>
      </c>
      <c r="W127" s="42" t="str">
        <f t="shared" si="1691"/>
        <v/>
      </c>
      <c r="X127" s="42" t="str">
        <f t="shared" si="1691"/>
        <v/>
      </c>
      <c r="Y127" s="42" t="str">
        <f t="shared" si="1691"/>
        <v/>
      </c>
      <c r="Z127" s="42" t="str">
        <f t="shared" si="1691"/>
        <v/>
      </c>
      <c r="AA127" s="42" t="str">
        <f t="shared" si="1691"/>
        <v/>
      </c>
      <c r="AB127" s="42" t="str">
        <f t="shared" si="1691"/>
        <v/>
      </c>
      <c r="AC127" s="42" t="str">
        <f t="shared" si="1691"/>
        <v/>
      </c>
      <c r="AD127" s="42" t="str">
        <f t="shared" si="1691"/>
        <v/>
      </c>
      <c r="AE127" s="42" t="str">
        <f t="shared" si="1691"/>
        <v/>
      </c>
      <c r="AF127" s="42" t="str">
        <f t="shared" si="1691"/>
        <v/>
      </c>
      <c r="AG127" s="42" t="str">
        <f t="shared" si="1691"/>
        <v/>
      </c>
      <c r="AH127" s="42" t="str">
        <f t="shared" si="1691"/>
        <v/>
      </c>
      <c r="AI127" s="42" t="str">
        <f t="shared" si="1691"/>
        <v/>
      </c>
      <c r="AJ127" s="42" t="str">
        <f t="shared" si="1691"/>
        <v/>
      </c>
      <c r="AK127" s="42" t="str">
        <f t="shared" si="1691"/>
        <v/>
      </c>
      <c r="AL127" s="42" t="str">
        <f t="shared" si="1691"/>
        <v/>
      </c>
      <c r="AM127" s="42" t="str">
        <f t="shared" si="1691"/>
        <v/>
      </c>
      <c r="AN127" s="42" t="str">
        <f t="shared" ref="D127:AN127" si="1692">IF(AN$8="","",IF(AN126=0,"",AN126/(AN123*100)))</f>
        <v/>
      </c>
      <c r="AO127" s="42" t="str">
        <f t="shared" ref="AO127:AS127" si="1693">IF(AO$8="","",IF(AO126=0,"",AO126/(AO123*100)))</f>
        <v/>
      </c>
      <c r="AP127" s="42" t="str">
        <f t="shared" si="1693"/>
        <v/>
      </c>
      <c r="AQ127" s="42" t="str">
        <f t="shared" si="1693"/>
        <v/>
      </c>
      <c r="AR127" s="42" t="str">
        <f t="shared" si="1693"/>
        <v/>
      </c>
      <c r="AS127" s="42" t="str">
        <f t="shared" si="1693"/>
        <v/>
      </c>
    </row>
    <row r="128" spans="1:45" x14ac:dyDescent="0.15">
      <c r="A128" s="17" t="s">
        <v>1</v>
      </c>
      <c r="B128" s="41" t="s">
        <v>2</v>
      </c>
      <c r="C128" s="35">
        <v>4716</v>
      </c>
      <c r="D128" s="35">
        <v>4716</v>
      </c>
      <c r="E128" s="35">
        <v>4845</v>
      </c>
      <c r="F128" s="35">
        <v>4845</v>
      </c>
      <c r="G128" s="35">
        <v>4845</v>
      </c>
      <c r="H128" s="35">
        <v>4845</v>
      </c>
      <c r="I128" s="35">
        <v>4873</v>
      </c>
      <c r="J128" s="35">
        <f>IF(J$8="","",I128)</f>
        <v>4873</v>
      </c>
      <c r="K128" s="35">
        <f t="shared" ref="K128:K129" si="1694">IF(K$8="","",J128)</f>
        <v>4873</v>
      </c>
      <c r="L128" s="35">
        <v>4949</v>
      </c>
      <c r="M128" s="35" t="str">
        <f>IF(M$8="","",L128)</f>
        <v/>
      </c>
      <c r="N128" s="35" t="str">
        <f t="shared" ref="N128:N129" si="1695">IF(N$8="","",M128)</f>
        <v/>
      </c>
      <c r="O128" s="35" t="str">
        <f t="shared" ref="O128:O129" si="1696">IF(O$8="","",N128)</f>
        <v/>
      </c>
      <c r="P128" s="35" t="str">
        <f>IF(P$8="","",O128)</f>
        <v/>
      </c>
      <c r="Q128" s="35" t="str">
        <f>IF(Q$8="","",P128)</f>
        <v/>
      </c>
      <c r="R128" s="35" t="str">
        <f t="shared" ref="R128:R129" si="1697">IF(R$8="","",Q128)</f>
        <v/>
      </c>
      <c r="S128" s="35" t="str">
        <f>IF(S$8="","",R128)</f>
        <v/>
      </c>
      <c r="T128" s="35" t="str">
        <f>IF(T$8="","",S128)</f>
        <v/>
      </c>
      <c r="U128" s="35" t="str">
        <f t="shared" ref="U128:U129" si="1698">IF(U$8="","",T128)</f>
        <v/>
      </c>
      <c r="V128" s="35" t="str">
        <f t="shared" ref="V128:V129" si="1699">IF(V$8="","",U128)</f>
        <v/>
      </c>
      <c r="W128" s="35" t="str">
        <f>IF(W$8="","",V128)</f>
        <v/>
      </c>
      <c r="X128" s="35" t="str">
        <f>IF(X$8="","",W128)</f>
        <v/>
      </c>
      <c r="Y128" s="35" t="str">
        <f t="shared" ref="Y128:Y129" si="1700">IF(Y$8="","",X128)</f>
        <v/>
      </c>
      <c r="Z128" s="35" t="str">
        <f>IF(Z$8="","",Y128)</f>
        <v/>
      </c>
      <c r="AA128" s="35" t="str">
        <f>IF(AA$8="","",Z128)</f>
        <v/>
      </c>
      <c r="AB128" s="35" t="str">
        <f t="shared" ref="AB128:AB129" si="1701">IF(AB$8="","",AA128)</f>
        <v/>
      </c>
      <c r="AC128" s="35" t="str">
        <f t="shared" ref="AC128:AC129" si="1702">IF(AC$8="","",AB128)</f>
        <v/>
      </c>
      <c r="AD128" s="35" t="str">
        <f>IF(AD$8="","",AC128)</f>
        <v/>
      </c>
      <c r="AE128" s="35" t="str">
        <f>IF(AE$8="","",AD128)</f>
        <v/>
      </c>
      <c r="AF128" s="35" t="str">
        <f t="shared" ref="AF128:AF129" si="1703">IF(AF$8="","",AE128)</f>
        <v/>
      </c>
      <c r="AG128" s="35" t="str">
        <f>IF(AG$8="","",AF128)</f>
        <v/>
      </c>
      <c r="AH128" s="35" t="str">
        <f t="shared" ref="AH128:AH129" si="1704">IF(AH$8="","",AG128)</f>
        <v/>
      </c>
      <c r="AI128" s="35" t="str">
        <f t="shared" ref="AI128:AI129" si="1705">IF(AI$8="","",AH128)</f>
        <v/>
      </c>
      <c r="AJ128" s="35" t="str">
        <f t="shared" ref="AJ128:AJ129" si="1706">IF(AJ$8="","",AI128)</f>
        <v/>
      </c>
      <c r="AK128" s="35" t="str">
        <f>IF(AK$8="","",AJ128)</f>
        <v/>
      </c>
      <c r="AL128" s="35" t="str">
        <f t="shared" ref="AL128:AL129" si="1707">IF(AL$8="","",AK128)</f>
        <v/>
      </c>
      <c r="AM128" s="35" t="str">
        <f t="shared" ref="AM128:AM129" si="1708">IF(AM$8="","",AL128)</f>
        <v/>
      </c>
      <c r="AN128" s="35" t="str">
        <f t="shared" ref="AN128:AN129" si="1709">IF(AN$8="","",AM128)</f>
        <v/>
      </c>
      <c r="AO128" s="35" t="str">
        <f t="shared" ref="AO128:AS128" si="1710">IF(AO$8="","",AN128)</f>
        <v/>
      </c>
      <c r="AP128" s="35" t="str">
        <f t="shared" si="1710"/>
        <v/>
      </c>
      <c r="AQ128" s="35" t="str">
        <f t="shared" si="1710"/>
        <v/>
      </c>
      <c r="AR128" s="35" t="str">
        <f t="shared" si="1710"/>
        <v/>
      </c>
      <c r="AS128" s="35" t="str">
        <f t="shared" si="1710"/>
        <v/>
      </c>
    </row>
    <row r="129" spans="1:45" x14ac:dyDescent="0.15">
      <c r="A129" s="16" t="s">
        <v>29</v>
      </c>
      <c r="B129" s="30" t="s">
        <v>4</v>
      </c>
      <c r="C129" s="29">
        <v>78</v>
      </c>
      <c r="D129" s="29">
        <v>78</v>
      </c>
      <c r="E129" s="29">
        <v>79</v>
      </c>
      <c r="F129" s="29">
        <v>79</v>
      </c>
      <c r="G129" s="29">
        <v>79</v>
      </c>
      <c r="H129" s="29">
        <v>79</v>
      </c>
      <c r="I129" s="29">
        <v>79</v>
      </c>
      <c r="J129" s="29">
        <f>IF(J$8="","",I129)</f>
        <v>79</v>
      </c>
      <c r="K129" s="29">
        <f t="shared" si="1694"/>
        <v>79</v>
      </c>
      <c r="L129" s="29">
        <v>80</v>
      </c>
      <c r="M129" s="29" t="str">
        <f>IF(M$8="","",L129)</f>
        <v/>
      </c>
      <c r="N129" s="29" t="str">
        <f t="shared" si="1695"/>
        <v/>
      </c>
      <c r="O129" s="29" t="str">
        <f t="shared" si="1696"/>
        <v/>
      </c>
      <c r="P129" s="29" t="str">
        <f>IF(P$8="","",O129)</f>
        <v/>
      </c>
      <c r="Q129" s="29" t="str">
        <f t="shared" ref="Q129" si="1711">IF(Q$8="","",P129)</f>
        <v/>
      </c>
      <c r="R129" s="29" t="str">
        <f t="shared" si="1697"/>
        <v/>
      </c>
      <c r="S129" s="29" t="str">
        <f>IF(S$8="","",R129)</f>
        <v/>
      </c>
      <c r="T129" s="29" t="str">
        <f t="shared" ref="T129" si="1712">IF(T$8="","",S129)</f>
        <v/>
      </c>
      <c r="U129" s="29" t="str">
        <f t="shared" si="1698"/>
        <v/>
      </c>
      <c r="V129" s="29" t="str">
        <f t="shared" si="1699"/>
        <v/>
      </c>
      <c r="W129" s="29" t="str">
        <f>IF(W$8="","",V129)</f>
        <v/>
      </c>
      <c r="X129" s="29" t="str">
        <f>IF(X$8="","",W129)</f>
        <v/>
      </c>
      <c r="Y129" s="29" t="str">
        <f t="shared" si="1700"/>
        <v/>
      </c>
      <c r="Z129" s="29" t="str">
        <f>IF(Z$8="","",Y129)</f>
        <v/>
      </c>
      <c r="AA129" s="29" t="str">
        <f t="shared" ref="AA129" si="1713">IF(AA$8="","",Z129)</f>
        <v/>
      </c>
      <c r="AB129" s="29" t="str">
        <f t="shared" si="1701"/>
        <v/>
      </c>
      <c r="AC129" s="29" t="str">
        <f t="shared" si="1702"/>
        <v/>
      </c>
      <c r="AD129" s="29" t="str">
        <f t="shared" ref="AD128:AD129" si="1714">IF(AD$8="","",AC129)</f>
        <v/>
      </c>
      <c r="AE129" s="29" t="str">
        <f t="shared" ref="AE129" si="1715">IF(AE$8="","",AD129)</f>
        <v/>
      </c>
      <c r="AF129" s="29" t="str">
        <f t="shared" si="1703"/>
        <v/>
      </c>
      <c r="AG129" s="29" t="str">
        <f>IF(AG$8="","",AF129)</f>
        <v/>
      </c>
      <c r="AH129" s="29" t="str">
        <f t="shared" si="1704"/>
        <v/>
      </c>
      <c r="AI129" s="29" t="str">
        <f t="shared" si="1705"/>
        <v/>
      </c>
      <c r="AJ129" s="29" t="str">
        <f t="shared" si="1706"/>
        <v/>
      </c>
      <c r="AK129" s="29" t="str">
        <f t="shared" ref="AK128:AK129" si="1716">IF(AK$8="","",AJ129)</f>
        <v/>
      </c>
      <c r="AL129" s="29" t="str">
        <f t="shared" si="1707"/>
        <v/>
      </c>
      <c r="AM129" s="29" t="str">
        <f t="shared" si="1708"/>
        <v/>
      </c>
      <c r="AN129" s="29" t="str">
        <f t="shared" si="1709"/>
        <v/>
      </c>
      <c r="AO129" s="29" t="str">
        <f t="shared" ref="AO129:AS129" si="1717">IF(AO$8="","",AN129)</f>
        <v/>
      </c>
      <c r="AP129" s="29" t="str">
        <f t="shared" si="1717"/>
        <v/>
      </c>
      <c r="AQ129" s="29" t="str">
        <f t="shared" si="1717"/>
        <v/>
      </c>
      <c r="AR129" s="29" t="str">
        <f t="shared" si="1717"/>
        <v/>
      </c>
      <c r="AS129" s="29" t="str">
        <f t="shared" si="1717"/>
        <v/>
      </c>
    </row>
    <row r="130" spans="1:45" x14ac:dyDescent="0.15">
      <c r="A130" s="15">
        <v>3</v>
      </c>
      <c r="B130" s="30" t="s">
        <v>5</v>
      </c>
      <c r="C130" s="29">
        <v>8</v>
      </c>
      <c r="D130" s="29">
        <v>8</v>
      </c>
      <c r="E130" s="29">
        <v>7</v>
      </c>
      <c r="F130" s="29">
        <v>10</v>
      </c>
      <c r="G130" s="29">
        <v>10</v>
      </c>
      <c r="H130" s="29">
        <v>10</v>
      </c>
      <c r="I130" s="29">
        <v>10</v>
      </c>
      <c r="J130" s="29">
        <f>IF(J$8="","",(I130+I131))</f>
        <v>10</v>
      </c>
      <c r="K130" s="29">
        <f t="shared" ref="K130" si="1718">IF(K$8="","",(J130+J131))</f>
        <v>10</v>
      </c>
      <c r="L130" s="29">
        <v>9</v>
      </c>
      <c r="M130" s="29" t="str">
        <f>IF(M$8="","",(L130+L131))</f>
        <v/>
      </c>
      <c r="N130" s="29" t="str">
        <f t="shared" ref="N130" si="1719">IF(N$8="","",(M130+M131))</f>
        <v/>
      </c>
      <c r="O130" s="29" t="str">
        <f t="shared" ref="O130" si="1720">IF(O$8="","",(N130+N131))</f>
        <v/>
      </c>
      <c r="P130" s="29" t="str">
        <f>IF(P$8="","",(O130+O131))</f>
        <v/>
      </c>
      <c r="Q130" s="29" t="str">
        <f t="shared" ref="Q130" si="1721">IF(Q$8="","",(P130+P131))</f>
        <v/>
      </c>
      <c r="R130" s="29" t="str">
        <f t="shared" ref="R130" si="1722">IF(R$8="","",(Q130+Q131))</f>
        <v/>
      </c>
      <c r="S130" s="29" t="str">
        <f>IF(S$8="","",(R130+R131))</f>
        <v/>
      </c>
      <c r="T130" s="29" t="str">
        <f t="shared" ref="T130" si="1723">IF(T$8="","",(S130+S131))</f>
        <v/>
      </c>
      <c r="U130" s="29" t="str">
        <f t="shared" ref="U130" si="1724">IF(U$8="","",(T130+T131))</f>
        <v/>
      </c>
      <c r="V130" s="29" t="str">
        <f t="shared" ref="V130" si="1725">IF(V$8="","",(U130+U131))</f>
        <v/>
      </c>
      <c r="W130" s="29" t="str">
        <f>IF(W$8="","",(V130+V131))</f>
        <v/>
      </c>
      <c r="X130" s="29" t="str">
        <f t="shared" ref="X130" si="1726">IF(X$8="","",(W130+W131))</f>
        <v/>
      </c>
      <c r="Y130" s="29" t="str">
        <f t="shared" ref="Y130" si="1727">IF(Y$8="","",(X130+X131))</f>
        <v/>
      </c>
      <c r="Z130" s="29" t="str">
        <f>IF(Z$8="","",(Y130+Y131))</f>
        <v/>
      </c>
      <c r="AA130" s="29" t="str">
        <f t="shared" ref="AA130" si="1728">IF(AA$8="","",(Z130+Z131))</f>
        <v/>
      </c>
      <c r="AB130" s="29" t="str">
        <f t="shared" ref="AB130" si="1729">IF(AB$8="","",(AA130+AA131))</f>
        <v/>
      </c>
      <c r="AC130" s="29" t="str">
        <f t="shared" ref="AC130" si="1730">IF(AC$8="","",(AB130+AB131))</f>
        <v/>
      </c>
      <c r="AD130" s="29" t="str">
        <f t="shared" ref="AD130" si="1731">IF(AD$8="","",(AC130+AC131))</f>
        <v/>
      </c>
      <c r="AE130" s="29" t="str">
        <f t="shared" ref="AE130" si="1732">IF(AE$8="","",(AD130+AD131))</f>
        <v/>
      </c>
      <c r="AF130" s="29" t="str">
        <f t="shared" ref="AF130" si="1733">IF(AF$8="","",(AE130+AE131))</f>
        <v/>
      </c>
      <c r="AG130" s="29" t="str">
        <f>IF(AG$8="","",(AF130+AF131))</f>
        <v/>
      </c>
      <c r="AH130" s="29" t="str">
        <f t="shared" ref="AH130" si="1734">IF(AH$8="","",(AG130+AG131))</f>
        <v/>
      </c>
      <c r="AI130" s="29" t="str">
        <f t="shared" ref="AI130" si="1735">IF(AI$8="","",(AH130+AH131))</f>
        <v/>
      </c>
      <c r="AJ130" s="29" t="str">
        <f t="shared" ref="AJ130" si="1736">IF(AJ$8="","",(AI130+AI131))</f>
        <v/>
      </c>
      <c r="AK130" s="29" t="str">
        <f t="shared" ref="AK130" si="1737">IF(AK$8="","",(AJ130+AJ131))</f>
        <v/>
      </c>
      <c r="AL130" s="29" t="str">
        <f t="shared" ref="AL130" si="1738">IF(AL$8="","",(AK130+AK131))</f>
        <v/>
      </c>
      <c r="AM130" s="29" t="str">
        <f t="shared" ref="AM130" si="1739">IF(AM$8="","",(AL130+AL131))</f>
        <v/>
      </c>
      <c r="AN130" s="29" t="str">
        <f t="shared" ref="AN130" si="1740">IF(AN$8="","",(AM130+AM131))</f>
        <v/>
      </c>
      <c r="AO130" s="29" t="str">
        <f t="shared" ref="AO130:AS130" si="1741">IF(AO$8="","",(AN130+AN131))</f>
        <v/>
      </c>
      <c r="AP130" s="29" t="str">
        <f t="shared" si="1741"/>
        <v/>
      </c>
      <c r="AQ130" s="29" t="str">
        <f t="shared" si="1741"/>
        <v/>
      </c>
      <c r="AR130" s="29" t="str">
        <f t="shared" si="1741"/>
        <v/>
      </c>
      <c r="AS130" s="29" t="str">
        <f t="shared" si="1741"/>
        <v/>
      </c>
    </row>
    <row r="131" spans="1:45" x14ac:dyDescent="0.15">
      <c r="A131" s="14"/>
      <c r="B131" s="30" t="s">
        <v>7</v>
      </c>
      <c r="C131" s="29"/>
      <c r="D131" s="29"/>
      <c r="E131" s="29">
        <v>3</v>
      </c>
      <c r="F131" s="29"/>
      <c r="G131" s="29"/>
      <c r="H131" s="29"/>
      <c r="I131" s="29"/>
      <c r="J131" s="29"/>
      <c r="K131" s="29"/>
      <c r="L131" s="29">
        <v>2</v>
      </c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</row>
    <row r="132" spans="1:45" x14ac:dyDescent="0.15">
      <c r="A132" s="7"/>
      <c r="B132" s="30" t="s">
        <v>8</v>
      </c>
      <c r="C132" s="35">
        <v>500</v>
      </c>
      <c r="D132" s="35">
        <v>500</v>
      </c>
      <c r="E132" s="35">
        <v>500</v>
      </c>
      <c r="F132" s="35">
        <v>500</v>
      </c>
      <c r="G132" s="35">
        <v>500</v>
      </c>
      <c r="H132" s="35">
        <v>500</v>
      </c>
      <c r="I132" s="35">
        <v>500</v>
      </c>
      <c r="J132" s="35">
        <f t="shared" ref="J132:J133" si="1742">IF(J$8="","",I132)</f>
        <v>500</v>
      </c>
      <c r="K132" s="35">
        <f t="shared" ref="K132:K133" si="1743">IF(K$8="","",J132)</f>
        <v>500</v>
      </c>
      <c r="L132" s="35">
        <f t="shared" ref="L132:L133" si="1744">IF(L$8="","",K132)</f>
        <v>500</v>
      </c>
      <c r="M132" s="35" t="str">
        <f t="shared" ref="M132:M133" si="1745">IF(M$8="","",L132)</f>
        <v/>
      </c>
      <c r="N132" s="35" t="str">
        <f t="shared" ref="N132:N133" si="1746">IF(N$8="","",M132)</f>
        <v/>
      </c>
      <c r="O132" s="35" t="str">
        <f t="shared" ref="O132:O133" si="1747">IF(O$8="","",N132)</f>
        <v/>
      </c>
      <c r="P132" s="35" t="str">
        <f t="shared" ref="P132:P133" si="1748">IF(P$8="","",O132)</f>
        <v/>
      </c>
      <c r="Q132" s="35" t="str">
        <f t="shared" ref="Q132:Q133" si="1749">IF(Q$8="","",P132)</f>
        <v/>
      </c>
      <c r="R132" s="35" t="str">
        <f t="shared" ref="R132:R133" si="1750">IF(R$8="","",Q132)</f>
        <v/>
      </c>
      <c r="S132" s="35" t="str">
        <f t="shared" ref="S132:S133" si="1751">IF(S$8="","",R132)</f>
        <v/>
      </c>
      <c r="T132" s="35" t="str">
        <f t="shared" ref="T132:T133" si="1752">IF(T$8="","",S132)</f>
        <v/>
      </c>
      <c r="U132" s="35" t="str">
        <f t="shared" ref="U132:U133" si="1753">IF(U$8="","",T132)</f>
        <v/>
      </c>
      <c r="V132" s="35" t="str">
        <f t="shared" ref="V132:V133" si="1754">IF(V$8="","",U132)</f>
        <v/>
      </c>
      <c r="W132" s="35" t="str">
        <f t="shared" ref="W132:W133" si="1755">IF(W$8="","",V132)</f>
        <v/>
      </c>
      <c r="X132" s="35" t="str">
        <f t="shared" ref="X132:X133" si="1756">IF(X$8="","",W132)</f>
        <v/>
      </c>
      <c r="Y132" s="35" t="str">
        <f t="shared" ref="Y132:Y133" si="1757">IF(Y$8="","",X132)</f>
        <v/>
      </c>
      <c r="Z132" s="35" t="str">
        <f t="shared" ref="Z132:Z133" si="1758">IF(Z$8="","",Y132)</f>
        <v/>
      </c>
      <c r="AA132" s="35" t="str">
        <f t="shared" ref="AA132:AA133" si="1759">IF(AA$8="","",Z132)</f>
        <v/>
      </c>
      <c r="AB132" s="35" t="str">
        <f t="shared" ref="AB132:AB133" si="1760">IF(AB$8="","",AA132)</f>
        <v/>
      </c>
      <c r="AC132" s="35" t="str">
        <f t="shared" ref="AC132:AC133" si="1761">IF(AC$8="","",AB132)</f>
        <v/>
      </c>
      <c r="AD132" s="35" t="str">
        <f t="shared" ref="AD132:AD133" si="1762">IF(AD$8="","",AC132)</f>
        <v/>
      </c>
      <c r="AE132" s="35" t="str">
        <f t="shared" ref="AE132:AE133" si="1763">IF(AE$8="","",AD132)</f>
        <v/>
      </c>
      <c r="AF132" s="35" t="str">
        <f t="shared" ref="AF132:AF133" si="1764">IF(AF$8="","",AE132)</f>
        <v/>
      </c>
      <c r="AG132" s="35" t="str">
        <f t="shared" ref="AG132:AG133" si="1765">IF(AG$8="","",AF132)</f>
        <v/>
      </c>
      <c r="AH132" s="35" t="str">
        <f t="shared" ref="AH132:AH133" si="1766">IF(AH$8="","",AG132)</f>
        <v/>
      </c>
      <c r="AI132" s="35" t="str">
        <f t="shared" ref="AI132:AI133" si="1767">IF(AI$8="","",AH132)</f>
        <v/>
      </c>
      <c r="AJ132" s="35" t="str">
        <f t="shared" ref="AJ132:AJ133" si="1768">IF(AJ$8="","",AI132)</f>
        <v/>
      </c>
      <c r="AK132" s="35" t="str">
        <f t="shared" ref="AK132:AK133" si="1769">IF(AK$8="","",AJ132)</f>
        <v/>
      </c>
      <c r="AL132" s="35" t="str">
        <f t="shared" ref="AL132:AL133" si="1770">IF(AL$8="","",AK132)</f>
        <v/>
      </c>
      <c r="AM132" s="35" t="str">
        <f t="shared" ref="AM132:AM133" si="1771">IF(AM$8="","",AL132)</f>
        <v/>
      </c>
      <c r="AN132" s="35" t="str">
        <f t="shared" ref="AN132:AN133" si="1772">IF(AN$8="","",AM132)</f>
        <v/>
      </c>
      <c r="AO132" s="35" t="str">
        <f t="shared" ref="AO132:AS132" si="1773">IF(AO$8="","",AN132)</f>
        <v/>
      </c>
      <c r="AP132" s="35" t="str">
        <f t="shared" si="1773"/>
        <v/>
      </c>
      <c r="AQ132" s="35" t="str">
        <f t="shared" si="1773"/>
        <v/>
      </c>
      <c r="AR132" s="35" t="str">
        <f t="shared" si="1773"/>
        <v/>
      </c>
      <c r="AS132" s="35" t="str">
        <f t="shared" si="1773"/>
        <v/>
      </c>
    </row>
    <row r="133" spans="1:45" s="85" customFormat="1" x14ac:dyDescent="0.15">
      <c r="A133" s="14" t="s">
        <v>9</v>
      </c>
      <c r="B133" s="33" t="s">
        <v>10</v>
      </c>
      <c r="C133" s="32" t="s">
        <v>360</v>
      </c>
      <c r="D133" s="32" t="s">
        <v>360</v>
      </c>
      <c r="E133" s="32" t="s">
        <v>360</v>
      </c>
      <c r="F133" s="32" t="s">
        <v>360</v>
      </c>
      <c r="G133" s="32" t="s">
        <v>360</v>
      </c>
      <c r="H133" s="32" t="s">
        <v>360</v>
      </c>
      <c r="I133" s="32" t="s">
        <v>360</v>
      </c>
      <c r="J133" s="32" t="str">
        <f t="shared" si="1742"/>
        <v>パンケーキスクイーズ</v>
      </c>
      <c r="K133" s="32" t="str">
        <f t="shared" si="1743"/>
        <v>パンケーキスクイーズ</v>
      </c>
      <c r="L133" s="32" t="str">
        <f t="shared" si="1744"/>
        <v>パンケーキスクイーズ</v>
      </c>
      <c r="M133" s="32" t="str">
        <f t="shared" si="1745"/>
        <v/>
      </c>
      <c r="N133" s="32" t="str">
        <f t="shared" si="1746"/>
        <v/>
      </c>
      <c r="O133" s="32" t="str">
        <f t="shared" si="1747"/>
        <v/>
      </c>
      <c r="P133" s="32" t="str">
        <f t="shared" si="1748"/>
        <v/>
      </c>
      <c r="Q133" s="32" t="str">
        <f t="shared" si="1749"/>
        <v/>
      </c>
      <c r="R133" s="32" t="str">
        <f t="shared" si="1750"/>
        <v/>
      </c>
      <c r="S133" s="32" t="str">
        <f>IF(S$8="","",R133)</f>
        <v/>
      </c>
      <c r="T133" s="32" t="str">
        <f t="shared" si="1752"/>
        <v/>
      </c>
      <c r="U133" s="32" t="str">
        <f t="shared" si="1753"/>
        <v/>
      </c>
      <c r="V133" s="32" t="str">
        <f t="shared" si="1754"/>
        <v/>
      </c>
      <c r="W133" s="32" t="str">
        <f t="shared" si="1755"/>
        <v/>
      </c>
      <c r="X133" s="32" t="str">
        <f t="shared" si="1756"/>
        <v/>
      </c>
      <c r="Y133" s="32" t="str">
        <f t="shared" si="1757"/>
        <v/>
      </c>
      <c r="Z133" s="32" t="str">
        <f t="shared" si="1758"/>
        <v/>
      </c>
      <c r="AA133" s="32" t="str">
        <f t="shared" si="1759"/>
        <v/>
      </c>
      <c r="AB133" s="32" t="str">
        <f t="shared" si="1760"/>
        <v/>
      </c>
      <c r="AC133" s="32" t="str">
        <f t="shared" si="1761"/>
        <v/>
      </c>
      <c r="AD133" s="32" t="str">
        <f t="shared" si="1762"/>
        <v/>
      </c>
      <c r="AE133" s="32" t="str">
        <f t="shared" si="1763"/>
        <v/>
      </c>
      <c r="AF133" s="32" t="str">
        <f t="shared" si="1764"/>
        <v/>
      </c>
      <c r="AG133" s="32" t="str">
        <f t="shared" si="1765"/>
        <v/>
      </c>
      <c r="AH133" s="32" t="str">
        <f t="shared" si="1766"/>
        <v/>
      </c>
      <c r="AI133" s="32" t="str">
        <f t="shared" si="1767"/>
        <v/>
      </c>
      <c r="AJ133" s="32" t="str">
        <f t="shared" si="1768"/>
        <v/>
      </c>
      <c r="AK133" s="32" t="str">
        <f t="shared" si="1769"/>
        <v/>
      </c>
      <c r="AL133" s="32" t="str">
        <f t="shared" si="1770"/>
        <v/>
      </c>
      <c r="AM133" s="32" t="str">
        <f t="shared" si="1771"/>
        <v/>
      </c>
      <c r="AN133" s="32" t="str">
        <f t="shared" si="1772"/>
        <v/>
      </c>
      <c r="AO133" s="32" t="str">
        <f t="shared" ref="AO133:AS133" si="1774">IF(AO$8="","",AN133)</f>
        <v/>
      </c>
      <c r="AP133" s="32" t="str">
        <f t="shared" si="1774"/>
        <v/>
      </c>
      <c r="AQ133" s="32" t="str">
        <f t="shared" si="1774"/>
        <v/>
      </c>
      <c r="AR133" s="32" t="str">
        <f t="shared" si="1774"/>
        <v/>
      </c>
      <c r="AS133" s="32" t="str">
        <f t="shared" si="1774"/>
        <v/>
      </c>
    </row>
    <row r="134" spans="1:45" x14ac:dyDescent="0.15">
      <c r="A134" s="7">
        <f>AVERAGE(C135:AS135)*30*100</f>
        <v>69900</v>
      </c>
      <c r="B134" s="30" t="s">
        <v>12</v>
      </c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</row>
    <row r="135" spans="1:45" x14ac:dyDescent="0.15">
      <c r="A135" s="7">
        <f>SUM(C135:AS135)</f>
        <v>233</v>
      </c>
      <c r="B135" s="27" t="s">
        <v>13</v>
      </c>
      <c r="C135" s="26">
        <v>0</v>
      </c>
      <c r="D135" s="26">
        <v>0</v>
      </c>
      <c r="E135" s="26">
        <v>129</v>
      </c>
      <c r="F135" s="26">
        <v>0</v>
      </c>
      <c r="G135" s="26">
        <v>0</v>
      </c>
      <c r="H135" s="26">
        <v>0</v>
      </c>
      <c r="I135" s="26">
        <v>28</v>
      </c>
      <c r="J135" s="26">
        <f t="shared" ref="J135:J136" si="1775">IF(J$8="","",J128-I128)</f>
        <v>0</v>
      </c>
      <c r="K135" s="26">
        <f t="shared" ref="K135:K136" si="1776">IF(K$8="","",K128-J128)</f>
        <v>0</v>
      </c>
      <c r="L135" s="26">
        <f t="shared" ref="L135:L136" si="1777">IF(L$8="","",L128-K128)</f>
        <v>76</v>
      </c>
      <c r="M135" s="26" t="str">
        <f t="shared" ref="M135:M136" si="1778">IF(M$8="","",M128-L128)</f>
        <v/>
      </c>
      <c r="N135" s="26" t="str">
        <f t="shared" ref="N135:N136" si="1779">IF(N$8="","",N128-M128)</f>
        <v/>
      </c>
      <c r="O135" s="26" t="str">
        <f t="shared" ref="O135:O136" si="1780">IF(O$8="","",O128-N128)</f>
        <v/>
      </c>
      <c r="P135" s="26" t="str">
        <f t="shared" ref="P135:P136" si="1781">IF(P$8="","",P128-O128)</f>
        <v/>
      </c>
      <c r="Q135" s="26" t="str">
        <f t="shared" ref="Q135:Q136" si="1782">IF(Q$8="","",Q128-P128)</f>
        <v/>
      </c>
      <c r="R135" s="26" t="str">
        <f t="shared" ref="R135:R136" si="1783">IF(R$8="","",R128-Q128)</f>
        <v/>
      </c>
      <c r="S135" s="26" t="str">
        <f t="shared" ref="S135:S136" si="1784">IF(S$8="","",S128-R128)</f>
        <v/>
      </c>
      <c r="T135" s="26" t="str">
        <f t="shared" ref="T135:T136" si="1785">IF(T$8="","",T128-S128)</f>
        <v/>
      </c>
      <c r="U135" s="26" t="str">
        <f t="shared" ref="U135:U136" si="1786">IF(U$8="","",U128-T128)</f>
        <v/>
      </c>
      <c r="V135" s="26" t="str">
        <f t="shared" ref="V135:V136" si="1787">IF(V$8="","",V128-U128)</f>
        <v/>
      </c>
      <c r="W135" s="26" t="str">
        <f t="shared" ref="W135:W136" si="1788">IF(W$8="","",W128-V128)</f>
        <v/>
      </c>
      <c r="X135" s="26" t="str">
        <f t="shared" ref="X135:X136" si="1789">IF(X$8="","",X128-W128)</f>
        <v/>
      </c>
      <c r="Y135" s="26" t="str">
        <f t="shared" ref="Y135:Y136" si="1790">IF(Y$8="","",Y128-X128)</f>
        <v/>
      </c>
      <c r="Z135" s="26" t="str">
        <f t="shared" ref="Z135:Z136" si="1791">IF(Z$8="","",Z128-Y128)</f>
        <v/>
      </c>
      <c r="AA135" s="26" t="str">
        <f t="shared" ref="AA135:AA136" si="1792">IF(AA$8="","",AA128-Z128)</f>
        <v/>
      </c>
      <c r="AB135" s="26" t="str">
        <f t="shared" ref="AB135:AB136" si="1793">IF(AB$8="","",AB128-AA128)</f>
        <v/>
      </c>
      <c r="AC135" s="26" t="str">
        <f t="shared" ref="AC135:AC136" si="1794">IF(AC$8="","",AC128-AB128)</f>
        <v/>
      </c>
      <c r="AD135" s="26" t="str">
        <f t="shared" ref="AD135:AD136" si="1795">IF(AD$8="","",AD128-AC128)</f>
        <v/>
      </c>
      <c r="AE135" s="26" t="str">
        <f t="shared" ref="AE135:AE136" si="1796">IF(AE$8="","",AE128-AD128)</f>
        <v/>
      </c>
      <c r="AF135" s="26" t="str">
        <f t="shared" ref="AF135:AF136" si="1797">IF(AF$8="","",AF128-AE128)</f>
        <v/>
      </c>
      <c r="AG135" s="26" t="str">
        <f t="shared" ref="AG135:AG136" si="1798">IF(AG$8="","",AG128-AF128)</f>
        <v/>
      </c>
      <c r="AH135" s="26" t="str">
        <f t="shared" ref="AH135:AH136" si="1799">IF(AH$8="","",AH128-AG128)</f>
        <v/>
      </c>
      <c r="AI135" s="26" t="str">
        <f t="shared" ref="AI135:AI136" si="1800">IF(AI$8="","",AI128-AH128)</f>
        <v/>
      </c>
      <c r="AJ135" s="26" t="str">
        <f t="shared" ref="AJ135:AJ136" si="1801">IF(AJ$8="","",AJ128-AI128)</f>
        <v/>
      </c>
      <c r="AK135" s="26" t="str">
        <f t="shared" ref="AK135:AK136" si="1802">IF(AK$8="","",AK128-AJ128)</f>
        <v/>
      </c>
      <c r="AL135" s="26" t="str">
        <f t="shared" ref="AL135:AL136" si="1803">IF(AL$8="","",AL128-AK128)</f>
        <v/>
      </c>
      <c r="AM135" s="26" t="str">
        <f t="shared" ref="AM135:AM136" si="1804">IF(AM$8="","",AM128-AL128)</f>
        <v/>
      </c>
      <c r="AN135" s="26" t="str">
        <f t="shared" ref="AN135:AN136" si="1805">IF(AN$8="","",AN128-AM128)</f>
        <v/>
      </c>
      <c r="AO135" s="26" t="str">
        <f t="shared" ref="AO135:AS135" si="1806">IF(AO$8="","",AO128-AN128)</f>
        <v/>
      </c>
      <c r="AP135" s="26" t="str">
        <f t="shared" si="1806"/>
        <v/>
      </c>
      <c r="AQ135" s="26" t="str">
        <f t="shared" si="1806"/>
        <v/>
      </c>
      <c r="AR135" s="26" t="str">
        <f t="shared" si="1806"/>
        <v/>
      </c>
      <c r="AS135" s="26" t="str">
        <f t="shared" si="1806"/>
        <v/>
      </c>
    </row>
    <row r="136" spans="1:45" x14ac:dyDescent="0.15">
      <c r="A136" s="7">
        <f>SUM(C136:AS136)</f>
        <v>2</v>
      </c>
      <c r="B136" s="27" t="s">
        <v>14</v>
      </c>
      <c r="C136" s="26">
        <v>0</v>
      </c>
      <c r="D136" s="26">
        <v>0</v>
      </c>
      <c r="E136" s="26">
        <v>1</v>
      </c>
      <c r="F136" s="26">
        <v>0</v>
      </c>
      <c r="G136" s="26">
        <v>0</v>
      </c>
      <c r="H136" s="26">
        <v>0</v>
      </c>
      <c r="I136" s="26">
        <v>0</v>
      </c>
      <c r="J136" s="26">
        <f t="shared" si="1775"/>
        <v>0</v>
      </c>
      <c r="K136" s="26">
        <f t="shared" si="1776"/>
        <v>0</v>
      </c>
      <c r="L136" s="26">
        <f t="shared" si="1777"/>
        <v>1</v>
      </c>
      <c r="M136" s="26" t="str">
        <f t="shared" si="1778"/>
        <v/>
      </c>
      <c r="N136" s="26" t="str">
        <f t="shared" si="1779"/>
        <v/>
      </c>
      <c r="O136" s="26" t="str">
        <f t="shared" si="1780"/>
        <v/>
      </c>
      <c r="P136" s="26" t="str">
        <f t="shared" si="1781"/>
        <v/>
      </c>
      <c r="Q136" s="26" t="str">
        <f t="shared" si="1782"/>
        <v/>
      </c>
      <c r="R136" s="26" t="str">
        <f t="shared" si="1783"/>
        <v/>
      </c>
      <c r="S136" s="26" t="str">
        <f t="shared" si="1784"/>
        <v/>
      </c>
      <c r="T136" s="26" t="str">
        <f t="shared" si="1785"/>
        <v/>
      </c>
      <c r="U136" s="26" t="str">
        <f t="shared" si="1786"/>
        <v/>
      </c>
      <c r="V136" s="26" t="str">
        <f t="shared" si="1787"/>
        <v/>
      </c>
      <c r="W136" s="26" t="str">
        <f t="shared" si="1788"/>
        <v/>
      </c>
      <c r="X136" s="26" t="str">
        <f t="shared" si="1789"/>
        <v/>
      </c>
      <c r="Y136" s="26" t="str">
        <f t="shared" si="1790"/>
        <v/>
      </c>
      <c r="Z136" s="26" t="str">
        <f t="shared" si="1791"/>
        <v/>
      </c>
      <c r="AA136" s="26" t="str">
        <f t="shared" si="1792"/>
        <v/>
      </c>
      <c r="AB136" s="26" t="str">
        <f t="shared" si="1793"/>
        <v/>
      </c>
      <c r="AC136" s="26" t="str">
        <f t="shared" si="1794"/>
        <v/>
      </c>
      <c r="AD136" s="26" t="str">
        <f t="shared" si="1795"/>
        <v/>
      </c>
      <c r="AE136" s="26" t="str">
        <f t="shared" si="1796"/>
        <v/>
      </c>
      <c r="AF136" s="26" t="str">
        <f t="shared" si="1797"/>
        <v/>
      </c>
      <c r="AG136" s="26" t="str">
        <f t="shared" si="1798"/>
        <v/>
      </c>
      <c r="AH136" s="26" t="str">
        <f t="shared" si="1799"/>
        <v/>
      </c>
      <c r="AI136" s="26" t="str">
        <f t="shared" si="1800"/>
        <v/>
      </c>
      <c r="AJ136" s="26" t="str">
        <f t="shared" si="1801"/>
        <v/>
      </c>
      <c r="AK136" s="26" t="str">
        <f t="shared" si="1802"/>
        <v/>
      </c>
      <c r="AL136" s="26" t="str">
        <f t="shared" si="1803"/>
        <v/>
      </c>
      <c r="AM136" s="26" t="str">
        <f t="shared" si="1804"/>
        <v/>
      </c>
      <c r="AN136" s="26" t="str">
        <f t="shared" si="1805"/>
        <v/>
      </c>
      <c r="AO136" s="26" t="str">
        <f t="shared" ref="AO136:AS136" si="1807">IF(AO$8="","",AO129-AN129)</f>
        <v/>
      </c>
      <c r="AP136" s="26" t="str">
        <f t="shared" si="1807"/>
        <v/>
      </c>
      <c r="AQ136" s="26" t="str">
        <f t="shared" si="1807"/>
        <v/>
      </c>
      <c r="AR136" s="26" t="str">
        <f t="shared" si="1807"/>
        <v/>
      </c>
      <c r="AS136" s="26" t="str">
        <f t="shared" si="1807"/>
        <v/>
      </c>
    </row>
    <row r="137" spans="1:45" x14ac:dyDescent="0.15">
      <c r="A137" s="7">
        <f>SUM(C137:AS137)</f>
        <v>2</v>
      </c>
      <c r="B137" s="27" t="s">
        <v>15</v>
      </c>
      <c r="C137" s="26">
        <v>0</v>
      </c>
      <c r="D137" s="26">
        <v>0</v>
      </c>
      <c r="E137" s="26">
        <v>1</v>
      </c>
      <c r="F137" s="26">
        <v>0</v>
      </c>
      <c r="G137" s="26">
        <v>0</v>
      </c>
      <c r="H137" s="26">
        <v>0</v>
      </c>
      <c r="I137" s="26">
        <v>0</v>
      </c>
      <c r="J137" s="26">
        <f t="shared" ref="J137" si="1808">IF(J$8="","",I130+I131-J130)</f>
        <v>0</v>
      </c>
      <c r="K137" s="26">
        <f t="shared" ref="K137" si="1809">IF(K$8="","",J130+J131-K130)</f>
        <v>0</v>
      </c>
      <c r="L137" s="26">
        <f t="shared" ref="L137" si="1810">IF(L$8="","",K130+K131-L130)</f>
        <v>1</v>
      </c>
      <c r="M137" s="26" t="str">
        <f t="shared" ref="M137" si="1811">IF(M$8="","",L130+L131-M130)</f>
        <v/>
      </c>
      <c r="N137" s="26" t="str">
        <f t="shared" ref="N137" si="1812">IF(N$8="","",M130+M131-N130)</f>
        <v/>
      </c>
      <c r="O137" s="26" t="str">
        <f t="shared" ref="O137" si="1813">IF(O$8="","",N130+N131-O130)</f>
        <v/>
      </c>
      <c r="P137" s="26" t="str">
        <f t="shared" ref="P137" si="1814">IF(P$8="","",O130+O131-P130)</f>
        <v/>
      </c>
      <c r="Q137" s="26" t="str">
        <f t="shared" ref="Q137" si="1815">IF(Q$8="","",P130+P131-Q130)</f>
        <v/>
      </c>
      <c r="R137" s="26" t="str">
        <f t="shared" ref="R137" si="1816">IF(R$8="","",Q130+Q131-R130)</f>
        <v/>
      </c>
      <c r="S137" s="26" t="str">
        <f t="shared" ref="S137" si="1817">IF(S$8="","",R130+R131-S130)</f>
        <v/>
      </c>
      <c r="T137" s="26" t="str">
        <f t="shared" ref="T137" si="1818">IF(T$8="","",S130+S131-T130)</f>
        <v/>
      </c>
      <c r="U137" s="26" t="str">
        <f t="shared" ref="U137" si="1819">IF(U$8="","",T130+T131-U130)</f>
        <v/>
      </c>
      <c r="V137" s="26" t="str">
        <f t="shared" ref="V137" si="1820">IF(V$8="","",U130+U131-V130)</f>
        <v/>
      </c>
      <c r="W137" s="26" t="str">
        <f t="shared" ref="W137" si="1821">IF(W$8="","",V130+V131-W130)</f>
        <v/>
      </c>
      <c r="X137" s="26" t="str">
        <f t="shared" ref="X137" si="1822">IF(X$8="","",W130+W131-X130)</f>
        <v/>
      </c>
      <c r="Y137" s="26" t="str">
        <f t="shared" ref="Y137" si="1823">IF(Y$8="","",X130+X131-Y130)</f>
        <v/>
      </c>
      <c r="Z137" s="26" t="str">
        <f t="shared" ref="Z137" si="1824">IF(Z$8="","",Y130+Y131-Z130)</f>
        <v/>
      </c>
      <c r="AA137" s="26" t="str">
        <f t="shared" ref="AA137" si="1825">IF(AA$8="","",Z130+Z131-AA130)</f>
        <v/>
      </c>
      <c r="AB137" s="26" t="str">
        <f t="shared" ref="AB137" si="1826">IF(AB$8="","",AA130+AA131-AB130)</f>
        <v/>
      </c>
      <c r="AC137" s="26" t="str">
        <f t="shared" ref="AC137" si="1827">IF(AC$8="","",AB130+AB131-AC130)</f>
        <v/>
      </c>
      <c r="AD137" s="26" t="str">
        <f t="shared" ref="AD137" si="1828">IF(AD$8="","",AC130+AC131-AD130)</f>
        <v/>
      </c>
      <c r="AE137" s="26" t="str">
        <f t="shared" ref="AE137" si="1829">IF(AE$8="","",AD130+AD131-AE130)</f>
        <v/>
      </c>
      <c r="AF137" s="26" t="str">
        <f t="shared" ref="AF137" si="1830">IF(AF$8="","",AE130+AE131-AF130)</f>
        <v/>
      </c>
      <c r="AG137" s="26" t="str">
        <f t="shared" ref="AG137" si="1831">IF(AG$8="","",AF130+AF131-AG130)</f>
        <v/>
      </c>
      <c r="AH137" s="26" t="str">
        <f t="shared" ref="AH137" si="1832">IF(AH$8="","",AG130+AG131-AH130)</f>
        <v/>
      </c>
      <c r="AI137" s="26" t="str">
        <f t="shared" ref="AI137" si="1833">IF(AI$8="","",AH130+AH131-AI130)</f>
        <v/>
      </c>
      <c r="AJ137" s="26" t="str">
        <f t="shared" ref="AJ137" si="1834">IF(AJ$8="","",AI130+AI131-AJ130)</f>
        <v/>
      </c>
      <c r="AK137" s="26" t="str">
        <f t="shared" ref="AK137" si="1835">IF(AK$8="","",AJ130+AJ131-AK130)</f>
        <v/>
      </c>
      <c r="AL137" s="26" t="str">
        <f t="shared" ref="AL137" si="1836">IF(AL$8="","",AK130+AK131-AL130)</f>
        <v/>
      </c>
      <c r="AM137" s="26" t="str">
        <f t="shared" ref="AM137" si="1837">IF(AM$8="","",AL130+AL131-AM130)</f>
        <v/>
      </c>
      <c r="AN137" s="26" t="str">
        <f t="shared" ref="AN137" si="1838">IF(AN$8="","",AM130+AM131-AN130)</f>
        <v/>
      </c>
      <c r="AO137" s="26" t="str">
        <f t="shared" ref="AO137:AS137" si="1839">IF(AO$8="","",AN130+AN131-AO130)</f>
        <v/>
      </c>
      <c r="AP137" s="26" t="str">
        <f t="shared" si="1839"/>
        <v/>
      </c>
      <c r="AQ137" s="26" t="str">
        <f t="shared" si="1839"/>
        <v/>
      </c>
      <c r="AR137" s="26" t="str">
        <f t="shared" si="1839"/>
        <v/>
      </c>
      <c r="AS137" s="26" t="str">
        <f t="shared" si="1839"/>
        <v/>
      </c>
    </row>
    <row r="138" spans="1:45" x14ac:dyDescent="0.15">
      <c r="A138" s="7">
        <f>SUM(C138:AS138)</f>
        <v>1000</v>
      </c>
      <c r="B138" s="27" t="s">
        <v>16</v>
      </c>
      <c r="C138" s="26">
        <v>0</v>
      </c>
      <c r="D138" s="26">
        <v>0</v>
      </c>
      <c r="E138" s="26">
        <v>500</v>
      </c>
      <c r="F138" s="26">
        <v>0</v>
      </c>
      <c r="G138" s="26">
        <v>0</v>
      </c>
      <c r="H138" s="26">
        <v>0</v>
      </c>
      <c r="I138" s="26">
        <v>0</v>
      </c>
      <c r="J138" s="26">
        <f t="shared" ref="H138:AM138" si="1840">IF(J$8="","",J137*J132)</f>
        <v>0</v>
      </c>
      <c r="K138" s="26">
        <f t="shared" si="1840"/>
        <v>0</v>
      </c>
      <c r="L138" s="26">
        <f t="shared" si="1840"/>
        <v>500</v>
      </c>
      <c r="M138" s="26" t="str">
        <f t="shared" si="1840"/>
        <v/>
      </c>
      <c r="N138" s="26" t="str">
        <f t="shared" si="1840"/>
        <v/>
      </c>
      <c r="O138" s="26" t="str">
        <f t="shared" si="1840"/>
        <v/>
      </c>
      <c r="P138" s="26" t="str">
        <f t="shared" si="1840"/>
        <v/>
      </c>
      <c r="Q138" s="26" t="str">
        <f t="shared" si="1840"/>
        <v/>
      </c>
      <c r="R138" s="26" t="str">
        <f t="shared" si="1840"/>
        <v/>
      </c>
      <c r="S138" s="26" t="str">
        <f t="shared" si="1840"/>
        <v/>
      </c>
      <c r="T138" s="26" t="str">
        <f t="shared" si="1840"/>
        <v/>
      </c>
      <c r="U138" s="26" t="str">
        <f t="shared" si="1840"/>
        <v/>
      </c>
      <c r="V138" s="26" t="str">
        <f t="shared" si="1840"/>
        <v/>
      </c>
      <c r="W138" s="26" t="str">
        <f t="shared" si="1840"/>
        <v/>
      </c>
      <c r="X138" s="26" t="str">
        <f t="shared" si="1840"/>
        <v/>
      </c>
      <c r="Y138" s="26" t="str">
        <f t="shared" si="1840"/>
        <v/>
      </c>
      <c r="Z138" s="26" t="str">
        <f t="shared" si="1840"/>
        <v/>
      </c>
      <c r="AA138" s="26" t="str">
        <f t="shared" si="1840"/>
        <v/>
      </c>
      <c r="AB138" s="26" t="str">
        <f t="shared" si="1840"/>
        <v/>
      </c>
      <c r="AC138" s="26" t="str">
        <f t="shared" si="1840"/>
        <v/>
      </c>
      <c r="AD138" s="26" t="str">
        <f t="shared" si="1840"/>
        <v/>
      </c>
      <c r="AE138" s="26" t="str">
        <f t="shared" si="1840"/>
        <v/>
      </c>
      <c r="AF138" s="26" t="str">
        <f t="shared" si="1840"/>
        <v/>
      </c>
      <c r="AG138" s="26" t="str">
        <f t="shared" si="1840"/>
        <v/>
      </c>
      <c r="AH138" s="26" t="str">
        <f t="shared" si="1840"/>
        <v/>
      </c>
      <c r="AI138" s="26" t="str">
        <f t="shared" si="1840"/>
        <v/>
      </c>
      <c r="AJ138" s="26" t="str">
        <f t="shared" si="1840"/>
        <v/>
      </c>
      <c r="AK138" s="26" t="str">
        <f t="shared" si="1840"/>
        <v/>
      </c>
      <c r="AL138" s="26" t="str">
        <f t="shared" si="1840"/>
        <v/>
      </c>
      <c r="AM138" s="26" t="str">
        <f t="shared" si="1840"/>
        <v/>
      </c>
      <c r="AN138" s="26" t="str">
        <f t="shared" ref="D138:AN138" si="1841">IF(AN$8="","",AN137*AN132)</f>
        <v/>
      </c>
      <c r="AO138" s="26" t="str">
        <f t="shared" ref="AO138:AS138" si="1842">IF(AO$8="","",AO137*AO132)</f>
        <v/>
      </c>
      <c r="AP138" s="26" t="str">
        <f t="shared" si="1842"/>
        <v/>
      </c>
      <c r="AQ138" s="26" t="str">
        <f t="shared" si="1842"/>
        <v/>
      </c>
      <c r="AR138" s="26" t="str">
        <f t="shared" si="1842"/>
        <v/>
      </c>
      <c r="AS138" s="26" t="str">
        <f t="shared" si="1842"/>
        <v/>
      </c>
    </row>
    <row r="139" spans="1:45" ht="12" thickBot="1" x14ac:dyDescent="0.2">
      <c r="A139" s="4">
        <f>IF(A138="","",A138/(A135*100))</f>
        <v>4.2918454935622317E-2</v>
      </c>
      <c r="B139" s="27" t="s">
        <v>18</v>
      </c>
      <c r="C139" s="42" t="s">
        <v>19</v>
      </c>
      <c r="D139" s="42" t="s">
        <v>19</v>
      </c>
      <c r="E139" s="42">
        <v>3.875968992248062E-2</v>
      </c>
      <c r="F139" s="42" t="s">
        <v>19</v>
      </c>
      <c r="G139" s="42" t="s">
        <v>19</v>
      </c>
      <c r="H139" s="42" t="s">
        <v>19</v>
      </c>
      <c r="I139" s="42" t="s">
        <v>19</v>
      </c>
      <c r="J139" s="42" t="str">
        <f t="shared" ref="H139:AM139" si="1843">IF(J$8="","",IF(J138=0,"",J138/(J135*100)))</f>
        <v/>
      </c>
      <c r="K139" s="42" t="str">
        <f t="shared" si="1843"/>
        <v/>
      </c>
      <c r="L139" s="42">
        <f t="shared" si="1843"/>
        <v>6.5789473684210523E-2</v>
      </c>
      <c r="M139" s="42" t="str">
        <f t="shared" si="1843"/>
        <v/>
      </c>
      <c r="N139" s="42" t="str">
        <f t="shared" si="1843"/>
        <v/>
      </c>
      <c r="O139" s="42" t="str">
        <f t="shared" si="1843"/>
        <v/>
      </c>
      <c r="P139" s="42" t="str">
        <f t="shared" si="1843"/>
        <v/>
      </c>
      <c r="Q139" s="42" t="str">
        <f t="shared" si="1843"/>
        <v/>
      </c>
      <c r="R139" s="42" t="str">
        <f t="shared" si="1843"/>
        <v/>
      </c>
      <c r="S139" s="42" t="str">
        <f t="shared" si="1843"/>
        <v/>
      </c>
      <c r="T139" s="42" t="str">
        <f t="shared" si="1843"/>
        <v/>
      </c>
      <c r="U139" s="42" t="str">
        <f t="shared" si="1843"/>
        <v/>
      </c>
      <c r="V139" s="42" t="str">
        <f t="shared" si="1843"/>
        <v/>
      </c>
      <c r="W139" s="42" t="str">
        <f t="shared" si="1843"/>
        <v/>
      </c>
      <c r="X139" s="42" t="str">
        <f t="shared" si="1843"/>
        <v/>
      </c>
      <c r="Y139" s="42" t="str">
        <f t="shared" si="1843"/>
        <v/>
      </c>
      <c r="Z139" s="42" t="str">
        <f t="shared" si="1843"/>
        <v/>
      </c>
      <c r="AA139" s="42" t="str">
        <f t="shared" si="1843"/>
        <v/>
      </c>
      <c r="AB139" s="42" t="str">
        <f t="shared" si="1843"/>
        <v/>
      </c>
      <c r="AC139" s="42" t="str">
        <f t="shared" si="1843"/>
        <v/>
      </c>
      <c r="AD139" s="42" t="str">
        <f t="shared" si="1843"/>
        <v/>
      </c>
      <c r="AE139" s="42" t="str">
        <f t="shared" si="1843"/>
        <v/>
      </c>
      <c r="AF139" s="42" t="str">
        <f t="shared" si="1843"/>
        <v/>
      </c>
      <c r="AG139" s="42" t="str">
        <f t="shared" si="1843"/>
        <v/>
      </c>
      <c r="AH139" s="42" t="str">
        <f t="shared" si="1843"/>
        <v/>
      </c>
      <c r="AI139" s="42" t="str">
        <f t="shared" si="1843"/>
        <v/>
      </c>
      <c r="AJ139" s="42" t="str">
        <f t="shared" si="1843"/>
        <v/>
      </c>
      <c r="AK139" s="42" t="str">
        <f t="shared" si="1843"/>
        <v/>
      </c>
      <c r="AL139" s="42" t="str">
        <f t="shared" si="1843"/>
        <v/>
      </c>
      <c r="AM139" s="42" t="str">
        <f t="shared" si="1843"/>
        <v/>
      </c>
      <c r="AN139" s="42" t="str">
        <f t="shared" ref="D139:AN139" si="1844">IF(AN$8="","",IF(AN138=0,"",AN138/(AN135*100)))</f>
        <v/>
      </c>
      <c r="AO139" s="42" t="str">
        <f t="shared" ref="AO139:AS139" si="1845">IF(AO$8="","",IF(AO138=0,"",AO138/(AO135*100)))</f>
        <v/>
      </c>
      <c r="AP139" s="42" t="str">
        <f t="shared" si="1845"/>
        <v/>
      </c>
      <c r="AQ139" s="42" t="str">
        <f t="shared" si="1845"/>
        <v/>
      </c>
      <c r="AR139" s="42" t="str">
        <f t="shared" si="1845"/>
        <v/>
      </c>
      <c r="AS139" s="42" t="str">
        <f t="shared" si="1845"/>
        <v/>
      </c>
    </row>
    <row r="140" spans="1:45" x14ac:dyDescent="0.15">
      <c r="A140" s="17" t="s">
        <v>1</v>
      </c>
      <c r="B140" s="41" t="s">
        <v>2</v>
      </c>
      <c r="C140" s="35">
        <v>4637</v>
      </c>
      <c r="D140" s="35">
        <v>4637</v>
      </c>
      <c r="E140" s="35">
        <v>4718</v>
      </c>
      <c r="F140" s="35">
        <v>4718</v>
      </c>
      <c r="G140" s="35">
        <v>4718</v>
      </c>
      <c r="H140" s="35">
        <v>4718</v>
      </c>
      <c r="I140" s="35">
        <v>4728</v>
      </c>
      <c r="J140" s="35">
        <f>IF(J$8="","",I140)</f>
        <v>4728</v>
      </c>
      <c r="K140" s="35">
        <f t="shared" ref="K140:K141" si="1846">IF(K$8="","",J140)</f>
        <v>4728</v>
      </c>
      <c r="L140" s="35">
        <v>4793</v>
      </c>
      <c r="M140" s="35" t="str">
        <f>IF(M$8="","",L140)</f>
        <v/>
      </c>
      <c r="N140" s="35" t="str">
        <f t="shared" ref="N140:N141" si="1847">IF(N$8="","",M140)</f>
        <v/>
      </c>
      <c r="O140" s="35" t="str">
        <f t="shared" ref="O140:O141" si="1848">IF(O$8="","",N140)</f>
        <v/>
      </c>
      <c r="P140" s="35" t="str">
        <f>IF(P$8="","",O140)</f>
        <v/>
      </c>
      <c r="Q140" s="35" t="str">
        <f>IF(Q$8="","",P140)</f>
        <v/>
      </c>
      <c r="R140" s="35" t="str">
        <f t="shared" ref="R140:R141" si="1849">IF(R$8="","",Q140)</f>
        <v/>
      </c>
      <c r="S140" s="35" t="str">
        <f>IF(S$8="","",R140)</f>
        <v/>
      </c>
      <c r="T140" s="35" t="str">
        <f>IF(T$8="","",S140)</f>
        <v/>
      </c>
      <c r="U140" s="35" t="str">
        <f t="shared" ref="U140:U141" si="1850">IF(U$8="","",T140)</f>
        <v/>
      </c>
      <c r="V140" s="35" t="str">
        <f t="shared" ref="V140:V141" si="1851">IF(V$8="","",U140)</f>
        <v/>
      </c>
      <c r="W140" s="35" t="str">
        <f>IF(W$8="","",V140)</f>
        <v/>
      </c>
      <c r="X140" s="35" t="str">
        <f>IF(X$8="","",W140)</f>
        <v/>
      </c>
      <c r="Y140" s="35" t="str">
        <f t="shared" ref="Y140:Y141" si="1852">IF(Y$8="","",X140)</f>
        <v/>
      </c>
      <c r="Z140" s="35" t="str">
        <f>IF(Z$8="","",Y140)</f>
        <v/>
      </c>
      <c r="AA140" s="35" t="str">
        <f>IF(AA$8="","",Z140)</f>
        <v/>
      </c>
      <c r="AB140" s="35" t="str">
        <f t="shared" ref="AB140:AB141" si="1853">IF(AB$8="","",AA140)</f>
        <v/>
      </c>
      <c r="AC140" s="35" t="str">
        <f t="shared" ref="AC140:AC141" si="1854">IF(AC$8="","",AB140)</f>
        <v/>
      </c>
      <c r="AD140" s="35" t="str">
        <f>IF(AD$8="","",AC140)</f>
        <v/>
      </c>
      <c r="AE140" s="35" t="str">
        <f>IF(AE$8="","",AD140)</f>
        <v/>
      </c>
      <c r="AF140" s="35" t="str">
        <f t="shared" ref="AF140:AF141" si="1855">IF(AF$8="","",AE140)</f>
        <v/>
      </c>
      <c r="AG140" s="35" t="str">
        <f>IF(AG$8="","",AF140)</f>
        <v/>
      </c>
      <c r="AH140" s="35" t="str">
        <f t="shared" ref="AH140:AH141" si="1856">IF(AH$8="","",AG140)</f>
        <v/>
      </c>
      <c r="AI140" s="35" t="str">
        <f t="shared" ref="AI140:AI141" si="1857">IF(AI$8="","",AH140)</f>
        <v/>
      </c>
      <c r="AJ140" s="35" t="str">
        <f t="shared" ref="AJ140:AJ141" si="1858">IF(AJ$8="","",AI140)</f>
        <v/>
      </c>
      <c r="AK140" s="35" t="str">
        <f>IF(AK$8="","",AJ140)</f>
        <v/>
      </c>
      <c r="AL140" s="35" t="str">
        <f t="shared" ref="AL140:AL141" si="1859">IF(AL$8="","",AK140)</f>
        <v/>
      </c>
      <c r="AM140" s="35" t="str">
        <f t="shared" ref="AM140:AM141" si="1860">IF(AM$8="","",AL140)</f>
        <v/>
      </c>
      <c r="AN140" s="35" t="str">
        <f t="shared" ref="AN140:AN141" si="1861">IF(AN$8="","",AM140)</f>
        <v/>
      </c>
      <c r="AO140" s="35" t="str">
        <f t="shared" ref="AO140:AS140" si="1862">IF(AO$8="","",AN140)</f>
        <v/>
      </c>
      <c r="AP140" s="35" t="str">
        <f t="shared" si="1862"/>
        <v/>
      </c>
      <c r="AQ140" s="35" t="str">
        <f t="shared" si="1862"/>
        <v/>
      </c>
      <c r="AR140" s="35" t="str">
        <f t="shared" si="1862"/>
        <v/>
      </c>
      <c r="AS140" s="35" t="str">
        <f t="shared" si="1862"/>
        <v/>
      </c>
    </row>
    <row r="141" spans="1:45" x14ac:dyDescent="0.15">
      <c r="A141" s="16" t="s">
        <v>29</v>
      </c>
      <c r="B141" s="30" t="s">
        <v>4</v>
      </c>
      <c r="C141" s="29">
        <v>91</v>
      </c>
      <c r="D141" s="29">
        <v>91</v>
      </c>
      <c r="E141" s="29">
        <v>93</v>
      </c>
      <c r="F141" s="29">
        <v>93</v>
      </c>
      <c r="G141" s="29">
        <v>93</v>
      </c>
      <c r="H141" s="29">
        <v>93</v>
      </c>
      <c r="I141" s="29">
        <v>93</v>
      </c>
      <c r="J141" s="29">
        <f t="shared" ref="J141" si="1863">IF(J$8="","",I141)</f>
        <v>93</v>
      </c>
      <c r="K141" s="29">
        <f t="shared" si="1846"/>
        <v>93</v>
      </c>
      <c r="L141" s="29">
        <v>95</v>
      </c>
      <c r="M141" s="29" t="str">
        <f t="shared" ref="M141" si="1864">IF(M$8="","",L141)</f>
        <v/>
      </c>
      <c r="N141" s="29" t="str">
        <f t="shared" si="1847"/>
        <v/>
      </c>
      <c r="O141" s="29" t="str">
        <f t="shared" si="1848"/>
        <v/>
      </c>
      <c r="P141" s="29" t="str">
        <f>IF(P$8="","",O141)</f>
        <v/>
      </c>
      <c r="Q141" s="29" t="str">
        <f t="shared" ref="Q141" si="1865">IF(Q$8="","",P141)</f>
        <v/>
      </c>
      <c r="R141" s="29" t="str">
        <f t="shared" si="1849"/>
        <v/>
      </c>
      <c r="S141" s="29" t="str">
        <f>IF(S$8="","",R141)</f>
        <v/>
      </c>
      <c r="T141" s="29" t="str">
        <f>IF(T$8="","",S141)</f>
        <v/>
      </c>
      <c r="U141" s="29" t="str">
        <f t="shared" si="1850"/>
        <v/>
      </c>
      <c r="V141" s="29" t="str">
        <f t="shared" si="1851"/>
        <v/>
      </c>
      <c r="W141" s="29" t="str">
        <f>IF(W$8="","",V141)</f>
        <v/>
      </c>
      <c r="X141" s="29" t="str">
        <f t="shared" ref="X141" si="1866">IF(X$8="","",W141)</f>
        <v/>
      </c>
      <c r="Y141" s="29" t="str">
        <f t="shared" si="1852"/>
        <v/>
      </c>
      <c r="Z141" s="29" t="str">
        <f>IF(Z$8="","",Y141)</f>
        <v/>
      </c>
      <c r="AA141" s="29" t="str">
        <f>IF(AA$8="","",Z141)</f>
        <v/>
      </c>
      <c r="AB141" s="29" t="str">
        <f t="shared" si="1853"/>
        <v/>
      </c>
      <c r="AC141" s="29" t="str">
        <f t="shared" si="1854"/>
        <v/>
      </c>
      <c r="AD141" s="29" t="str">
        <f t="shared" ref="AD140:AD141" si="1867">IF(AD$8="","",AC141)</f>
        <v/>
      </c>
      <c r="AE141" s="29" t="str">
        <f t="shared" ref="AE141" si="1868">IF(AE$8="","",AD141)</f>
        <v/>
      </c>
      <c r="AF141" s="29" t="str">
        <f t="shared" si="1855"/>
        <v/>
      </c>
      <c r="AG141" s="29" t="str">
        <f>IF(AG$8="","",AF141)</f>
        <v/>
      </c>
      <c r="AH141" s="29" t="str">
        <f t="shared" si="1856"/>
        <v/>
      </c>
      <c r="AI141" s="29" t="str">
        <f t="shared" si="1857"/>
        <v/>
      </c>
      <c r="AJ141" s="29" t="str">
        <f t="shared" si="1858"/>
        <v/>
      </c>
      <c r="AK141" s="29" t="str">
        <f t="shared" ref="AK140:AK141" si="1869">IF(AK$8="","",AJ141)</f>
        <v/>
      </c>
      <c r="AL141" s="29" t="str">
        <f t="shared" si="1859"/>
        <v/>
      </c>
      <c r="AM141" s="29" t="str">
        <f t="shared" si="1860"/>
        <v/>
      </c>
      <c r="AN141" s="29" t="str">
        <f t="shared" si="1861"/>
        <v/>
      </c>
      <c r="AO141" s="29" t="str">
        <f t="shared" ref="AO141:AS141" si="1870">IF(AO$8="","",AN141)</f>
        <v/>
      </c>
      <c r="AP141" s="29" t="str">
        <f t="shared" si="1870"/>
        <v/>
      </c>
      <c r="AQ141" s="29" t="str">
        <f t="shared" si="1870"/>
        <v/>
      </c>
      <c r="AR141" s="29" t="str">
        <f t="shared" si="1870"/>
        <v/>
      </c>
      <c r="AS141" s="29" t="str">
        <f t="shared" si="1870"/>
        <v/>
      </c>
    </row>
    <row r="142" spans="1:45" x14ac:dyDescent="0.15">
      <c r="A142" s="15">
        <v>4</v>
      </c>
      <c r="B142" s="30" t="s">
        <v>5</v>
      </c>
      <c r="C142" s="29">
        <v>8</v>
      </c>
      <c r="D142" s="29">
        <v>8</v>
      </c>
      <c r="E142" s="29">
        <v>6</v>
      </c>
      <c r="F142" s="29">
        <v>6</v>
      </c>
      <c r="G142" s="29">
        <v>6</v>
      </c>
      <c r="H142" s="29">
        <v>6</v>
      </c>
      <c r="I142" s="29">
        <v>50</v>
      </c>
      <c r="J142" s="29">
        <f t="shared" ref="J142" si="1871">IF(J$8="","",(I142+I143))</f>
        <v>50</v>
      </c>
      <c r="K142" s="29">
        <f t="shared" ref="K142" si="1872">IF(K$8="","",(J142+J143))</f>
        <v>50</v>
      </c>
      <c r="L142" s="29">
        <v>48</v>
      </c>
      <c r="M142" s="29" t="str">
        <f t="shared" ref="M142" si="1873">IF(M$8="","",(L142+L143))</f>
        <v/>
      </c>
      <c r="N142" s="29" t="str">
        <f t="shared" ref="N142" si="1874">IF(N$8="","",(M142+M143))</f>
        <v/>
      </c>
      <c r="O142" s="29" t="str">
        <f t="shared" ref="O142" si="1875">IF(O$8="","",(N142+N143))</f>
        <v/>
      </c>
      <c r="P142" s="29" t="str">
        <f>IF(P$8="","",(O142+O143))</f>
        <v/>
      </c>
      <c r="Q142" s="29" t="str">
        <f t="shared" ref="Q142" si="1876">IF(Q$8="","",(P142+P143))</f>
        <v/>
      </c>
      <c r="R142" s="29" t="str">
        <f t="shared" ref="R142" si="1877">IF(R$8="","",(Q142+Q143))</f>
        <v/>
      </c>
      <c r="S142" s="29" t="str">
        <f>IF(S$8="","",(R142+R143))</f>
        <v/>
      </c>
      <c r="T142" s="29" t="str">
        <f>IF(T$8="","",(S142+S143))</f>
        <v/>
      </c>
      <c r="U142" s="29" t="str">
        <f t="shared" ref="U142" si="1878">IF(U$8="","",(T142+T143))</f>
        <v/>
      </c>
      <c r="V142" s="29" t="str">
        <f t="shared" ref="V142" si="1879">IF(V$8="","",(U142+U143))</f>
        <v/>
      </c>
      <c r="W142" s="29" t="str">
        <f>IF(W$8="","",(V142+V143))</f>
        <v/>
      </c>
      <c r="X142" s="29" t="str">
        <f t="shared" ref="X142" si="1880">IF(X$8="","",(W142+W143))</f>
        <v/>
      </c>
      <c r="Y142" s="29" t="str">
        <f t="shared" ref="Y142" si="1881">IF(Y$8="","",(X142+X143))</f>
        <v/>
      </c>
      <c r="Z142" s="29" t="str">
        <f>IF(Z$8="","",(Y142+Y143))</f>
        <v/>
      </c>
      <c r="AA142" s="29" t="str">
        <f>IF(AA$8="","",(Z142+Z143))</f>
        <v/>
      </c>
      <c r="AB142" s="29" t="str">
        <f t="shared" ref="AB142" si="1882">IF(AB$8="","",(AA142+AA143))</f>
        <v/>
      </c>
      <c r="AC142" s="29" t="str">
        <f t="shared" ref="AC142" si="1883">IF(AC$8="","",(AB142+AB143))</f>
        <v/>
      </c>
      <c r="AD142" s="29" t="str">
        <f t="shared" ref="AD142" si="1884">IF(AD$8="","",(AC142+AC143))</f>
        <v/>
      </c>
      <c r="AE142" s="29" t="str">
        <f t="shared" ref="AE142" si="1885">IF(AE$8="","",(AD142+AD143))</f>
        <v/>
      </c>
      <c r="AF142" s="29" t="str">
        <f t="shared" ref="AF142" si="1886">IF(AF$8="","",(AE142+AE143))</f>
        <v/>
      </c>
      <c r="AG142" s="29" t="str">
        <f>IF(AG$8="","",(AF142+AF143))</f>
        <v/>
      </c>
      <c r="AH142" s="29" t="str">
        <f t="shared" ref="AH142" si="1887">IF(AH$8="","",(AG142+AG143))</f>
        <v/>
      </c>
      <c r="AI142" s="29" t="str">
        <f t="shared" ref="AI142" si="1888">IF(AI$8="","",(AH142+AH143))</f>
        <v/>
      </c>
      <c r="AJ142" s="29" t="str">
        <f t="shared" ref="AJ142" si="1889">IF(AJ$8="","",(AI142+AI143))</f>
        <v/>
      </c>
      <c r="AK142" s="29" t="str">
        <f>IF(AK$8="","",(AJ142+AJ143))</f>
        <v/>
      </c>
      <c r="AL142" s="29" t="str">
        <f t="shared" ref="AL142" si="1890">IF(AL$8="","",(AK142+AK143))</f>
        <v/>
      </c>
      <c r="AM142" s="29" t="str">
        <f t="shared" ref="AM142" si="1891">IF(AM$8="","",(AL142+AL143))</f>
        <v/>
      </c>
      <c r="AN142" s="29" t="str">
        <f t="shared" ref="AN142" si="1892">IF(AN$8="","",(AM142+AM143))</f>
        <v/>
      </c>
      <c r="AO142" s="29" t="str">
        <f t="shared" ref="AO142:AS142" si="1893">IF(AO$8="","",(AN142+AN143))</f>
        <v/>
      </c>
      <c r="AP142" s="29" t="str">
        <f t="shared" si="1893"/>
        <v/>
      </c>
      <c r="AQ142" s="29" t="str">
        <f t="shared" si="1893"/>
        <v/>
      </c>
      <c r="AR142" s="29" t="str">
        <f t="shared" si="1893"/>
        <v/>
      </c>
      <c r="AS142" s="29" t="str">
        <f t="shared" si="1893"/>
        <v/>
      </c>
    </row>
    <row r="143" spans="1:45" x14ac:dyDescent="0.15">
      <c r="A143" s="14"/>
      <c r="B143" s="30" t="s">
        <v>7</v>
      </c>
      <c r="C143" s="29"/>
      <c r="D143" s="29"/>
      <c r="E143" s="29"/>
      <c r="F143" s="29"/>
      <c r="G143" s="29"/>
      <c r="H143" s="29">
        <v>44</v>
      </c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</row>
    <row r="144" spans="1:45" x14ac:dyDescent="0.15">
      <c r="A144" s="7"/>
      <c r="B144" s="30" t="s">
        <v>8</v>
      </c>
      <c r="C144" s="35">
        <v>350</v>
      </c>
      <c r="D144" s="35">
        <v>350</v>
      </c>
      <c r="E144" s="35">
        <v>350</v>
      </c>
      <c r="F144" s="35">
        <v>350</v>
      </c>
      <c r="G144" s="35">
        <v>350</v>
      </c>
      <c r="H144" s="35">
        <v>350</v>
      </c>
      <c r="I144" s="35">
        <v>350</v>
      </c>
      <c r="J144" s="35">
        <f t="shared" ref="J144:J145" si="1894">IF(J$8="","",I144)</f>
        <v>350</v>
      </c>
      <c r="K144" s="35">
        <f t="shared" ref="K144:K145" si="1895">IF(K$8="","",J144)</f>
        <v>350</v>
      </c>
      <c r="L144" s="35">
        <f t="shared" ref="L144:L145" si="1896">IF(L$8="","",K144)</f>
        <v>350</v>
      </c>
      <c r="M144" s="35" t="str">
        <f t="shared" ref="M144:M145" si="1897">IF(M$8="","",L144)</f>
        <v/>
      </c>
      <c r="N144" s="35" t="str">
        <f t="shared" ref="N144:N145" si="1898">IF(N$8="","",M144)</f>
        <v/>
      </c>
      <c r="O144" s="35" t="str">
        <f t="shared" ref="O144:O145" si="1899">IF(O$8="","",N144)</f>
        <v/>
      </c>
      <c r="P144" s="35" t="str">
        <f>IF(P$8="","",O144)</f>
        <v/>
      </c>
      <c r="Q144" s="35" t="str">
        <f t="shared" ref="Q144:Q145" si="1900">IF(Q$8="","",P144)</f>
        <v/>
      </c>
      <c r="R144" s="35" t="str">
        <f t="shared" ref="R144:R145" si="1901">IF(R$8="","",Q144)</f>
        <v/>
      </c>
      <c r="S144" s="35" t="str">
        <f t="shared" ref="S144:S145" si="1902">IF(S$8="","",R144)</f>
        <v/>
      </c>
      <c r="T144" s="35" t="str">
        <f t="shared" ref="T144:T145" si="1903">IF(T$8="","",S144)</f>
        <v/>
      </c>
      <c r="U144" s="35" t="str">
        <f t="shared" ref="U144:U145" si="1904">IF(U$8="","",T144)</f>
        <v/>
      </c>
      <c r="V144" s="35" t="str">
        <f t="shared" ref="V144:V145" si="1905">IF(V$8="","",U144)</f>
        <v/>
      </c>
      <c r="W144" s="35" t="str">
        <f t="shared" ref="W144:W145" si="1906">IF(W$8="","",V144)</f>
        <v/>
      </c>
      <c r="X144" s="35" t="str">
        <f t="shared" ref="X144:X145" si="1907">IF(X$8="","",W144)</f>
        <v/>
      </c>
      <c r="Y144" s="35" t="str">
        <f t="shared" ref="Y144:Y145" si="1908">IF(Y$8="","",X144)</f>
        <v/>
      </c>
      <c r="Z144" s="35" t="str">
        <f t="shared" ref="Z144:Z145" si="1909">IF(Z$8="","",Y144)</f>
        <v/>
      </c>
      <c r="AA144" s="35" t="str">
        <f t="shared" ref="AA144:AA145" si="1910">IF(AA$8="","",Z144)</f>
        <v/>
      </c>
      <c r="AB144" s="35" t="str">
        <f t="shared" ref="AB144:AB145" si="1911">IF(AB$8="","",AA144)</f>
        <v/>
      </c>
      <c r="AC144" s="35" t="str">
        <f t="shared" ref="AC144:AC145" si="1912">IF(AC$8="","",AB144)</f>
        <v/>
      </c>
      <c r="AD144" s="35" t="str">
        <f t="shared" ref="AD144:AD145" si="1913">IF(AD$8="","",AC144)</f>
        <v/>
      </c>
      <c r="AE144" s="35" t="str">
        <f t="shared" ref="AE144:AE145" si="1914">IF(AE$8="","",AD144)</f>
        <v/>
      </c>
      <c r="AF144" s="35" t="str">
        <f t="shared" ref="AF144:AF145" si="1915">IF(AF$8="","",AE144)</f>
        <v/>
      </c>
      <c r="AG144" s="35" t="str">
        <f t="shared" ref="AG144:AG145" si="1916">IF(AG$8="","",AF144)</f>
        <v/>
      </c>
      <c r="AH144" s="35" t="str">
        <f t="shared" ref="AH144:AH145" si="1917">IF(AH$8="","",AG144)</f>
        <v/>
      </c>
      <c r="AI144" s="35" t="str">
        <f t="shared" ref="AI144:AI145" si="1918">IF(AI$8="","",AH144)</f>
        <v/>
      </c>
      <c r="AJ144" s="35" t="str">
        <f t="shared" ref="AJ144:AJ145" si="1919">IF(AJ$8="","",AI144)</f>
        <v/>
      </c>
      <c r="AK144" s="35" t="str">
        <f t="shared" ref="AK144:AK145" si="1920">IF(AK$8="","",AJ144)</f>
        <v/>
      </c>
      <c r="AL144" s="35" t="str">
        <f t="shared" ref="AL144:AL145" si="1921">IF(AL$8="","",AK144)</f>
        <v/>
      </c>
      <c r="AM144" s="35" t="str">
        <f t="shared" ref="AM144:AM145" si="1922">IF(AM$8="","",AL144)</f>
        <v/>
      </c>
      <c r="AN144" s="35" t="str">
        <f t="shared" ref="AN144:AN145" si="1923">IF(AN$8="","",AM144)</f>
        <v/>
      </c>
      <c r="AO144" s="35" t="str">
        <f t="shared" ref="AO144:AS144" si="1924">IF(AO$8="","",AN144)</f>
        <v/>
      </c>
      <c r="AP144" s="35" t="str">
        <f t="shared" si="1924"/>
        <v/>
      </c>
      <c r="AQ144" s="35" t="str">
        <f t="shared" si="1924"/>
        <v/>
      </c>
      <c r="AR144" s="35" t="str">
        <f t="shared" si="1924"/>
        <v/>
      </c>
      <c r="AS144" s="35" t="str">
        <f t="shared" si="1924"/>
        <v/>
      </c>
    </row>
    <row r="145" spans="1:45" s="85" customFormat="1" x14ac:dyDescent="0.15">
      <c r="A145" s="14" t="s">
        <v>9</v>
      </c>
      <c r="B145" s="33" t="s">
        <v>10</v>
      </c>
      <c r="C145" s="32" t="s">
        <v>357</v>
      </c>
      <c r="D145" s="32" t="s">
        <v>357</v>
      </c>
      <c r="E145" s="32" t="s">
        <v>357</v>
      </c>
      <c r="F145" s="32" t="s">
        <v>357</v>
      </c>
      <c r="G145" s="32" t="s">
        <v>357</v>
      </c>
      <c r="H145" s="32" t="s">
        <v>357</v>
      </c>
      <c r="I145" s="32" t="s">
        <v>368</v>
      </c>
      <c r="J145" s="32" t="str">
        <f t="shared" si="1894"/>
        <v>ブレインロット</v>
      </c>
      <c r="K145" s="32" t="str">
        <f t="shared" si="1895"/>
        <v>ブレインロット</v>
      </c>
      <c r="L145" s="32" t="str">
        <f t="shared" si="1896"/>
        <v>ブレインロット</v>
      </c>
      <c r="M145" s="32" t="str">
        <f t="shared" si="1897"/>
        <v/>
      </c>
      <c r="N145" s="32" t="str">
        <f t="shared" si="1898"/>
        <v/>
      </c>
      <c r="O145" s="32" t="str">
        <f t="shared" si="1899"/>
        <v/>
      </c>
      <c r="P145" s="32" t="str">
        <f>IF(P$8="","",O145)</f>
        <v/>
      </c>
      <c r="Q145" s="32" t="str">
        <f t="shared" si="1900"/>
        <v/>
      </c>
      <c r="R145" s="32" t="str">
        <f t="shared" si="1901"/>
        <v/>
      </c>
      <c r="S145" s="32" t="str">
        <f t="shared" si="1902"/>
        <v/>
      </c>
      <c r="T145" s="32" t="str">
        <f t="shared" si="1903"/>
        <v/>
      </c>
      <c r="U145" s="32" t="str">
        <f t="shared" si="1904"/>
        <v/>
      </c>
      <c r="V145" s="32" t="str">
        <f t="shared" si="1905"/>
        <v/>
      </c>
      <c r="W145" s="32" t="str">
        <f t="shared" si="1906"/>
        <v/>
      </c>
      <c r="X145" s="32" t="str">
        <f t="shared" si="1907"/>
        <v/>
      </c>
      <c r="Y145" s="32" t="str">
        <f t="shared" si="1908"/>
        <v/>
      </c>
      <c r="Z145" s="32" t="str">
        <f t="shared" si="1909"/>
        <v/>
      </c>
      <c r="AA145" s="32" t="str">
        <f t="shared" si="1910"/>
        <v/>
      </c>
      <c r="AB145" s="32" t="str">
        <f t="shared" si="1911"/>
        <v/>
      </c>
      <c r="AC145" s="32" t="str">
        <f t="shared" si="1912"/>
        <v/>
      </c>
      <c r="AD145" s="32" t="str">
        <f t="shared" si="1913"/>
        <v/>
      </c>
      <c r="AE145" s="32" t="str">
        <f t="shared" si="1914"/>
        <v/>
      </c>
      <c r="AF145" s="32" t="str">
        <f t="shared" si="1915"/>
        <v/>
      </c>
      <c r="AG145" s="32" t="str">
        <f t="shared" si="1916"/>
        <v/>
      </c>
      <c r="AH145" s="32" t="str">
        <f t="shared" si="1917"/>
        <v/>
      </c>
      <c r="AI145" s="32" t="str">
        <f t="shared" si="1918"/>
        <v/>
      </c>
      <c r="AJ145" s="32" t="str">
        <f t="shared" si="1919"/>
        <v/>
      </c>
      <c r="AK145" s="32" t="str">
        <f>IF(AK$8="","",AJ145)</f>
        <v/>
      </c>
      <c r="AL145" s="32" t="str">
        <f t="shared" si="1921"/>
        <v/>
      </c>
      <c r="AM145" s="32" t="str">
        <f t="shared" si="1922"/>
        <v/>
      </c>
      <c r="AN145" s="32" t="str">
        <f t="shared" si="1923"/>
        <v/>
      </c>
      <c r="AO145" s="32" t="str">
        <f t="shared" ref="AO145:AS145" si="1925">IF(AO$8="","",AN145)</f>
        <v/>
      </c>
      <c r="AP145" s="32" t="str">
        <f t="shared" si="1925"/>
        <v/>
      </c>
      <c r="AQ145" s="32" t="str">
        <f t="shared" si="1925"/>
        <v/>
      </c>
      <c r="AR145" s="32" t="str">
        <f t="shared" si="1925"/>
        <v/>
      </c>
      <c r="AS145" s="32" t="str">
        <f t="shared" si="1925"/>
        <v/>
      </c>
    </row>
    <row r="146" spans="1:45" x14ac:dyDescent="0.15">
      <c r="A146" s="7">
        <f>AVERAGE(C147:AS147)*30*100</f>
        <v>46800</v>
      </c>
      <c r="B146" s="30" t="s">
        <v>12</v>
      </c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</row>
    <row r="147" spans="1:45" x14ac:dyDescent="0.15">
      <c r="A147" s="7">
        <f>SUM(C147:AS147)</f>
        <v>156</v>
      </c>
      <c r="B147" s="27" t="s">
        <v>13</v>
      </c>
      <c r="C147" s="26">
        <v>0</v>
      </c>
      <c r="D147" s="26">
        <v>0</v>
      </c>
      <c r="E147" s="26">
        <v>81</v>
      </c>
      <c r="F147" s="26">
        <v>0</v>
      </c>
      <c r="G147" s="26">
        <v>0</v>
      </c>
      <c r="H147" s="26">
        <v>0</v>
      </c>
      <c r="I147" s="26">
        <v>10</v>
      </c>
      <c r="J147" s="26">
        <f t="shared" ref="J147:J148" si="1926">IF(J$8="","",J140-I140)</f>
        <v>0</v>
      </c>
      <c r="K147" s="26">
        <f t="shared" ref="K147:K148" si="1927">IF(K$8="","",K140-J140)</f>
        <v>0</v>
      </c>
      <c r="L147" s="26">
        <f t="shared" ref="L147:L148" si="1928">IF(L$8="","",L140-K140)</f>
        <v>65</v>
      </c>
      <c r="M147" s="26" t="str">
        <f t="shared" ref="M147:M148" si="1929">IF(M$8="","",M140-L140)</f>
        <v/>
      </c>
      <c r="N147" s="26" t="str">
        <f t="shared" ref="N147:N148" si="1930">IF(N$8="","",N140-M140)</f>
        <v/>
      </c>
      <c r="O147" s="26" t="str">
        <f t="shared" ref="O147:O148" si="1931">IF(O$8="","",O140-N140)</f>
        <v/>
      </c>
      <c r="P147" s="26" t="str">
        <f t="shared" ref="P147:P148" si="1932">IF(P$8="","",P140-O140)</f>
        <v/>
      </c>
      <c r="Q147" s="26" t="str">
        <f t="shared" ref="Q147:Q148" si="1933">IF(Q$8="","",Q140-P140)</f>
        <v/>
      </c>
      <c r="R147" s="26" t="str">
        <f t="shared" ref="R147:R148" si="1934">IF(R$8="","",R140-Q140)</f>
        <v/>
      </c>
      <c r="S147" s="26" t="str">
        <f t="shared" ref="S147:S148" si="1935">IF(S$8="","",S140-R140)</f>
        <v/>
      </c>
      <c r="T147" s="26" t="str">
        <f t="shared" ref="T147:T148" si="1936">IF(T$8="","",T140-S140)</f>
        <v/>
      </c>
      <c r="U147" s="26" t="str">
        <f t="shared" ref="U147:U148" si="1937">IF(U$8="","",U140-T140)</f>
        <v/>
      </c>
      <c r="V147" s="26" t="str">
        <f t="shared" ref="V147:V148" si="1938">IF(V$8="","",V140-U140)</f>
        <v/>
      </c>
      <c r="W147" s="26" t="str">
        <f t="shared" ref="W147:W148" si="1939">IF(W$8="","",W140-V140)</f>
        <v/>
      </c>
      <c r="X147" s="26" t="str">
        <f t="shared" ref="X147:X148" si="1940">IF(X$8="","",X140-W140)</f>
        <v/>
      </c>
      <c r="Y147" s="26" t="str">
        <f t="shared" ref="Y147:Y148" si="1941">IF(Y$8="","",Y140-X140)</f>
        <v/>
      </c>
      <c r="Z147" s="26" t="str">
        <f t="shared" ref="Z147:Z148" si="1942">IF(Z$8="","",Z140-Y140)</f>
        <v/>
      </c>
      <c r="AA147" s="26" t="str">
        <f t="shared" ref="AA147:AA148" si="1943">IF(AA$8="","",AA140-Z140)</f>
        <v/>
      </c>
      <c r="AB147" s="26" t="str">
        <f t="shared" ref="AB147:AB148" si="1944">IF(AB$8="","",AB140-AA140)</f>
        <v/>
      </c>
      <c r="AC147" s="26" t="str">
        <f t="shared" ref="AC147:AC148" si="1945">IF(AC$8="","",AC140-AB140)</f>
        <v/>
      </c>
      <c r="AD147" s="26" t="str">
        <f t="shared" ref="AD147:AD148" si="1946">IF(AD$8="","",AD140-AC140)</f>
        <v/>
      </c>
      <c r="AE147" s="26" t="str">
        <f t="shared" ref="AE147:AE148" si="1947">IF(AE$8="","",AE140-AD140)</f>
        <v/>
      </c>
      <c r="AF147" s="26" t="str">
        <f t="shared" ref="AF147:AF148" si="1948">IF(AF$8="","",AF140-AE140)</f>
        <v/>
      </c>
      <c r="AG147" s="26" t="str">
        <f t="shared" ref="AG147:AG148" si="1949">IF(AG$8="","",AG140-AF140)</f>
        <v/>
      </c>
      <c r="AH147" s="26" t="str">
        <f t="shared" ref="AH147:AH148" si="1950">IF(AH$8="","",AH140-AG140)</f>
        <v/>
      </c>
      <c r="AI147" s="26" t="str">
        <f t="shared" ref="AI147:AI148" si="1951">IF(AI$8="","",AI140-AH140)</f>
        <v/>
      </c>
      <c r="AJ147" s="26" t="str">
        <f t="shared" ref="AJ147:AJ148" si="1952">IF(AJ$8="","",AJ140-AI140)</f>
        <v/>
      </c>
      <c r="AK147" s="26" t="str">
        <f t="shared" ref="AK147:AK148" si="1953">IF(AK$8="","",AK140-AJ140)</f>
        <v/>
      </c>
      <c r="AL147" s="26" t="str">
        <f t="shared" ref="AL147:AL148" si="1954">IF(AL$8="","",AL140-AK140)</f>
        <v/>
      </c>
      <c r="AM147" s="26" t="str">
        <f t="shared" ref="AM147:AM148" si="1955">IF(AM$8="","",AM140-AL140)</f>
        <v/>
      </c>
      <c r="AN147" s="26" t="str">
        <f t="shared" ref="AN147:AN148" si="1956">IF(AN$8="","",AN140-AM140)</f>
        <v/>
      </c>
      <c r="AO147" s="26" t="str">
        <f t="shared" ref="AO147:AS147" si="1957">IF(AO$8="","",AO140-AN140)</f>
        <v/>
      </c>
      <c r="AP147" s="26" t="str">
        <f t="shared" si="1957"/>
        <v/>
      </c>
      <c r="AQ147" s="26" t="str">
        <f t="shared" si="1957"/>
        <v/>
      </c>
      <c r="AR147" s="26" t="str">
        <f t="shared" si="1957"/>
        <v/>
      </c>
      <c r="AS147" s="26" t="str">
        <f t="shared" si="1957"/>
        <v/>
      </c>
    </row>
    <row r="148" spans="1:45" x14ac:dyDescent="0.15">
      <c r="A148" s="7">
        <f>SUM(C148:AS148)</f>
        <v>4</v>
      </c>
      <c r="B148" s="27" t="s">
        <v>14</v>
      </c>
      <c r="C148" s="26">
        <v>0</v>
      </c>
      <c r="D148" s="26">
        <v>0</v>
      </c>
      <c r="E148" s="26">
        <v>2</v>
      </c>
      <c r="F148" s="26">
        <v>0</v>
      </c>
      <c r="G148" s="26">
        <v>0</v>
      </c>
      <c r="H148" s="26">
        <v>0</v>
      </c>
      <c r="I148" s="26">
        <v>0</v>
      </c>
      <c r="J148" s="26">
        <f t="shared" si="1926"/>
        <v>0</v>
      </c>
      <c r="K148" s="26">
        <f t="shared" si="1927"/>
        <v>0</v>
      </c>
      <c r="L148" s="26">
        <f t="shared" si="1928"/>
        <v>2</v>
      </c>
      <c r="M148" s="26" t="str">
        <f t="shared" si="1929"/>
        <v/>
      </c>
      <c r="N148" s="26" t="str">
        <f t="shared" si="1930"/>
        <v/>
      </c>
      <c r="O148" s="26" t="str">
        <f t="shared" si="1931"/>
        <v/>
      </c>
      <c r="P148" s="26" t="str">
        <f t="shared" si="1932"/>
        <v/>
      </c>
      <c r="Q148" s="26" t="str">
        <f t="shared" si="1933"/>
        <v/>
      </c>
      <c r="R148" s="26" t="str">
        <f t="shared" si="1934"/>
        <v/>
      </c>
      <c r="S148" s="26" t="str">
        <f t="shared" si="1935"/>
        <v/>
      </c>
      <c r="T148" s="26" t="str">
        <f t="shared" si="1936"/>
        <v/>
      </c>
      <c r="U148" s="26" t="str">
        <f t="shared" si="1937"/>
        <v/>
      </c>
      <c r="V148" s="26" t="str">
        <f t="shared" si="1938"/>
        <v/>
      </c>
      <c r="W148" s="26" t="str">
        <f t="shared" si="1939"/>
        <v/>
      </c>
      <c r="X148" s="26" t="str">
        <f t="shared" si="1940"/>
        <v/>
      </c>
      <c r="Y148" s="26" t="str">
        <f t="shared" si="1941"/>
        <v/>
      </c>
      <c r="Z148" s="26" t="str">
        <f t="shared" si="1942"/>
        <v/>
      </c>
      <c r="AA148" s="26" t="str">
        <f t="shared" si="1943"/>
        <v/>
      </c>
      <c r="AB148" s="26" t="str">
        <f t="shared" si="1944"/>
        <v/>
      </c>
      <c r="AC148" s="26" t="str">
        <f t="shared" si="1945"/>
        <v/>
      </c>
      <c r="AD148" s="26" t="str">
        <f t="shared" si="1946"/>
        <v/>
      </c>
      <c r="AE148" s="26" t="str">
        <f t="shared" si="1947"/>
        <v/>
      </c>
      <c r="AF148" s="26" t="str">
        <f t="shared" si="1948"/>
        <v/>
      </c>
      <c r="AG148" s="26" t="str">
        <f t="shared" si="1949"/>
        <v/>
      </c>
      <c r="AH148" s="26" t="str">
        <f t="shared" si="1950"/>
        <v/>
      </c>
      <c r="AI148" s="26" t="str">
        <f t="shared" si="1951"/>
        <v/>
      </c>
      <c r="AJ148" s="26" t="str">
        <f t="shared" si="1952"/>
        <v/>
      </c>
      <c r="AK148" s="26" t="str">
        <f t="shared" si="1953"/>
        <v/>
      </c>
      <c r="AL148" s="26" t="str">
        <f t="shared" si="1954"/>
        <v/>
      </c>
      <c r="AM148" s="26" t="str">
        <f t="shared" si="1955"/>
        <v/>
      </c>
      <c r="AN148" s="26" t="str">
        <f t="shared" si="1956"/>
        <v/>
      </c>
      <c r="AO148" s="26" t="str">
        <f t="shared" ref="AO148:AS148" si="1958">IF(AO$8="","",AO141-AN141)</f>
        <v/>
      </c>
      <c r="AP148" s="26" t="str">
        <f t="shared" si="1958"/>
        <v/>
      </c>
      <c r="AQ148" s="26" t="str">
        <f t="shared" si="1958"/>
        <v/>
      </c>
      <c r="AR148" s="26" t="str">
        <f t="shared" si="1958"/>
        <v/>
      </c>
      <c r="AS148" s="26" t="str">
        <f t="shared" si="1958"/>
        <v/>
      </c>
    </row>
    <row r="149" spans="1:45" x14ac:dyDescent="0.15">
      <c r="A149" s="7">
        <f>SUM(C149:AS149)</f>
        <v>4</v>
      </c>
      <c r="B149" s="27" t="s">
        <v>15</v>
      </c>
      <c r="C149" s="26">
        <v>0</v>
      </c>
      <c r="D149" s="26">
        <v>0</v>
      </c>
      <c r="E149" s="26">
        <v>2</v>
      </c>
      <c r="F149" s="26">
        <v>0</v>
      </c>
      <c r="G149" s="26">
        <v>0</v>
      </c>
      <c r="H149" s="26">
        <v>0</v>
      </c>
      <c r="I149" s="26">
        <v>0</v>
      </c>
      <c r="J149" s="26">
        <f t="shared" ref="J149" si="1959">IF(J$8="","",I142+I143-J142)</f>
        <v>0</v>
      </c>
      <c r="K149" s="26">
        <f t="shared" ref="K149" si="1960">IF(K$8="","",J142+J143-K142)</f>
        <v>0</v>
      </c>
      <c r="L149" s="26">
        <f t="shared" ref="L149" si="1961">IF(L$8="","",K142+K143-L142)</f>
        <v>2</v>
      </c>
      <c r="M149" s="26" t="str">
        <f t="shared" ref="M149" si="1962">IF(M$8="","",L142+L143-M142)</f>
        <v/>
      </c>
      <c r="N149" s="26" t="str">
        <f t="shared" ref="N149" si="1963">IF(N$8="","",M142+M143-N142)</f>
        <v/>
      </c>
      <c r="O149" s="26" t="str">
        <f t="shared" ref="O149" si="1964">IF(O$8="","",N142+N143-O142)</f>
        <v/>
      </c>
      <c r="P149" s="26" t="str">
        <f t="shared" ref="P149" si="1965">IF(P$8="","",O142+O143-P142)</f>
        <v/>
      </c>
      <c r="Q149" s="26" t="str">
        <f t="shared" ref="Q149" si="1966">IF(Q$8="","",P142+P143-Q142)</f>
        <v/>
      </c>
      <c r="R149" s="26" t="str">
        <f t="shared" ref="R149" si="1967">IF(R$8="","",Q142+Q143-R142)</f>
        <v/>
      </c>
      <c r="S149" s="26" t="str">
        <f t="shared" ref="S149" si="1968">IF(S$8="","",R142+R143-S142)</f>
        <v/>
      </c>
      <c r="T149" s="26" t="str">
        <f t="shared" ref="T149" si="1969">IF(T$8="","",S142+S143-T142)</f>
        <v/>
      </c>
      <c r="U149" s="26" t="str">
        <f t="shared" ref="U149" si="1970">IF(U$8="","",T142+T143-U142)</f>
        <v/>
      </c>
      <c r="V149" s="26" t="str">
        <f t="shared" ref="V149" si="1971">IF(V$8="","",U142+U143-V142)</f>
        <v/>
      </c>
      <c r="W149" s="26" t="str">
        <f t="shared" ref="W149" si="1972">IF(W$8="","",V142+V143-W142)</f>
        <v/>
      </c>
      <c r="X149" s="26" t="str">
        <f t="shared" ref="X149" si="1973">IF(X$8="","",W142+W143-X142)</f>
        <v/>
      </c>
      <c r="Y149" s="26" t="str">
        <f t="shared" ref="Y149" si="1974">IF(Y$8="","",X142+X143-Y142)</f>
        <v/>
      </c>
      <c r="Z149" s="26" t="str">
        <f t="shared" ref="Z149" si="1975">IF(Z$8="","",Y142+Y143-Z142)</f>
        <v/>
      </c>
      <c r="AA149" s="26" t="str">
        <f t="shared" ref="AA149" si="1976">IF(AA$8="","",Z142+Z143-AA142)</f>
        <v/>
      </c>
      <c r="AB149" s="26" t="str">
        <f t="shared" ref="AB149" si="1977">IF(AB$8="","",AA142+AA143-AB142)</f>
        <v/>
      </c>
      <c r="AC149" s="26" t="str">
        <f t="shared" ref="AC149" si="1978">IF(AC$8="","",AB142+AB143-AC142)</f>
        <v/>
      </c>
      <c r="AD149" s="26" t="str">
        <f t="shared" ref="AD149" si="1979">IF(AD$8="","",AC142+AC143-AD142)</f>
        <v/>
      </c>
      <c r="AE149" s="26" t="str">
        <f t="shared" ref="AE149" si="1980">IF(AE$8="","",AD142+AD143-AE142)</f>
        <v/>
      </c>
      <c r="AF149" s="26" t="str">
        <f t="shared" ref="AF149" si="1981">IF(AF$8="","",AE142+AE143-AF142)</f>
        <v/>
      </c>
      <c r="AG149" s="26" t="str">
        <f t="shared" ref="AG149" si="1982">IF(AG$8="","",AF142+AF143-AG142)</f>
        <v/>
      </c>
      <c r="AH149" s="26" t="str">
        <f t="shared" ref="AH149" si="1983">IF(AH$8="","",AG142+AG143-AH142)</f>
        <v/>
      </c>
      <c r="AI149" s="26" t="str">
        <f t="shared" ref="AI149" si="1984">IF(AI$8="","",AH142+AH143-AI142)</f>
        <v/>
      </c>
      <c r="AJ149" s="26" t="str">
        <f t="shared" ref="AJ149" si="1985">IF(AJ$8="","",AI142+AI143-AJ142)</f>
        <v/>
      </c>
      <c r="AK149" s="26" t="str">
        <f t="shared" ref="AK149" si="1986">IF(AK$8="","",AJ142+AJ143-AK142)</f>
        <v/>
      </c>
      <c r="AL149" s="26" t="str">
        <f t="shared" ref="AL149" si="1987">IF(AL$8="","",AK142+AK143-AL142)</f>
        <v/>
      </c>
      <c r="AM149" s="26" t="str">
        <f t="shared" ref="AM149" si="1988">IF(AM$8="","",AL142+AL143-AM142)</f>
        <v/>
      </c>
      <c r="AN149" s="26" t="str">
        <f t="shared" ref="AN149" si="1989">IF(AN$8="","",AM142+AM143-AN142)</f>
        <v/>
      </c>
      <c r="AO149" s="26" t="str">
        <f t="shared" ref="AO149:AS149" si="1990">IF(AO$8="","",AN142+AN143-AO142)</f>
        <v/>
      </c>
      <c r="AP149" s="26" t="str">
        <f t="shared" si="1990"/>
        <v/>
      </c>
      <c r="AQ149" s="26" t="str">
        <f t="shared" si="1990"/>
        <v/>
      </c>
      <c r="AR149" s="26" t="str">
        <f t="shared" si="1990"/>
        <v/>
      </c>
      <c r="AS149" s="26" t="str">
        <f t="shared" si="1990"/>
        <v/>
      </c>
    </row>
    <row r="150" spans="1:45" x14ac:dyDescent="0.15">
      <c r="A150" s="7">
        <f>SUM(C150:AS150)</f>
        <v>1400</v>
      </c>
      <c r="B150" s="27" t="s">
        <v>16</v>
      </c>
      <c r="C150" s="26">
        <v>0</v>
      </c>
      <c r="D150" s="26">
        <v>0</v>
      </c>
      <c r="E150" s="26">
        <v>700</v>
      </c>
      <c r="F150" s="26">
        <v>0</v>
      </c>
      <c r="G150" s="26">
        <v>0</v>
      </c>
      <c r="H150" s="26">
        <v>0</v>
      </c>
      <c r="I150" s="26">
        <v>0</v>
      </c>
      <c r="J150" s="26">
        <f t="shared" ref="H150:AM150" si="1991">IF(J$8="","",J149*J144)</f>
        <v>0</v>
      </c>
      <c r="K150" s="26">
        <f t="shared" si="1991"/>
        <v>0</v>
      </c>
      <c r="L150" s="26">
        <f t="shared" si="1991"/>
        <v>700</v>
      </c>
      <c r="M150" s="26" t="str">
        <f t="shared" si="1991"/>
        <v/>
      </c>
      <c r="N150" s="26" t="str">
        <f t="shared" si="1991"/>
        <v/>
      </c>
      <c r="O150" s="26" t="str">
        <f t="shared" si="1991"/>
        <v/>
      </c>
      <c r="P150" s="26" t="str">
        <f t="shared" si="1991"/>
        <v/>
      </c>
      <c r="Q150" s="26" t="str">
        <f t="shared" si="1991"/>
        <v/>
      </c>
      <c r="R150" s="26" t="str">
        <f t="shared" si="1991"/>
        <v/>
      </c>
      <c r="S150" s="26" t="str">
        <f t="shared" si="1991"/>
        <v/>
      </c>
      <c r="T150" s="26" t="str">
        <f t="shared" si="1991"/>
        <v/>
      </c>
      <c r="U150" s="26" t="str">
        <f t="shared" si="1991"/>
        <v/>
      </c>
      <c r="V150" s="26" t="str">
        <f t="shared" si="1991"/>
        <v/>
      </c>
      <c r="W150" s="26" t="str">
        <f t="shared" si="1991"/>
        <v/>
      </c>
      <c r="X150" s="26" t="str">
        <f t="shared" si="1991"/>
        <v/>
      </c>
      <c r="Y150" s="26" t="str">
        <f t="shared" si="1991"/>
        <v/>
      </c>
      <c r="Z150" s="26" t="str">
        <f t="shared" si="1991"/>
        <v/>
      </c>
      <c r="AA150" s="26" t="str">
        <f t="shared" si="1991"/>
        <v/>
      </c>
      <c r="AB150" s="26" t="str">
        <f t="shared" si="1991"/>
        <v/>
      </c>
      <c r="AC150" s="26" t="str">
        <f t="shared" si="1991"/>
        <v/>
      </c>
      <c r="AD150" s="26" t="str">
        <f t="shared" si="1991"/>
        <v/>
      </c>
      <c r="AE150" s="26" t="str">
        <f t="shared" si="1991"/>
        <v/>
      </c>
      <c r="AF150" s="26" t="str">
        <f t="shared" si="1991"/>
        <v/>
      </c>
      <c r="AG150" s="26" t="str">
        <f t="shared" si="1991"/>
        <v/>
      </c>
      <c r="AH150" s="26" t="str">
        <f t="shared" si="1991"/>
        <v/>
      </c>
      <c r="AI150" s="26" t="str">
        <f t="shared" si="1991"/>
        <v/>
      </c>
      <c r="AJ150" s="26" t="str">
        <f t="shared" si="1991"/>
        <v/>
      </c>
      <c r="AK150" s="26" t="str">
        <f t="shared" si="1991"/>
        <v/>
      </c>
      <c r="AL150" s="26" t="str">
        <f t="shared" si="1991"/>
        <v/>
      </c>
      <c r="AM150" s="26" t="str">
        <f t="shared" si="1991"/>
        <v/>
      </c>
      <c r="AN150" s="26" t="str">
        <f t="shared" ref="D150:AN150" si="1992">IF(AN$8="","",AN149*AN144)</f>
        <v/>
      </c>
      <c r="AO150" s="26" t="str">
        <f t="shared" ref="AO150:AS150" si="1993">IF(AO$8="","",AO149*AO144)</f>
        <v/>
      </c>
      <c r="AP150" s="26" t="str">
        <f t="shared" si="1993"/>
        <v/>
      </c>
      <c r="AQ150" s="26" t="str">
        <f t="shared" si="1993"/>
        <v/>
      </c>
      <c r="AR150" s="26" t="str">
        <f t="shared" si="1993"/>
        <v/>
      </c>
      <c r="AS150" s="26" t="str">
        <f t="shared" si="1993"/>
        <v/>
      </c>
    </row>
    <row r="151" spans="1:45" ht="12" thickBot="1" x14ac:dyDescent="0.2">
      <c r="A151" s="4">
        <f>IF(A150="","",A150/(A147*100))</f>
        <v>8.9743589743589744E-2</v>
      </c>
      <c r="B151" s="24" t="s">
        <v>18</v>
      </c>
      <c r="C151" s="23" t="s">
        <v>19</v>
      </c>
      <c r="D151" s="23" t="s">
        <v>19</v>
      </c>
      <c r="E151" s="23">
        <v>8.6419753086419748E-2</v>
      </c>
      <c r="F151" s="23" t="s">
        <v>19</v>
      </c>
      <c r="G151" s="23" t="s">
        <v>19</v>
      </c>
      <c r="H151" s="23" t="s">
        <v>19</v>
      </c>
      <c r="I151" s="23" t="s">
        <v>19</v>
      </c>
      <c r="J151" s="23" t="str">
        <f t="shared" ref="H151:AM151" si="1994">IF(J$8="","",IF(J150=0,"",J150/(J147*100)))</f>
        <v/>
      </c>
      <c r="K151" s="23" t="str">
        <f t="shared" si="1994"/>
        <v/>
      </c>
      <c r="L151" s="23">
        <f t="shared" si="1994"/>
        <v>0.1076923076923077</v>
      </c>
      <c r="M151" s="23" t="str">
        <f t="shared" si="1994"/>
        <v/>
      </c>
      <c r="N151" s="23" t="str">
        <f t="shared" si="1994"/>
        <v/>
      </c>
      <c r="O151" s="23" t="str">
        <f t="shared" si="1994"/>
        <v/>
      </c>
      <c r="P151" s="23" t="str">
        <f t="shared" si="1994"/>
        <v/>
      </c>
      <c r="Q151" s="23" t="str">
        <f t="shared" si="1994"/>
        <v/>
      </c>
      <c r="R151" s="23" t="str">
        <f t="shared" si="1994"/>
        <v/>
      </c>
      <c r="S151" s="23" t="str">
        <f t="shared" si="1994"/>
        <v/>
      </c>
      <c r="T151" s="23" t="str">
        <f t="shared" si="1994"/>
        <v/>
      </c>
      <c r="U151" s="23" t="str">
        <f t="shared" si="1994"/>
        <v/>
      </c>
      <c r="V151" s="23" t="str">
        <f t="shared" si="1994"/>
        <v/>
      </c>
      <c r="W151" s="23" t="str">
        <f t="shared" si="1994"/>
        <v/>
      </c>
      <c r="X151" s="23" t="str">
        <f t="shared" si="1994"/>
        <v/>
      </c>
      <c r="Y151" s="23" t="str">
        <f t="shared" si="1994"/>
        <v/>
      </c>
      <c r="Z151" s="23" t="str">
        <f t="shared" si="1994"/>
        <v/>
      </c>
      <c r="AA151" s="23" t="str">
        <f t="shared" si="1994"/>
        <v/>
      </c>
      <c r="AB151" s="23" t="str">
        <f t="shared" si="1994"/>
        <v/>
      </c>
      <c r="AC151" s="23" t="str">
        <f t="shared" si="1994"/>
        <v/>
      </c>
      <c r="AD151" s="23" t="str">
        <f t="shared" si="1994"/>
        <v/>
      </c>
      <c r="AE151" s="23" t="str">
        <f t="shared" si="1994"/>
        <v/>
      </c>
      <c r="AF151" s="23" t="str">
        <f t="shared" si="1994"/>
        <v/>
      </c>
      <c r="AG151" s="23" t="str">
        <f t="shared" si="1994"/>
        <v/>
      </c>
      <c r="AH151" s="23" t="str">
        <f t="shared" si="1994"/>
        <v/>
      </c>
      <c r="AI151" s="23" t="str">
        <f t="shared" si="1994"/>
        <v/>
      </c>
      <c r="AJ151" s="23" t="str">
        <f t="shared" si="1994"/>
        <v/>
      </c>
      <c r="AK151" s="23" t="str">
        <f t="shared" si="1994"/>
        <v/>
      </c>
      <c r="AL151" s="23" t="str">
        <f t="shared" si="1994"/>
        <v/>
      </c>
      <c r="AM151" s="23" t="str">
        <f t="shared" si="1994"/>
        <v/>
      </c>
      <c r="AN151" s="23" t="str">
        <f t="shared" ref="D151:AN151" si="1995">IF(AN$8="","",IF(AN150=0,"",AN150/(AN147*100)))</f>
        <v/>
      </c>
      <c r="AO151" s="23" t="str">
        <f t="shared" ref="AO151:AS151" si="1996">IF(AO$8="","",IF(AO150=0,"",AO150/(AO147*100)))</f>
        <v/>
      </c>
      <c r="AP151" s="23" t="str">
        <f t="shared" si="1996"/>
        <v/>
      </c>
      <c r="AQ151" s="23" t="str">
        <f t="shared" si="1996"/>
        <v/>
      </c>
      <c r="AR151" s="23" t="str">
        <f t="shared" si="1996"/>
        <v/>
      </c>
      <c r="AS151" s="23" t="str">
        <f t="shared" si="1996"/>
        <v/>
      </c>
    </row>
    <row r="152" spans="1:45" x14ac:dyDescent="0.15">
      <c r="A152" s="17" t="s">
        <v>1</v>
      </c>
      <c r="B152" s="39" t="s">
        <v>2</v>
      </c>
      <c r="C152" s="38">
        <v>3207</v>
      </c>
      <c r="D152" s="38">
        <v>3207</v>
      </c>
      <c r="E152" s="38">
        <v>3236</v>
      </c>
      <c r="F152" s="38">
        <v>3236</v>
      </c>
      <c r="G152" s="38">
        <v>3236</v>
      </c>
      <c r="H152" s="38">
        <v>3236</v>
      </c>
      <c r="I152" s="38">
        <v>3294</v>
      </c>
      <c r="J152" s="38">
        <f>IF(J$8="","",I152)</f>
        <v>3294</v>
      </c>
      <c r="K152" s="38">
        <f t="shared" ref="K152:K153" si="1997">IF(K$8="","",J152)</f>
        <v>3294</v>
      </c>
      <c r="L152" s="38">
        <v>3317</v>
      </c>
      <c r="M152" s="38" t="str">
        <f>IF(M$8="","",L152)</f>
        <v/>
      </c>
      <c r="N152" s="38" t="str">
        <f t="shared" ref="N152:N153" si="1998">IF(N$8="","",M152)</f>
        <v/>
      </c>
      <c r="O152" s="38" t="str">
        <f t="shared" ref="O152:O153" si="1999">IF(O$8="","",N152)</f>
        <v/>
      </c>
      <c r="P152" s="38" t="str">
        <f>IF(P$8="","",O152)</f>
        <v/>
      </c>
      <c r="Q152" s="38" t="str">
        <f>IF(Q$8="","",P152)</f>
        <v/>
      </c>
      <c r="R152" s="38" t="str">
        <f t="shared" ref="R152:R153" si="2000">IF(R$8="","",Q152)</f>
        <v/>
      </c>
      <c r="S152" s="38" t="str">
        <f>IF(S$8="","",R152)</f>
        <v/>
      </c>
      <c r="T152" s="38" t="str">
        <f>IF(T$8="","",S152)</f>
        <v/>
      </c>
      <c r="U152" s="38" t="str">
        <f t="shared" ref="U152:U153" si="2001">IF(U$8="","",T152)</f>
        <v/>
      </c>
      <c r="V152" s="38" t="str">
        <f t="shared" ref="V152:V153" si="2002">IF(V$8="","",U152)</f>
        <v/>
      </c>
      <c r="W152" s="38" t="str">
        <f>IF(W$8="","",V152)</f>
        <v/>
      </c>
      <c r="X152" s="38" t="str">
        <f>IF(X$8="","",W152)</f>
        <v/>
      </c>
      <c r="Y152" s="38" t="str">
        <f t="shared" ref="Y152:Y153" si="2003">IF(Y$8="","",X152)</f>
        <v/>
      </c>
      <c r="Z152" s="38" t="str">
        <f>IF(Z$8="","",Y152)</f>
        <v/>
      </c>
      <c r="AA152" s="38" t="str">
        <f>IF(AA$8="","",Z152)</f>
        <v/>
      </c>
      <c r="AB152" s="38" t="str">
        <f t="shared" ref="AB152:AB153" si="2004">IF(AB$8="","",AA152)</f>
        <v/>
      </c>
      <c r="AC152" s="38" t="str">
        <f t="shared" ref="AC152:AC153" si="2005">IF(AC$8="","",AB152)</f>
        <v/>
      </c>
      <c r="AD152" s="38" t="str">
        <f>IF(AD$8="","",AC152)</f>
        <v/>
      </c>
      <c r="AE152" s="38" t="str">
        <f>IF(AE$8="","",AD152)</f>
        <v/>
      </c>
      <c r="AF152" s="38" t="str">
        <f t="shared" ref="AF152:AF153" si="2006">IF(AF$8="","",AE152)</f>
        <v/>
      </c>
      <c r="AG152" s="38" t="str">
        <f>IF(AG$8="","",AF152)</f>
        <v/>
      </c>
      <c r="AH152" s="38" t="str">
        <f t="shared" ref="AH152:AH153" si="2007">IF(AH$8="","",AG152)</f>
        <v/>
      </c>
      <c r="AI152" s="38" t="str">
        <f t="shared" ref="AI152:AI153" si="2008">IF(AI$8="","",AH152)</f>
        <v/>
      </c>
      <c r="AJ152" s="38" t="str">
        <f t="shared" ref="AJ152:AJ153" si="2009">IF(AJ$8="","",AI152)</f>
        <v/>
      </c>
      <c r="AK152" s="38" t="str">
        <f>IF(AK$8="","",AJ152)</f>
        <v/>
      </c>
      <c r="AL152" s="38" t="str">
        <f t="shared" ref="AL152:AL153" si="2010">IF(AL$8="","",AK152)</f>
        <v/>
      </c>
      <c r="AM152" s="38" t="str">
        <f t="shared" ref="AM152:AM153" si="2011">IF(AM$8="","",AL152)</f>
        <v/>
      </c>
      <c r="AN152" s="38" t="str">
        <f t="shared" ref="AN152:AN153" si="2012">IF(AN$8="","",AM152)</f>
        <v/>
      </c>
      <c r="AO152" s="38" t="str">
        <f t="shared" ref="AO152:AS152" si="2013">IF(AO$8="","",AN152)</f>
        <v/>
      </c>
      <c r="AP152" s="38" t="str">
        <f t="shared" si="2013"/>
        <v/>
      </c>
      <c r="AQ152" s="38" t="str">
        <f t="shared" si="2013"/>
        <v/>
      </c>
      <c r="AR152" s="38" t="str">
        <f t="shared" si="2013"/>
        <v/>
      </c>
      <c r="AS152" s="38" t="str">
        <f t="shared" si="2013"/>
        <v/>
      </c>
    </row>
    <row r="153" spans="1:45" x14ac:dyDescent="0.15">
      <c r="A153" s="16" t="s">
        <v>32</v>
      </c>
      <c r="B153" s="30" t="s">
        <v>4</v>
      </c>
      <c r="C153" s="29">
        <v>52</v>
      </c>
      <c r="D153" s="29">
        <v>52</v>
      </c>
      <c r="E153" s="29">
        <v>53</v>
      </c>
      <c r="F153" s="29">
        <v>53</v>
      </c>
      <c r="G153" s="29">
        <v>53</v>
      </c>
      <c r="H153" s="29">
        <v>53</v>
      </c>
      <c r="I153" s="29">
        <v>54</v>
      </c>
      <c r="J153" s="29">
        <f>IF(J$8="","",I153)</f>
        <v>54</v>
      </c>
      <c r="K153" s="29">
        <f t="shared" si="1997"/>
        <v>54</v>
      </c>
      <c r="L153" s="29">
        <f>IF(L$8="","",K153)</f>
        <v>54</v>
      </c>
      <c r="M153" s="29" t="str">
        <f t="shared" ref="M153" si="2014">IF(M$8="","",L153)</f>
        <v/>
      </c>
      <c r="N153" s="29" t="str">
        <f t="shared" si="1998"/>
        <v/>
      </c>
      <c r="O153" s="29" t="str">
        <f t="shared" si="1999"/>
        <v/>
      </c>
      <c r="P153" s="29" t="str">
        <f t="shared" ref="P152:P153" si="2015">IF(P$8="","",O153)</f>
        <v/>
      </c>
      <c r="Q153" s="29" t="str">
        <f t="shared" ref="Q153" si="2016">IF(Q$8="","",P153)</f>
        <v/>
      </c>
      <c r="R153" s="29" t="str">
        <f t="shared" si="2000"/>
        <v/>
      </c>
      <c r="S153" s="29" t="str">
        <f>IF(S$8="","",R153)</f>
        <v/>
      </c>
      <c r="T153" s="29" t="str">
        <f>IF(T$8="","",S153)</f>
        <v/>
      </c>
      <c r="U153" s="29" t="str">
        <f t="shared" si="2001"/>
        <v/>
      </c>
      <c r="V153" s="29" t="str">
        <f t="shared" si="2002"/>
        <v/>
      </c>
      <c r="W153" s="29" t="str">
        <f>IF(W$8="","",V153)</f>
        <v/>
      </c>
      <c r="X153" s="29" t="str">
        <f>IF(X$8="","",W153)</f>
        <v/>
      </c>
      <c r="Y153" s="29" t="str">
        <f t="shared" si="2003"/>
        <v/>
      </c>
      <c r="Z153" s="29" t="str">
        <f t="shared" ref="Z152:Z153" si="2017">IF(Z$8="","",Y153)</f>
        <v/>
      </c>
      <c r="AA153" s="29" t="str">
        <f>IF(AA$8="","",Z153)</f>
        <v/>
      </c>
      <c r="AB153" s="29" t="str">
        <f t="shared" si="2004"/>
        <v/>
      </c>
      <c r="AC153" s="29" t="str">
        <f t="shared" si="2005"/>
        <v/>
      </c>
      <c r="AD153" s="29" t="str">
        <f t="shared" ref="AD152:AD153" si="2018">IF(AD$8="","",AC153)</f>
        <v/>
      </c>
      <c r="AE153" s="29" t="str">
        <f t="shared" ref="AE153" si="2019">IF(AE$8="","",AD153)</f>
        <v/>
      </c>
      <c r="AF153" s="29" t="str">
        <f t="shared" si="2006"/>
        <v/>
      </c>
      <c r="AG153" s="29" t="str">
        <f>IF(AG$8="","",AF153)</f>
        <v/>
      </c>
      <c r="AH153" s="29" t="str">
        <f t="shared" si="2007"/>
        <v/>
      </c>
      <c r="AI153" s="29" t="str">
        <f t="shared" si="2008"/>
        <v/>
      </c>
      <c r="AJ153" s="29" t="str">
        <f t="shared" si="2009"/>
        <v/>
      </c>
      <c r="AK153" s="29" t="str">
        <f>IF(AK$8="","",AJ153)</f>
        <v/>
      </c>
      <c r="AL153" s="29" t="str">
        <f t="shared" si="2010"/>
        <v/>
      </c>
      <c r="AM153" s="29" t="str">
        <f t="shared" si="2011"/>
        <v/>
      </c>
      <c r="AN153" s="29" t="str">
        <f t="shared" si="2012"/>
        <v/>
      </c>
      <c r="AO153" s="29" t="str">
        <f t="shared" ref="AO153:AS153" si="2020">IF(AO$8="","",AN153)</f>
        <v/>
      </c>
      <c r="AP153" s="29" t="str">
        <f t="shared" si="2020"/>
        <v/>
      </c>
      <c r="AQ153" s="29" t="str">
        <f t="shared" si="2020"/>
        <v/>
      </c>
      <c r="AR153" s="29" t="str">
        <f t="shared" si="2020"/>
        <v/>
      </c>
      <c r="AS153" s="29" t="str">
        <f t="shared" si="2020"/>
        <v/>
      </c>
    </row>
    <row r="154" spans="1:45" x14ac:dyDescent="0.15">
      <c r="A154" s="15">
        <v>1</v>
      </c>
      <c r="B154" s="30" t="s">
        <v>5</v>
      </c>
      <c r="C154" s="29">
        <v>14</v>
      </c>
      <c r="D154" s="29">
        <v>14</v>
      </c>
      <c r="E154" s="29">
        <v>13</v>
      </c>
      <c r="F154" s="29">
        <v>13</v>
      </c>
      <c r="G154" s="29">
        <v>13</v>
      </c>
      <c r="H154" s="29">
        <v>13</v>
      </c>
      <c r="I154" s="29">
        <v>12</v>
      </c>
      <c r="J154" s="29">
        <f>IF(J$8="","",(I154+I155))</f>
        <v>12</v>
      </c>
      <c r="K154" s="29">
        <f t="shared" ref="K154" si="2021">IF(K$8="","",(J154+J155))</f>
        <v>12</v>
      </c>
      <c r="L154" s="29">
        <f>IF(L$8="","",(K154+K155))</f>
        <v>12</v>
      </c>
      <c r="M154" s="29" t="str">
        <f t="shared" ref="M154" si="2022">IF(M$8="","",(L154+L155))</f>
        <v/>
      </c>
      <c r="N154" s="29" t="str">
        <f t="shared" ref="N154" si="2023">IF(N$8="","",(M154+M155))</f>
        <v/>
      </c>
      <c r="O154" s="29" t="str">
        <f t="shared" ref="O154" si="2024">IF(O$8="","",(N154+N155))</f>
        <v/>
      </c>
      <c r="P154" s="29" t="str">
        <f t="shared" ref="P154" si="2025">IF(P$8="","",(O154+O155))</f>
        <v/>
      </c>
      <c r="Q154" s="29" t="str">
        <f t="shared" ref="Q154" si="2026">IF(Q$8="","",(P154+P155))</f>
        <v/>
      </c>
      <c r="R154" s="29" t="str">
        <f t="shared" ref="R154" si="2027">IF(R$8="","",(Q154+Q155))</f>
        <v/>
      </c>
      <c r="S154" s="29" t="str">
        <f>IF(S$8="","",(R154+R155))</f>
        <v/>
      </c>
      <c r="T154" s="29" t="str">
        <f t="shared" ref="T154" si="2028">IF(T$8="","",(S154+S155))</f>
        <v/>
      </c>
      <c r="U154" s="29" t="str">
        <f t="shared" ref="U154" si="2029">IF(U$8="","",(T154+T155))</f>
        <v/>
      </c>
      <c r="V154" s="29" t="str">
        <f t="shared" ref="V154" si="2030">IF(V$8="","",(U154+U155))</f>
        <v/>
      </c>
      <c r="W154" s="29" t="str">
        <f>IF(W$8="","",(V154+V155))</f>
        <v/>
      </c>
      <c r="X154" s="29" t="str">
        <f>IF(X$8="","",(W154+W155))</f>
        <v/>
      </c>
      <c r="Y154" s="29" t="str">
        <f t="shared" ref="Y154" si="2031">IF(Y$8="","",(X154+X155))</f>
        <v/>
      </c>
      <c r="Z154" s="29" t="str">
        <f t="shared" ref="Z154" si="2032">IF(Z$8="","",(Y154+Y155))</f>
        <v/>
      </c>
      <c r="AA154" s="29" t="str">
        <f>IF(AA$8="","",(Z154+Z155))</f>
        <v/>
      </c>
      <c r="AB154" s="29" t="str">
        <f t="shared" ref="AB154" si="2033">IF(AB$8="","",(AA154+AA155))</f>
        <v/>
      </c>
      <c r="AC154" s="29" t="str">
        <f t="shared" ref="AC154" si="2034">IF(AC$8="","",(AB154+AB155))</f>
        <v/>
      </c>
      <c r="AD154" s="29" t="str">
        <f t="shared" ref="AD154" si="2035">IF(AD$8="","",(AC154+AC155))</f>
        <v/>
      </c>
      <c r="AE154" s="29" t="str">
        <f t="shared" ref="AE154" si="2036">IF(AE$8="","",(AD154+AD155))</f>
        <v/>
      </c>
      <c r="AF154" s="29" t="str">
        <f t="shared" ref="AF154" si="2037">IF(AF$8="","",(AE154+AE155))</f>
        <v/>
      </c>
      <c r="AG154" s="29" t="str">
        <f>IF(AG$8="","",(AF154+AF155))</f>
        <v/>
      </c>
      <c r="AH154" s="29" t="str">
        <f t="shared" ref="AH154" si="2038">IF(AH$8="","",(AG154+AG155))</f>
        <v/>
      </c>
      <c r="AI154" s="29" t="str">
        <f t="shared" ref="AI154" si="2039">IF(AI$8="","",(AH154+AH155))</f>
        <v/>
      </c>
      <c r="AJ154" s="29" t="str">
        <f t="shared" ref="AJ154" si="2040">IF(AJ$8="","",(AI154+AI155))</f>
        <v/>
      </c>
      <c r="AK154" s="29" t="str">
        <f>IF(AK$8="","",(AJ154+AJ155))</f>
        <v/>
      </c>
      <c r="AL154" s="29" t="str">
        <f t="shared" ref="AL154" si="2041">IF(AL$8="","",(AK154+AK155))</f>
        <v/>
      </c>
      <c r="AM154" s="29" t="str">
        <f t="shared" ref="AM154" si="2042">IF(AM$8="","",(AL154+AL155))</f>
        <v/>
      </c>
      <c r="AN154" s="29" t="str">
        <f t="shared" ref="AN154" si="2043">IF(AN$8="","",(AM154+AM155))</f>
        <v/>
      </c>
      <c r="AO154" s="29" t="str">
        <f t="shared" ref="AO154:AS154" si="2044">IF(AO$8="","",(AN154+AN155))</f>
        <v/>
      </c>
      <c r="AP154" s="29" t="str">
        <f t="shared" si="2044"/>
        <v/>
      </c>
      <c r="AQ154" s="29" t="str">
        <f t="shared" si="2044"/>
        <v/>
      </c>
      <c r="AR154" s="29" t="str">
        <f t="shared" si="2044"/>
        <v/>
      </c>
      <c r="AS154" s="29" t="str">
        <f t="shared" si="2044"/>
        <v/>
      </c>
    </row>
    <row r="155" spans="1:45" x14ac:dyDescent="0.15">
      <c r="A155" s="92" t="s">
        <v>6</v>
      </c>
      <c r="B155" s="30" t="s">
        <v>7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</row>
    <row r="156" spans="1:45" x14ac:dyDescent="0.15">
      <c r="A156" s="93">
        <f>+(A159+A171+A183+A195)*100</f>
        <v>53700</v>
      </c>
      <c r="B156" s="30" t="s">
        <v>8</v>
      </c>
      <c r="C156" s="35">
        <v>750</v>
      </c>
      <c r="D156" s="35">
        <v>750</v>
      </c>
      <c r="E156" s="35">
        <v>750</v>
      </c>
      <c r="F156" s="35">
        <v>750</v>
      </c>
      <c r="G156" s="35">
        <v>750</v>
      </c>
      <c r="H156" s="35">
        <v>750</v>
      </c>
      <c r="I156" s="35">
        <v>750</v>
      </c>
      <c r="J156" s="35">
        <f t="shared" ref="J156:J157" si="2045">IF(J$8="","",I156)</f>
        <v>750</v>
      </c>
      <c r="K156" s="35">
        <f t="shared" ref="K156:K157" si="2046">IF(K$8="","",J156)</f>
        <v>750</v>
      </c>
      <c r="L156" s="35">
        <f t="shared" ref="L156:L157" si="2047">IF(L$8="","",K156)</f>
        <v>750</v>
      </c>
      <c r="M156" s="35" t="str">
        <f t="shared" ref="M156:M157" si="2048">IF(M$8="","",L156)</f>
        <v/>
      </c>
      <c r="N156" s="35" t="str">
        <f t="shared" ref="N156:N157" si="2049">IF(N$8="","",M156)</f>
        <v/>
      </c>
      <c r="O156" s="35" t="str">
        <f t="shared" ref="O156:O157" si="2050">IF(O$8="","",N156)</f>
        <v/>
      </c>
      <c r="P156" s="35" t="str">
        <f t="shared" ref="P156:P157" si="2051">IF(P$8="","",O156)</f>
        <v/>
      </c>
      <c r="Q156" s="35" t="str">
        <f t="shared" ref="Q156:Q157" si="2052">IF(Q$8="","",P156)</f>
        <v/>
      </c>
      <c r="R156" s="35" t="str">
        <f t="shared" ref="R156:R157" si="2053">IF(R$8="","",Q156)</f>
        <v/>
      </c>
      <c r="S156" s="35" t="str">
        <f t="shared" ref="S156:S157" si="2054">IF(S$8="","",R156)</f>
        <v/>
      </c>
      <c r="T156" s="35" t="str">
        <f t="shared" ref="T156:T157" si="2055">IF(T$8="","",S156)</f>
        <v/>
      </c>
      <c r="U156" s="35" t="str">
        <f t="shared" ref="U156:U157" si="2056">IF(U$8="","",T156)</f>
        <v/>
      </c>
      <c r="V156" s="35" t="str">
        <f t="shared" ref="V156:V157" si="2057">IF(V$8="","",U156)</f>
        <v/>
      </c>
      <c r="W156" s="35" t="str">
        <f t="shared" ref="W156:W157" si="2058">IF(W$8="","",V156)</f>
        <v/>
      </c>
      <c r="X156" s="35" t="str">
        <f t="shared" ref="X156:X157" si="2059">IF(X$8="","",W156)</f>
        <v/>
      </c>
      <c r="Y156" s="35" t="str">
        <f t="shared" ref="Y156:Y157" si="2060">IF(Y$8="","",X156)</f>
        <v/>
      </c>
      <c r="Z156" s="35" t="str">
        <f t="shared" ref="Z156:Z157" si="2061">IF(Z$8="","",Y156)</f>
        <v/>
      </c>
      <c r="AA156" s="35" t="str">
        <f t="shared" ref="AA156:AA157" si="2062">IF(AA$8="","",Z156)</f>
        <v/>
      </c>
      <c r="AB156" s="35" t="str">
        <f t="shared" ref="AB156:AB157" si="2063">IF(AB$8="","",AA156)</f>
        <v/>
      </c>
      <c r="AC156" s="35" t="str">
        <f t="shared" ref="AC156:AC157" si="2064">IF(AC$8="","",AB156)</f>
        <v/>
      </c>
      <c r="AD156" s="35" t="str">
        <f t="shared" ref="AD156:AD157" si="2065">IF(AD$8="","",AC156)</f>
        <v/>
      </c>
      <c r="AE156" s="35" t="str">
        <f t="shared" ref="AE156:AE157" si="2066">IF(AE$8="","",AD156)</f>
        <v/>
      </c>
      <c r="AF156" s="35" t="str">
        <f t="shared" ref="AF156:AF157" si="2067">IF(AF$8="","",AE156)</f>
        <v/>
      </c>
      <c r="AG156" s="35" t="str">
        <f t="shared" ref="AG156:AG157" si="2068">IF(AG$8="","",AF156)</f>
        <v/>
      </c>
      <c r="AH156" s="35" t="str">
        <f t="shared" ref="AH156:AH157" si="2069">IF(AH$8="","",AG156)</f>
        <v/>
      </c>
      <c r="AI156" s="35" t="str">
        <f t="shared" ref="AI156:AI157" si="2070">IF(AI$8="","",AH156)</f>
        <v/>
      </c>
      <c r="AJ156" s="35" t="str">
        <f t="shared" ref="AJ156:AJ157" si="2071">IF(AJ$8="","",AI156)</f>
        <v/>
      </c>
      <c r="AK156" s="35" t="str">
        <f t="shared" ref="AK156:AK157" si="2072">IF(AK$8="","",AJ156)</f>
        <v/>
      </c>
      <c r="AL156" s="35" t="str">
        <f t="shared" ref="AL156:AL157" si="2073">IF(AL$8="","",AK156)</f>
        <v/>
      </c>
      <c r="AM156" s="35" t="str">
        <f t="shared" ref="AM156:AM157" si="2074">IF(AM$8="","",AL156)</f>
        <v/>
      </c>
      <c r="AN156" s="35" t="str">
        <f t="shared" ref="AN156:AN157" si="2075">IF(AN$8="","",AM156)</f>
        <v/>
      </c>
      <c r="AO156" s="35" t="str">
        <f t="shared" ref="AO156:AS156" si="2076">IF(AO$8="","",AN156)</f>
        <v/>
      </c>
      <c r="AP156" s="35" t="str">
        <f t="shared" si="2076"/>
        <v/>
      </c>
      <c r="AQ156" s="35" t="str">
        <f t="shared" si="2076"/>
        <v/>
      </c>
      <c r="AR156" s="35" t="str">
        <f t="shared" si="2076"/>
        <v/>
      </c>
      <c r="AS156" s="35" t="str">
        <f t="shared" si="2076"/>
        <v/>
      </c>
    </row>
    <row r="157" spans="1:45" s="85" customFormat="1" x14ac:dyDescent="0.15">
      <c r="A157" s="14" t="s">
        <v>9</v>
      </c>
      <c r="B157" s="33" t="s">
        <v>10</v>
      </c>
      <c r="C157" s="32" t="s">
        <v>33</v>
      </c>
      <c r="D157" s="32" t="s">
        <v>33</v>
      </c>
      <c r="E157" s="32" t="s">
        <v>33</v>
      </c>
      <c r="F157" s="32" t="s">
        <v>33</v>
      </c>
      <c r="G157" s="32" t="s">
        <v>33</v>
      </c>
      <c r="H157" s="32" t="s">
        <v>33</v>
      </c>
      <c r="I157" s="32" t="s">
        <v>33</v>
      </c>
      <c r="J157" s="32" t="str">
        <f t="shared" si="2045"/>
        <v>ギャルキティマスコット</v>
      </c>
      <c r="K157" s="32" t="str">
        <f t="shared" si="2046"/>
        <v>ギャルキティマスコット</v>
      </c>
      <c r="L157" s="32" t="str">
        <f t="shared" si="2047"/>
        <v>ギャルキティマスコット</v>
      </c>
      <c r="M157" s="32" t="str">
        <f t="shared" si="2048"/>
        <v/>
      </c>
      <c r="N157" s="32" t="str">
        <f t="shared" si="2049"/>
        <v/>
      </c>
      <c r="O157" s="32" t="str">
        <f t="shared" si="2050"/>
        <v/>
      </c>
      <c r="P157" s="32" t="str">
        <f t="shared" si="2051"/>
        <v/>
      </c>
      <c r="Q157" s="32" t="str">
        <f t="shared" si="2052"/>
        <v/>
      </c>
      <c r="R157" s="32" t="str">
        <f t="shared" si="2053"/>
        <v/>
      </c>
      <c r="S157" s="32" t="str">
        <f t="shared" si="2054"/>
        <v/>
      </c>
      <c r="T157" s="32" t="str">
        <f t="shared" si="2055"/>
        <v/>
      </c>
      <c r="U157" s="32" t="str">
        <f t="shared" si="2056"/>
        <v/>
      </c>
      <c r="V157" s="32" t="str">
        <f t="shared" si="2057"/>
        <v/>
      </c>
      <c r="W157" s="32" t="str">
        <f t="shared" si="2058"/>
        <v/>
      </c>
      <c r="X157" s="32" t="str">
        <f t="shared" si="2059"/>
        <v/>
      </c>
      <c r="Y157" s="32" t="str">
        <f t="shared" si="2060"/>
        <v/>
      </c>
      <c r="Z157" s="32" t="str">
        <f t="shared" si="2061"/>
        <v/>
      </c>
      <c r="AA157" s="32" t="str">
        <f t="shared" si="2062"/>
        <v/>
      </c>
      <c r="AB157" s="32" t="str">
        <f t="shared" si="2063"/>
        <v/>
      </c>
      <c r="AC157" s="32" t="str">
        <f t="shared" si="2064"/>
        <v/>
      </c>
      <c r="AD157" s="32" t="str">
        <f t="shared" si="2065"/>
        <v/>
      </c>
      <c r="AE157" s="32" t="str">
        <f t="shared" si="2066"/>
        <v/>
      </c>
      <c r="AF157" s="32" t="str">
        <f t="shared" si="2067"/>
        <v/>
      </c>
      <c r="AG157" s="32" t="str">
        <f t="shared" si="2068"/>
        <v/>
      </c>
      <c r="AH157" s="32" t="str">
        <f t="shared" si="2069"/>
        <v/>
      </c>
      <c r="AI157" s="32" t="str">
        <f t="shared" si="2070"/>
        <v/>
      </c>
      <c r="AJ157" s="32" t="str">
        <f t="shared" si="2071"/>
        <v/>
      </c>
      <c r="AK157" s="32" t="str">
        <f t="shared" si="2072"/>
        <v/>
      </c>
      <c r="AL157" s="32" t="str">
        <f t="shared" si="2073"/>
        <v/>
      </c>
      <c r="AM157" s="32" t="str">
        <f t="shared" si="2074"/>
        <v/>
      </c>
      <c r="AN157" s="32" t="str">
        <f t="shared" si="2075"/>
        <v/>
      </c>
      <c r="AO157" s="32" t="str">
        <f t="shared" ref="AO157:AS157" si="2077">IF(AO$8="","",AN157)</f>
        <v/>
      </c>
      <c r="AP157" s="32" t="str">
        <f t="shared" si="2077"/>
        <v/>
      </c>
      <c r="AQ157" s="32" t="str">
        <f t="shared" si="2077"/>
        <v/>
      </c>
      <c r="AR157" s="32" t="str">
        <f t="shared" si="2077"/>
        <v/>
      </c>
      <c r="AS157" s="32" t="str">
        <f t="shared" si="2077"/>
        <v/>
      </c>
    </row>
    <row r="158" spans="1:45" x14ac:dyDescent="0.15">
      <c r="A158" s="7">
        <f>AVERAGE(C159:AS159)*30*100</f>
        <v>33000</v>
      </c>
      <c r="B158" s="30" t="s">
        <v>12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</row>
    <row r="159" spans="1:45" x14ac:dyDescent="0.15">
      <c r="A159" s="7">
        <f>SUM(C159:AS159)</f>
        <v>110</v>
      </c>
      <c r="B159" s="27" t="s">
        <v>13</v>
      </c>
      <c r="C159" s="26">
        <v>0</v>
      </c>
      <c r="D159" s="26">
        <v>0</v>
      </c>
      <c r="E159" s="26">
        <v>29</v>
      </c>
      <c r="F159" s="26">
        <v>0</v>
      </c>
      <c r="G159" s="26">
        <v>0</v>
      </c>
      <c r="H159" s="26">
        <v>0</v>
      </c>
      <c r="I159" s="26">
        <v>58</v>
      </c>
      <c r="J159" s="26">
        <f t="shared" ref="J159:J160" si="2078">IF(J$8="","",J152-I152)</f>
        <v>0</v>
      </c>
      <c r="K159" s="26">
        <f t="shared" ref="K159:K160" si="2079">IF(K$8="","",K152-J152)</f>
        <v>0</v>
      </c>
      <c r="L159" s="26">
        <f t="shared" ref="L159:L160" si="2080">IF(L$8="","",L152-K152)</f>
        <v>23</v>
      </c>
      <c r="M159" s="26" t="str">
        <f t="shared" ref="M159:M160" si="2081">IF(M$8="","",M152-L152)</f>
        <v/>
      </c>
      <c r="N159" s="26" t="str">
        <f t="shared" ref="N159:N160" si="2082">IF(N$8="","",N152-M152)</f>
        <v/>
      </c>
      <c r="O159" s="26" t="str">
        <f t="shared" ref="O159:O160" si="2083">IF(O$8="","",O152-N152)</f>
        <v/>
      </c>
      <c r="P159" s="26" t="str">
        <f t="shared" ref="P159:P160" si="2084">IF(P$8="","",P152-O152)</f>
        <v/>
      </c>
      <c r="Q159" s="26" t="str">
        <f t="shared" ref="Q159:Q160" si="2085">IF(Q$8="","",Q152-P152)</f>
        <v/>
      </c>
      <c r="R159" s="26" t="str">
        <f t="shared" ref="R159:R160" si="2086">IF(R$8="","",R152-Q152)</f>
        <v/>
      </c>
      <c r="S159" s="26" t="str">
        <f t="shared" ref="S159:S160" si="2087">IF(S$8="","",S152-R152)</f>
        <v/>
      </c>
      <c r="T159" s="26" t="str">
        <f t="shared" ref="T159:T160" si="2088">IF(T$8="","",T152-S152)</f>
        <v/>
      </c>
      <c r="U159" s="26" t="str">
        <f t="shared" ref="U159:U160" si="2089">IF(U$8="","",U152-T152)</f>
        <v/>
      </c>
      <c r="V159" s="26" t="str">
        <f t="shared" ref="V159:V160" si="2090">IF(V$8="","",V152-U152)</f>
        <v/>
      </c>
      <c r="W159" s="26" t="str">
        <f t="shared" ref="W159:W160" si="2091">IF(W$8="","",W152-V152)</f>
        <v/>
      </c>
      <c r="X159" s="26" t="str">
        <f t="shared" ref="X159:X160" si="2092">IF(X$8="","",X152-W152)</f>
        <v/>
      </c>
      <c r="Y159" s="26" t="str">
        <f t="shared" ref="Y159:Y160" si="2093">IF(Y$8="","",Y152-X152)</f>
        <v/>
      </c>
      <c r="Z159" s="26" t="str">
        <f t="shared" ref="Z159:Z160" si="2094">IF(Z$8="","",Z152-Y152)</f>
        <v/>
      </c>
      <c r="AA159" s="26" t="str">
        <f t="shared" ref="AA159:AA160" si="2095">IF(AA$8="","",AA152-Z152)</f>
        <v/>
      </c>
      <c r="AB159" s="26" t="str">
        <f t="shared" ref="AB159:AB160" si="2096">IF(AB$8="","",AB152-AA152)</f>
        <v/>
      </c>
      <c r="AC159" s="26" t="str">
        <f t="shared" ref="AC159:AC160" si="2097">IF(AC$8="","",AC152-AB152)</f>
        <v/>
      </c>
      <c r="AD159" s="26" t="str">
        <f t="shared" ref="AD159:AD160" si="2098">IF(AD$8="","",AD152-AC152)</f>
        <v/>
      </c>
      <c r="AE159" s="26" t="str">
        <f t="shared" ref="AE159:AE160" si="2099">IF(AE$8="","",AE152-AD152)</f>
        <v/>
      </c>
      <c r="AF159" s="26" t="str">
        <f t="shared" ref="AF159:AF160" si="2100">IF(AF$8="","",AF152-AE152)</f>
        <v/>
      </c>
      <c r="AG159" s="26" t="str">
        <f t="shared" ref="AG159:AG160" si="2101">IF(AG$8="","",AG152-AF152)</f>
        <v/>
      </c>
      <c r="AH159" s="26" t="str">
        <f t="shared" ref="AH159:AH160" si="2102">IF(AH$8="","",AH152-AG152)</f>
        <v/>
      </c>
      <c r="AI159" s="26" t="str">
        <f t="shared" ref="AI159:AI160" si="2103">IF(AI$8="","",AI152-AH152)</f>
        <v/>
      </c>
      <c r="AJ159" s="26" t="str">
        <f t="shared" ref="AJ159:AJ160" si="2104">IF(AJ$8="","",AJ152-AI152)</f>
        <v/>
      </c>
      <c r="AK159" s="26" t="str">
        <f t="shared" ref="AK159:AK160" si="2105">IF(AK$8="","",AK152-AJ152)</f>
        <v/>
      </c>
      <c r="AL159" s="26" t="str">
        <f t="shared" ref="AL159:AL160" si="2106">IF(AL$8="","",AL152-AK152)</f>
        <v/>
      </c>
      <c r="AM159" s="26" t="str">
        <f t="shared" ref="AM159:AM160" si="2107">IF(AM$8="","",AM152-AL152)</f>
        <v/>
      </c>
      <c r="AN159" s="26" t="str">
        <f t="shared" ref="AN159:AN160" si="2108">IF(AN$8="","",AN152-AM152)</f>
        <v/>
      </c>
      <c r="AO159" s="26" t="str">
        <f t="shared" ref="AO159:AS159" si="2109">IF(AO$8="","",AO152-AN152)</f>
        <v/>
      </c>
      <c r="AP159" s="26" t="str">
        <f t="shared" si="2109"/>
        <v/>
      </c>
      <c r="AQ159" s="26" t="str">
        <f t="shared" si="2109"/>
        <v/>
      </c>
      <c r="AR159" s="26" t="str">
        <f t="shared" si="2109"/>
        <v/>
      </c>
      <c r="AS159" s="26" t="str">
        <f t="shared" si="2109"/>
        <v/>
      </c>
    </row>
    <row r="160" spans="1:45" x14ac:dyDescent="0.15">
      <c r="A160" s="7">
        <f>SUM(C160:AS160)</f>
        <v>2</v>
      </c>
      <c r="B160" s="27" t="s">
        <v>14</v>
      </c>
      <c r="C160" s="26">
        <v>0</v>
      </c>
      <c r="D160" s="26">
        <v>0</v>
      </c>
      <c r="E160" s="26">
        <v>1</v>
      </c>
      <c r="F160" s="26">
        <v>0</v>
      </c>
      <c r="G160" s="26">
        <v>0</v>
      </c>
      <c r="H160" s="26">
        <v>0</v>
      </c>
      <c r="I160" s="26">
        <v>1</v>
      </c>
      <c r="J160" s="26">
        <f t="shared" si="2078"/>
        <v>0</v>
      </c>
      <c r="K160" s="26">
        <f t="shared" si="2079"/>
        <v>0</v>
      </c>
      <c r="L160" s="26">
        <f t="shared" si="2080"/>
        <v>0</v>
      </c>
      <c r="M160" s="26" t="str">
        <f t="shared" si="2081"/>
        <v/>
      </c>
      <c r="N160" s="26" t="str">
        <f t="shared" si="2082"/>
        <v/>
      </c>
      <c r="O160" s="26" t="str">
        <f t="shared" si="2083"/>
        <v/>
      </c>
      <c r="P160" s="26" t="str">
        <f t="shared" si="2084"/>
        <v/>
      </c>
      <c r="Q160" s="26" t="str">
        <f t="shared" si="2085"/>
        <v/>
      </c>
      <c r="R160" s="26" t="str">
        <f t="shared" si="2086"/>
        <v/>
      </c>
      <c r="S160" s="26" t="str">
        <f t="shared" si="2087"/>
        <v/>
      </c>
      <c r="T160" s="26" t="str">
        <f t="shared" si="2088"/>
        <v/>
      </c>
      <c r="U160" s="26" t="str">
        <f t="shared" si="2089"/>
        <v/>
      </c>
      <c r="V160" s="26" t="str">
        <f t="shared" si="2090"/>
        <v/>
      </c>
      <c r="W160" s="26" t="str">
        <f t="shared" si="2091"/>
        <v/>
      </c>
      <c r="X160" s="26" t="str">
        <f t="shared" si="2092"/>
        <v/>
      </c>
      <c r="Y160" s="26" t="str">
        <f t="shared" si="2093"/>
        <v/>
      </c>
      <c r="Z160" s="26" t="str">
        <f t="shared" si="2094"/>
        <v/>
      </c>
      <c r="AA160" s="26" t="str">
        <f t="shared" si="2095"/>
        <v/>
      </c>
      <c r="AB160" s="26" t="str">
        <f t="shared" si="2096"/>
        <v/>
      </c>
      <c r="AC160" s="26" t="str">
        <f t="shared" si="2097"/>
        <v/>
      </c>
      <c r="AD160" s="26" t="str">
        <f t="shared" si="2098"/>
        <v/>
      </c>
      <c r="AE160" s="26" t="str">
        <f t="shared" si="2099"/>
        <v/>
      </c>
      <c r="AF160" s="26" t="str">
        <f t="shared" si="2100"/>
        <v/>
      </c>
      <c r="AG160" s="26" t="str">
        <f t="shared" si="2101"/>
        <v/>
      </c>
      <c r="AH160" s="26" t="str">
        <f t="shared" si="2102"/>
        <v/>
      </c>
      <c r="AI160" s="26" t="str">
        <f t="shared" si="2103"/>
        <v/>
      </c>
      <c r="AJ160" s="26" t="str">
        <f t="shared" si="2104"/>
        <v/>
      </c>
      <c r="AK160" s="26" t="str">
        <f t="shared" si="2105"/>
        <v/>
      </c>
      <c r="AL160" s="26" t="str">
        <f t="shared" si="2106"/>
        <v/>
      </c>
      <c r="AM160" s="26" t="str">
        <f t="shared" si="2107"/>
        <v/>
      </c>
      <c r="AN160" s="26" t="str">
        <f t="shared" si="2108"/>
        <v/>
      </c>
      <c r="AO160" s="26" t="str">
        <f t="shared" ref="AO160:AS160" si="2110">IF(AO$8="","",AO153-AN153)</f>
        <v/>
      </c>
      <c r="AP160" s="26" t="str">
        <f t="shared" si="2110"/>
        <v/>
      </c>
      <c r="AQ160" s="26" t="str">
        <f t="shared" si="2110"/>
        <v/>
      </c>
      <c r="AR160" s="26" t="str">
        <f t="shared" si="2110"/>
        <v/>
      </c>
      <c r="AS160" s="26" t="str">
        <f t="shared" si="2110"/>
        <v/>
      </c>
    </row>
    <row r="161" spans="1:45" x14ac:dyDescent="0.15">
      <c r="A161" s="7">
        <f>SUM(C161:AS161)</f>
        <v>2</v>
      </c>
      <c r="B161" s="27" t="s">
        <v>15</v>
      </c>
      <c r="C161" s="26">
        <v>0</v>
      </c>
      <c r="D161" s="26">
        <v>0</v>
      </c>
      <c r="E161" s="26">
        <v>1</v>
      </c>
      <c r="F161" s="26">
        <v>0</v>
      </c>
      <c r="G161" s="26">
        <v>0</v>
      </c>
      <c r="H161" s="26">
        <v>0</v>
      </c>
      <c r="I161" s="26">
        <v>1</v>
      </c>
      <c r="J161" s="26">
        <f t="shared" ref="J161" si="2111">IF(J$8="","",I154+I155-J154)</f>
        <v>0</v>
      </c>
      <c r="K161" s="26">
        <f t="shared" ref="K161" si="2112">IF(K$8="","",J154+J155-K154)</f>
        <v>0</v>
      </c>
      <c r="L161" s="26">
        <f t="shared" ref="L161" si="2113">IF(L$8="","",K154+K155-L154)</f>
        <v>0</v>
      </c>
      <c r="M161" s="26" t="str">
        <f t="shared" ref="M161" si="2114">IF(M$8="","",L154+L155-M154)</f>
        <v/>
      </c>
      <c r="N161" s="26" t="str">
        <f t="shared" ref="N161" si="2115">IF(N$8="","",M154+M155-N154)</f>
        <v/>
      </c>
      <c r="O161" s="26" t="str">
        <f t="shared" ref="O161" si="2116">IF(O$8="","",N154+N155-O154)</f>
        <v/>
      </c>
      <c r="P161" s="26" t="str">
        <f t="shared" ref="P161" si="2117">IF(P$8="","",O154+O155-P154)</f>
        <v/>
      </c>
      <c r="Q161" s="26" t="str">
        <f t="shared" ref="Q161" si="2118">IF(Q$8="","",P154+P155-Q154)</f>
        <v/>
      </c>
      <c r="R161" s="26" t="str">
        <f t="shared" ref="R161" si="2119">IF(R$8="","",Q154+Q155-R154)</f>
        <v/>
      </c>
      <c r="S161" s="26" t="str">
        <f t="shared" ref="S161" si="2120">IF(S$8="","",R154+R155-S154)</f>
        <v/>
      </c>
      <c r="T161" s="26" t="str">
        <f t="shared" ref="T161" si="2121">IF(T$8="","",S154+S155-T154)</f>
        <v/>
      </c>
      <c r="U161" s="26" t="str">
        <f t="shared" ref="U161" si="2122">IF(U$8="","",T154+T155-U154)</f>
        <v/>
      </c>
      <c r="V161" s="26" t="str">
        <f t="shared" ref="V161" si="2123">IF(V$8="","",U154+U155-V154)</f>
        <v/>
      </c>
      <c r="W161" s="26" t="str">
        <f t="shared" ref="W161" si="2124">IF(W$8="","",V154+V155-W154)</f>
        <v/>
      </c>
      <c r="X161" s="26" t="str">
        <f t="shared" ref="X161" si="2125">IF(X$8="","",W154+W155-X154)</f>
        <v/>
      </c>
      <c r="Y161" s="26" t="str">
        <f t="shared" ref="Y161" si="2126">IF(Y$8="","",X154+X155-Y154)</f>
        <v/>
      </c>
      <c r="Z161" s="26" t="str">
        <f t="shared" ref="Z161" si="2127">IF(Z$8="","",Y154+Y155-Z154)</f>
        <v/>
      </c>
      <c r="AA161" s="26" t="str">
        <f t="shared" ref="AA161" si="2128">IF(AA$8="","",Z154+Z155-AA154)</f>
        <v/>
      </c>
      <c r="AB161" s="26" t="str">
        <f t="shared" ref="AB161" si="2129">IF(AB$8="","",AA154+AA155-AB154)</f>
        <v/>
      </c>
      <c r="AC161" s="26" t="str">
        <f t="shared" ref="AC161" si="2130">IF(AC$8="","",AB154+AB155-AC154)</f>
        <v/>
      </c>
      <c r="AD161" s="26" t="str">
        <f t="shared" ref="AD161" si="2131">IF(AD$8="","",AC154+AC155-AD154)</f>
        <v/>
      </c>
      <c r="AE161" s="26" t="str">
        <f t="shared" ref="AE161" si="2132">IF(AE$8="","",AD154+AD155-AE154)</f>
        <v/>
      </c>
      <c r="AF161" s="26" t="str">
        <f t="shared" ref="AF161" si="2133">IF(AF$8="","",AE154+AE155-AF154)</f>
        <v/>
      </c>
      <c r="AG161" s="26" t="str">
        <f t="shared" ref="AG161" si="2134">IF(AG$8="","",AF154+AF155-AG154)</f>
        <v/>
      </c>
      <c r="AH161" s="26" t="str">
        <f t="shared" ref="AH161" si="2135">IF(AH$8="","",AG154+AG155-AH154)</f>
        <v/>
      </c>
      <c r="AI161" s="26" t="str">
        <f t="shared" ref="AI161" si="2136">IF(AI$8="","",AH154+AH155-AI154)</f>
        <v/>
      </c>
      <c r="AJ161" s="26" t="str">
        <f t="shared" ref="AJ161" si="2137">IF(AJ$8="","",AI154+AI155-AJ154)</f>
        <v/>
      </c>
      <c r="AK161" s="26" t="str">
        <f t="shared" ref="AK161" si="2138">IF(AK$8="","",AJ154+AJ155-AK154)</f>
        <v/>
      </c>
      <c r="AL161" s="26" t="str">
        <f t="shared" ref="AL161" si="2139">IF(AL$8="","",AK154+AK155-AL154)</f>
        <v/>
      </c>
      <c r="AM161" s="26" t="str">
        <f t="shared" ref="AM161" si="2140">IF(AM$8="","",AL154+AL155-AM154)</f>
        <v/>
      </c>
      <c r="AN161" s="26" t="str">
        <f t="shared" ref="AN161" si="2141">IF(AN$8="","",AM154+AM155-AN154)</f>
        <v/>
      </c>
      <c r="AO161" s="26" t="str">
        <f t="shared" ref="AO161:AS161" si="2142">IF(AO$8="","",AN154+AN155-AO154)</f>
        <v/>
      </c>
      <c r="AP161" s="26" t="str">
        <f t="shared" si="2142"/>
        <v/>
      </c>
      <c r="AQ161" s="26" t="str">
        <f t="shared" si="2142"/>
        <v/>
      </c>
      <c r="AR161" s="26" t="str">
        <f t="shared" si="2142"/>
        <v/>
      </c>
      <c r="AS161" s="26" t="str">
        <f t="shared" si="2142"/>
        <v/>
      </c>
    </row>
    <row r="162" spans="1:45" x14ac:dyDescent="0.15">
      <c r="A162" s="7">
        <f>SUM(C162:AS162)</f>
        <v>1500</v>
      </c>
      <c r="B162" s="27" t="s">
        <v>16</v>
      </c>
      <c r="C162" s="26">
        <v>0</v>
      </c>
      <c r="D162" s="26">
        <v>0</v>
      </c>
      <c r="E162" s="26">
        <v>750</v>
      </c>
      <c r="F162" s="26">
        <v>0</v>
      </c>
      <c r="G162" s="26">
        <v>0</v>
      </c>
      <c r="H162" s="26">
        <v>0</v>
      </c>
      <c r="I162" s="26">
        <v>750</v>
      </c>
      <c r="J162" s="26">
        <f t="shared" ref="H162:AM162" si="2143">IF(J$8="","",J161*J156)</f>
        <v>0</v>
      </c>
      <c r="K162" s="26">
        <f t="shared" si="2143"/>
        <v>0</v>
      </c>
      <c r="L162" s="26">
        <f t="shared" si="2143"/>
        <v>0</v>
      </c>
      <c r="M162" s="26" t="str">
        <f t="shared" si="2143"/>
        <v/>
      </c>
      <c r="N162" s="26" t="str">
        <f t="shared" si="2143"/>
        <v/>
      </c>
      <c r="O162" s="26" t="str">
        <f t="shared" si="2143"/>
        <v/>
      </c>
      <c r="P162" s="26" t="str">
        <f t="shared" si="2143"/>
        <v/>
      </c>
      <c r="Q162" s="26" t="str">
        <f t="shared" si="2143"/>
        <v/>
      </c>
      <c r="R162" s="26" t="str">
        <f t="shared" si="2143"/>
        <v/>
      </c>
      <c r="S162" s="26" t="str">
        <f t="shared" si="2143"/>
        <v/>
      </c>
      <c r="T162" s="26" t="str">
        <f t="shared" si="2143"/>
        <v/>
      </c>
      <c r="U162" s="26" t="str">
        <f t="shared" si="2143"/>
        <v/>
      </c>
      <c r="V162" s="26" t="str">
        <f t="shared" si="2143"/>
        <v/>
      </c>
      <c r="W162" s="26" t="str">
        <f t="shared" si="2143"/>
        <v/>
      </c>
      <c r="X162" s="26" t="str">
        <f t="shared" si="2143"/>
        <v/>
      </c>
      <c r="Y162" s="26" t="str">
        <f t="shared" si="2143"/>
        <v/>
      </c>
      <c r="Z162" s="26" t="str">
        <f t="shared" si="2143"/>
        <v/>
      </c>
      <c r="AA162" s="26" t="str">
        <f t="shared" si="2143"/>
        <v/>
      </c>
      <c r="AB162" s="26" t="str">
        <f t="shared" si="2143"/>
        <v/>
      </c>
      <c r="AC162" s="26" t="str">
        <f t="shared" si="2143"/>
        <v/>
      </c>
      <c r="AD162" s="26" t="str">
        <f t="shared" si="2143"/>
        <v/>
      </c>
      <c r="AE162" s="26" t="str">
        <f t="shared" si="2143"/>
        <v/>
      </c>
      <c r="AF162" s="26" t="str">
        <f t="shared" si="2143"/>
        <v/>
      </c>
      <c r="AG162" s="26" t="str">
        <f t="shared" si="2143"/>
        <v/>
      </c>
      <c r="AH162" s="26" t="str">
        <f t="shared" si="2143"/>
        <v/>
      </c>
      <c r="AI162" s="26" t="str">
        <f t="shared" si="2143"/>
        <v/>
      </c>
      <c r="AJ162" s="26" t="str">
        <f t="shared" si="2143"/>
        <v/>
      </c>
      <c r="AK162" s="26" t="str">
        <f t="shared" si="2143"/>
        <v/>
      </c>
      <c r="AL162" s="26" t="str">
        <f t="shared" si="2143"/>
        <v/>
      </c>
      <c r="AM162" s="26" t="str">
        <f t="shared" si="2143"/>
        <v/>
      </c>
      <c r="AN162" s="26" t="str">
        <f t="shared" ref="D162:AN162" si="2144">IF(AN$8="","",AN161*AN156)</f>
        <v/>
      </c>
      <c r="AO162" s="26" t="str">
        <f t="shared" ref="AO162:AS162" si="2145">IF(AO$8="","",AO161*AO156)</f>
        <v/>
      </c>
      <c r="AP162" s="26" t="str">
        <f t="shared" si="2145"/>
        <v/>
      </c>
      <c r="AQ162" s="26" t="str">
        <f t="shared" si="2145"/>
        <v/>
      </c>
      <c r="AR162" s="26" t="str">
        <f t="shared" si="2145"/>
        <v/>
      </c>
      <c r="AS162" s="26" t="str">
        <f t="shared" si="2145"/>
        <v/>
      </c>
    </row>
    <row r="163" spans="1:45" ht="12" thickBot="1" x14ac:dyDescent="0.2">
      <c r="A163" s="4">
        <f>IF(A162="","",A162/(A159*100))</f>
        <v>0.13636363636363635</v>
      </c>
      <c r="B163" s="27" t="s">
        <v>18</v>
      </c>
      <c r="C163" s="42" t="s">
        <v>19</v>
      </c>
      <c r="D163" s="42" t="s">
        <v>19</v>
      </c>
      <c r="E163" s="42">
        <v>0.25862068965517243</v>
      </c>
      <c r="F163" s="42" t="s">
        <v>19</v>
      </c>
      <c r="G163" s="42" t="s">
        <v>19</v>
      </c>
      <c r="H163" s="42" t="s">
        <v>19</v>
      </c>
      <c r="I163" s="42">
        <v>0.12931034482758622</v>
      </c>
      <c r="J163" s="42" t="str">
        <f t="shared" ref="H163:AM163" si="2146">IF(J$8="","",IF(J162=0,"",J162/(J159*100)))</f>
        <v/>
      </c>
      <c r="K163" s="42" t="str">
        <f t="shared" si="2146"/>
        <v/>
      </c>
      <c r="L163" s="42" t="str">
        <f t="shared" si="2146"/>
        <v/>
      </c>
      <c r="M163" s="42" t="str">
        <f t="shared" si="2146"/>
        <v/>
      </c>
      <c r="N163" s="42" t="str">
        <f t="shared" si="2146"/>
        <v/>
      </c>
      <c r="O163" s="42" t="str">
        <f t="shared" si="2146"/>
        <v/>
      </c>
      <c r="P163" s="42" t="str">
        <f t="shared" si="2146"/>
        <v/>
      </c>
      <c r="Q163" s="42" t="str">
        <f t="shared" si="2146"/>
        <v/>
      </c>
      <c r="R163" s="42" t="str">
        <f t="shared" si="2146"/>
        <v/>
      </c>
      <c r="S163" s="42" t="str">
        <f t="shared" si="2146"/>
        <v/>
      </c>
      <c r="T163" s="42" t="str">
        <f t="shared" si="2146"/>
        <v/>
      </c>
      <c r="U163" s="42" t="str">
        <f t="shared" si="2146"/>
        <v/>
      </c>
      <c r="V163" s="42" t="str">
        <f t="shared" si="2146"/>
        <v/>
      </c>
      <c r="W163" s="42" t="str">
        <f t="shared" si="2146"/>
        <v/>
      </c>
      <c r="X163" s="42" t="str">
        <f t="shared" si="2146"/>
        <v/>
      </c>
      <c r="Y163" s="42" t="str">
        <f t="shared" si="2146"/>
        <v/>
      </c>
      <c r="Z163" s="42" t="str">
        <f t="shared" si="2146"/>
        <v/>
      </c>
      <c r="AA163" s="42" t="str">
        <f t="shared" si="2146"/>
        <v/>
      </c>
      <c r="AB163" s="42" t="str">
        <f t="shared" si="2146"/>
        <v/>
      </c>
      <c r="AC163" s="42" t="str">
        <f t="shared" si="2146"/>
        <v/>
      </c>
      <c r="AD163" s="42" t="str">
        <f t="shared" si="2146"/>
        <v/>
      </c>
      <c r="AE163" s="42" t="str">
        <f t="shared" si="2146"/>
        <v/>
      </c>
      <c r="AF163" s="42" t="str">
        <f t="shared" si="2146"/>
        <v/>
      </c>
      <c r="AG163" s="42" t="str">
        <f t="shared" si="2146"/>
        <v/>
      </c>
      <c r="AH163" s="42" t="str">
        <f t="shared" si="2146"/>
        <v/>
      </c>
      <c r="AI163" s="42" t="str">
        <f t="shared" si="2146"/>
        <v/>
      </c>
      <c r="AJ163" s="42" t="str">
        <f t="shared" si="2146"/>
        <v/>
      </c>
      <c r="AK163" s="42" t="str">
        <f t="shared" si="2146"/>
        <v/>
      </c>
      <c r="AL163" s="42" t="str">
        <f t="shared" si="2146"/>
        <v/>
      </c>
      <c r="AM163" s="42" t="str">
        <f t="shared" si="2146"/>
        <v/>
      </c>
      <c r="AN163" s="42" t="str">
        <f t="shared" ref="D163:AN163" si="2147">IF(AN$8="","",IF(AN162=0,"",AN162/(AN159*100)))</f>
        <v/>
      </c>
      <c r="AO163" s="42" t="str">
        <f t="shared" ref="AO163:AS163" si="2148">IF(AO$8="","",IF(AO162=0,"",AO162/(AO159*100)))</f>
        <v/>
      </c>
      <c r="AP163" s="42" t="str">
        <f t="shared" si="2148"/>
        <v/>
      </c>
      <c r="AQ163" s="42" t="str">
        <f t="shared" si="2148"/>
        <v/>
      </c>
      <c r="AR163" s="42" t="str">
        <f t="shared" si="2148"/>
        <v/>
      </c>
      <c r="AS163" s="42" t="str">
        <f t="shared" si="2148"/>
        <v/>
      </c>
    </row>
    <row r="164" spans="1:45" x14ac:dyDescent="0.15">
      <c r="A164" s="17" t="s">
        <v>1</v>
      </c>
      <c r="B164" s="41" t="s">
        <v>2</v>
      </c>
      <c r="C164" s="35">
        <v>2316</v>
      </c>
      <c r="D164" s="35">
        <v>2316</v>
      </c>
      <c r="E164" s="35">
        <v>2358</v>
      </c>
      <c r="F164" s="35">
        <v>2358</v>
      </c>
      <c r="G164" s="35">
        <v>2358</v>
      </c>
      <c r="H164" s="35">
        <v>2358</v>
      </c>
      <c r="I164" s="35">
        <v>2392</v>
      </c>
      <c r="J164" s="35">
        <f>IF(J$8="","",I164)</f>
        <v>2392</v>
      </c>
      <c r="K164" s="35">
        <f t="shared" ref="K164:K165" si="2149">IF(K$8="","",J164)</f>
        <v>2392</v>
      </c>
      <c r="L164" s="35">
        <v>2460</v>
      </c>
      <c r="M164" s="35" t="str">
        <f>IF(M$8="","",L164)</f>
        <v/>
      </c>
      <c r="N164" s="35" t="str">
        <f t="shared" ref="N164:N165" si="2150">IF(N$8="","",M164)</f>
        <v/>
      </c>
      <c r="O164" s="35" t="str">
        <f t="shared" ref="O164:O165" si="2151">IF(O$8="","",N164)</f>
        <v/>
      </c>
      <c r="P164" s="35" t="str">
        <f>IF(P$8="","",O164)</f>
        <v/>
      </c>
      <c r="Q164" s="35" t="str">
        <f>IF(Q$8="","",P164)</f>
        <v/>
      </c>
      <c r="R164" s="35" t="str">
        <f t="shared" ref="R164:R165" si="2152">IF(R$8="","",Q164)</f>
        <v/>
      </c>
      <c r="S164" s="35" t="str">
        <f>IF(S$8="","",R164)</f>
        <v/>
      </c>
      <c r="T164" s="35" t="str">
        <f>IF(T$8="","",S164)</f>
        <v/>
      </c>
      <c r="U164" s="35" t="str">
        <f t="shared" ref="U164:U165" si="2153">IF(U$8="","",T164)</f>
        <v/>
      </c>
      <c r="V164" s="35" t="str">
        <f t="shared" ref="V164:V165" si="2154">IF(V$8="","",U164)</f>
        <v/>
      </c>
      <c r="W164" s="35" t="str">
        <f>IF(W$8="","",V164)</f>
        <v/>
      </c>
      <c r="X164" s="35" t="str">
        <f>IF(X$8="","",W164)</f>
        <v/>
      </c>
      <c r="Y164" s="35" t="str">
        <f t="shared" ref="Y164:Y165" si="2155">IF(Y$8="","",X164)</f>
        <v/>
      </c>
      <c r="Z164" s="35" t="str">
        <f>IF(Z$8="","",Y164)</f>
        <v/>
      </c>
      <c r="AA164" s="35" t="str">
        <f>IF(AA$8="","",Z164)</f>
        <v/>
      </c>
      <c r="AB164" s="35" t="str">
        <f t="shared" ref="AB164:AB165" si="2156">IF(AB$8="","",AA164)</f>
        <v/>
      </c>
      <c r="AC164" s="35" t="str">
        <f t="shared" ref="AC164:AC165" si="2157">IF(AC$8="","",AB164)</f>
        <v/>
      </c>
      <c r="AD164" s="35" t="str">
        <f>IF(AD$8="","",AC164)</f>
        <v/>
      </c>
      <c r="AE164" s="35" t="str">
        <f>IF(AE$8="","",AD164)</f>
        <v/>
      </c>
      <c r="AF164" s="35" t="str">
        <f t="shared" ref="AF164:AF165" si="2158">IF(AF$8="","",AE164)</f>
        <v/>
      </c>
      <c r="AG164" s="35" t="str">
        <f>IF(AG$8="","",AF164)</f>
        <v/>
      </c>
      <c r="AH164" s="35" t="str">
        <f t="shared" ref="AH164:AH165" si="2159">IF(AH$8="","",AG164)</f>
        <v/>
      </c>
      <c r="AI164" s="35" t="str">
        <f t="shared" ref="AI164:AI165" si="2160">IF(AI$8="","",AH164)</f>
        <v/>
      </c>
      <c r="AJ164" s="35" t="str">
        <f t="shared" ref="AJ164:AJ165" si="2161">IF(AJ$8="","",AI164)</f>
        <v/>
      </c>
      <c r="AK164" s="35" t="str">
        <f>IF(AK$8="","",AJ164)</f>
        <v/>
      </c>
      <c r="AL164" s="35" t="str">
        <f t="shared" ref="AL164:AL165" si="2162">IF(AL$8="","",AK164)</f>
        <v/>
      </c>
      <c r="AM164" s="35" t="str">
        <f t="shared" ref="AM164:AM165" si="2163">IF(AM$8="","",AL164)</f>
        <v/>
      </c>
      <c r="AN164" s="35" t="str">
        <f t="shared" ref="AN164:AN165" si="2164">IF(AN$8="","",AM164)</f>
        <v/>
      </c>
      <c r="AO164" s="35" t="str">
        <f t="shared" ref="AO164:AS164" si="2165">IF(AO$8="","",AN164)</f>
        <v/>
      </c>
      <c r="AP164" s="35" t="str">
        <f t="shared" si="2165"/>
        <v/>
      </c>
      <c r="AQ164" s="35" t="str">
        <f t="shared" si="2165"/>
        <v/>
      </c>
      <c r="AR164" s="35" t="str">
        <f t="shared" si="2165"/>
        <v/>
      </c>
      <c r="AS164" s="35" t="str">
        <f t="shared" si="2165"/>
        <v/>
      </c>
    </row>
    <row r="165" spans="1:45" x14ac:dyDescent="0.15">
      <c r="A165" s="16" t="s">
        <v>34</v>
      </c>
      <c r="B165" s="30" t="s">
        <v>4</v>
      </c>
      <c r="C165" s="29">
        <v>42</v>
      </c>
      <c r="D165" s="29">
        <v>42</v>
      </c>
      <c r="E165" s="29">
        <v>43</v>
      </c>
      <c r="F165" s="29">
        <v>43</v>
      </c>
      <c r="G165" s="29">
        <v>43</v>
      </c>
      <c r="H165" s="29">
        <v>43</v>
      </c>
      <c r="I165" s="29">
        <v>43</v>
      </c>
      <c r="J165" s="29">
        <f>IF(J$8="","",I165)</f>
        <v>43</v>
      </c>
      <c r="K165" s="29">
        <f t="shared" si="2149"/>
        <v>43</v>
      </c>
      <c r="L165" s="29">
        <v>44</v>
      </c>
      <c r="M165" s="29" t="str">
        <f>IF(M$8="","",L165)</f>
        <v/>
      </c>
      <c r="N165" s="29" t="str">
        <f t="shared" si="2150"/>
        <v/>
      </c>
      <c r="O165" s="29" t="str">
        <f t="shared" si="2151"/>
        <v/>
      </c>
      <c r="P165" s="29" t="str">
        <f>IF(P$8="","",O165)</f>
        <v/>
      </c>
      <c r="Q165" s="29" t="str">
        <f>IF(Q$8="","",P165)</f>
        <v/>
      </c>
      <c r="R165" s="29" t="str">
        <f t="shared" si="2152"/>
        <v/>
      </c>
      <c r="S165" s="29" t="str">
        <f>IF(S$8="","",R165)</f>
        <v/>
      </c>
      <c r="T165" s="29" t="str">
        <f>IF(T$8="","",S165)</f>
        <v/>
      </c>
      <c r="U165" s="29" t="str">
        <f t="shared" si="2153"/>
        <v/>
      </c>
      <c r="V165" s="29" t="str">
        <f t="shared" si="2154"/>
        <v/>
      </c>
      <c r="W165" s="29" t="str">
        <f>IF(W$8="","",V165)</f>
        <v/>
      </c>
      <c r="X165" s="29" t="str">
        <f t="shared" ref="X165" si="2166">IF(X$8="","",W165)</f>
        <v/>
      </c>
      <c r="Y165" s="29" t="str">
        <f t="shared" si="2155"/>
        <v/>
      </c>
      <c r="Z165" s="29" t="str">
        <f>IF(Z$8="","",Y165)</f>
        <v/>
      </c>
      <c r="AA165" s="29" t="str">
        <f t="shared" ref="AA165" si="2167">IF(AA$8="","",Z165)</f>
        <v/>
      </c>
      <c r="AB165" s="29" t="str">
        <f t="shared" si="2156"/>
        <v/>
      </c>
      <c r="AC165" s="29" t="str">
        <f t="shared" si="2157"/>
        <v/>
      </c>
      <c r="AD165" s="29" t="str">
        <f t="shared" ref="AD164:AD165" si="2168">IF(AD$8="","",AC165)</f>
        <v/>
      </c>
      <c r="AE165" s="29" t="str">
        <f>IF(AE$8="","",AD165)</f>
        <v/>
      </c>
      <c r="AF165" s="29" t="str">
        <f t="shared" si="2158"/>
        <v/>
      </c>
      <c r="AG165" s="29" t="str">
        <f>IF(AG$8="","",AF165)</f>
        <v/>
      </c>
      <c r="AH165" s="29" t="str">
        <f t="shared" si="2159"/>
        <v/>
      </c>
      <c r="AI165" s="29" t="str">
        <f t="shared" si="2160"/>
        <v/>
      </c>
      <c r="AJ165" s="29" t="str">
        <f t="shared" si="2161"/>
        <v/>
      </c>
      <c r="AK165" s="29" t="str">
        <f t="shared" ref="AK164:AK165" si="2169">IF(AK$8="","",AJ165)</f>
        <v/>
      </c>
      <c r="AL165" s="29" t="str">
        <f t="shared" si="2162"/>
        <v/>
      </c>
      <c r="AM165" s="29" t="str">
        <f t="shared" si="2163"/>
        <v/>
      </c>
      <c r="AN165" s="29" t="str">
        <f t="shared" si="2164"/>
        <v/>
      </c>
      <c r="AO165" s="29" t="str">
        <f t="shared" ref="AO165:AS165" si="2170">IF(AO$8="","",AN165)</f>
        <v/>
      </c>
      <c r="AP165" s="29" t="str">
        <f t="shared" si="2170"/>
        <v/>
      </c>
      <c r="AQ165" s="29" t="str">
        <f t="shared" si="2170"/>
        <v/>
      </c>
      <c r="AR165" s="29" t="str">
        <f t="shared" si="2170"/>
        <v/>
      </c>
      <c r="AS165" s="29" t="str">
        <f t="shared" si="2170"/>
        <v/>
      </c>
    </row>
    <row r="166" spans="1:45" x14ac:dyDescent="0.15">
      <c r="A166" s="15">
        <v>2</v>
      </c>
      <c r="B166" s="30" t="s">
        <v>5</v>
      </c>
      <c r="C166" s="29">
        <v>8</v>
      </c>
      <c r="D166" s="29">
        <v>8</v>
      </c>
      <c r="E166" s="29">
        <v>7</v>
      </c>
      <c r="F166" s="29">
        <v>17</v>
      </c>
      <c r="G166" s="29">
        <v>17</v>
      </c>
      <c r="H166" s="29">
        <v>17</v>
      </c>
      <c r="I166" s="29">
        <v>17</v>
      </c>
      <c r="J166" s="29">
        <f>IF(J$8="","",(I166+I167))</f>
        <v>17</v>
      </c>
      <c r="K166" s="29">
        <f t="shared" ref="K166" si="2171">IF(K$8="","",(J166+J167))</f>
        <v>17</v>
      </c>
      <c r="L166" s="29">
        <v>16</v>
      </c>
      <c r="M166" s="29" t="str">
        <f>IF(M$8="","",(L166+L167))</f>
        <v/>
      </c>
      <c r="N166" s="29" t="str">
        <f t="shared" ref="N166" si="2172">IF(N$8="","",(M166+M167))</f>
        <v/>
      </c>
      <c r="O166" s="29" t="str">
        <f t="shared" ref="O166" si="2173">IF(O$8="","",(N166+N167))</f>
        <v/>
      </c>
      <c r="P166" s="29" t="str">
        <f>IF(P$8="","",(O166+O167))</f>
        <v/>
      </c>
      <c r="Q166" s="29" t="str">
        <f t="shared" ref="Q166" si="2174">IF(Q$8="","",(P166+P167))</f>
        <v/>
      </c>
      <c r="R166" s="29" t="str">
        <f t="shared" ref="R166" si="2175">IF(R$8="","",(Q166+Q167))</f>
        <v/>
      </c>
      <c r="S166" s="29" t="str">
        <f>IF(S$8="","",(R166+R167))</f>
        <v/>
      </c>
      <c r="T166" s="29" t="str">
        <f>IF(T$8="","",(S166+S167))</f>
        <v/>
      </c>
      <c r="U166" s="29" t="str">
        <f t="shared" ref="U166" si="2176">IF(U$8="","",(T166+T167))</f>
        <v/>
      </c>
      <c r="V166" s="29" t="str">
        <f t="shared" ref="V166" si="2177">IF(V$8="","",(U166+U167))</f>
        <v/>
      </c>
      <c r="W166" s="29" t="str">
        <f>IF(W$8="","",(V166+V167))</f>
        <v/>
      </c>
      <c r="X166" s="29" t="str">
        <f t="shared" ref="X166" si="2178">IF(X$8="","",(W166+W167))</f>
        <v/>
      </c>
      <c r="Y166" s="29" t="str">
        <f t="shared" ref="Y166" si="2179">IF(Y$8="","",(X166+X167))</f>
        <v/>
      </c>
      <c r="Z166" s="29" t="str">
        <f>IF(Z$8="","",(Y166+Y167))</f>
        <v/>
      </c>
      <c r="AA166" s="29" t="str">
        <f t="shared" ref="AA166" si="2180">IF(AA$8="","",(Z166+Z167))</f>
        <v/>
      </c>
      <c r="AB166" s="29" t="str">
        <f t="shared" ref="AB166" si="2181">IF(AB$8="","",(AA166+AA167))</f>
        <v/>
      </c>
      <c r="AC166" s="29" t="str">
        <f t="shared" ref="AC166" si="2182">IF(AC$8="","",(AB166+AB167))</f>
        <v/>
      </c>
      <c r="AD166" s="29" t="str">
        <f t="shared" ref="AD166" si="2183">IF(AD$8="","",(AC166+AC167))</f>
        <v/>
      </c>
      <c r="AE166" s="29" t="str">
        <f>IF(AE$8="","",(AD166+AD167))</f>
        <v/>
      </c>
      <c r="AF166" s="29" t="str">
        <f t="shared" ref="AF166" si="2184">IF(AF$8="","",(AE166+AE167))</f>
        <v/>
      </c>
      <c r="AG166" s="29" t="str">
        <f>IF(AG$8="","",(AF166+AF167))</f>
        <v/>
      </c>
      <c r="AH166" s="29" t="str">
        <f t="shared" ref="AH166" si="2185">IF(AH$8="","",(AG166+AG167))</f>
        <v/>
      </c>
      <c r="AI166" s="29" t="str">
        <f t="shared" ref="AI166" si="2186">IF(AI$8="","",(AH166+AH167))</f>
        <v/>
      </c>
      <c r="AJ166" s="29" t="str">
        <f t="shared" ref="AJ166" si="2187">IF(AJ$8="","",(AI166+AI167))</f>
        <v/>
      </c>
      <c r="AK166" s="29" t="str">
        <f t="shared" ref="AK166" si="2188">IF(AK$8="","",(AJ166+AJ167))</f>
        <v/>
      </c>
      <c r="AL166" s="29" t="str">
        <f t="shared" ref="AL166" si="2189">IF(AL$8="","",(AK166+AK167))</f>
        <v/>
      </c>
      <c r="AM166" s="29" t="str">
        <f t="shared" ref="AM166" si="2190">IF(AM$8="","",(AL166+AL167))</f>
        <v/>
      </c>
      <c r="AN166" s="29" t="str">
        <f t="shared" ref="AN166" si="2191">IF(AN$8="","",(AM166+AM167))</f>
        <v/>
      </c>
      <c r="AO166" s="29" t="str">
        <f t="shared" ref="AO166:AS166" si="2192">IF(AO$8="","",(AN166+AN167))</f>
        <v/>
      </c>
      <c r="AP166" s="29" t="str">
        <f t="shared" si="2192"/>
        <v/>
      </c>
      <c r="AQ166" s="29" t="str">
        <f t="shared" si="2192"/>
        <v/>
      </c>
      <c r="AR166" s="29" t="str">
        <f t="shared" si="2192"/>
        <v/>
      </c>
      <c r="AS166" s="29" t="str">
        <f t="shared" si="2192"/>
        <v/>
      </c>
    </row>
    <row r="167" spans="1:45" x14ac:dyDescent="0.15">
      <c r="A167" s="14"/>
      <c r="B167" s="30" t="s">
        <v>7</v>
      </c>
      <c r="C167" s="29"/>
      <c r="D167" s="29"/>
      <c r="E167" s="29">
        <v>10</v>
      </c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</row>
    <row r="168" spans="1:45" x14ac:dyDescent="0.15">
      <c r="A168" s="7"/>
      <c r="B168" s="30" t="s">
        <v>8</v>
      </c>
      <c r="C168" s="35">
        <v>750</v>
      </c>
      <c r="D168" s="35">
        <v>750</v>
      </c>
      <c r="E168" s="35">
        <v>750</v>
      </c>
      <c r="F168" s="35">
        <v>750</v>
      </c>
      <c r="G168" s="35">
        <v>750</v>
      </c>
      <c r="H168" s="35">
        <v>750</v>
      </c>
      <c r="I168" s="35">
        <v>750</v>
      </c>
      <c r="J168" s="35">
        <f t="shared" ref="J168:J169" si="2193">IF(J$8="","",I168)</f>
        <v>750</v>
      </c>
      <c r="K168" s="35">
        <f t="shared" ref="K168:K169" si="2194">IF(K$8="","",J168)</f>
        <v>750</v>
      </c>
      <c r="L168" s="35">
        <f t="shared" ref="L168:L169" si="2195">IF(L$8="","",K168)</f>
        <v>750</v>
      </c>
      <c r="M168" s="35" t="str">
        <f t="shared" ref="M168:M169" si="2196">IF(M$8="","",L168)</f>
        <v/>
      </c>
      <c r="N168" s="35" t="str">
        <f t="shared" ref="N168:N169" si="2197">IF(N$8="","",M168)</f>
        <v/>
      </c>
      <c r="O168" s="35" t="str">
        <f t="shared" ref="O168:O169" si="2198">IF(O$8="","",N168)</f>
        <v/>
      </c>
      <c r="P168" s="35" t="str">
        <f t="shared" ref="P168:P169" si="2199">IF(P$8="","",O168)</f>
        <v/>
      </c>
      <c r="Q168" s="35" t="str">
        <f t="shared" ref="Q168:Q169" si="2200">IF(Q$8="","",P168)</f>
        <v/>
      </c>
      <c r="R168" s="35" t="str">
        <f t="shared" ref="R168:R169" si="2201">IF(R$8="","",Q168)</f>
        <v/>
      </c>
      <c r="S168" s="35" t="str">
        <f t="shared" ref="S168:S169" si="2202">IF(S$8="","",R168)</f>
        <v/>
      </c>
      <c r="T168" s="35" t="str">
        <f t="shared" ref="T168:T169" si="2203">IF(T$8="","",S168)</f>
        <v/>
      </c>
      <c r="U168" s="35" t="str">
        <f t="shared" ref="U168:U169" si="2204">IF(U$8="","",T168)</f>
        <v/>
      </c>
      <c r="V168" s="35" t="str">
        <f t="shared" ref="V168:V169" si="2205">IF(V$8="","",U168)</f>
        <v/>
      </c>
      <c r="W168" s="35" t="str">
        <f t="shared" ref="W168:W169" si="2206">IF(W$8="","",V168)</f>
        <v/>
      </c>
      <c r="X168" s="35" t="str">
        <f t="shared" ref="X168:X169" si="2207">IF(X$8="","",W168)</f>
        <v/>
      </c>
      <c r="Y168" s="35" t="str">
        <f t="shared" ref="Y168:Y169" si="2208">IF(Y$8="","",X168)</f>
        <v/>
      </c>
      <c r="Z168" s="35" t="str">
        <f t="shared" ref="Z168:Z169" si="2209">IF(Z$8="","",Y168)</f>
        <v/>
      </c>
      <c r="AA168" s="35" t="str">
        <f t="shared" ref="AA168:AA169" si="2210">IF(AA$8="","",Z168)</f>
        <v/>
      </c>
      <c r="AB168" s="35" t="str">
        <f t="shared" ref="AB168:AB169" si="2211">IF(AB$8="","",AA168)</f>
        <v/>
      </c>
      <c r="AC168" s="35" t="str">
        <f t="shared" ref="AC168:AC169" si="2212">IF(AC$8="","",AB168)</f>
        <v/>
      </c>
      <c r="AD168" s="35" t="str">
        <f t="shared" ref="AD168:AD169" si="2213">IF(AD$8="","",AC168)</f>
        <v/>
      </c>
      <c r="AE168" s="35" t="str">
        <f t="shared" ref="AE168:AE169" si="2214">IF(AE$8="","",AD168)</f>
        <v/>
      </c>
      <c r="AF168" s="35" t="str">
        <f t="shared" ref="AF168:AF169" si="2215">IF(AF$8="","",AE168)</f>
        <v/>
      </c>
      <c r="AG168" s="35" t="str">
        <f t="shared" ref="AG168:AG169" si="2216">IF(AG$8="","",AF168)</f>
        <v/>
      </c>
      <c r="AH168" s="35" t="str">
        <f t="shared" ref="AH168:AH169" si="2217">IF(AH$8="","",AG168)</f>
        <v/>
      </c>
      <c r="AI168" s="35" t="str">
        <f t="shared" ref="AI168:AI169" si="2218">IF(AI$8="","",AH168)</f>
        <v/>
      </c>
      <c r="AJ168" s="35" t="str">
        <f t="shared" ref="AJ168:AJ169" si="2219">IF(AJ$8="","",AI168)</f>
        <v/>
      </c>
      <c r="AK168" s="35" t="str">
        <f t="shared" ref="AK168:AK169" si="2220">IF(AK$8="","",AJ168)</f>
        <v/>
      </c>
      <c r="AL168" s="35" t="str">
        <f t="shared" ref="AL168:AL169" si="2221">IF(AL$8="","",AK168)</f>
        <v/>
      </c>
      <c r="AM168" s="35" t="str">
        <f t="shared" ref="AM168:AM169" si="2222">IF(AM$8="","",AL168)</f>
        <v/>
      </c>
      <c r="AN168" s="35" t="str">
        <f t="shared" ref="AN168:AN169" si="2223">IF(AN$8="","",AM168)</f>
        <v/>
      </c>
      <c r="AO168" s="35" t="str">
        <f t="shared" ref="AO168:AS168" si="2224">IF(AO$8="","",AN168)</f>
        <v/>
      </c>
      <c r="AP168" s="35" t="str">
        <f t="shared" si="2224"/>
        <v/>
      </c>
      <c r="AQ168" s="35" t="str">
        <f t="shared" si="2224"/>
        <v/>
      </c>
      <c r="AR168" s="35" t="str">
        <f t="shared" si="2224"/>
        <v/>
      </c>
      <c r="AS168" s="35" t="str">
        <f t="shared" si="2224"/>
        <v/>
      </c>
    </row>
    <row r="169" spans="1:45" s="85" customFormat="1" x14ac:dyDescent="0.15">
      <c r="A169" s="14" t="s">
        <v>9</v>
      </c>
      <c r="B169" s="33" t="s">
        <v>10</v>
      </c>
      <c r="C169" s="32" t="s">
        <v>69</v>
      </c>
      <c r="D169" s="32" t="s">
        <v>69</v>
      </c>
      <c r="E169" s="32" t="s">
        <v>69</v>
      </c>
      <c r="F169" s="32" t="s">
        <v>69</v>
      </c>
      <c r="G169" s="32" t="s">
        <v>69</v>
      </c>
      <c r="H169" s="32" t="s">
        <v>69</v>
      </c>
      <c r="I169" s="32" t="s">
        <v>69</v>
      </c>
      <c r="J169" s="32" t="str">
        <f t="shared" si="2193"/>
        <v>バタースクイーズ</v>
      </c>
      <c r="K169" s="32" t="str">
        <f t="shared" si="2194"/>
        <v>バタースクイーズ</v>
      </c>
      <c r="L169" s="32" t="str">
        <f t="shared" si="2195"/>
        <v>バタースクイーズ</v>
      </c>
      <c r="M169" s="32" t="str">
        <f t="shared" si="2196"/>
        <v/>
      </c>
      <c r="N169" s="32" t="str">
        <f t="shared" si="2197"/>
        <v/>
      </c>
      <c r="O169" s="32" t="str">
        <f t="shared" si="2198"/>
        <v/>
      </c>
      <c r="P169" s="32" t="str">
        <f t="shared" si="2199"/>
        <v/>
      </c>
      <c r="Q169" s="32" t="str">
        <f t="shared" si="2200"/>
        <v/>
      </c>
      <c r="R169" s="32" t="str">
        <f t="shared" si="2201"/>
        <v/>
      </c>
      <c r="S169" s="32" t="str">
        <f t="shared" si="2202"/>
        <v/>
      </c>
      <c r="T169" s="32" t="str">
        <f t="shared" si="2203"/>
        <v/>
      </c>
      <c r="U169" s="32" t="str">
        <f t="shared" si="2204"/>
        <v/>
      </c>
      <c r="V169" s="32" t="str">
        <f t="shared" si="2205"/>
        <v/>
      </c>
      <c r="W169" s="32" t="str">
        <f t="shared" si="2206"/>
        <v/>
      </c>
      <c r="X169" s="32" t="str">
        <f t="shared" si="2207"/>
        <v/>
      </c>
      <c r="Y169" s="32" t="str">
        <f t="shared" si="2208"/>
        <v/>
      </c>
      <c r="Z169" s="32" t="str">
        <f t="shared" si="2209"/>
        <v/>
      </c>
      <c r="AA169" s="32" t="str">
        <f t="shared" si="2210"/>
        <v/>
      </c>
      <c r="AB169" s="32" t="str">
        <f t="shared" si="2211"/>
        <v/>
      </c>
      <c r="AC169" s="32" t="str">
        <f t="shared" si="2212"/>
        <v/>
      </c>
      <c r="AD169" s="32" t="str">
        <f t="shared" si="2213"/>
        <v/>
      </c>
      <c r="AE169" s="32" t="str">
        <f t="shared" si="2214"/>
        <v/>
      </c>
      <c r="AF169" s="32" t="str">
        <f t="shared" si="2215"/>
        <v/>
      </c>
      <c r="AG169" s="32" t="str">
        <f t="shared" si="2216"/>
        <v/>
      </c>
      <c r="AH169" s="32" t="str">
        <f t="shared" si="2217"/>
        <v/>
      </c>
      <c r="AI169" s="32" t="str">
        <f t="shared" si="2218"/>
        <v/>
      </c>
      <c r="AJ169" s="32" t="str">
        <f t="shared" si="2219"/>
        <v/>
      </c>
      <c r="AK169" s="32" t="str">
        <f t="shared" si="2220"/>
        <v/>
      </c>
      <c r="AL169" s="32" t="str">
        <f t="shared" si="2221"/>
        <v/>
      </c>
      <c r="AM169" s="32" t="str">
        <f t="shared" si="2222"/>
        <v/>
      </c>
      <c r="AN169" s="32" t="str">
        <f t="shared" si="2223"/>
        <v/>
      </c>
      <c r="AO169" s="32" t="str">
        <f t="shared" ref="AO169:AS169" si="2225">IF(AO$8="","",AN169)</f>
        <v/>
      </c>
      <c r="AP169" s="32" t="str">
        <f t="shared" si="2225"/>
        <v/>
      </c>
      <c r="AQ169" s="32" t="str">
        <f t="shared" si="2225"/>
        <v/>
      </c>
      <c r="AR169" s="32" t="str">
        <f t="shared" si="2225"/>
        <v/>
      </c>
      <c r="AS169" s="32" t="str">
        <f t="shared" si="2225"/>
        <v/>
      </c>
    </row>
    <row r="170" spans="1:45" x14ac:dyDescent="0.15">
      <c r="A170" s="7">
        <f>AVERAGE(C171:AS171)*30*100</f>
        <v>43200</v>
      </c>
      <c r="B170" s="30" t="s">
        <v>12</v>
      </c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</row>
    <row r="171" spans="1:45" x14ac:dyDescent="0.15">
      <c r="A171" s="7">
        <f>SUM(C171:AS171)</f>
        <v>144</v>
      </c>
      <c r="B171" s="27" t="s">
        <v>13</v>
      </c>
      <c r="C171" s="26">
        <v>0</v>
      </c>
      <c r="D171" s="26">
        <v>0</v>
      </c>
      <c r="E171" s="26">
        <v>42</v>
      </c>
      <c r="F171" s="26">
        <v>0</v>
      </c>
      <c r="G171" s="26">
        <v>0</v>
      </c>
      <c r="H171" s="26">
        <v>0</v>
      </c>
      <c r="I171" s="26">
        <v>34</v>
      </c>
      <c r="J171" s="26">
        <f t="shared" ref="J171:J172" si="2226">IF(J$8="","",J164-I164)</f>
        <v>0</v>
      </c>
      <c r="K171" s="26">
        <f t="shared" ref="K171:K172" si="2227">IF(K$8="","",K164-J164)</f>
        <v>0</v>
      </c>
      <c r="L171" s="26">
        <f t="shared" ref="L171:L172" si="2228">IF(L$8="","",L164-K164)</f>
        <v>68</v>
      </c>
      <c r="M171" s="26" t="str">
        <f t="shared" ref="M171:M172" si="2229">IF(M$8="","",M164-L164)</f>
        <v/>
      </c>
      <c r="N171" s="26" t="str">
        <f t="shared" ref="N171:N172" si="2230">IF(N$8="","",N164-M164)</f>
        <v/>
      </c>
      <c r="O171" s="26" t="str">
        <f t="shared" ref="O171:O172" si="2231">IF(O$8="","",O164-N164)</f>
        <v/>
      </c>
      <c r="P171" s="26" t="str">
        <f t="shared" ref="P171:P172" si="2232">IF(P$8="","",P164-O164)</f>
        <v/>
      </c>
      <c r="Q171" s="26" t="str">
        <f t="shared" ref="Q171:Q172" si="2233">IF(Q$8="","",Q164-P164)</f>
        <v/>
      </c>
      <c r="R171" s="26" t="str">
        <f t="shared" ref="R171:R172" si="2234">IF(R$8="","",R164-Q164)</f>
        <v/>
      </c>
      <c r="S171" s="26" t="str">
        <f t="shared" ref="S171:S172" si="2235">IF(S$8="","",S164-R164)</f>
        <v/>
      </c>
      <c r="T171" s="26" t="str">
        <f t="shared" ref="T171:T172" si="2236">IF(T$8="","",T164-S164)</f>
        <v/>
      </c>
      <c r="U171" s="26" t="str">
        <f t="shared" ref="U171:U172" si="2237">IF(U$8="","",U164-T164)</f>
        <v/>
      </c>
      <c r="V171" s="26" t="str">
        <f t="shared" ref="V171:V172" si="2238">IF(V$8="","",V164-U164)</f>
        <v/>
      </c>
      <c r="W171" s="26" t="str">
        <f t="shared" ref="W171:W172" si="2239">IF(W$8="","",W164-V164)</f>
        <v/>
      </c>
      <c r="X171" s="26" t="str">
        <f t="shared" ref="X171:X172" si="2240">IF(X$8="","",X164-W164)</f>
        <v/>
      </c>
      <c r="Y171" s="26" t="str">
        <f t="shared" ref="Y171:Y172" si="2241">IF(Y$8="","",Y164-X164)</f>
        <v/>
      </c>
      <c r="Z171" s="26" t="str">
        <f t="shared" ref="Z171:Z172" si="2242">IF(Z$8="","",Z164-Y164)</f>
        <v/>
      </c>
      <c r="AA171" s="26" t="str">
        <f t="shared" ref="AA171:AA172" si="2243">IF(AA$8="","",AA164-Z164)</f>
        <v/>
      </c>
      <c r="AB171" s="26" t="str">
        <f t="shared" ref="AB171:AB172" si="2244">IF(AB$8="","",AB164-AA164)</f>
        <v/>
      </c>
      <c r="AC171" s="26" t="str">
        <f t="shared" ref="AC171:AC172" si="2245">IF(AC$8="","",AC164-AB164)</f>
        <v/>
      </c>
      <c r="AD171" s="26" t="str">
        <f t="shared" ref="AD171:AD172" si="2246">IF(AD$8="","",AD164-AC164)</f>
        <v/>
      </c>
      <c r="AE171" s="26" t="str">
        <f t="shared" ref="AE171:AE172" si="2247">IF(AE$8="","",AE164-AD164)</f>
        <v/>
      </c>
      <c r="AF171" s="26" t="str">
        <f t="shared" ref="AF171:AF172" si="2248">IF(AF$8="","",AF164-AE164)</f>
        <v/>
      </c>
      <c r="AG171" s="26" t="str">
        <f t="shared" ref="AG171:AG172" si="2249">IF(AG$8="","",AG164-AF164)</f>
        <v/>
      </c>
      <c r="AH171" s="26" t="str">
        <f t="shared" ref="AH171:AH172" si="2250">IF(AH$8="","",AH164-AG164)</f>
        <v/>
      </c>
      <c r="AI171" s="26" t="str">
        <f t="shared" ref="AI171:AI172" si="2251">IF(AI$8="","",AI164-AH164)</f>
        <v/>
      </c>
      <c r="AJ171" s="26" t="str">
        <f t="shared" ref="AJ171:AJ172" si="2252">IF(AJ$8="","",AJ164-AI164)</f>
        <v/>
      </c>
      <c r="AK171" s="26" t="str">
        <f t="shared" ref="AK171:AK172" si="2253">IF(AK$8="","",AK164-AJ164)</f>
        <v/>
      </c>
      <c r="AL171" s="26" t="str">
        <f t="shared" ref="AL171:AL172" si="2254">IF(AL$8="","",AL164-AK164)</f>
        <v/>
      </c>
      <c r="AM171" s="26" t="str">
        <f t="shared" ref="AM171:AM172" si="2255">IF(AM$8="","",AM164-AL164)</f>
        <v/>
      </c>
      <c r="AN171" s="26" t="str">
        <f t="shared" ref="AN171:AN172" si="2256">IF(AN$8="","",AN164-AM164)</f>
        <v/>
      </c>
      <c r="AO171" s="26" t="str">
        <f t="shared" ref="AO171:AS171" si="2257">IF(AO$8="","",AO164-AN164)</f>
        <v/>
      </c>
      <c r="AP171" s="26" t="str">
        <f t="shared" si="2257"/>
        <v/>
      </c>
      <c r="AQ171" s="26" t="str">
        <f t="shared" si="2257"/>
        <v/>
      </c>
      <c r="AR171" s="26" t="str">
        <f t="shared" si="2257"/>
        <v/>
      </c>
      <c r="AS171" s="26" t="str">
        <f t="shared" si="2257"/>
        <v/>
      </c>
    </row>
    <row r="172" spans="1:45" x14ac:dyDescent="0.15">
      <c r="A172" s="7">
        <f>SUM(C172:AS172)</f>
        <v>2</v>
      </c>
      <c r="B172" s="27" t="s">
        <v>14</v>
      </c>
      <c r="C172" s="26">
        <v>0</v>
      </c>
      <c r="D172" s="26">
        <v>0</v>
      </c>
      <c r="E172" s="26">
        <v>1</v>
      </c>
      <c r="F172" s="26">
        <v>0</v>
      </c>
      <c r="G172" s="26">
        <v>0</v>
      </c>
      <c r="H172" s="26">
        <v>0</v>
      </c>
      <c r="I172" s="26">
        <v>0</v>
      </c>
      <c r="J172" s="26">
        <f t="shared" si="2226"/>
        <v>0</v>
      </c>
      <c r="K172" s="26">
        <f t="shared" si="2227"/>
        <v>0</v>
      </c>
      <c r="L172" s="26">
        <f t="shared" si="2228"/>
        <v>1</v>
      </c>
      <c r="M172" s="26" t="str">
        <f t="shared" si="2229"/>
        <v/>
      </c>
      <c r="N172" s="26" t="str">
        <f t="shared" si="2230"/>
        <v/>
      </c>
      <c r="O172" s="26" t="str">
        <f t="shared" si="2231"/>
        <v/>
      </c>
      <c r="P172" s="26" t="str">
        <f t="shared" si="2232"/>
        <v/>
      </c>
      <c r="Q172" s="26" t="str">
        <f t="shared" si="2233"/>
        <v/>
      </c>
      <c r="R172" s="26" t="str">
        <f t="shared" si="2234"/>
        <v/>
      </c>
      <c r="S172" s="26" t="str">
        <f t="shared" si="2235"/>
        <v/>
      </c>
      <c r="T172" s="26" t="str">
        <f t="shared" si="2236"/>
        <v/>
      </c>
      <c r="U172" s="26" t="str">
        <f t="shared" si="2237"/>
        <v/>
      </c>
      <c r="V172" s="26" t="str">
        <f t="shared" si="2238"/>
        <v/>
      </c>
      <c r="W172" s="26" t="str">
        <f t="shared" si="2239"/>
        <v/>
      </c>
      <c r="X172" s="26" t="str">
        <f t="shared" si="2240"/>
        <v/>
      </c>
      <c r="Y172" s="26" t="str">
        <f t="shared" si="2241"/>
        <v/>
      </c>
      <c r="Z172" s="26" t="str">
        <f t="shared" si="2242"/>
        <v/>
      </c>
      <c r="AA172" s="26" t="str">
        <f t="shared" si="2243"/>
        <v/>
      </c>
      <c r="AB172" s="26" t="str">
        <f t="shared" si="2244"/>
        <v/>
      </c>
      <c r="AC172" s="26" t="str">
        <f t="shared" si="2245"/>
        <v/>
      </c>
      <c r="AD172" s="26" t="str">
        <f t="shared" si="2246"/>
        <v/>
      </c>
      <c r="AE172" s="26" t="str">
        <f t="shared" si="2247"/>
        <v/>
      </c>
      <c r="AF172" s="26" t="str">
        <f t="shared" si="2248"/>
        <v/>
      </c>
      <c r="AG172" s="26" t="str">
        <f t="shared" si="2249"/>
        <v/>
      </c>
      <c r="AH172" s="26" t="str">
        <f t="shared" si="2250"/>
        <v/>
      </c>
      <c r="AI172" s="26" t="str">
        <f t="shared" si="2251"/>
        <v/>
      </c>
      <c r="AJ172" s="26" t="str">
        <f t="shared" si="2252"/>
        <v/>
      </c>
      <c r="AK172" s="26" t="str">
        <f t="shared" si="2253"/>
        <v/>
      </c>
      <c r="AL172" s="26" t="str">
        <f t="shared" si="2254"/>
        <v/>
      </c>
      <c r="AM172" s="26" t="str">
        <f t="shared" si="2255"/>
        <v/>
      </c>
      <c r="AN172" s="26" t="str">
        <f t="shared" si="2256"/>
        <v/>
      </c>
      <c r="AO172" s="26" t="str">
        <f t="shared" ref="AO172:AS172" si="2258">IF(AO$8="","",AO165-AN165)</f>
        <v/>
      </c>
      <c r="AP172" s="26" t="str">
        <f t="shared" si="2258"/>
        <v/>
      </c>
      <c r="AQ172" s="26" t="str">
        <f t="shared" si="2258"/>
        <v/>
      </c>
      <c r="AR172" s="26" t="str">
        <f t="shared" si="2258"/>
        <v/>
      </c>
      <c r="AS172" s="26" t="str">
        <f t="shared" si="2258"/>
        <v/>
      </c>
    </row>
    <row r="173" spans="1:45" x14ac:dyDescent="0.15">
      <c r="A173" s="7">
        <f>SUM(C173:AS173)</f>
        <v>2</v>
      </c>
      <c r="B173" s="27" t="s">
        <v>15</v>
      </c>
      <c r="C173" s="26">
        <v>0</v>
      </c>
      <c r="D173" s="26">
        <v>0</v>
      </c>
      <c r="E173" s="26">
        <v>1</v>
      </c>
      <c r="F173" s="26">
        <v>0</v>
      </c>
      <c r="G173" s="26">
        <v>0</v>
      </c>
      <c r="H173" s="26">
        <v>0</v>
      </c>
      <c r="I173" s="26">
        <v>0</v>
      </c>
      <c r="J173" s="26">
        <f t="shared" ref="J173" si="2259">IF(J$8="","",I166+I167-J166)</f>
        <v>0</v>
      </c>
      <c r="K173" s="26">
        <f t="shared" ref="K173" si="2260">IF(K$8="","",J166+J167-K166)</f>
        <v>0</v>
      </c>
      <c r="L173" s="26">
        <f t="shared" ref="L173" si="2261">IF(L$8="","",K166+K167-L166)</f>
        <v>1</v>
      </c>
      <c r="M173" s="26" t="str">
        <f t="shared" ref="M173" si="2262">IF(M$8="","",L166+L167-M166)</f>
        <v/>
      </c>
      <c r="N173" s="26" t="str">
        <f t="shared" ref="N173" si="2263">IF(N$8="","",M166+M167-N166)</f>
        <v/>
      </c>
      <c r="O173" s="26" t="str">
        <f t="shared" ref="O173" si="2264">IF(O$8="","",N166+N167-O166)</f>
        <v/>
      </c>
      <c r="P173" s="26" t="str">
        <f t="shared" ref="P173" si="2265">IF(P$8="","",O166+O167-P166)</f>
        <v/>
      </c>
      <c r="Q173" s="26" t="str">
        <f t="shared" ref="Q173" si="2266">IF(Q$8="","",P166+P167-Q166)</f>
        <v/>
      </c>
      <c r="R173" s="26" t="str">
        <f t="shared" ref="R173" si="2267">IF(R$8="","",Q166+Q167-R166)</f>
        <v/>
      </c>
      <c r="S173" s="26" t="str">
        <f t="shared" ref="S173" si="2268">IF(S$8="","",R166+R167-S166)</f>
        <v/>
      </c>
      <c r="T173" s="26" t="str">
        <f t="shared" ref="T173" si="2269">IF(T$8="","",S166+S167-T166)</f>
        <v/>
      </c>
      <c r="U173" s="26" t="str">
        <f t="shared" ref="U173" si="2270">IF(U$8="","",T166+T167-U166)</f>
        <v/>
      </c>
      <c r="V173" s="26" t="str">
        <f t="shared" ref="V173" si="2271">IF(V$8="","",U166+U167-V166)</f>
        <v/>
      </c>
      <c r="W173" s="26" t="str">
        <f t="shared" ref="W173" si="2272">IF(W$8="","",V166+V167-W166)</f>
        <v/>
      </c>
      <c r="X173" s="26" t="str">
        <f t="shared" ref="X173" si="2273">IF(X$8="","",W166+W167-X166)</f>
        <v/>
      </c>
      <c r="Y173" s="26" t="str">
        <f t="shared" ref="Y173" si="2274">IF(Y$8="","",X166+X167-Y166)</f>
        <v/>
      </c>
      <c r="Z173" s="26" t="str">
        <f t="shared" ref="Z173" si="2275">IF(Z$8="","",Y166+Y167-Z166)</f>
        <v/>
      </c>
      <c r="AA173" s="26" t="str">
        <f t="shared" ref="AA173" si="2276">IF(AA$8="","",Z166+Z167-AA166)</f>
        <v/>
      </c>
      <c r="AB173" s="26" t="str">
        <f t="shared" ref="AB173" si="2277">IF(AB$8="","",AA166+AA167-AB166)</f>
        <v/>
      </c>
      <c r="AC173" s="26" t="str">
        <f t="shared" ref="AC173" si="2278">IF(AC$8="","",AB166+AB167-AC166)</f>
        <v/>
      </c>
      <c r="AD173" s="26" t="str">
        <f t="shared" ref="AD173" si="2279">IF(AD$8="","",AC166+AC167-AD166)</f>
        <v/>
      </c>
      <c r="AE173" s="26" t="str">
        <f t="shared" ref="AE173" si="2280">IF(AE$8="","",AD166+AD167-AE166)</f>
        <v/>
      </c>
      <c r="AF173" s="26" t="str">
        <f t="shared" ref="AF173" si="2281">IF(AF$8="","",AE166+AE167-AF166)</f>
        <v/>
      </c>
      <c r="AG173" s="26" t="str">
        <f t="shared" ref="AG173" si="2282">IF(AG$8="","",AF166+AF167-AG166)</f>
        <v/>
      </c>
      <c r="AH173" s="26" t="str">
        <f t="shared" ref="AH173" si="2283">IF(AH$8="","",AG166+AG167-AH166)</f>
        <v/>
      </c>
      <c r="AI173" s="26" t="str">
        <f t="shared" ref="AI173" si="2284">IF(AI$8="","",AH166+AH167-AI166)</f>
        <v/>
      </c>
      <c r="AJ173" s="26" t="str">
        <f t="shared" ref="AJ173" si="2285">IF(AJ$8="","",AI166+AI167-AJ166)</f>
        <v/>
      </c>
      <c r="AK173" s="26" t="str">
        <f t="shared" ref="AK173" si="2286">IF(AK$8="","",AJ166+AJ167-AK166)</f>
        <v/>
      </c>
      <c r="AL173" s="26" t="str">
        <f t="shared" ref="AL173" si="2287">IF(AL$8="","",AK166+AK167-AL166)</f>
        <v/>
      </c>
      <c r="AM173" s="26" t="str">
        <f t="shared" ref="AM173" si="2288">IF(AM$8="","",AL166+AL167-AM166)</f>
        <v/>
      </c>
      <c r="AN173" s="26" t="str">
        <f t="shared" ref="AN173" si="2289">IF(AN$8="","",AM166+AM167-AN166)</f>
        <v/>
      </c>
      <c r="AO173" s="26" t="str">
        <f t="shared" ref="AO173:AS173" si="2290">IF(AO$8="","",AN166+AN167-AO166)</f>
        <v/>
      </c>
      <c r="AP173" s="26" t="str">
        <f t="shared" si="2290"/>
        <v/>
      </c>
      <c r="AQ173" s="26" t="str">
        <f t="shared" si="2290"/>
        <v/>
      </c>
      <c r="AR173" s="26" t="str">
        <f t="shared" si="2290"/>
        <v/>
      </c>
      <c r="AS173" s="26" t="str">
        <f t="shared" si="2290"/>
        <v/>
      </c>
    </row>
    <row r="174" spans="1:45" x14ac:dyDescent="0.15">
      <c r="A174" s="7">
        <f>SUM(C174:AS174)</f>
        <v>1500</v>
      </c>
      <c r="B174" s="27" t="s">
        <v>16</v>
      </c>
      <c r="C174" s="26">
        <v>0</v>
      </c>
      <c r="D174" s="26">
        <v>0</v>
      </c>
      <c r="E174" s="26">
        <v>750</v>
      </c>
      <c r="F174" s="26">
        <v>0</v>
      </c>
      <c r="G174" s="26">
        <v>0</v>
      </c>
      <c r="H174" s="26">
        <v>0</v>
      </c>
      <c r="I174" s="26">
        <v>0</v>
      </c>
      <c r="J174" s="26">
        <f t="shared" ref="H174:AM174" si="2291">IF(J$8="","",J173*J168)</f>
        <v>0</v>
      </c>
      <c r="K174" s="26">
        <f t="shared" si="2291"/>
        <v>0</v>
      </c>
      <c r="L174" s="26">
        <f t="shared" si="2291"/>
        <v>750</v>
      </c>
      <c r="M174" s="26" t="str">
        <f t="shared" si="2291"/>
        <v/>
      </c>
      <c r="N174" s="26" t="str">
        <f t="shared" si="2291"/>
        <v/>
      </c>
      <c r="O174" s="26" t="str">
        <f t="shared" si="2291"/>
        <v/>
      </c>
      <c r="P174" s="26" t="str">
        <f t="shared" si="2291"/>
        <v/>
      </c>
      <c r="Q174" s="26" t="str">
        <f t="shared" si="2291"/>
        <v/>
      </c>
      <c r="R174" s="26" t="str">
        <f t="shared" si="2291"/>
        <v/>
      </c>
      <c r="S174" s="26" t="str">
        <f t="shared" si="2291"/>
        <v/>
      </c>
      <c r="T174" s="26" t="str">
        <f t="shared" si="2291"/>
        <v/>
      </c>
      <c r="U174" s="26" t="str">
        <f t="shared" si="2291"/>
        <v/>
      </c>
      <c r="V174" s="26" t="str">
        <f t="shared" si="2291"/>
        <v/>
      </c>
      <c r="W174" s="26" t="str">
        <f t="shared" si="2291"/>
        <v/>
      </c>
      <c r="X174" s="26" t="str">
        <f t="shared" si="2291"/>
        <v/>
      </c>
      <c r="Y174" s="26" t="str">
        <f t="shared" si="2291"/>
        <v/>
      </c>
      <c r="Z174" s="26" t="str">
        <f t="shared" si="2291"/>
        <v/>
      </c>
      <c r="AA174" s="26" t="str">
        <f t="shared" si="2291"/>
        <v/>
      </c>
      <c r="AB174" s="26" t="str">
        <f t="shared" si="2291"/>
        <v/>
      </c>
      <c r="AC174" s="26" t="str">
        <f t="shared" si="2291"/>
        <v/>
      </c>
      <c r="AD174" s="26" t="str">
        <f t="shared" si="2291"/>
        <v/>
      </c>
      <c r="AE174" s="26" t="str">
        <f t="shared" si="2291"/>
        <v/>
      </c>
      <c r="AF174" s="26" t="str">
        <f t="shared" si="2291"/>
        <v/>
      </c>
      <c r="AG174" s="26" t="str">
        <f t="shared" si="2291"/>
        <v/>
      </c>
      <c r="AH174" s="26" t="str">
        <f t="shared" si="2291"/>
        <v/>
      </c>
      <c r="AI174" s="26" t="str">
        <f t="shared" si="2291"/>
        <v/>
      </c>
      <c r="AJ174" s="26" t="str">
        <f t="shared" si="2291"/>
        <v/>
      </c>
      <c r="AK174" s="26" t="str">
        <f t="shared" si="2291"/>
        <v/>
      </c>
      <c r="AL174" s="26" t="str">
        <f t="shared" si="2291"/>
        <v/>
      </c>
      <c r="AM174" s="26" t="str">
        <f t="shared" si="2291"/>
        <v/>
      </c>
      <c r="AN174" s="26" t="str">
        <f t="shared" ref="D174:AN174" si="2292">IF(AN$8="","",AN173*AN168)</f>
        <v/>
      </c>
      <c r="AO174" s="26" t="str">
        <f t="shared" ref="AO174:AS174" si="2293">IF(AO$8="","",AO173*AO168)</f>
        <v/>
      </c>
      <c r="AP174" s="26" t="str">
        <f t="shared" si="2293"/>
        <v/>
      </c>
      <c r="AQ174" s="26" t="str">
        <f t="shared" si="2293"/>
        <v/>
      </c>
      <c r="AR174" s="26" t="str">
        <f t="shared" si="2293"/>
        <v/>
      </c>
      <c r="AS174" s="26" t="str">
        <f t="shared" si="2293"/>
        <v/>
      </c>
    </row>
    <row r="175" spans="1:45" ht="12" thickBot="1" x14ac:dyDescent="0.2">
      <c r="A175" s="4">
        <f>IF(A174="","",A174/(A171*100))</f>
        <v>0.10416666666666667</v>
      </c>
      <c r="B175" s="27" t="s">
        <v>18</v>
      </c>
      <c r="C175" s="42" t="s">
        <v>19</v>
      </c>
      <c r="D175" s="42" t="s">
        <v>19</v>
      </c>
      <c r="E175" s="42">
        <v>0.17857142857142858</v>
      </c>
      <c r="F175" s="42" t="s">
        <v>19</v>
      </c>
      <c r="G175" s="42" t="s">
        <v>19</v>
      </c>
      <c r="H175" s="42" t="s">
        <v>19</v>
      </c>
      <c r="I175" s="42" t="s">
        <v>19</v>
      </c>
      <c r="J175" s="42" t="str">
        <f t="shared" ref="H175:AM175" si="2294">IF(J$8="","",IF(J174=0,"",J174/(J171*100)))</f>
        <v/>
      </c>
      <c r="K175" s="42" t="str">
        <f t="shared" si="2294"/>
        <v/>
      </c>
      <c r="L175" s="42">
        <f t="shared" si="2294"/>
        <v>0.11029411764705882</v>
      </c>
      <c r="M175" s="42" t="str">
        <f t="shared" si="2294"/>
        <v/>
      </c>
      <c r="N175" s="42" t="str">
        <f t="shared" si="2294"/>
        <v/>
      </c>
      <c r="O175" s="42" t="str">
        <f t="shared" si="2294"/>
        <v/>
      </c>
      <c r="P175" s="42" t="str">
        <f t="shared" si="2294"/>
        <v/>
      </c>
      <c r="Q175" s="42" t="str">
        <f t="shared" si="2294"/>
        <v/>
      </c>
      <c r="R175" s="42" t="str">
        <f t="shared" si="2294"/>
        <v/>
      </c>
      <c r="S175" s="42" t="str">
        <f t="shared" si="2294"/>
        <v/>
      </c>
      <c r="T175" s="42" t="str">
        <f t="shared" si="2294"/>
        <v/>
      </c>
      <c r="U175" s="42" t="str">
        <f t="shared" si="2294"/>
        <v/>
      </c>
      <c r="V175" s="42" t="str">
        <f t="shared" si="2294"/>
        <v/>
      </c>
      <c r="W175" s="42" t="str">
        <f t="shared" si="2294"/>
        <v/>
      </c>
      <c r="X175" s="42" t="str">
        <f t="shared" si="2294"/>
        <v/>
      </c>
      <c r="Y175" s="42" t="str">
        <f t="shared" si="2294"/>
        <v/>
      </c>
      <c r="Z175" s="42" t="str">
        <f t="shared" si="2294"/>
        <v/>
      </c>
      <c r="AA175" s="42" t="str">
        <f t="shared" si="2294"/>
        <v/>
      </c>
      <c r="AB175" s="42" t="str">
        <f t="shared" si="2294"/>
        <v/>
      </c>
      <c r="AC175" s="42" t="str">
        <f t="shared" si="2294"/>
        <v/>
      </c>
      <c r="AD175" s="42" t="str">
        <f t="shared" si="2294"/>
        <v/>
      </c>
      <c r="AE175" s="42" t="str">
        <f t="shared" si="2294"/>
        <v/>
      </c>
      <c r="AF175" s="42" t="str">
        <f t="shared" si="2294"/>
        <v/>
      </c>
      <c r="AG175" s="42" t="str">
        <f t="shared" si="2294"/>
        <v/>
      </c>
      <c r="AH175" s="42" t="str">
        <f t="shared" si="2294"/>
        <v/>
      </c>
      <c r="AI175" s="42" t="str">
        <f t="shared" si="2294"/>
        <v/>
      </c>
      <c r="AJ175" s="42" t="str">
        <f t="shared" si="2294"/>
        <v/>
      </c>
      <c r="AK175" s="42" t="str">
        <f t="shared" si="2294"/>
        <v/>
      </c>
      <c r="AL175" s="42" t="str">
        <f t="shared" si="2294"/>
        <v/>
      </c>
      <c r="AM175" s="42" t="str">
        <f t="shared" si="2294"/>
        <v/>
      </c>
      <c r="AN175" s="42" t="str">
        <f t="shared" ref="D175:AN175" si="2295">IF(AN$8="","",IF(AN174=0,"",AN174/(AN171*100)))</f>
        <v/>
      </c>
      <c r="AO175" s="42" t="str">
        <f t="shared" ref="AO175:AS175" si="2296">IF(AO$8="","",IF(AO174=0,"",AO174/(AO171*100)))</f>
        <v/>
      </c>
      <c r="AP175" s="42" t="str">
        <f t="shared" si="2296"/>
        <v/>
      </c>
      <c r="AQ175" s="42" t="str">
        <f t="shared" si="2296"/>
        <v/>
      </c>
      <c r="AR175" s="42" t="str">
        <f t="shared" si="2296"/>
        <v/>
      </c>
      <c r="AS175" s="42" t="str">
        <f t="shared" si="2296"/>
        <v/>
      </c>
    </row>
    <row r="176" spans="1:45" x14ac:dyDescent="0.15">
      <c r="A176" s="17" t="s">
        <v>1</v>
      </c>
      <c r="B176" s="41" t="s">
        <v>2</v>
      </c>
      <c r="C176" s="35">
        <v>7008</v>
      </c>
      <c r="D176" s="35">
        <v>7008</v>
      </c>
      <c r="E176" s="35">
        <v>7052</v>
      </c>
      <c r="F176" s="35">
        <v>7052</v>
      </c>
      <c r="G176" s="35">
        <v>7052</v>
      </c>
      <c r="H176" s="35">
        <v>7052</v>
      </c>
      <c r="I176" s="35">
        <v>7100</v>
      </c>
      <c r="J176" s="35">
        <f>IF(J$8="","",I176)</f>
        <v>7100</v>
      </c>
      <c r="K176" s="35">
        <f t="shared" ref="K176:K177" si="2297">IF(K$8="","",J176)</f>
        <v>7100</v>
      </c>
      <c r="L176" s="35">
        <v>7153</v>
      </c>
      <c r="M176" s="35" t="str">
        <f>IF(M$8="","",L176)</f>
        <v/>
      </c>
      <c r="N176" s="35" t="str">
        <f t="shared" ref="N176:N177" si="2298">IF(N$8="","",M176)</f>
        <v/>
      </c>
      <c r="O176" s="35" t="str">
        <f t="shared" ref="O176:O177" si="2299">IF(O$8="","",N176)</f>
        <v/>
      </c>
      <c r="P176" s="35" t="str">
        <f>IF(P$8="","",O176)</f>
        <v/>
      </c>
      <c r="Q176" s="35" t="str">
        <f>IF(Q$8="","",P176)</f>
        <v/>
      </c>
      <c r="R176" s="35" t="str">
        <f t="shared" ref="R176:R177" si="2300">IF(R$8="","",Q176)</f>
        <v/>
      </c>
      <c r="S176" s="35" t="str">
        <f>IF(S$8="","",R176)</f>
        <v/>
      </c>
      <c r="T176" s="35" t="str">
        <f>IF(T$8="","",S176)</f>
        <v/>
      </c>
      <c r="U176" s="35" t="str">
        <f t="shared" ref="U176:U177" si="2301">IF(U$8="","",T176)</f>
        <v/>
      </c>
      <c r="V176" s="35" t="str">
        <f t="shared" ref="V176:V177" si="2302">IF(V$8="","",U176)</f>
        <v/>
      </c>
      <c r="W176" s="35" t="str">
        <f>IF(W$8="","",V176)</f>
        <v/>
      </c>
      <c r="X176" s="35" t="str">
        <f>IF(X$8="","",W176)</f>
        <v/>
      </c>
      <c r="Y176" s="35" t="str">
        <f t="shared" ref="Y176:Y177" si="2303">IF(Y$8="","",X176)</f>
        <v/>
      </c>
      <c r="Z176" s="35" t="str">
        <f>IF(Z$8="","",Y176)</f>
        <v/>
      </c>
      <c r="AA176" s="35" t="str">
        <f>IF(AA$8="","",Z176)</f>
        <v/>
      </c>
      <c r="AB176" s="35" t="str">
        <f t="shared" ref="AB176:AB177" si="2304">IF(AB$8="","",AA176)</f>
        <v/>
      </c>
      <c r="AC176" s="35" t="str">
        <f t="shared" ref="AC176:AC177" si="2305">IF(AC$8="","",AB176)</f>
        <v/>
      </c>
      <c r="AD176" s="35" t="str">
        <f>IF(AD$8="","",AC176)</f>
        <v/>
      </c>
      <c r="AE176" s="35" t="str">
        <f>IF(AE$8="","",AD176)</f>
        <v/>
      </c>
      <c r="AF176" s="35" t="str">
        <f t="shared" ref="AF176:AF177" si="2306">IF(AF$8="","",AE176)</f>
        <v/>
      </c>
      <c r="AG176" s="35" t="str">
        <f>IF(AG$8="","",AF176)</f>
        <v/>
      </c>
      <c r="AH176" s="35" t="str">
        <f t="shared" ref="AH176:AH177" si="2307">IF(AH$8="","",AG176)</f>
        <v/>
      </c>
      <c r="AI176" s="35" t="str">
        <f t="shared" ref="AI176:AI177" si="2308">IF(AI$8="","",AH176)</f>
        <v/>
      </c>
      <c r="AJ176" s="35" t="str">
        <f t="shared" ref="AJ176:AJ177" si="2309">IF(AJ$8="","",AI176)</f>
        <v/>
      </c>
      <c r="AK176" s="35" t="str">
        <f>IF(AK$8="","",AJ176)</f>
        <v/>
      </c>
      <c r="AL176" s="35" t="str">
        <f t="shared" ref="AL176:AL177" si="2310">IF(AL$8="","",AK176)</f>
        <v/>
      </c>
      <c r="AM176" s="35" t="str">
        <f t="shared" ref="AM176:AM177" si="2311">IF(AM$8="","",AL176)</f>
        <v/>
      </c>
      <c r="AN176" s="35" t="str">
        <f t="shared" ref="AN176:AN177" si="2312">IF(AN$8="","",AM176)</f>
        <v/>
      </c>
      <c r="AO176" s="35" t="str">
        <f t="shared" ref="AO176:AS176" si="2313">IF(AO$8="","",AN176)</f>
        <v/>
      </c>
      <c r="AP176" s="35" t="str">
        <f t="shared" si="2313"/>
        <v/>
      </c>
      <c r="AQ176" s="35" t="str">
        <f t="shared" si="2313"/>
        <v/>
      </c>
      <c r="AR176" s="35" t="str">
        <f t="shared" si="2313"/>
        <v/>
      </c>
      <c r="AS176" s="35" t="str">
        <f t="shared" si="2313"/>
        <v/>
      </c>
    </row>
    <row r="177" spans="1:45" x14ac:dyDescent="0.15">
      <c r="A177" s="16" t="s">
        <v>32</v>
      </c>
      <c r="B177" s="30" t="s">
        <v>4</v>
      </c>
      <c r="C177" s="29">
        <v>108</v>
      </c>
      <c r="D177" s="29">
        <v>108</v>
      </c>
      <c r="E177" s="29">
        <v>109</v>
      </c>
      <c r="F177" s="29">
        <v>109</v>
      </c>
      <c r="G177" s="29">
        <v>109</v>
      </c>
      <c r="H177" s="29">
        <v>109</v>
      </c>
      <c r="I177" s="29">
        <v>109</v>
      </c>
      <c r="J177" s="29">
        <f t="shared" ref="J177" si="2314">IF(J$8="","",I177)</f>
        <v>109</v>
      </c>
      <c r="K177" s="29">
        <f t="shared" si="2297"/>
        <v>109</v>
      </c>
      <c r="L177" s="29">
        <v>110</v>
      </c>
      <c r="M177" s="29" t="str">
        <f>IF(M$8="","",L177)</f>
        <v/>
      </c>
      <c r="N177" s="29" t="str">
        <f t="shared" si="2298"/>
        <v/>
      </c>
      <c r="O177" s="29" t="str">
        <f t="shared" si="2299"/>
        <v/>
      </c>
      <c r="P177" s="29" t="str">
        <f t="shared" ref="P176:P177" si="2315">IF(P$8="","",O177)</f>
        <v/>
      </c>
      <c r="Q177" s="29" t="str">
        <f>IF(Q$8="","",P177)</f>
        <v/>
      </c>
      <c r="R177" s="29" t="str">
        <f t="shared" si="2300"/>
        <v/>
      </c>
      <c r="S177" s="29" t="str">
        <f t="shared" ref="S176:S177" si="2316">IF(S$8="","",R177)</f>
        <v/>
      </c>
      <c r="T177" s="29" t="str">
        <f>IF(T$8="","",S177)</f>
        <v/>
      </c>
      <c r="U177" s="29" t="str">
        <f t="shared" si="2301"/>
        <v/>
      </c>
      <c r="V177" s="29" t="str">
        <f t="shared" si="2302"/>
        <v/>
      </c>
      <c r="W177" s="29" t="str">
        <f>IF(W$8="","",V177)</f>
        <v/>
      </c>
      <c r="X177" s="29" t="str">
        <f t="shared" ref="X177" si="2317">IF(X$8="","",W177)</f>
        <v/>
      </c>
      <c r="Y177" s="29" t="str">
        <f t="shared" si="2303"/>
        <v/>
      </c>
      <c r="Z177" s="29" t="str">
        <f>IF(Z$8="","",Y177)</f>
        <v/>
      </c>
      <c r="AA177" s="29" t="str">
        <f>IF(AA$8="","",Z177)</f>
        <v/>
      </c>
      <c r="AB177" s="29" t="str">
        <f t="shared" si="2304"/>
        <v/>
      </c>
      <c r="AC177" s="29" t="str">
        <f t="shared" si="2305"/>
        <v/>
      </c>
      <c r="AD177" s="29" t="str">
        <f>IF(AD$8="","",AC177)</f>
        <v/>
      </c>
      <c r="AE177" s="29" t="str">
        <f t="shared" ref="AE177" si="2318">IF(AE$8="","",AD177)</f>
        <v/>
      </c>
      <c r="AF177" s="29" t="str">
        <f t="shared" si="2306"/>
        <v/>
      </c>
      <c r="AG177" s="29" t="str">
        <f>IF(AG$8="","",AF177)</f>
        <v/>
      </c>
      <c r="AH177" s="29" t="str">
        <f t="shared" si="2307"/>
        <v/>
      </c>
      <c r="AI177" s="29" t="str">
        <f t="shared" si="2308"/>
        <v/>
      </c>
      <c r="AJ177" s="29" t="str">
        <f t="shared" si="2309"/>
        <v/>
      </c>
      <c r="AK177" s="29" t="str">
        <f t="shared" ref="AK176:AK177" si="2319">IF(AK$8="","",AJ177)</f>
        <v/>
      </c>
      <c r="AL177" s="29" t="str">
        <f t="shared" si="2310"/>
        <v/>
      </c>
      <c r="AM177" s="29" t="str">
        <f t="shared" si="2311"/>
        <v/>
      </c>
      <c r="AN177" s="29" t="str">
        <f t="shared" si="2312"/>
        <v/>
      </c>
      <c r="AO177" s="29" t="str">
        <f t="shared" ref="AO177:AS177" si="2320">IF(AO$8="","",AN177)</f>
        <v/>
      </c>
      <c r="AP177" s="29" t="str">
        <f t="shared" si="2320"/>
        <v/>
      </c>
      <c r="AQ177" s="29" t="str">
        <f t="shared" si="2320"/>
        <v/>
      </c>
      <c r="AR177" s="29" t="str">
        <f t="shared" si="2320"/>
        <v/>
      </c>
      <c r="AS177" s="29" t="str">
        <f t="shared" si="2320"/>
        <v/>
      </c>
    </row>
    <row r="178" spans="1:45" x14ac:dyDescent="0.15">
      <c r="A178" s="15">
        <v>3</v>
      </c>
      <c r="B178" s="30" t="s">
        <v>5</v>
      </c>
      <c r="C178" s="29">
        <v>5</v>
      </c>
      <c r="D178" s="29">
        <v>5</v>
      </c>
      <c r="E178" s="29">
        <v>4</v>
      </c>
      <c r="F178" s="29">
        <v>8</v>
      </c>
      <c r="G178" s="29">
        <v>8</v>
      </c>
      <c r="H178" s="29">
        <v>8</v>
      </c>
      <c r="I178" s="29">
        <v>8</v>
      </c>
      <c r="J178" s="29">
        <f t="shared" ref="J178" si="2321">IF(J$8="","",(I178+I179))</f>
        <v>8</v>
      </c>
      <c r="K178" s="29">
        <f t="shared" ref="K178" si="2322">IF(K$8="","",(J178+J179))</f>
        <v>8</v>
      </c>
      <c r="L178" s="29">
        <v>7</v>
      </c>
      <c r="M178" s="29" t="str">
        <f>IF(M$8="","",(L178+L179))</f>
        <v/>
      </c>
      <c r="N178" s="29" t="str">
        <f t="shared" ref="N178" si="2323">IF(N$8="","",(M178+M179))</f>
        <v/>
      </c>
      <c r="O178" s="29" t="str">
        <f t="shared" ref="O178" si="2324">IF(O$8="","",(N178+N179))</f>
        <v/>
      </c>
      <c r="P178" s="29" t="str">
        <f t="shared" ref="P178" si="2325">IF(P$8="","",(O178+O179))</f>
        <v/>
      </c>
      <c r="Q178" s="29" t="str">
        <f>IF(Q$8="","",(P178+P179))</f>
        <v/>
      </c>
      <c r="R178" s="29" t="str">
        <f t="shared" ref="R178" si="2326">IF(R$8="","",(Q178+Q179))</f>
        <v/>
      </c>
      <c r="S178" s="29" t="str">
        <f t="shared" ref="S178" si="2327">IF(S$8="","",(R178+R179))</f>
        <v/>
      </c>
      <c r="T178" s="29" t="str">
        <f>IF(T$8="","",(S178+S179))</f>
        <v/>
      </c>
      <c r="U178" s="29" t="str">
        <f t="shared" ref="U178" si="2328">IF(U$8="","",(T178+T179))</f>
        <v/>
      </c>
      <c r="V178" s="29" t="str">
        <f t="shared" ref="V178" si="2329">IF(V$8="","",(U178+U179))</f>
        <v/>
      </c>
      <c r="W178" s="29" t="str">
        <f t="shared" ref="W178" si="2330">IF(W$8="","",(V178+V179))</f>
        <v/>
      </c>
      <c r="X178" s="29" t="str">
        <f t="shared" ref="X178" si="2331">IF(X$8="","",(W178+W179))</f>
        <v/>
      </c>
      <c r="Y178" s="29" t="str">
        <f t="shared" ref="Y178" si="2332">IF(Y$8="","",(X178+X179))</f>
        <v/>
      </c>
      <c r="Z178" s="29" t="str">
        <f>IF(Z$8="","",(Y178+Y179))</f>
        <v/>
      </c>
      <c r="AA178" s="29" t="str">
        <f>IF(AA$8="","",(Z178+Z179))</f>
        <v/>
      </c>
      <c r="AB178" s="29" t="str">
        <f t="shared" ref="AB178" si="2333">IF(AB$8="","",(AA178+AA179))</f>
        <v/>
      </c>
      <c r="AC178" s="29" t="str">
        <f t="shared" ref="AC178" si="2334">IF(AC$8="","",(AB178+AB179))</f>
        <v/>
      </c>
      <c r="AD178" s="29" t="str">
        <f>IF(AD$8="","",(AC178+AC179))</f>
        <v/>
      </c>
      <c r="AE178" s="29" t="str">
        <f t="shared" ref="AE178" si="2335">IF(AE$8="","",(AD178+AD179))</f>
        <v/>
      </c>
      <c r="AF178" s="29" t="str">
        <f t="shared" ref="AF178" si="2336">IF(AF$8="","",(AE178+AE179))</f>
        <v/>
      </c>
      <c r="AG178" s="29" t="str">
        <f>IF(AG$8="","",(AF178+AF179))</f>
        <v/>
      </c>
      <c r="AH178" s="29" t="str">
        <f t="shared" ref="AH178" si="2337">IF(AH$8="","",(AG178+AG179))</f>
        <v/>
      </c>
      <c r="AI178" s="29" t="str">
        <f t="shared" ref="AI178" si="2338">IF(AI$8="","",(AH178+AH179))</f>
        <v/>
      </c>
      <c r="AJ178" s="29" t="str">
        <f t="shared" ref="AJ178" si="2339">IF(AJ$8="","",(AI178+AI179))</f>
        <v/>
      </c>
      <c r="AK178" s="29" t="str">
        <f t="shared" ref="AK178" si="2340">IF(AK$8="","",(AJ178+AJ179))</f>
        <v/>
      </c>
      <c r="AL178" s="29" t="str">
        <f t="shared" ref="AL178" si="2341">IF(AL$8="","",(AK178+AK179))</f>
        <v/>
      </c>
      <c r="AM178" s="29" t="str">
        <f t="shared" ref="AM178" si="2342">IF(AM$8="","",(AL178+AL179))</f>
        <v/>
      </c>
      <c r="AN178" s="29" t="str">
        <f t="shared" ref="AN178" si="2343">IF(AN$8="","",(AM178+AM179))</f>
        <v/>
      </c>
      <c r="AO178" s="29" t="str">
        <f t="shared" ref="AO178:AS178" si="2344">IF(AO$8="","",(AN178+AN179))</f>
        <v/>
      </c>
      <c r="AP178" s="29" t="str">
        <f t="shared" si="2344"/>
        <v/>
      </c>
      <c r="AQ178" s="29" t="str">
        <f t="shared" si="2344"/>
        <v/>
      </c>
      <c r="AR178" s="29" t="str">
        <f t="shared" si="2344"/>
        <v/>
      </c>
      <c r="AS178" s="29" t="str">
        <f t="shared" si="2344"/>
        <v/>
      </c>
    </row>
    <row r="179" spans="1:45" x14ac:dyDescent="0.15">
      <c r="A179" s="14"/>
      <c r="B179" s="30" t="s">
        <v>7</v>
      </c>
      <c r="C179" s="29"/>
      <c r="D179" s="29"/>
      <c r="E179" s="29">
        <v>4</v>
      </c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</row>
    <row r="180" spans="1:45" x14ac:dyDescent="0.15">
      <c r="A180" s="7"/>
      <c r="B180" s="30" t="s">
        <v>8</v>
      </c>
      <c r="C180" s="35">
        <v>700</v>
      </c>
      <c r="D180" s="35">
        <v>700</v>
      </c>
      <c r="E180" s="35">
        <v>700</v>
      </c>
      <c r="F180" s="35">
        <v>700</v>
      </c>
      <c r="G180" s="35">
        <v>700</v>
      </c>
      <c r="H180" s="35">
        <v>700</v>
      </c>
      <c r="I180" s="35">
        <v>700</v>
      </c>
      <c r="J180" s="35">
        <f t="shared" ref="J180:J181" si="2345">IF(J$8="","",I180)</f>
        <v>700</v>
      </c>
      <c r="K180" s="35">
        <f t="shared" ref="K180:K181" si="2346">IF(K$8="","",J180)</f>
        <v>700</v>
      </c>
      <c r="L180" s="35">
        <f t="shared" ref="L180:L181" si="2347">IF(L$8="","",K180)</f>
        <v>700</v>
      </c>
      <c r="M180" s="35" t="str">
        <f t="shared" ref="M180:M181" si="2348">IF(M$8="","",L180)</f>
        <v/>
      </c>
      <c r="N180" s="35" t="str">
        <f t="shared" ref="N180:N181" si="2349">IF(N$8="","",M180)</f>
        <v/>
      </c>
      <c r="O180" s="35" t="str">
        <f t="shared" ref="O180:O181" si="2350">IF(O$8="","",N180)</f>
        <v/>
      </c>
      <c r="P180" s="35" t="str">
        <f t="shared" ref="P180:P181" si="2351">IF(P$8="","",O180)</f>
        <v/>
      </c>
      <c r="Q180" s="35" t="str">
        <f t="shared" ref="Q180:Q181" si="2352">IF(Q$8="","",P180)</f>
        <v/>
      </c>
      <c r="R180" s="35" t="str">
        <f t="shared" ref="R180:R181" si="2353">IF(R$8="","",Q180)</f>
        <v/>
      </c>
      <c r="S180" s="35" t="str">
        <f t="shared" ref="S180:S181" si="2354">IF(S$8="","",R180)</f>
        <v/>
      </c>
      <c r="T180" s="35" t="str">
        <f t="shared" ref="T180:T181" si="2355">IF(T$8="","",S180)</f>
        <v/>
      </c>
      <c r="U180" s="35" t="str">
        <f t="shared" ref="U180:U181" si="2356">IF(U$8="","",T180)</f>
        <v/>
      </c>
      <c r="V180" s="35" t="str">
        <f t="shared" ref="V180:V181" si="2357">IF(V$8="","",U180)</f>
        <v/>
      </c>
      <c r="W180" s="35" t="str">
        <f t="shared" ref="W180:W181" si="2358">IF(W$8="","",V180)</f>
        <v/>
      </c>
      <c r="X180" s="35" t="str">
        <f t="shared" ref="X180:X181" si="2359">IF(X$8="","",W180)</f>
        <v/>
      </c>
      <c r="Y180" s="35" t="str">
        <f t="shared" ref="Y180:Y181" si="2360">IF(Y$8="","",X180)</f>
        <v/>
      </c>
      <c r="Z180" s="35" t="str">
        <f t="shared" ref="Z180:Z181" si="2361">IF(Z$8="","",Y180)</f>
        <v/>
      </c>
      <c r="AA180" s="35" t="str">
        <f t="shared" ref="AA180:AA181" si="2362">IF(AA$8="","",Z180)</f>
        <v/>
      </c>
      <c r="AB180" s="35" t="str">
        <f t="shared" ref="AB180:AB181" si="2363">IF(AB$8="","",AA180)</f>
        <v/>
      </c>
      <c r="AC180" s="35" t="str">
        <f t="shared" ref="AC180:AC181" si="2364">IF(AC$8="","",AB180)</f>
        <v/>
      </c>
      <c r="AD180" s="35" t="str">
        <f t="shared" ref="AD180:AD181" si="2365">IF(AD$8="","",AC180)</f>
        <v/>
      </c>
      <c r="AE180" s="35" t="str">
        <f t="shared" ref="AE180" si="2366">IF(AE$8="","",AD180)</f>
        <v/>
      </c>
      <c r="AF180" s="35" t="str">
        <f t="shared" ref="AF180:AF181" si="2367">IF(AF$8="","",AE180)</f>
        <v/>
      </c>
      <c r="AG180" s="35" t="str">
        <f t="shared" ref="AG180:AG181" si="2368">IF(AG$8="","",AF180)</f>
        <v/>
      </c>
      <c r="AH180" s="35" t="str">
        <f t="shared" ref="AH180:AH181" si="2369">IF(AH$8="","",AG180)</f>
        <v/>
      </c>
      <c r="AI180" s="35" t="str">
        <f t="shared" ref="AI180:AI181" si="2370">IF(AI$8="","",AH180)</f>
        <v/>
      </c>
      <c r="AJ180" s="35" t="str">
        <f t="shared" ref="AJ180:AJ181" si="2371">IF(AJ$8="","",AI180)</f>
        <v/>
      </c>
      <c r="AK180" s="35" t="str">
        <f t="shared" ref="AK180:AK181" si="2372">IF(AK$8="","",AJ180)</f>
        <v/>
      </c>
      <c r="AL180" s="35" t="str">
        <f t="shared" ref="AL180:AL181" si="2373">IF(AL$8="","",AK180)</f>
        <v/>
      </c>
      <c r="AM180" s="35" t="str">
        <f t="shared" ref="AM180:AM181" si="2374">IF(AM$8="","",AL180)</f>
        <v/>
      </c>
      <c r="AN180" s="35" t="str">
        <f t="shared" ref="AN180:AN181" si="2375">IF(AN$8="","",AM180)</f>
        <v/>
      </c>
      <c r="AO180" s="35" t="str">
        <f t="shared" ref="AO180:AS180" si="2376">IF(AO$8="","",AN180)</f>
        <v/>
      </c>
      <c r="AP180" s="35" t="str">
        <f t="shared" si="2376"/>
        <v/>
      </c>
      <c r="AQ180" s="35" t="str">
        <f t="shared" si="2376"/>
        <v/>
      </c>
      <c r="AR180" s="35" t="str">
        <f t="shared" si="2376"/>
        <v/>
      </c>
      <c r="AS180" s="35" t="str">
        <f t="shared" si="2376"/>
        <v/>
      </c>
    </row>
    <row r="181" spans="1:45" s="85" customFormat="1" x14ac:dyDescent="0.15">
      <c r="A181" s="14" t="s">
        <v>9</v>
      </c>
      <c r="B181" s="33" t="s">
        <v>10</v>
      </c>
      <c r="C181" s="32" t="s">
        <v>353</v>
      </c>
      <c r="D181" s="32" t="s">
        <v>353</v>
      </c>
      <c r="E181" s="32" t="s">
        <v>353</v>
      </c>
      <c r="F181" s="32" t="s">
        <v>353</v>
      </c>
      <c r="G181" s="32" t="s">
        <v>353</v>
      </c>
      <c r="H181" s="32" t="s">
        <v>353</v>
      </c>
      <c r="I181" s="32" t="s">
        <v>353</v>
      </c>
      <c r="J181" s="32" t="str">
        <f t="shared" si="2345"/>
        <v>ミニファン</v>
      </c>
      <c r="K181" s="32" t="str">
        <f t="shared" si="2346"/>
        <v>ミニファン</v>
      </c>
      <c r="L181" s="32" t="str">
        <f t="shared" si="2347"/>
        <v>ミニファン</v>
      </c>
      <c r="M181" s="32" t="str">
        <f t="shared" si="2348"/>
        <v/>
      </c>
      <c r="N181" s="32" t="str">
        <f t="shared" si="2349"/>
        <v/>
      </c>
      <c r="O181" s="32" t="str">
        <f t="shared" si="2350"/>
        <v/>
      </c>
      <c r="P181" s="32" t="str">
        <f t="shared" si="2351"/>
        <v/>
      </c>
      <c r="Q181" s="32" t="str">
        <f t="shared" si="2352"/>
        <v/>
      </c>
      <c r="R181" s="32" t="str">
        <f t="shared" si="2353"/>
        <v/>
      </c>
      <c r="S181" s="32" t="str">
        <f t="shared" si="2354"/>
        <v/>
      </c>
      <c r="T181" s="32" t="str">
        <f t="shared" si="2355"/>
        <v/>
      </c>
      <c r="U181" s="32" t="str">
        <f t="shared" si="2356"/>
        <v/>
      </c>
      <c r="V181" s="32" t="str">
        <f t="shared" si="2357"/>
        <v/>
      </c>
      <c r="W181" s="32" t="str">
        <f t="shared" si="2358"/>
        <v/>
      </c>
      <c r="X181" s="32" t="str">
        <f t="shared" si="2359"/>
        <v/>
      </c>
      <c r="Y181" s="32" t="str">
        <f t="shared" si="2360"/>
        <v/>
      </c>
      <c r="Z181" s="32" t="str">
        <f t="shared" si="2361"/>
        <v/>
      </c>
      <c r="AA181" s="32" t="str">
        <f t="shared" si="2362"/>
        <v/>
      </c>
      <c r="AB181" s="32" t="str">
        <f t="shared" si="2363"/>
        <v/>
      </c>
      <c r="AC181" s="32" t="str">
        <f t="shared" si="2364"/>
        <v/>
      </c>
      <c r="AD181" s="32" t="str">
        <f t="shared" si="2365"/>
        <v/>
      </c>
      <c r="AE181" s="32" t="str">
        <f>IF(AE$8="","",AD181)</f>
        <v/>
      </c>
      <c r="AF181" s="32" t="str">
        <f t="shared" si="2367"/>
        <v/>
      </c>
      <c r="AG181" s="32" t="str">
        <f t="shared" si="2368"/>
        <v/>
      </c>
      <c r="AH181" s="32" t="str">
        <f t="shared" si="2369"/>
        <v/>
      </c>
      <c r="AI181" s="32" t="str">
        <f t="shared" si="2370"/>
        <v/>
      </c>
      <c r="AJ181" s="32" t="str">
        <f t="shared" si="2371"/>
        <v/>
      </c>
      <c r="AK181" s="32" t="str">
        <f t="shared" si="2372"/>
        <v/>
      </c>
      <c r="AL181" s="32" t="str">
        <f t="shared" si="2373"/>
        <v/>
      </c>
      <c r="AM181" s="32" t="str">
        <f t="shared" si="2374"/>
        <v/>
      </c>
      <c r="AN181" s="32" t="str">
        <f t="shared" si="2375"/>
        <v/>
      </c>
      <c r="AO181" s="32" t="str">
        <f t="shared" ref="AO181:AS181" si="2377">IF(AO$8="","",AN181)</f>
        <v/>
      </c>
      <c r="AP181" s="32" t="str">
        <f t="shared" si="2377"/>
        <v/>
      </c>
      <c r="AQ181" s="32" t="str">
        <f t="shared" si="2377"/>
        <v/>
      </c>
      <c r="AR181" s="32" t="str">
        <f t="shared" si="2377"/>
        <v/>
      </c>
      <c r="AS181" s="32" t="str">
        <f t="shared" si="2377"/>
        <v/>
      </c>
    </row>
    <row r="182" spans="1:45" x14ac:dyDescent="0.15">
      <c r="A182" s="7">
        <f>AVERAGE(C183:AS183)*30*100</f>
        <v>43500</v>
      </c>
      <c r="B182" s="30" t="s">
        <v>12</v>
      </c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</row>
    <row r="183" spans="1:45" x14ac:dyDescent="0.15">
      <c r="A183" s="7">
        <f>SUM(C183:AS183)</f>
        <v>145</v>
      </c>
      <c r="B183" s="27" t="s">
        <v>13</v>
      </c>
      <c r="C183" s="26">
        <v>0</v>
      </c>
      <c r="D183" s="26">
        <v>0</v>
      </c>
      <c r="E183" s="26">
        <v>44</v>
      </c>
      <c r="F183" s="26">
        <v>0</v>
      </c>
      <c r="G183" s="26">
        <v>0</v>
      </c>
      <c r="H183" s="26">
        <v>0</v>
      </c>
      <c r="I183" s="26">
        <v>48</v>
      </c>
      <c r="J183" s="26">
        <f t="shared" ref="J183:J184" si="2378">IF(J$8="","",J176-I176)</f>
        <v>0</v>
      </c>
      <c r="K183" s="26">
        <f t="shared" ref="K183:K184" si="2379">IF(K$8="","",K176-J176)</f>
        <v>0</v>
      </c>
      <c r="L183" s="26">
        <f t="shared" ref="L183:L184" si="2380">IF(L$8="","",L176-K176)</f>
        <v>53</v>
      </c>
      <c r="M183" s="26" t="str">
        <f t="shared" ref="M183:M184" si="2381">IF(M$8="","",M176-L176)</f>
        <v/>
      </c>
      <c r="N183" s="26" t="str">
        <f t="shared" ref="N183:N184" si="2382">IF(N$8="","",N176-M176)</f>
        <v/>
      </c>
      <c r="O183" s="26" t="str">
        <f t="shared" ref="O183:O184" si="2383">IF(O$8="","",O176-N176)</f>
        <v/>
      </c>
      <c r="P183" s="26" t="str">
        <f t="shared" ref="P183:P184" si="2384">IF(P$8="","",P176-O176)</f>
        <v/>
      </c>
      <c r="Q183" s="26" t="str">
        <f t="shared" ref="Q183:Q184" si="2385">IF(Q$8="","",Q176-P176)</f>
        <v/>
      </c>
      <c r="R183" s="26" t="str">
        <f t="shared" ref="R183:R184" si="2386">IF(R$8="","",R176-Q176)</f>
        <v/>
      </c>
      <c r="S183" s="26" t="str">
        <f t="shared" ref="S183:S184" si="2387">IF(S$8="","",S176-R176)</f>
        <v/>
      </c>
      <c r="T183" s="26" t="str">
        <f t="shared" ref="T183:T184" si="2388">IF(T$8="","",T176-S176)</f>
        <v/>
      </c>
      <c r="U183" s="26" t="str">
        <f t="shared" ref="U183:U184" si="2389">IF(U$8="","",U176-T176)</f>
        <v/>
      </c>
      <c r="V183" s="26" t="str">
        <f t="shared" ref="V183:V184" si="2390">IF(V$8="","",V176-U176)</f>
        <v/>
      </c>
      <c r="W183" s="26" t="str">
        <f t="shared" ref="W183:W184" si="2391">IF(W$8="","",W176-V176)</f>
        <v/>
      </c>
      <c r="X183" s="26" t="str">
        <f t="shared" ref="X183:X184" si="2392">IF(X$8="","",X176-W176)</f>
        <v/>
      </c>
      <c r="Y183" s="26" t="str">
        <f t="shared" ref="Y183:Y184" si="2393">IF(Y$8="","",Y176-X176)</f>
        <v/>
      </c>
      <c r="Z183" s="26" t="str">
        <f t="shared" ref="Z183:Z184" si="2394">IF(Z$8="","",Z176-Y176)</f>
        <v/>
      </c>
      <c r="AA183" s="26" t="str">
        <f t="shared" ref="AA183:AA184" si="2395">IF(AA$8="","",AA176-Z176)</f>
        <v/>
      </c>
      <c r="AB183" s="26" t="str">
        <f t="shared" ref="AB183:AB184" si="2396">IF(AB$8="","",AB176-AA176)</f>
        <v/>
      </c>
      <c r="AC183" s="26" t="str">
        <f t="shared" ref="AC183:AC184" si="2397">IF(AC$8="","",AC176-AB176)</f>
        <v/>
      </c>
      <c r="AD183" s="26" t="str">
        <f t="shared" ref="AD183:AD184" si="2398">IF(AD$8="","",AD176-AC176)</f>
        <v/>
      </c>
      <c r="AE183" s="26" t="str">
        <f t="shared" ref="AE183:AE184" si="2399">IF(AE$8="","",AE176-AD176)</f>
        <v/>
      </c>
      <c r="AF183" s="26" t="str">
        <f t="shared" ref="AF183:AF184" si="2400">IF(AF$8="","",AF176-AE176)</f>
        <v/>
      </c>
      <c r="AG183" s="26" t="str">
        <f t="shared" ref="AG183:AG184" si="2401">IF(AG$8="","",AG176-AF176)</f>
        <v/>
      </c>
      <c r="AH183" s="26" t="str">
        <f t="shared" ref="AH183:AH184" si="2402">IF(AH$8="","",AH176-AG176)</f>
        <v/>
      </c>
      <c r="AI183" s="26" t="str">
        <f t="shared" ref="AI183:AI184" si="2403">IF(AI$8="","",AI176-AH176)</f>
        <v/>
      </c>
      <c r="AJ183" s="26" t="str">
        <f t="shared" ref="AJ183:AJ184" si="2404">IF(AJ$8="","",AJ176-AI176)</f>
        <v/>
      </c>
      <c r="AK183" s="26" t="str">
        <f t="shared" ref="AK183:AK184" si="2405">IF(AK$8="","",AK176-AJ176)</f>
        <v/>
      </c>
      <c r="AL183" s="26" t="str">
        <f t="shared" ref="AL183:AL184" si="2406">IF(AL$8="","",AL176-AK176)</f>
        <v/>
      </c>
      <c r="AM183" s="26" t="str">
        <f t="shared" ref="AM183:AM184" si="2407">IF(AM$8="","",AM176-AL176)</f>
        <v/>
      </c>
      <c r="AN183" s="26" t="str">
        <f t="shared" ref="AN183:AN184" si="2408">IF(AN$8="","",AN176-AM176)</f>
        <v/>
      </c>
      <c r="AO183" s="26" t="str">
        <f t="shared" ref="AO183:AS183" si="2409">IF(AO$8="","",AO176-AN176)</f>
        <v/>
      </c>
      <c r="AP183" s="26" t="str">
        <f t="shared" si="2409"/>
        <v/>
      </c>
      <c r="AQ183" s="26" t="str">
        <f t="shared" si="2409"/>
        <v/>
      </c>
      <c r="AR183" s="26" t="str">
        <f t="shared" si="2409"/>
        <v/>
      </c>
      <c r="AS183" s="26" t="str">
        <f t="shared" si="2409"/>
        <v/>
      </c>
    </row>
    <row r="184" spans="1:45" x14ac:dyDescent="0.15">
      <c r="A184" s="7">
        <f>SUM(C184:AS184)</f>
        <v>2</v>
      </c>
      <c r="B184" s="27" t="s">
        <v>14</v>
      </c>
      <c r="C184" s="26">
        <v>0</v>
      </c>
      <c r="D184" s="26">
        <v>0</v>
      </c>
      <c r="E184" s="26">
        <v>1</v>
      </c>
      <c r="F184" s="26">
        <v>0</v>
      </c>
      <c r="G184" s="26">
        <v>0</v>
      </c>
      <c r="H184" s="26">
        <v>0</v>
      </c>
      <c r="I184" s="26">
        <v>0</v>
      </c>
      <c r="J184" s="26">
        <f t="shared" si="2378"/>
        <v>0</v>
      </c>
      <c r="K184" s="26">
        <f t="shared" si="2379"/>
        <v>0</v>
      </c>
      <c r="L184" s="26">
        <f t="shared" si="2380"/>
        <v>1</v>
      </c>
      <c r="M184" s="26" t="str">
        <f t="shared" si="2381"/>
        <v/>
      </c>
      <c r="N184" s="26" t="str">
        <f t="shared" si="2382"/>
        <v/>
      </c>
      <c r="O184" s="26" t="str">
        <f t="shared" si="2383"/>
        <v/>
      </c>
      <c r="P184" s="26" t="str">
        <f t="shared" si="2384"/>
        <v/>
      </c>
      <c r="Q184" s="26" t="str">
        <f t="shared" si="2385"/>
        <v/>
      </c>
      <c r="R184" s="26" t="str">
        <f t="shared" si="2386"/>
        <v/>
      </c>
      <c r="S184" s="26" t="str">
        <f t="shared" si="2387"/>
        <v/>
      </c>
      <c r="T184" s="26" t="str">
        <f t="shared" si="2388"/>
        <v/>
      </c>
      <c r="U184" s="26" t="str">
        <f t="shared" si="2389"/>
        <v/>
      </c>
      <c r="V184" s="26" t="str">
        <f t="shared" si="2390"/>
        <v/>
      </c>
      <c r="W184" s="26" t="str">
        <f t="shared" si="2391"/>
        <v/>
      </c>
      <c r="X184" s="26" t="str">
        <f t="shared" si="2392"/>
        <v/>
      </c>
      <c r="Y184" s="26" t="str">
        <f t="shared" si="2393"/>
        <v/>
      </c>
      <c r="Z184" s="26" t="str">
        <f t="shared" si="2394"/>
        <v/>
      </c>
      <c r="AA184" s="26" t="str">
        <f t="shared" si="2395"/>
        <v/>
      </c>
      <c r="AB184" s="26" t="str">
        <f t="shared" si="2396"/>
        <v/>
      </c>
      <c r="AC184" s="26" t="str">
        <f t="shared" si="2397"/>
        <v/>
      </c>
      <c r="AD184" s="26" t="str">
        <f t="shared" si="2398"/>
        <v/>
      </c>
      <c r="AE184" s="26" t="str">
        <f t="shared" si="2399"/>
        <v/>
      </c>
      <c r="AF184" s="26" t="str">
        <f t="shared" si="2400"/>
        <v/>
      </c>
      <c r="AG184" s="26" t="str">
        <f t="shared" si="2401"/>
        <v/>
      </c>
      <c r="AH184" s="26" t="str">
        <f t="shared" si="2402"/>
        <v/>
      </c>
      <c r="AI184" s="26" t="str">
        <f t="shared" si="2403"/>
        <v/>
      </c>
      <c r="AJ184" s="26" t="str">
        <f t="shared" si="2404"/>
        <v/>
      </c>
      <c r="AK184" s="26" t="str">
        <f t="shared" si="2405"/>
        <v/>
      </c>
      <c r="AL184" s="26" t="str">
        <f t="shared" si="2406"/>
        <v/>
      </c>
      <c r="AM184" s="26" t="str">
        <f t="shared" si="2407"/>
        <v/>
      </c>
      <c r="AN184" s="26" t="str">
        <f t="shared" si="2408"/>
        <v/>
      </c>
      <c r="AO184" s="26" t="str">
        <f t="shared" ref="AO184:AS184" si="2410">IF(AO$8="","",AO177-AN177)</f>
        <v/>
      </c>
      <c r="AP184" s="26" t="str">
        <f t="shared" si="2410"/>
        <v/>
      </c>
      <c r="AQ184" s="26" t="str">
        <f t="shared" si="2410"/>
        <v/>
      </c>
      <c r="AR184" s="26" t="str">
        <f t="shared" si="2410"/>
        <v/>
      </c>
      <c r="AS184" s="26" t="str">
        <f t="shared" si="2410"/>
        <v/>
      </c>
    </row>
    <row r="185" spans="1:45" x14ac:dyDescent="0.15">
      <c r="A185" s="7">
        <f>SUM(C185:AS185)</f>
        <v>2</v>
      </c>
      <c r="B185" s="27" t="s">
        <v>15</v>
      </c>
      <c r="C185" s="26">
        <v>0</v>
      </c>
      <c r="D185" s="26">
        <v>0</v>
      </c>
      <c r="E185" s="26">
        <v>1</v>
      </c>
      <c r="F185" s="26">
        <v>0</v>
      </c>
      <c r="G185" s="26">
        <v>0</v>
      </c>
      <c r="H185" s="26">
        <v>0</v>
      </c>
      <c r="I185" s="26">
        <v>0</v>
      </c>
      <c r="J185" s="26">
        <f t="shared" ref="J185" si="2411">IF(J$8="","",I178+I179-J178)</f>
        <v>0</v>
      </c>
      <c r="K185" s="26">
        <f t="shared" ref="K185" si="2412">IF(K$8="","",J178+J179-K178)</f>
        <v>0</v>
      </c>
      <c r="L185" s="26">
        <f t="shared" ref="L185" si="2413">IF(L$8="","",K178+K179-L178)</f>
        <v>1</v>
      </c>
      <c r="M185" s="26" t="str">
        <f t="shared" ref="M185" si="2414">IF(M$8="","",L178+L179-M178)</f>
        <v/>
      </c>
      <c r="N185" s="26" t="str">
        <f t="shared" ref="N185" si="2415">IF(N$8="","",M178+M179-N178)</f>
        <v/>
      </c>
      <c r="O185" s="26" t="str">
        <f t="shared" ref="O185" si="2416">IF(O$8="","",N178+N179-O178)</f>
        <v/>
      </c>
      <c r="P185" s="26" t="str">
        <f t="shared" ref="P185" si="2417">IF(P$8="","",O178+O179-P178)</f>
        <v/>
      </c>
      <c r="Q185" s="26" t="str">
        <f t="shared" ref="Q185" si="2418">IF(Q$8="","",P178+P179-Q178)</f>
        <v/>
      </c>
      <c r="R185" s="26" t="str">
        <f t="shared" ref="R185" si="2419">IF(R$8="","",Q178+Q179-R178)</f>
        <v/>
      </c>
      <c r="S185" s="26" t="str">
        <f t="shared" ref="S185" si="2420">IF(S$8="","",R178+R179-S178)</f>
        <v/>
      </c>
      <c r="T185" s="26" t="str">
        <f t="shared" ref="T185" si="2421">IF(T$8="","",S178+S179-T178)</f>
        <v/>
      </c>
      <c r="U185" s="26" t="str">
        <f t="shared" ref="U185" si="2422">IF(U$8="","",T178+T179-U178)</f>
        <v/>
      </c>
      <c r="V185" s="26" t="str">
        <f t="shared" ref="V185" si="2423">IF(V$8="","",U178+U179-V178)</f>
        <v/>
      </c>
      <c r="W185" s="26" t="str">
        <f t="shared" ref="W185" si="2424">IF(W$8="","",V178+V179-W178)</f>
        <v/>
      </c>
      <c r="X185" s="26" t="str">
        <f t="shared" ref="X185" si="2425">IF(X$8="","",W178+W179-X178)</f>
        <v/>
      </c>
      <c r="Y185" s="26" t="str">
        <f t="shared" ref="Y185" si="2426">IF(Y$8="","",X178+X179-Y178)</f>
        <v/>
      </c>
      <c r="Z185" s="26" t="str">
        <f t="shared" ref="Z185" si="2427">IF(Z$8="","",Y178+Y179-Z178)</f>
        <v/>
      </c>
      <c r="AA185" s="26" t="str">
        <f t="shared" ref="AA185" si="2428">IF(AA$8="","",Z178+Z179-AA178)</f>
        <v/>
      </c>
      <c r="AB185" s="26" t="str">
        <f t="shared" ref="AB185" si="2429">IF(AB$8="","",AA178+AA179-AB178)</f>
        <v/>
      </c>
      <c r="AC185" s="26" t="str">
        <f t="shared" ref="AC185" si="2430">IF(AC$8="","",AB178+AB179-AC178)</f>
        <v/>
      </c>
      <c r="AD185" s="26" t="str">
        <f t="shared" ref="AD185" si="2431">IF(AD$8="","",AC178+AC179-AD178)</f>
        <v/>
      </c>
      <c r="AE185" s="26" t="str">
        <f t="shared" ref="AE185" si="2432">IF(AE$8="","",AD178+AD179-AE178)</f>
        <v/>
      </c>
      <c r="AF185" s="26" t="str">
        <f t="shared" ref="AF185" si="2433">IF(AF$8="","",AE178+AE179-AF178)</f>
        <v/>
      </c>
      <c r="AG185" s="26" t="str">
        <f t="shared" ref="AG185" si="2434">IF(AG$8="","",AF178+AF179-AG178)</f>
        <v/>
      </c>
      <c r="AH185" s="26" t="str">
        <f t="shared" ref="AH185" si="2435">IF(AH$8="","",AG178+AG179-AH178)</f>
        <v/>
      </c>
      <c r="AI185" s="26" t="str">
        <f t="shared" ref="AI185" si="2436">IF(AI$8="","",AH178+AH179-AI178)</f>
        <v/>
      </c>
      <c r="AJ185" s="26" t="str">
        <f t="shared" ref="AJ185" si="2437">IF(AJ$8="","",AI178+AI179-AJ178)</f>
        <v/>
      </c>
      <c r="AK185" s="26" t="str">
        <f t="shared" ref="AK185" si="2438">IF(AK$8="","",AJ178+AJ179-AK178)</f>
        <v/>
      </c>
      <c r="AL185" s="26" t="str">
        <f t="shared" ref="AL185" si="2439">IF(AL$8="","",AK178+AK179-AL178)</f>
        <v/>
      </c>
      <c r="AM185" s="26" t="str">
        <f t="shared" ref="AM185" si="2440">IF(AM$8="","",AL178+AL179-AM178)</f>
        <v/>
      </c>
      <c r="AN185" s="26" t="str">
        <f t="shared" ref="AN185" si="2441">IF(AN$8="","",AM178+AM179-AN178)</f>
        <v/>
      </c>
      <c r="AO185" s="26" t="str">
        <f t="shared" ref="AO185:AS185" si="2442">IF(AO$8="","",AN178+AN179-AO178)</f>
        <v/>
      </c>
      <c r="AP185" s="26" t="str">
        <f t="shared" si="2442"/>
        <v/>
      </c>
      <c r="AQ185" s="26" t="str">
        <f t="shared" si="2442"/>
        <v/>
      </c>
      <c r="AR185" s="26" t="str">
        <f t="shared" si="2442"/>
        <v/>
      </c>
      <c r="AS185" s="26" t="str">
        <f t="shared" si="2442"/>
        <v/>
      </c>
    </row>
    <row r="186" spans="1:45" x14ac:dyDescent="0.15">
      <c r="A186" s="7">
        <f>SUM(C186:AS186)</f>
        <v>1400</v>
      </c>
      <c r="B186" s="27" t="s">
        <v>16</v>
      </c>
      <c r="C186" s="26">
        <v>0</v>
      </c>
      <c r="D186" s="26">
        <v>0</v>
      </c>
      <c r="E186" s="26">
        <v>700</v>
      </c>
      <c r="F186" s="26">
        <v>0</v>
      </c>
      <c r="G186" s="26">
        <v>0</v>
      </c>
      <c r="H186" s="26">
        <v>0</v>
      </c>
      <c r="I186" s="26">
        <v>0</v>
      </c>
      <c r="J186" s="26">
        <f t="shared" ref="H186:AM186" si="2443">IF(J$8="","",J185*J180)</f>
        <v>0</v>
      </c>
      <c r="K186" s="26">
        <f t="shared" si="2443"/>
        <v>0</v>
      </c>
      <c r="L186" s="26">
        <f t="shared" si="2443"/>
        <v>700</v>
      </c>
      <c r="M186" s="26" t="str">
        <f t="shared" si="2443"/>
        <v/>
      </c>
      <c r="N186" s="26" t="str">
        <f t="shared" si="2443"/>
        <v/>
      </c>
      <c r="O186" s="26" t="str">
        <f t="shared" si="2443"/>
        <v/>
      </c>
      <c r="P186" s="26" t="str">
        <f t="shared" si="2443"/>
        <v/>
      </c>
      <c r="Q186" s="26" t="str">
        <f t="shared" si="2443"/>
        <v/>
      </c>
      <c r="R186" s="26" t="str">
        <f t="shared" si="2443"/>
        <v/>
      </c>
      <c r="S186" s="26" t="str">
        <f t="shared" si="2443"/>
        <v/>
      </c>
      <c r="T186" s="26" t="str">
        <f t="shared" si="2443"/>
        <v/>
      </c>
      <c r="U186" s="26" t="str">
        <f t="shared" si="2443"/>
        <v/>
      </c>
      <c r="V186" s="26" t="str">
        <f t="shared" si="2443"/>
        <v/>
      </c>
      <c r="W186" s="26" t="str">
        <f t="shared" si="2443"/>
        <v/>
      </c>
      <c r="X186" s="26" t="str">
        <f t="shared" si="2443"/>
        <v/>
      </c>
      <c r="Y186" s="26" t="str">
        <f t="shared" si="2443"/>
        <v/>
      </c>
      <c r="Z186" s="26" t="str">
        <f t="shared" si="2443"/>
        <v/>
      </c>
      <c r="AA186" s="26" t="str">
        <f t="shared" si="2443"/>
        <v/>
      </c>
      <c r="AB186" s="26" t="str">
        <f t="shared" si="2443"/>
        <v/>
      </c>
      <c r="AC186" s="26" t="str">
        <f t="shared" si="2443"/>
        <v/>
      </c>
      <c r="AD186" s="26" t="str">
        <f t="shared" si="2443"/>
        <v/>
      </c>
      <c r="AE186" s="26" t="str">
        <f t="shared" si="2443"/>
        <v/>
      </c>
      <c r="AF186" s="26" t="str">
        <f t="shared" si="2443"/>
        <v/>
      </c>
      <c r="AG186" s="26" t="str">
        <f t="shared" si="2443"/>
        <v/>
      </c>
      <c r="AH186" s="26" t="str">
        <f t="shared" si="2443"/>
        <v/>
      </c>
      <c r="AI186" s="26" t="str">
        <f t="shared" si="2443"/>
        <v/>
      </c>
      <c r="AJ186" s="26" t="str">
        <f t="shared" si="2443"/>
        <v/>
      </c>
      <c r="AK186" s="26" t="str">
        <f t="shared" si="2443"/>
        <v/>
      </c>
      <c r="AL186" s="26" t="str">
        <f t="shared" si="2443"/>
        <v/>
      </c>
      <c r="AM186" s="26" t="str">
        <f t="shared" si="2443"/>
        <v/>
      </c>
      <c r="AN186" s="26" t="str">
        <f t="shared" ref="D186:AN186" si="2444">IF(AN$8="","",AN185*AN180)</f>
        <v/>
      </c>
      <c r="AO186" s="26" t="str">
        <f t="shared" ref="AO186:AS186" si="2445">IF(AO$8="","",AO185*AO180)</f>
        <v/>
      </c>
      <c r="AP186" s="26" t="str">
        <f t="shared" si="2445"/>
        <v/>
      </c>
      <c r="AQ186" s="26" t="str">
        <f t="shared" si="2445"/>
        <v/>
      </c>
      <c r="AR186" s="26" t="str">
        <f t="shared" si="2445"/>
        <v/>
      </c>
      <c r="AS186" s="26" t="str">
        <f t="shared" si="2445"/>
        <v/>
      </c>
    </row>
    <row r="187" spans="1:45" ht="12" thickBot="1" x14ac:dyDescent="0.2">
      <c r="A187" s="4">
        <f>IF(A186="","",A186/(A183*100))</f>
        <v>9.6551724137931033E-2</v>
      </c>
      <c r="B187" s="27" t="s">
        <v>18</v>
      </c>
      <c r="C187" s="42" t="s">
        <v>19</v>
      </c>
      <c r="D187" s="42" t="s">
        <v>19</v>
      </c>
      <c r="E187" s="42">
        <v>0.15909090909090909</v>
      </c>
      <c r="F187" s="42" t="s">
        <v>19</v>
      </c>
      <c r="G187" s="42" t="s">
        <v>19</v>
      </c>
      <c r="H187" s="42" t="s">
        <v>19</v>
      </c>
      <c r="I187" s="42" t="s">
        <v>19</v>
      </c>
      <c r="J187" s="42" t="str">
        <f t="shared" ref="H187:AM187" si="2446">IF(J$8="","",IF(J186=0,"",J186/(J183*100)))</f>
        <v/>
      </c>
      <c r="K187" s="42" t="str">
        <f t="shared" si="2446"/>
        <v/>
      </c>
      <c r="L187" s="42">
        <f t="shared" si="2446"/>
        <v>0.13207547169811321</v>
      </c>
      <c r="M187" s="42" t="str">
        <f t="shared" si="2446"/>
        <v/>
      </c>
      <c r="N187" s="42" t="str">
        <f t="shared" si="2446"/>
        <v/>
      </c>
      <c r="O187" s="42" t="str">
        <f t="shared" si="2446"/>
        <v/>
      </c>
      <c r="P187" s="42" t="str">
        <f t="shared" si="2446"/>
        <v/>
      </c>
      <c r="Q187" s="42" t="str">
        <f t="shared" si="2446"/>
        <v/>
      </c>
      <c r="R187" s="42" t="str">
        <f t="shared" si="2446"/>
        <v/>
      </c>
      <c r="S187" s="42" t="str">
        <f t="shared" si="2446"/>
        <v/>
      </c>
      <c r="T187" s="42" t="str">
        <f t="shared" si="2446"/>
        <v/>
      </c>
      <c r="U187" s="42" t="str">
        <f t="shared" si="2446"/>
        <v/>
      </c>
      <c r="V187" s="42" t="str">
        <f t="shared" si="2446"/>
        <v/>
      </c>
      <c r="W187" s="42" t="str">
        <f t="shared" si="2446"/>
        <v/>
      </c>
      <c r="X187" s="42" t="str">
        <f t="shared" si="2446"/>
        <v/>
      </c>
      <c r="Y187" s="42" t="str">
        <f t="shared" si="2446"/>
        <v/>
      </c>
      <c r="Z187" s="42" t="str">
        <f t="shared" si="2446"/>
        <v/>
      </c>
      <c r="AA187" s="42" t="str">
        <f t="shared" si="2446"/>
        <v/>
      </c>
      <c r="AB187" s="42" t="str">
        <f t="shared" si="2446"/>
        <v/>
      </c>
      <c r="AC187" s="42" t="str">
        <f t="shared" si="2446"/>
        <v/>
      </c>
      <c r="AD187" s="42" t="str">
        <f t="shared" si="2446"/>
        <v/>
      </c>
      <c r="AE187" s="42" t="str">
        <f t="shared" si="2446"/>
        <v/>
      </c>
      <c r="AF187" s="42" t="str">
        <f t="shared" si="2446"/>
        <v/>
      </c>
      <c r="AG187" s="42" t="str">
        <f t="shared" si="2446"/>
        <v/>
      </c>
      <c r="AH187" s="42" t="str">
        <f t="shared" si="2446"/>
        <v/>
      </c>
      <c r="AI187" s="42" t="str">
        <f t="shared" si="2446"/>
        <v/>
      </c>
      <c r="AJ187" s="42" t="str">
        <f t="shared" si="2446"/>
        <v/>
      </c>
      <c r="AK187" s="42" t="str">
        <f t="shared" si="2446"/>
        <v/>
      </c>
      <c r="AL187" s="42" t="str">
        <f t="shared" si="2446"/>
        <v/>
      </c>
      <c r="AM187" s="42" t="str">
        <f t="shared" si="2446"/>
        <v/>
      </c>
      <c r="AN187" s="42" t="str">
        <f t="shared" ref="D187:AN187" si="2447">IF(AN$8="","",IF(AN186=0,"",AN186/(AN183*100)))</f>
        <v/>
      </c>
      <c r="AO187" s="42" t="str">
        <f t="shared" ref="AO187:AS187" si="2448">IF(AO$8="","",IF(AO186=0,"",AO186/(AO183*100)))</f>
        <v/>
      </c>
      <c r="AP187" s="42" t="str">
        <f t="shared" si="2448"/>
        <v/>
      </c>
      <c r="AQ187" s="42" t="str">
        <f t="shared" si="2448"/>
        <v/>
      </c>
      <c r="AR187" s="42" t="str">
        <f t="shared" si="2448"/>
        <v/>
      </c>
      <c r="AS187" s="42" t="str">
        <f t="shared" si="2448"/>
        <v/>
      </c>
    </row>
    <row r="188" spans="1:45" x14ac:dyDescent="0.15">
      <c r="A188" s="17" t="s">
        <v>1</v>
      </c>
      <c r="B188" s="41" t="s">
        <v>2</v>
      </c>
      <c r="C188" s="35">
        <v>5071</v>
      </c>
      <c r="D188" s="35">
        <v>5071</v>
      </c>
      <c r="E188" s="35">
        <v>5156</v>
      </c>
      <c r="F188" s="35">
        <v>5156</v>
      </c>
      <c r="G188" s="35">
        <v>5156</v>
      </c>
      <c r="H188" s="35">
        <v>5156</v>
      </c>
      <c r="I188" s="35">
        <v>5188</v>
      </c>
      <c r="J188" s="35">
        <f>IF(J$8="","",I188)</f>
        <v>5188</v>
      </c>
      <c r="K188" s="35">
        <f t="shared" ref="K188:K189" si="2449">IF(K$8="","",J188)</f>
        <v>5188</v>
      </c>
      <c r="L188" s="35">
        <v>5209</v>
      </c>
      <c r="M188" s="35" t="str">
        <f>IF(M$8="","",L188)</f>
        <v/>
      </c>
      <c r="N188" s="35" t="str">
        <f t="shared" ref="N188:N189" si="2450">IF(N$8="","",M188)</f>
        <v/>
      </c>
      <c r="O188" s="35" t="str">
        <f t="shared" ref="O188:O189" si="2451">IF(O$8="","",N188)</f>
        <v/>
      </c>
      <c r="P188" s="35" t="str">
        <f>IF(P$8="","",O188)</f>
        <v/>
      </c>
      <c r="Q188" s="35" t="str">
        <f>IF(Q$8="","",P188)</f>
        <v/>
      </c>
      <c r="R188" s="35" t="str">
        <f t="shared" ref="R188:R189" si="2452">IF(R$8="","",Q188)</f>
        <v/>
      </c>
      <c r="S188" s="35" t="str">
        <f>IF(S$8="","",R188)</f>
        <v/>
      </c>
      <c r="T188" s="35" t="str">
        <f>IF(T$8="","",S188)</f>
        <v/>
      </c>
      <c r="U188" s="35" t="str">
        <f t="shared" ref="U188:U189" si="2453">IF(U$8="","",T188)</f>
        <v/>
      </c>
      <c r="V188" s="35" t="str">
        <f t="shared" ref="V188:V189" si="2454">IF(V$8="","",U188)</f>
        <v/>
      </c>
      <c r="W188" s="35" t="str">
        <f>IF(W$8="","",V188)</f>
        <v/>
      </c>
      <c r="X188" s="35" t="str">
        <f>IF(X$8="","",W188)</f>
        <v/>
      </c>
      <c r="Y188" s="35" t="str">
        <f t="shared" ref="Y188:Y189" si="2455">IF(Y$8="","",X188)</f>
        <v/>
      </c>
      <c r="Z188" s="35" t="str">
        <f>IF(Z$8="","",Y188)</f>
        <v/>
      </c>
      <c r="AA188" s="35" t="str">
        <f>IF(AA$8="","",Z188)</f>
        <v/>
      </c>
      <c r="AB188" s="35" t="str">
        <f t="shared" ref="AB188:AB189" si="2456">IF(AB$8="","",AA188)</f>
        <v/>
      </c>
      <c r="AC188" s="35" t="str">
        <f t="shared" ref="AC188:AC189" si="2457">IF(AC$8="","",AB188)</f>
        <v/>
      </c>
      <c r="AD188" s="35" t="str">
        <f>IF(AD$8="","",AC188)</f>
        <v/>
      </c>
      <c r="AE188" s="35" t="str">
        <f>IF(AE$8="","",AD188)</f>
        <v/>
      </c>
      <c r="AF188" s="35" t="str">
        <f t="shared" ref="AF188:AF189" si="2458">IF(AF$8="","",AE188)</f>
        <v/>
      </c>
      <c r="AG188" s="35" t="str">
        <f>IF(AG$8="","",AF188)</f>
        <v/>
      </c>
      <c r="AH188" s="35" t="str">
        <f t="shared" ref="AH188:AH189" si="2459">IF(AH$8="","",AG188)</f>
        <v/>
      </c>
      <c r="AI188" s="35" t="str">
        <f t="shared" ref="AI188:AI189" si="2460">IF(AI$8="","",AH188)</f>
        <v/>
      </c>
      <c r="AJ188" s="35" t="str">
        <f t="shared" ref="AJ188:AJ189" si="2461">IF(AJ$8="","",AI188)</f>
        <v/>
      </c>
      <c r="AK188" s="35" t="str">
        <f>IF(AK$8="","",AJ188)</f>
        <v/>
      </c>
      <c r="AL188" s="35" t="str">
        <f t="shared" ref="AL188:AL189" si="2462">IF(AL$8="","",AK188)</f>
        <v/>
      </c>
      <c r="AM188" s="35" t="str">
        <f t="shared" ref="AM188:AM189" si="2463">IF(AM$8="","",AL188)</f>
        <v/>
      </c>
      <c r="AN188" s="35" t="str">
        <f t="shared" ref="AN188:AN189" si="2464">IF(AN$8="","",AM188)</f>
        <v/>
      </c>
      <c r="AO188" s="35" t="str">
        <f t="shared" ref="AO188:AS188" si="2465">IF(AO$8="","",AN188)</f>
        <v/>
      </c>
      <c r="AP188" s="35" t="str">
        <f t="shared" si="2465"/>
        <v/>
      </c>
      <c r="AQ188" s="35" t="str">
        <f t="shared" si="2465"/>
        <v/>
      </c>
      <c r="AR188" s="35" t="str">
        <f t="shared" si="2465"/>
        <v/>
      </c>
      <c r="AS188" s="35" t="str">
        <f t="shared" si="2465"/>
        <v/>
      </c>
    </row>
    <row r="189" spans="1:45" x14ac:dyDescent="0.15">
      <c r="A189" s="16" t="s">
        <v>32</v>
      </c>
      <c r="B189" s="30" t="s">
        <v>4</v>
      </c>
      <c r="C189" s="29">
        <v>79</v>
      </c>
      <c r="D189" s="29">
        <v>79</v>
      </c>
      <c r="E189" s="29">
        <v>81</v>
      </c>
      <c r="F189" s="29">
        <v>81</v>
      </c>
      <c r="G189" s="29">
        <v>81</v>
      </c>
      <c r="H189" s="29">
        <v>81</v>
      </c>
      <c r="I189" s="29">
        <v>82</v>
      </c>
      <c r="J189" s="29">
        <f>IF(J$8="","",I189)</f>
        <v>82</v>
      </c>
      <c r="K189" s="29">
        <f t="shared" si="2449"/>
        <v>82</v>
      </c>
      <c r="L189" s="29">
        <f>IF(L$8="","",K189)</f>
        <v>82</v>
      </c>
      <c r="M189" s="29" t="str">
        <f t="shared" ref="M189" si="2466">IF(M$8="","",L189)</f>
        <v/>
      </c>
      <c r="N189" s="29" t="str">
        <f t="shared" si="2450"/>
        <v/>
      </c>
      <c r="O189" s="29" t="str">
        <f t="shared" si="2451"/>
        <v/>
      </c>
      <c r="P189" s="29" t="str">
        <f t="shared" ref="P188:P189" si="2467">IF(P$8="","",O189)</f>
        <v/>
      </c>
      <c r="Q189" s="29" t="str">
        <f>IF(Q$8="","",P189)</f>
        <v/>
      </c>
      <c r="R189" s="29" t="str">
        <f t="shared" si="2452"/>
        <v/>
      </c>
      <c r="S189" s="29" t="str">
        <f t="shared" ref="S188:S189" si="2468">IF(S$8="","",R189)</f>
        <v/>
      </c>
      <c r="T189" s="29" t="str">
        <f t="shared" ref="T189" si="2469">IF(T$8="","",S189)</f>
        <v/>
      </c>
      <c r="U189" s="29" t="str">
        <f t="shared" si="2453"/>
        <v/>
      </c>
      <c r="V189" s="29" t="str">
        <f t="shared" si="2454"/>
        <v/>
      </c>
      <c r="W189" s="29" t="str">
        <f>IF(W$8="","",V189)</f>
        <v/>
      </c>
      <c r="X189" s="29" t="str">
        <f>IF(X$8="","",W189)</f>
        <v/>
      </c>
      <c r="Y189" s="29" t="str">
        <f t="shared" si="2455"/>
        <v/>
      </c>
      <c r="Z189" s="29" t="str">
        <f t="shared" ref="Z188:Z189" si="2470">IF(Z$8="","",Y189)</f>
        <v/>
      </c>
      <c r="AA189" s="29" t="str">
        <f t="shared" ref="AA189" si="2471">IF(AA$8="","",Z189)</f>
        <v/>
      </c>
      <c r="AB189" s="29" t="str">
        <f t="shared" si="2456"/>
        <v/>
      </c>
      <c r="AC189" s="29" t="str">
        <f t="shared" si="2457"/>
        <v/>
      </c>
      <c r="AD189" s="29" t="str">
        <f t="shared" ref="AD188:AD189" si="2472">IF(AD$8="","",AC189)</f>
        <v/>
      </c>
      <c r="AE189" s="29" t="str">
        <f t="shared" ref="AE189" si="2473">IF(AE$8="","",AD189)</f>
        <v/>
      </c>
      <c r="AF189" s="29" t="str">
        <f t="shared" si="2458"/>
        <v/>
      </c>
      <c r="AG189" s="29" t="str">
        <f>IF(AG$8="","",AF189)</f>
        <v/>
      </c>
      <c r="AH189" s="29" t="str">
        <f t="shared" si="2459"/>
        <v/>
      </c>
      <c r="AI189" s="29" t="str">
        <f t="shared" si="2460"/>
        <v/>
      </c>
      <c r="AJ189" s="29" t="str">
        <f t="shared" si="2461"/>
        <v/>
      </c>
      <c r="AK189" s="29" t="str">
        <f>IF(AK$8="","",AJ189)</f>
        <v/>
      </c>
      <c r="AL189" s="29" t="str">
        <f t="shared" si="2462"/>
        <v/>
      </c>
      <c r="AM189" s="29" t="str">
        <f t="shared" si="2463"/>
        <v/>
      </c>
      <c r="AN189" s="29" t="str">
        <f t="shared" si="2464"/>
        <v/>
      </c>
      <c r="AO189" s="29" t="str">
        <f t="shared" ref="AO189:AS189" si="2474">IF(AO$8="","",AN189)</f>
        <v/>
      </c>
      <c r="AP189" s="29" t="str">
        <f t="shared" si="2474"/>
        <v/>
      </c>
      <c r="AQ189" s="29" t="str">
        <f t="shared" si="2474"/>
        <v/>
      </c>
      <c r="AR189" s="29" t="str">
        <f t="shared" si="2474"/>
        <v/>
      </c>
      <c r="AS189" s="29" t="str">
        <f t="shared" si="2474"/>
        <v/>
      </c>
    </row>
    <row r="190" spans="1:45" x14ac:dyDescent="0.15">
      <c r="A190" s="15">
        <v>4</v>
      </c>
      <c r="B190" s="30" t="s">
        <v>5</v>
      </c>
      <c r="C190" s="29">
        <v>25</v>
      </c>
      <c r="D190" s="29">
        <v>25</v>
      </c>
      <c r="E190" s="29">
        <v>23</v>
      </c>
      <c r="F190" s="29">
        <v>23</v>
      </c>
      <c r="G190" s="29">
        <v>23</v>
      </c>
      <c r="H190" s="29">
        <v>23</v>
      </c>
      <c r="I190" s="29">
        <v>22</v>
      </c>
      <c r="J190" s="29">
        <f>IF(J$8="","",(I190+I191))</f>
        <v>22</v>
      </c>
      <c r="K190" s="29">
        <f t="shared" ref="K190" si="2475">IF(K$8="","",(J190+J191))</f>
        <v>22</v>
      </c>
      <c r="L190" s="29">
        <f>IF(L$8="","",(K190+K191))</f>
        <v>22</v>
      </c>
      <c r="M190" s="29" t="str">
        <f t="shared" ref="M190" si="2476">IF(M$8="","",(L190+L191))</f>
        <v/>
      </c>
      <c r="N190" s="29" t="str">
        <f t="shared" ref="N190" si="2477">IF(N$8="","",(M190+M191))</f>
        <v/>
      </c>
      <c r="O190" s="29" t="str">
        <f t="shared" ref="O190" si="2478">IF(O$8="","",(N190+N191))</f>
        <v/>
      </c>
      <c r="P190" s="29" t="str">
        <f t="shared" ref="P190" si="2479">IF(P$8="","",(O190+O191))</f>
        <v/>
      </c>
      <c r="Q190" s="29" t="str">
        <f>IF(Q$8="","",(P190+P191))</f>
        <v/>
      </c>
      <c r="R190" s="29" t="str">
        <f t="shared" ref="R190" si="2480">IF(R$8="","",(Q190+Q191))</f>
        <v/>
      </c>
      <c r="S190" s="29" t="str">
        <f t="shared" ref="S190" si="2481">IF(S$8="","",(R190+R191))</f>
        <v/>
      </c>
      <c r="T190" s="29" t="str">
        <f t="shared" ref="T190" si="2482">IF(T$8="","",(S190+S191))</f>
        <v/>
      </c>
      <c r="U190" s="29" t="str">
        <f t="shared" ref="U190" si="2483">IF(U$8="","",(T190+T191))</f>
        <v/>
      </c>
      <c r="V190" s="29" t="str">
        <f t="shared" ref="V190" si="2484">IF(V$8="","",(U190+U191))</f>
        <v/>
      </c>
      <c r="W190" s="29" t="str">
        <f>IF(W$8="","",(V190+V191))</f>
        <v/>
      </c>
      <c r="X190" s="29" t="str">
        <f>IF(X$8="","",(W190+W191))</f>
        <v/>
      </c>
      <c r="Y190" s="29" t="str">
        <f t="shared" ref="Y190" si="2485">IF(Y$8="","",(X190+X191))</f>
        <v/>
      </c>
      <c r="Z190" s="29" t="str">
        <f t="shared" ref="Z190" si="2486">IF(Z$8="","",(Y190+Y191))</f>
        <v/>
      </c>
      <c r="AA190" s="29" t="str">
        <f t="shared" ref="AA190" si="2487">IF(AA$8="","",(Z190+Z191))</f>
        <v/>
      </c>
      <c r="AB190" s="29" t="str">
        <f t="shared" ref="AB190" si="2488">IF(AB$8="","",(AA190+AA191))</f>
        <v/>
      </c>
      <c r="AC190" s="29" t="str">
        <f t="shared" ref="AC190" si="2489">IF(AC$8="","",(AB190+AB191))</f>
        <v/>
      </c>
      <c r="AD190" s="29" t="str">
        <f t="shared" ref="AD190" si="2490">IF(AD$8="","",(AC190+AC191))</f>
        <v/>
      </c>
      <c r="AE190" s="29" t="str">
        <f t="shared" ref="AE190" si="2491">IF(AE$8="","",(AD190+AD191))</f>
        <v/>
      </c>
      <c r="AF190" s="29" t="str">
        <f t="shared" ref="AF190" si="2492">IF(AF$8="","",(AE190+AE191))</f>
        <v/>
      </c>
      <c r="AG190" s="29" t="str">
        <f>IF(AG$8="","",(AF190+AF191))</f>
        <v/>
      </c>
      <c r="AH190" s="29" t="str">
        <f t="shared" ref="AH190" si="2493">IF(AH$8="","",(AG190+AG191))</f>
        <v/>
      </c>
      <c r="AI190" s="29" t="str">
        <f t="shared" ref="AI190" si="2494">IF(AI$8="","",(AH190+AH191))</f>
        <v/>
      </c>
      <c r="AJ190" s="29" t="str">
        <f t="shared" ref="AJ190" si="2495">IF(AJ$8="","",(AI190+AI191))</f>
        <v/>
      </c>
      <c r="AK190" s="29" t="str">
        <f>IF(AK$8="","",(AJ190+AJ191))</f>
        <v/>
      </c>
      <c r="AL190" s="29" t="str">
        <f t="shared" ref="AL190" si="2496">IF(AL$8="","",(AK190+AK191))</f>
        <v/>
      </c>
      <c r="AM190" s="29" t="str">
        <f t="shared" ref="AM190" si="2497">IF(AM$8="","",(AL190+AL191))</f>
        <v/>
      </c>
      <c r="AN190" s="29" t="str">
        <f t="shared" ref="AN190" si="2498">IF(AN$8="","",(AM190+AM191))</f>
        <v/>
      </c>
      <c r="AO190" s="29" t="str">
        <f t="shared" ref="AO190:AS190" si="2499">IF(AO$8="","",(AN190+AN191))</f>
        <v/>
      </c>
      <c r="AP190" s="29" t="str">
        <f t="shared" si="2499"/>
        <v/>
      </c>
      <c r="AQ190" s="29" t="str">
        <f t="shared" si="2499"/>
        <v/>
      </c>
      <c r="AR190" s="29" t="str">
        <f t="shared" si="2499"/>
        <v/>
      </c>
      <c r="AS190" s="29" t="str">
        <f t="shared" si="2499"/>
        <v/>
      </c>
    </row>
    <row r="191" spans="1:45" x14ac:dyDescent="0.15">
      <c r="A191" s="14"/>
      <c r="B191" s="30" t="s">
        <v>7</v>
      </c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</row>
    <row r="192" spans="1:45" x14ac:dyDescent="0.15">
      <c r="A192" s="7"/>
      <c r="B192" s="30" t="s">
        <v>8</v>
      </c>
      <c r="C192" s="35">
        <v>800</v>
      </c>
      <c r="D192" s="35">
        <v>800</v>
      </c>
      <c r="E192" s="35">
        <v>800</v>
      </c>
      <c r="F192" s="35">
        <v>800</v>
      </c>
      <c r="G192" s="35">
        <v>800</v>
      </c>
      <c r="H192" s="35">
        <v>800</v>
      </c>
      <c r="I192" s="35">
        <v>800</v>
      </c>
      <c r="J192" s="35">
        <f t="shared" ref="J192:J193" si="2500">IF(J$8="","",I192)</f>
        <v>800</v>
      </c>
      <c r="K192" s="35">
        <f t="shared" ref="K192:K193" si="2501">IF(K$8="","",J192)</f>
        <v>800</v>
      </c>
      <c r="L192" s="35">
        <f t="shared" ref="L192:L193" si="2502">IF(L$8="","",K192)</f>
        <v>800</v>
      </c>
      <c r="M192" s="35" t="str">
        <f t="shared" ref="M192:M193" si="2503">IF(M$8="","",L192)</f>
        <v/>
      </c>
      <c r="N192" s="35" t="str">
        <f t="shared" ref="N192:N193" si="2504">IF(N$8="","",M192)</f>
        <v/>
      </c>
      <c r="O192" s="35" t="str">
        <f t="shared" ref="O192:O193" si="2505">IF(O$8="","",N192)</f>
        <v/>
      </c>
      <c r="P192" s="35" t="str">
        <f t="shared" ref="P192:P193" si="2506">IF(P$8="","",O192)</f>
        <v/>
      </c>
      <c r="Q192" s="35" t="str">
        <f t="shared" ref="Q192:Q193" si="2507">IF(Q$8="","",P192)</f>
        <v/>
      </c>
      <c r="R192" s="35" t="str">
        <f t="shared" ref="R192:R193" si="2508">IF(R$8="","",Q192)</f>
        <v/>
      </c>
      <c r="S192" s="35" t="str">
        <f t="shared" ref="S192:S193" si="2509">IF(S$8="","",R192)</f>
        <v/>
      </c>
      <c r="T192" s="35" t="str">
        <f t="shared" ref="T192:T193" si="2510">IF(T$8="","",S192)</f>
        <v/>
      </c>
      <c r="U192" s="35" t="str">
        <f t="shared" ref="U192:U193" si="2511">IF(U$8="","",T192)</f>
        <v/>
      </c>
      <c r="V192" s="35" t="str">
        <f t="shared" ref="V192:V193" si="2512">IF(V$8="","",U192)</f>
        <v/>
      </c>
      <c r="W192" s="35" t="str">
        <f t="shared" ref="W192:W193" si="2513">IF(W$8="","",V192)</f>
        <v/>
      </c>
      <c r="X192" s="35" t="str">
        <f t="shared" ref="X192:X193" si="2514">IF(X$8="","",W192)</f>
        <v/>
      </c>
      <c r="Y192" s="35" t="str">
        <f t="shared" ref="Y192:Y193" si="2515">IF(Y$8="","",X192)</f>
        <v/>
      </c>
      <c r="Z192" s="35" t="str">
        <f t="shared" ref="Z192:Z193" si="2516">IF(Z$8="","",Y192)</f>
        <v/>
      </c>
      <c r="AA192" s="35" t="str">
        <f t="shared" ref="AA192:AA193" si="2517">IF(AA$8="","",Z192)</f>
        <v/>
      </c>
      <c r="AB192" s="35" t="str">
        <f t="shared" ref="AB192:AB193" si="2518">IF(AB$8="","",AA192)</f>
        <v/>
      </c>
      <c r="AC192" s="35" t="str">
        <f t="shared" ref="AC192:AC193" si="2519">IF(AC$8="","",AB192)</f>
        <v/>
      </c>
      <c r="AD192" s="35" t="str">
        <f t="shared" ref="AD192:AD193" si="2520">IF(AD$8="","",AC192)</f>
        <v/>
      </c>
      <c r="AE192" s="35" t="str">
        <f t="shared" ref="AE192:AE193" si="2521">IF(AE$8="","",AD192)</f>
        <v/>
      </c>
      <c r="AF192" s="35" t="str">
        <f t="shared" ref="AF192:AF193" si="2522">IF(AF$8="","",AE192)</f>
        <v/>
      </c>
      <c r="AG192" s="35" t="str">
        <f t="shared" ref="AG192:AG193" si="2523">IF(AG$8="","",AF192)</f>
        <v/>
      </c>
      <c r="AH192" s="35" t="str">
        <f t="shared" ref="AH192:AH193" si="2524">IF(AH$8="","",AG192)</f>
        <v/>
      </c>
      <c r="AI192" s="35" t="str">
        <f t="shared" ref="AI192:AI193" si="2525">IF(AI$8="","",AH192)</f>
        <v/>
      </c>
      <c r="AJ192" s="35" t="str">
        <f t="shared" ref="AJ192:AJ193" si="2526">IF(AJ$8="","",AI192)</f>
        <v/>
      </c>
      <c r="AK192" s="35" t="str">
        <f t="shared" ref="AK192:AK193" si="2527">IF(AK$8="","",AJ192)</f>
        <v/>
      </c>
      <c r="AL192" s="35" t="str">
        <f t="shared" ref="AL192:AL193" si="2528">IF(AL$8="","",AK192)</f>
        <v/>
      </c>
      <c r="AM192" s="35" t="str">
        <f t="shared" ref="AM192:AM193" si="2529">IF(AM$8="","",AL192)</f>
        <v/>
      </c>
      <c r="AN192" s="35" t="str">
        <f t="shared" ref="AN192:AN193" si="2530">IF(AN$8="","",AM192)</f>
        <v/>
      </c>
      <c r="AO192" s="35" t="str">
        <f t="shared" ref="AO192:AS192" si="2531">IF(AO$8="","",AN192)</f>
        <v/>
      </c>
      <c r="AP192" s="35" t="str">
        <f t="shared" si="2531"/>
        <v/>
      </c>
      <c r="AQ192" s="35" t="str">
        <f t="shared" si="2531"/>
        <v/>
      </c>
      <c r="AR192" s="35" t="str">
        <f t="shared" si="2531"/>
        <v/>
      </c>
      <c r="AS192" s="35" t="str">
        <f t="shared" si="2531"/>
        <v/>
      </c>
    </row>
    <row r="193" spans="1:45" s="85" customFormat="1" x14ac:dyDescent="0.15">
      <c r="A193" s="14" t="s">
        <v>9</v>
      </c>
      <c r="B193" s="33" t="s">
        <v>10</v>
      </c>
      <c r="C193" s="32" t="s">
        <v>35</v>
      </c>
      <c r="D193" s="32" t="s">
        <v>35</v>
      </c>
      <c r="E193" s="32" t="s">
        <v>35</v>
      </c>
      <c r="F193" s="32" t="s">
        <v>35</v>
      </c>
      <c r="G193" s="32" t="s">
        <v>35</v>
      </c>
      <c r="H193" s="32" t="s">
        <v>35</v>
      </c>
      <c r="I193" s="32" t="s">
        <v>35</v>
      </c>
      <c r="J193" s="32" t="str">
        <f t="shared" si="2500"/>
        <v>キティストーンマスコット</v>
      </c>
      <c r="K193" s="32" t="str">
        <f t="shared" si="2501"/>
        <v>キティストーンマスコット</v>
      </c>
      <c r="L193" s="32" t="str">
        <f t="shared" si="2502"/>
        <v>キティストーンマスコット</v>
      </c>
      <c r="M193" s="32" t="str">
        <f t="shared" si="2503"/>
        <v/>
      </c>
      <c r="N193" s="32" t="str">
        <f t="shared" si="2504"/>
        <v/>
      </c>
      <c r="O193" s="32" t="str">
        <f t="shared" si="2505"/>
        <v/>
      </c>
      <c r="P193" s="32" t="str">
        <f t="shared" si="2506"/>
        <v/>
      </c>
      <c r="Q193" s="32" t="str">
        <f t="shared" si="2507"/>
        <v/>
      </c>
      <c r="R193" s="32" t="str">
        <f t="shared" si="2508"/>
        <v/>
      </c>
      <c r="S193" s="32" t="str">
        <f t="shared" si="2509"/>
        <v/>
      </c>
      <c r="T193" s="32" t="str">
        <f t="shared" si="2510"/>
        <v/>
      </c>
      <c r="U193" s="32" t="str">
        <f t="shared" si="2511"/>
        <v/>
      </c>
      <c r="V193" s="32" t="str">
        <f t="shared" si="2512"/>
        <v/>
      </c>
      <c r="W193" s="32" t="str">
        <f t="shared" si="2513"/>
        <v/>
      </c>
      <c r="X193" s="32" t="str">
        <f t="shared" si="2514"/>
        <v/>
      </c>
      <c r="Y193" s="32" t="str">
        <f t="shared" si="2515"/>
        <v/>
      </c>
      <c r="Z193" s="32" t="str">
        <f t="shared" si="2516"/>
        <v/>
      </c>
      <c r="AA193" s="32" t="str">
        <f t="shared" si="2517"/>
        <v/>
      </c>
      <c r="AB193" s="32" t="str">
        <f t="shared" si="2518"/>
        <v/>
      </c>
      <c r="AC193" s="32" t="str">
        <f t="shared" si="2519"/>
        <v/>
      </c>
      <c r="AD193" s="32" t="str">
        <f t="shared" si="2520"/>
        <v/>
      </c>
      <c r="AE193" s="32" t="str">
        <f t="shared" si="2521"/>
        <v/>
      </c>
      <c r="AF193" s="32" t="str">
        <f t="shared" si="2522"/>
        <v/>
      </c>
      <c r="AG193" s="32" t="str">
        <f t="shared" si="2523"/>
        <v/>
      </c>
      <c r="AH193" s="32" t="str">
        <f t="shared" si="2524"/>
        <v/>
      </c>
      <c r="AI193" s="32" t="str">
        <f t="shared" si="2525"/>
        <v/>
      </c>
      <c r="AJ193" s="32" t="str">
        <f t="shared" si="2526"/>
        <v/>
      </c>
      <c r="AK193" s="32" t="str">
        <f t="shared" si="2527"/>
        <v/>
      </c>
      <c r="AL193" s="32" t="str">
        <f t="shared" si="2528"/>
        <v/>
      </c>
      <c r="AM193" s="32" t="str">
        <f t="shared" si="2529"/>
        <v/>
      </c>
      <c r="AN193" s="32" t="str">
        <f t="shared" si="2530"/>
        <v/>
      </c>
      <c r="AO193" s="32" t="str">
        <f t="shared" ref="AO193:AS193" si="2532">IF(AO$8="","",AN193)</f>
        <v/>
      </c>
      <c r="AP193" s="32" t="str">
        <f t="shared" si="2532"/>
        <v/>
      </c>
      <c r="AQ193" s="32" t="str">
        <f t="shared" si="2532"/>
        <v/>
      </c>
      <c r="AR193" s="32" t="str">
        <f t="shared" si="2532"/>
        <v/>
      </c>
      <c r="AS193" s="32" t="str">
        <f t="shared" si="2532"/>
        <v/>
      </c>
    </row>
    <row r="194" spans="1:45" x14ac:dyDescent="0.15">
      <c r="A194" s="7">
        <f>AVERAGE(C195:AS195)*30*100</f>
        <v>41400</v>
      </c>
      <c r="B194" s="30" t="s">
        <v>12</v>
      </c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</row>
    <row r="195" spans="1:45" x14ac:dyDescent="0.15">
      <c r="A195" s="7">
        <f>SUM(C195:AS195)</f>
        <v>138</v>
      </c>
      <c r="B195" s="27" t="s">
        <v>13</v>
      </c>
      <c r="C195" s="26">
        <v>0</v>
      </c>
      <c r="D195" s="26">
        <v>0</v>
      </c>
      <c r="E195" s="26">
        <v>85</v>
      </c>
      <c r="F195" s="26">
        <v>0</v>
      </c>
      <c r="G195" s="26">
        <v>0</v>
      </c>
      <c r="H195" s="26">
        <v>0</v>
      </c>
      <c r="I195" s="26">
        <v>32</v>
      </c>
      <c r="J195" s="26">
        <f t="shared" ref="J195:J196" si="2533">IF(J$8="","",J188-I188)</f>
        <v>0</v>
      </c>
      <c r="K195" s="26">
        <f t="shared" ref="K195:K196" si="2534">IF(K$8="","",K188-J188)</f>
        <v>0</v>
      </c>
      <c r="L195" s="26">
        <f t="shared" ref="L195:L196" si="2535">IF(L$8="","",L188-K188)</f>
        <v>21</v>
      </c>
      <c r="M195" s="26" t="str">
        <f t="shared" ref="M195:M196" si="2536">IF(M$8="","",M188-L188)</f>
        <v/>
      </c>
      <c r="N195" s="26" t="str">
        <f t="shared" ref="N195:N196" si="2537">IF(N$8="","",N188-M188)</f>
        <v/>
      </c>
      <c r="O195" s="26" t="str">
        <f t="shared" ref="O195:O196" si="2538">IF(O$8="","",O188-N188)</f>
        <v/>
      </c>
      <c r="P195" s="26" t="str">
        <f t="shared" ref="P195:P196" si="2539">IF(P$8="","",P188-O188)</f>
        <v/>
      </c>
      <c r="Q195" s="26" t="str">
        <f t="shared" ref="Q195:Q196" si="2540">IF(Q$8="","",Q188-P188)</f>
        <v/>
      </c>
      <c r="R195" s="26" t="str">
        <f t="shared" ref="R195:R196" si="2541">IF(R$8="","",R188-Q188)</f>
        <v/>
      </c>
      <c r="S195" s="26" t="str">
        <f t="shared" ref="S195:S196" si="2542">IF(S$8="","",S188-R188)</f>
        <v/>
      </c>
      <c r="T195" s="26" t="str">
        <f t="shared" ref="T195:T196" si="2543">IF(T$8="","",T188-S188)</f>
        <v/>
      </c>
      <c r="U195" s="26" t="str">
        <f t="shared" ref="U195:U196" si="2544">IF(U$8="","",U188-T188)</f>
        <v/>
      </c>
      <c r="V195" s="26" t="str">
        <f t="shared" ref="V195:V196" si="2545">IF(V$8="","",V188-U188)</f>
        <v/>
      </c>
      <c r="W195" s="26" t="str">
        <f t="shared" ref="W195:W196" si="2546">IF(W$8="","",W188-V188)</f>
        <v/>
      </c>
      <c r="X195" s="26" t="str">
        <f t="shared" ref="X195:X196" si="2547">IF(X$8="","",X188-W188)</f>
        <v/>
      </c>
      <c r="Y195" s="26" t="str">
        <f t="shared" ref="Y195:Y196" si="2548">IF(Y$8="","",Y188-X188)</f>
        <v/>
      </c>
      <c r="Z195" s="26" t="str">
        <f t="shared" ref="Z195:Z196" si="2549">IF(Z$8="","",Z188-Y188)</f>
        <v/>
      </c>
      <c r="AA195" s="26" t="str">
        <f t="shared" ref="AA195:AA196" si="2550">IF(AA$8="","",AA188-Z188)</f>
        <v/>
      </c>
      <c r="AB195" s="26" t="str">
        <f t="shared" ref="AB195:AB196" si="2551">IF(AB$8="","",AB188-AA188)</f>
        <v/>
      </c>
      <c r="AC195" s="26" t="str">
        <f t="shared" ref="AC195:AC196" si="2552">IF(AC$8="","",AC188-AB188)</f>
        <v/>
      </c>
      <c r="AD195" s="26" t="str">
        <f t="shared" ref="AD195:AD196" si="2553">IF(AD$8="","",AD188-AC188)</f>
        <v/>
      </c>
      <c r="AE195" s="26" t="str">
        <f t="shared" ref="AE195:AE196" si="2554">IF(AE$8="","",AE188-AD188)</f>
        <v/>
      </c>
      <c r="AF195" s="26" t="str">
        <f t="shared" ref="AF195:AF196" si="2555">IF(AF$8="","",AF188-AE188)</f>
        <v/>
      </c>
      <c r="AG195" s="26" t="str">
        <f t="shared" ref="AG195:AG196" si="2556">IF(AG$8="","",AG188-AF188)</f>
        <v/>
      </c>
      <c r="AH195" s="26" t="str">
        <f t="shared" ref="AH195:AH196" si="2557">IF(AH$8="","",AH188-AG188)</f>
        <v/>
      </c>
      <c r="AI195" s="26" t="str">
        <f t="shared" ref="AI195:AI196" si="2558">IF(AI$8="","",AI188-AH188)</f>
        <v/>
      </c>
      <c r="AJ195" s="26" t="str">
        <f t="shared" ref="AJ195:AJ196" si="2559">IF(AJ$8="","",AJ188-AI188)</f>
        <v/>
      </c>
      <c r="AK195" s="26" t="str">
        <f t="shared" ref="AK195:AK196" si="2560">IF(AK$8="","",AK188-AJ188)</f>
        <v/>
      </c>
      <c r="AL195" s="26" t="str">
        <f t="shared" ref="AL195:AL196" si="2561">IF(AL$8="","",AL188-AK188)</f>
        <v/>
      </c>
      <c r="AM195" s="26" t="str">
        <f t="shared" ref="AM195:AM196" si="2562">IF(AM$8="","",AM188-AL188)</f>
        <v/>
      </c>
      <c r="AN195" s="26" t="str">
        <f t="shared" ref="AN195:AN196" si="2563">IF(AN$8="","",AN188-AM188)</f>
        <v/>
      </c>
      <c r="AO195" s="26" t="str">
        <f t="shared" ref="AO195:AS195" si="2564">IF(AO$8="","",AO188-AN188)</f>
        <v/>
      </c>
      <c r="AP195" s="26" t="str">
        <f t="shared" si="2564"/>
        <v/>
      </c>
      <c r="AQ195" s="26" t="str">
        <f t="shared" si="2564"/>
        <v/>
      </c>
      <c r="AR195" s="26" t="str">
        <f t="shared" si="2564"/>
        <v/>
      </c>
      <c r="AS195" s="26" t="str">
        <f t="shared" si="2564"/>
        <v/>
      </c>
    </row>
    <row r="196" spans="1:45" x14ac:dyDescent="0.15">
      <c r="A196" s="7">
        <f>SUM(C196:AS196)</f>
        <v>3</v>
      </c>
      <c r="B196" s="27" t="s">
        <v>14</v>
      </c>
      <c r="C196" s="26">
        <v>0</v>
      </c>
      <c r="D196" s="26">
        <v>0</v>
      </c>
      <c r="E196" s="26">
        <v>2</v>
      </c>
      <c r="F196" s="26">
        <v>0</v>
      </c>
      <c r="G196" s="26">
        <v>0</v>
      </c>
      <c r="H196" s="26">
        <v>0</v>
      </c>
      <c r="I196" s="26">
        <v>1</v>
      </c>
      <c r="J196" s="26">
        <f t="shared" si="2533"/>
        <v>0</v>
      </c>
      <c r="K196" s="26">
        <f t="shared" si="2534"/>
        <v>0</v>
      </c>
      <c r="L196" s="26">
        <f t="shared" si="2535"/>
        <v>0</v>
      </c>
      <c r="M196" s="26" t="str">
        <f t="shared" si="2536"/>
        <v/>
      </c>
      <c r="N196" s="26" t="str">
        <f t="shared" si="2537"/>
        <v/>
      </c>
      <c r="O196" s="26" t="str">
        <f t="shared" si="2538"/>
        <v/>
      </c>
      <c r="P196" s="26" t="str">
        <f t="shared" si="2539"/>
        <v/>
      </c>
      <c r="Q196" s="26" t="str">
        <f t="shared" si="2540"/>
        <v/>
      </c>
      <c r="R196" s="26" t="str">
        <f t="shared" si="2541"/>
        <v/>
      </c>
      <c r="S196" s="26" t="str">
        <f t="shared" si="2542"/>
        <v/>
      </c>
      <c r="T196" s="26" t="str">
        <f t="shared" si="2543"/>
        <v/>
      </c>
      <c r="U196" s="26" t="str">
        <f t="shared" si="2544"/>
        <v/>
      </c>
      <c r="V196" s="26" t="str">
        <f t="shared" si="2545"/>
        <v/>
      </c>
      <c r="W196" s="26" t="str">
        <f t="shared" si="2546"/>
        <v/>
      </c>
      <c r="X196" s="26" t="str">
        <f t="shared" si="2547"/>
        <v/>
      </c>
      <c r="Y196" s="26" t="str">
        <f t="shared" si="2548"/>
        <v/>
      </c>
      <c r="Z196" s="26" t="str">
        <f t="shared" si="2549"/>
        <v/>
      </c>
      <c r="AA196" s="26" t="str">
        <f t="shared" si="2550"/>
        <v/>
      </c>
      <c r="AB196" s="26" t="str">
        <f t="shared" si="2551"/>
        <v/>
      </c>
      <c r="AC196" s="26" t="str">
        <f t="shared" si="2552"/>
        <v/>
      </c>
      <c r="AD196" s="26" t="str">
        <f t="shared" si="2553"/>
        <v/>
      </c>
      <c r="AE196" s="26" t="str">
        <f t="shared" si="2554"/>
        <v/>
      </c>
      <c r="AF196" s="26" t="str">
        <f t="shared" si="2555"/>
        <v/>
      </c>
      <c r="AG196" s="26" t="str">
        <f t="shared" si="2556"/>
        <v/>
      </c>
      <c r="AH196" s="26" t="str">
        <f t="shared" si="2557"/>
        <v/>
      </c>
      <c r="AI196" s="26" t="str">
        <f t="shared" si="2558"/>
        <v/>
      </c>
      <c r="AJ196" s="26" t="str">
        <f t="shared" si="2559"/>
        <v/>
      </c>
      <c r="AK196" s="26" t="str">
        <f t="shared" si="2560"/>
        <v/>
      </c>
      <c r="AL196" s="26" t="str">
        <f t="shared" si="2561"/>
        <v/>
      </c>
      <c r="AM196" s="26" t="str">
        <f t="shared" si="2562"/>
        <v/>
      </c>
      <c r="AN196" s="26" t="str">
        <f t="shared" si="2563"/>
        <v/>
      </c>
      <c r="AO196" s="26" t="str">
        <f t="shared" ref="AO196:AS196" si="2565">IF(AO$8="","",AO189-AN189)</f>
        <v/>
      </c>
      <c r="AP196" s="26" t="str">
        <f t="shared" si="2565"/>
        <v/>
      </c>
      <c r="AQ196" s="26" t="str">
        <f t="shared" si="2565"/>
        <v/>
      </c>
      <c r="AR196" s="26" t="str">
        <f t="shared" si="2565"/>
        <v/>
      </c>
      <c r="AS196" s="26" t="str">
        <f t="shared" si="2565"/>
        <v/>
      </c>
    </row>
    <row r="197" spans="1:45" x14ac:dyDescent="0.15">
      <c r="A197" s="7">
        <f>SUM(C197:AS197)</f>
        <v>3</v>
      </c>
      <c r="B197" s="27" t="s">
        <v>15</v>
      </c>
      <c r="C197" s="26">
        <v>0</v>
      </c>
      <c r="D197" s="26">
        <v>0</v>
      </c>
      <c r="E197" s="26">
        <v>2</v>
      </c>
      <c r="F197" s="26">
        <v>0</v>
      </c>
      <c r="G197" s="26">
        <v>0</v>
      </c>
      <c r="H197" s="26">
        <v>0</v>
      </c>
      <c r="I197" s="26">
        <v>1</v>
      </c>
      <c r="J197" s="26">
        <f t="shared" ref="J197" si="2566">IF(J$8="","",I190+I191-J190)</f>
        <v>0</v>
      </c>
      <c r="K197" s="26">
        <f t="shared" ref="K197" si="2567">IF(K$8="","",J190+J191-K190)</f>
        <v>0</v>
      </c>
      <c r="L197" s="26">
        <f t="shared" ref="L197" si="2568">IF(L$8="","",K190+K191-L190)</f>
        <v>0</v>
      </c>
      <c r="M197" s="26" t="str">
        <f t="shared" ref="M197" si="2569">IF(M$8="","",L190+L191-M190)</f>
        <v/>
      </c>
      <c r="N197" s="26" t="str">
        <f t="shared" ref="N197" si="2570">IF(N$8="","",M190+M191-N190)</f>
        <v/>
      </c>
      <c r="O197" s="26" t="str">
        <f t="shared" ref="O197" si="2571">IF(O$8="","",N190+N191-O190)</f>
        <v/>
      </c>
      <c r="P197" s="26" t="str">
        <f t="shared" ref="P197" si="2572">IF(P$8="","",O190+O191-P190)</f>
        <v/>
      </c>
      <c r="Q197" s="26" t="str">
        <f t="shared" ref="Q197" si="2573">IF(Q$8="","",P190+P191-Q190)</f>
        <v/>
      </c>
      <c r="R197" s="26" t="str">
        <f t="shared" ref="R197" si="2574">IF(R$8="","",Q190+Q191-R190)</f>
        <v/>
      </c>
      <c r="S197" s="26" t="str">
        <f t="shared" ref="S197" si="2575">IF(S$8="","",R190+R191-S190)</f>
        <v/>
      </c>
      <c r="T197" s="26" t="str">
        <f t="shared" ref="T197" si="2576">IF(T$8="","",S190+S191-T190)</f>
        <v/>
      </c>
      <c r="U197" s="26" t="str">
        <f t="shared" ref="U197" si="2577">IF(U$8="","",T190+T191-U190)</f>
        <v/>
      </c>
      <c r="V197" s="26" t="str">
        <f t="shared" ref="V197" si="2578">IF(V$8="","",U190+U191-V190)</f>
        <v/>
      </c>
      <c r="W197" s="26" t="str">
        <f t="shared" ref="W197" si="2579">IF(W$8="","",V190+V191-W190)</f>
        <v/>
      </c>
      <c r="X197" s="26" t="str">
        <f t="shared" ref="X197" si="2580">IF(X$8="","",W190+W191-X190)</f>
        <v/>
      </c>
      <c r="Y197" s="26" t="str">
        <f t="shared" ref="Y197" si="2581">IF(Y$8="","",X190+X191-Y190)</f>
        <v/>
      </c>
      <c r="Z197" s="26" t="str">
        <f t="shared" ref="Z197" si="2582">IF(Z$8="","",Y190+Y191-Z190)</f>
        <v/>
      </c>
      <c r="AA197" s="26" t="str">
        <f t="shared" ref="AA197" si="2583">IF(AA$8="","",Z190+Z191-AA190)</f>
        <v/>
      </c>
      <c r="AB197" s="26" t="str">
        <f t="shared" ref="AB197" si="2584">IF(AB$8="","",AA190+AA191-AB190)</f>
        <v/>
      </c>
      <c r="AC197" s="26" t="str">
        <f t="shared" ref="AC197" si="2585">IF(AC$8="","",AB190+AB191-AC190)</f>
        <v/>
      </c>
      <c r="AD197" s="26" t="str">
        <f t="shared" ref="AD197" si="2586">IF(AD$8="","",AC190+AC191-AD190)</f>
        <v/>
      </c>
      <c r="AE197" s="26" t="str">
        <f t="shared" ref="AE197" si="2587">IF(AE$8="","",AD190+AD191-AE190)</f>
        <v/>
      </c>
      <c r="AF197" s="26" t="str">
        <f t="shared" ref="AF197" si="2588">IF(AF$8="","",AE190+AE191-AF190)</f>
        <v/>
      </c>
      <c r="AG197" s="26" t="str">
        <f t="shared" ref="AG197" si="2589">IF(AG$8="","",AF190+AF191-AG190)</f>
        <v/>
      </c>
      <c r="AH197" s="26" t="str">
        <f t="shared" ref="AH197" si="2590">IF(AH$8="","",AG190+AG191-AH190)</f>
        <v/>
      </c>
      <c r="AI197" s="26" t="str">
        <f t="shared" ref="AI197" si="2591">IF(AI$8="","",AH190+AH191-AI190)</f>
        <v/>
      </c>
      <c r="AJ197" s="26" t="str">
        <f t="shared" ref="AJ197" si="2592">IF(AJ$8="","",AI190+AI191-AJ190)</f>
        <v/>
      </c>
      <c r="AK197" s="26" t="str">
        <f t="shared" ref="AK197" si="2593">IF(AK$8="","",AJ190+AJ191-AK190)</f>
        <v/>
      </c>
      <c r="AL197" s="26" t="str">
        <f t="shared" ref="AL197" si="2594">IF(AL$8="","",AK190+AK191-AL190)</f>
        <v/>
      </c>
      <c r="AM197" s="26" t="str">
        <f t="shared" ref="AM197" si="2595">IF(AM$8="","",AL190+AL191-AM190)</f>
        <v/>
      </c>
      <c r="AN197" s="26" t="str">
        <f t="shared" ref="AN197" si="2596">IF(AN$8="","",AM190+AM191-AN190)</f>
        <v/>
      </c>
      <c r="AO197" s="26" t="str">
        <f t="shared" ref="AO197:AS197" si="2597">IF(AO$8="","",AN190+AN191-AO190)</f>
        <v/>
      </c>
      <c r="AP197" s="26" t="str">
        <f t="shared" si="2597"/>
        <v/>
      </c>
      <c r="AQ197" s="26" t="str">
        <f t="shared" si="2597"/>
        <v/>
      </c>
      <c r="AR197" s="26" t="str">
        <f t="shared" si="2597"/>
        <v/>
      </c>
      <c r="AS197" s="26" t="str">
        <f t="shared" si="2597"/>
        <v/>
      </c>
    </row>
    <row r="198" spans="1:45" x14ac:dyDescent="0.15">
      <c r="A198" s="7">
        <f>SUM(C198:AS198)</f>
        <v>2400</v>
      </c>
      <c r="B198" s="27" t="s">
        <v>16</v>
      </c>
      <c r="C198" s="26">
        <v>0</v>
      </c>
      <c r="D198" s="26">
        <v>0</v>
      </c>
      <c r="E198" s="26">
        <v>1600</v>
      </c>
      <c r="F198" s="26">
        <v>0</v>
      </c>
      <c r="G198" s="26">
        <v>0</v>
      </c>
      <c r="H198" s="26">
        <v>0</v>
      </c>
      <c r="I198" s="26">
        <v>800</v>
      </c>
      <c r="J198" s="26">
        <f t="shared" ref="H198:AM198" si="2598">IF(J$8="","",J197*J192)</f>
        <v>0</v>
      </c>
      <c r="K198" s="26">
        <f t="shared" si="2598"/>
        <v>0</v>
      </c>
      <c r="L198" s="26">
        <f t="shared" si="2598"/>
        <v>0</v>
      </c>
      <c r="M198" s="26" t="str">
        <f t="shared" si="2598"/>
        <v/>
      </c>
      <c r="N198" s="26" t="str">
        <f t="shared" si="2598"/>
        <v/>
      </c>
      <c r="O198" s="26" t="str">
        <f t="shared" si="2598"/>
        <v/>
      </c>
      <c r="P198" s="26" t="str">
        <f t="shared" si="2598"/>
        <v/>
      </c>
      <c r="Q198" s="26" t="str">
        <f t="shared" si="2598"/>
        <v/>
      </c>
      <c r="R198" s="26" t="str">
        <f t="shared" si="2598"/>
        <v/>
      </c>
      <c r="S198" s="26" t="str">
        <f t="shared" si="2598"/>
        <v/>
      </c>
      <c r="T198" s="26" t="str">
        <f t="shared" si="2598"/>
        <v/>
      </c>
      <c r="U198" s="26" t="str">
        <f t="shared" si="2598"/>
        <v/>
      </c>
      <c r="V198" s="26" t="str">
        <f t="shared" si="2598"/>
        <v/>
      </c>
      <c r="W198" s="26" t="str">
        <f t="shared" si="2598"/>
        <v/>
      </c>
      <c r="X198" s="26" t="str">
        <f t="shared" si="2598"/>
        <v/>
      </c>
      <c r="Y198" s="26" t="str">
        <f t="shared" si="2598"/>
        <v/>
      </c>
      <c r="Z198" s="26" t="str">
        <f t="shared" si="2598"/>
        <v/>
      </c>
      <c r="AA198" s="26" t="str">
        <f t="shared" si="2598"/>
        <v/>
      </c>
      <c r="AB198" s="26" t="str">
        <f t="shared" si="2598"/>
        <v/>
      </c>
      <c r="AC198" s="26" t="str">
        <f t="shared" si="2598"/>
        <v/>
      </c>
      <c r="AD198" s="26" t="str">
        <f t="shared" si="2598"/>
        <v/>
      </c>
      <c r="AE198" s="26" t="str">
        <f t="shared" si="2598"/>
        <v/>
      </c>
      <c r="AF198" s="26" t="str">
        <f t="shared" si="2598"/>
        <v/>
      </c>
      <c r="AG198" s="26" t="str">
        <f t="shared" si="2598"/>
        <v/>
      </c>
      <c r="AH198" s="26" t="str">
        <f t="shared" si="2598"/>
        <v/>
      </c>
      <c r="AI198" s="26" t="str">
        <f t="shared" si="2598"/>
        <v/>
      </c>
      <c r="AJ198" s="26" t="str">
        <f t="shared" si="2598"/>
        <v/>
      </c>
      <c r="AK198" s="26" t="str">
        <f t="shared" si="2598"/>
        <v/>
      </c>
      <c r="AL198" s="26" t="str">
        <f t="shared" si="2598"/>
        <v/>
      </c>
      <c r="AM198" s="26" t="str">
        <f t="shared" si="2598"/>
        <v/>
      </c>
      <c r="AN198" s="26" t="str">
        <f t="shared" ref="D198:AN198" si="2599">IF(AN$8="","",AN197*AN192)</f>
        <v/>
      </c>
      <c r="AO198" s="26" t="str">
        <f t="shared" ref="AO198:AS198" si="2600">IF(AO$8="","",AO197*AO192)</f>
        <v/>
      </c>
      <c r="AP198" s="26" t="str">
        <f t="shared" si="2600"/>
        <v/>
      </c>
      <c r="AQ198" s="26" t="str">
        <f t="shared" si="2600"/>
        <v/>
      </c>
      <c r="AR198" s="26" t="str">
        <f t="shared" si="2600"/>
        <v/>
      </c>
      <c r="AS198" s="26" t="str">
        <f t="shared" si="2600"/>
        <v/>
      </c>
    </row>
    <row r="199" spans="1:45" ht="12" thickBot="1" x14ac:dyDescent="0.2">
      <c r="A199" s="4">
        <f>IF(A198="","",A198/(A195*100))</f>
        <v>0.17391304347826086</v>
      </c>
      <c r="B199" s="24" t="s">
        <v>18</v>
      </c>
      <c r="C199" s="23" t="s">
        <v>19</v>
      </c>
      <c r="D199" s="23" t="s">
        <v>19</v>
      </c>
      <c r="E199" s="23">
        <v>0.18823529411764706</v>
      </c>
      <c r="F199" s="23" t="s">
        <v>19</v>
      </c>
      <c r="G199" s="23" t="s">
        <v>19</v>
      </c>
      <c r="H199" s="23" t="s">
        <v>19</v>
      </c>
      <c r="I199" s="23">
        <v>0.25</v>
      </c>
      <c r="J199" s="23" t="str">
        <f t="shared" ref="H199:AM199" si="2601">IF(J$8="","",IF(J198=0,"",J198/(J195*100)))</f>
        <v/>
      </c>
      <c r="K199" s="23" t="str">
        <f t="shared" si="2601"/>
        <v/>
      </c>
      <c r="L199" s="23" t="str">
        <f t="shared" si="2601"/>
        <v/>
      </c>
      <c r="M199" s="23" t="str">
        <f t="shared" si="2601"/>
        <v/>
      </c>
      <c r="N199" s="23" t="str">
        <f t="shared" si="2601"/>
        <v/>
      </c>
      <c r="O199" s="23" t="str">
        <f t="shared" si="2601"/>
        <v/>
      </c>
      <c r="P199" s="23" t="str">
        <f t="shared" si="2601"/>
        <v/>
      </c>
      <c r="Q199" s="23" t="str">
        <f t="shared" si="2601"/>
        <v/>
      </c>
      <c r="R199" s="23" t="str">
        <f t="shared" si="2601"/>
        <v/>
      </c>
      <c r="S199" s="23" t="str">
        <f t="shared" si="2601"/>
        <v/>
      </c>
      <c r="T199" s="23" t="str">
        <f t="shared" si="2601"/>
        <v/>
      </c>
      <c r="U199" s="23" t="str">
        <f t="shared" si="2601"/>
        <v/>
      </c>
      <c r="V199" s="23" t="str">
        <f t="shared" si="2601"/>
        <v/>
      </c>
      <c r="W199" s="23" t="str">
        <f t="shared" si="2601"/>
        <v/>
      </c>
      <c r="X199" s="23" t="str">
        <f t="shared" si="2601"/>
        <v/>
      </c>
      <c r="Y199" s="23" t="str">
        <f t="shared" si="2601"/>
        <v/>
      </c>
      <c r="Z199" s="23" t="str">
        <f t="shared" si="2601"/>
        <v/>
      </c>
      <c r="AA199" s="23" t="str">
        <f t="shared" si="2601"/>
        <v/>
      </c>
      <c r="AB199" s="23" t="str">
        <f t="shared" si="2601"/>
        <v/>
      </c>
      <c r="AC199" s="23" t="str">
        <f t="shared" si="2601"/>
        <v/>
      </c>
      <c r="AD199" s="23" t="str">
        <f t="shared" si="2601"/>
        <v/>
      </c>
      <c r="AE199" s="23" t="str">
        <f t="shared" si="2601"/>
        <v/>
      </c>
      <c r="AF199" s="23" t="str">
        <f t="shared" si="2601"/>
        <v/>
      </c>
      <c r="AG199" s="23" t="str">
        <f t="shared" si="2601"/>
        <v/>
      </c>
      <c r="AH199" s="23" t="str">
        <f t="shared" si="2601"/>
        <v/>
      </c>
      <c r="AI199" s="23" t="str">
        <f t="shared" si="2601"/>
        <v/>
      </c>
      <c r="AJ199" s="23" t="str">
        <f t="shared" si="2601"/>
        <v/>
      </c>
      <c r="AK199" s="23" t="str">
        <f t="shared" si="2601"/>
        <v/>
      </c>
      <c r="AL199" s="23" t="str">
        <f t="shared" si="2601"/>
        <v/>
      </c>
      <c r="AM199" s="23" t="str">
        <f t="shared" si="2601"/>
        <v/>
      </c>
      <c r="AN199" s="23" t="str">
        <f t="shared" ref="D199:AN199" si="2602">IF(AN$8="","",IF(AN198=0,"",AN198/(AN195*100)))</f>
        <v/>
      </c>
      <c r="AO199" s="23" t="str">
        <f t="shared" ref="AO199:AS199" si="2603">IF(AO$8="","",IF(AO198=0,"",AO198/(AO195*100)))</f>
        <v/>
      </c>
      <c r="AP199" s="23" t="str">
        <f t="shared" si="2603"/>
        <v/>
      </c>
      <c r="AQ199" s="23" t="str">
        <f t="shared" si="2603"/>
        <v/>
      </c>
      <c r="AR199" s="23" t="str">
        <f t="shared" si="2603"/>
        <v/>
      </c>
      <c r="AS199" s="23" t="str">
        <f t="shared" si="2603"/>
        <v/>
      </c>
    </row>
    <row r="200" spans="1:45" x14ac:dyDescent="0.15">
      <c r="A200" s="17" t="s">
        <v>1</v>
      </c>
      <c r="B200" s="39" t="s">
        <v>2</v>
      </c>
      <c r="C200" s="38">
        <v>5326</v>
      </c>
      <c r="D200" s="38">
        <v>5326</v>
      </c>
      <c r="E200" s="38">
        <v>5341</v>
      </c>
      <c r="F200" s="38">
        <v>5341</v>
      </c>
      <c r="G200" s="38">
        <v>5341</v>
      </c>
      <c r="H200" s="38">
        <v>5341</v>
      </c>
      <c r="I200" s="38">
        <v>5376</v>
      </c>
      <c r="J200" s="38">
        <f>IF(J$8="","",I200)</f>
        <v>5376</v>
      </c>
      <c r="K200" s="38">
        <f t="shared" ref="K200:K201" si="2604">IF(K$8="","",J200)</f>
        <v>5376</v>
      </c>
      <c r="L200" s="38">
        <v>5408</v>
      </c>
      <c r="M200" s="38" t="str">
        <f>IF(M$8="","",L200)</f>
        <v/>
      </c>
      <c r="N200" s="38" t="str">
        <f t="shared" ref="N200:N201" si="2605">IF(N$8="","",M200)</f>
        <v/>
      </c>
      <c r="O200" s="38" t="str">
        <f t="shared" ref="O200:O201" si="2606">IF(O$8="","",N200)</f>
        <v/>
      </c>
      <c r="P200" s="38" t="str">
        <f>IF(P$8="","",O200)</f>
        <v/>
      </c>
      <c r="Q200" s="38" t="str">
        <f>IF(Q$8="","",P200)</f>
        <v/>
      </c>
      <c r="R200" s="38" t="str">
        <f t="shared" ref="R200:R201" si="2607">IF(R$8="","",Q200)</f>
        <v/>
      </c>
      <c r="S200" s="38" t="str">
        <f>IF(S$8="","",R200)</f>
        <v/>
      </c>
      <c r="T200" s="38" t="str">
        <f>IF(T$8="","",S200)</f>
        <v/>
      </c>
      <c r="U200" s="38" t="str">
        <f t="shared" ref="U200:U201" si="2608">IF(U$8="","",T200)</f>
        <v/>
      </c>
      <c r="V200" s="38" t="str">
        <f t="shared" ref="V200:V201" si="2609">IF(V$8="","",U200)</f>
        <v/>
      </c>
      <c r="W200" s="38" t="str">
        <f>IF(W$8="","",V200)</f>
        <v/>
      </c>
      <c r="X200" s="38" t="str">
        <f>IF(X$8="","",W200)</f>
        <v/>
      </c>
      <c r="Y200" s="38" t="str">
        <f t="shared" ref="Y200:Y201" si="2610">IF(Y$8="","",X200)</f>
        <v/>
      </c>
      <c r="Z200" s="38" t="str">
        <f>IF(Z$8="","",Y200)</f>
        <v/>
      </c>
      <c r="AA200" s="38" t="str">
        <f>IF(AA$8="","",Z200)</f>
        <v/>
      </c>
      <c r="AB200" s="38" t="str">
        <f t="shared" ref="AB200:AB201" si="2611">IF(AB$8="","",AA200)</f>
        <v/>
      </c>
      <c r="AC200" s="38" t="str">
        <f t="shared" ref="AC200:AC201" si="2612">IF(AC$8="","",AB200)</f>
        <v/>
      </c>
      <c r="AD200" s="38" t="str">
        <f>IF(AD$8="","",AC200)</f>
        <v/>
      </c>
      <c r="AE200" s="38" t="str">
        <f>IF(AE$8="","",AD200)</f>
        <v/>
      </c>
      <c r="AF200" s="38" t="str">
        <f t="shared" ref="AF200:AF201" si="2613">IF(AF$8="","",AE200)</f>
        <v/>
      </c>
      <c r="AG200" s="38" t="str">
        <f>IF(AG$8="","",AF200)</f>
        <v/>
      </c>
      <c r="AH200" s="38" t="str">
        <f t="shared" ref="AH200:AH201" si="2614">IF(AH$8="","",AG200)</f>
        <v/>
      </c>
      <c r="AI200" s="38" t="str">
        <f t="shared" ref="AI200:AI201" si="2615">IF(AI$8="","",AH200)</f>
        <v/>
      </c>
      <c r="AJ200" s="38" t="str">
        <f t="shared" ref="AJ200:AJ201" si="2616">IF(AJ$8="","",AI200)</f>
        <v/>
      </c>
      <c r="AK200" s="38" t="str">
        <f>IF(AK$8="","",AJ200)</f>
        <v/>
      </c>
      <c r="AL200" s="38" t="str">
        <f t="shared" ref="AL200:AL201" si="2617">IF(AL$8="","",AK200)</f>
        <v/>
      </c>
      <c r="AM200" s="38" t="str">
        <f t="shared" ref="AM200:AM201" si="2618">IF(AM$8="","",AL200)</f>
        <v/>
      </c>
      <c r="AN200" s="38" t="str">
        <f t="shared" ref="AN200:AN201" si="2619">IF(AN$8="","",AM200)</f>
        <v/>
      </c>
      <c r="AO200" s="38" t="str">
        <f t="shared" ref="AO200:AS200" si="2620">IF(AO$8="","",AN200)</f>
        <v/>
      </c>
      <c r="AP200" s="38" t="str">
        <f t="shared" si="2620"/>
        <v/>
      </c>
      <c r="AQ200" s="38" t="str">
        <f t="shared" si="2620"/>
        <v/>
      </c>
      <c r="AR200" s="38" t="str">
        <f t="shared" si="2620"/>
        <v/>
      </c>
      <c r="AS200" s="38" t="str">
        <f t="shared" si="2620"/>
        <v/>
      </c>
    </row>
    <row r="201" spans="1:45" x14ac:dyDescent="0.15">
      <c r="A201" s="16" t="s">
        <v>36</v>
      </c>
      <c r="B201" s="30" t="s">
        <v>4</v>
      </c>
      <c r="C201" s="29">
        <v>199</v>
      </c>
      <c r="D201" s="29">
        <v>199</v>
      </c>
      <c r="E201" s="29">
        <v>199</v>
      </c>
      <c r="F201" s="29">
        <v>199</v>
      </c>
      <c r="G201" s="29">
        <v>199</v>
      </c>
      <c r="H201" s="29">
        <v>199</v>
      </c>
      <c r="I201" s="29">
        <v>200</v>
      </c>
      <c r="J201" s="29">
        <f>IF(J$8="","",I201)</f>
        <v>200</v>
      </c>
      <c r="K201" s="29">
        <f t="shared" si="2604"/>
        <v>200</v>
      </c>
      <c r="L201" s="29">
        <f>IF(L$8="","",K201)</f>
        <v>200</v>
      </c>
      <c r="M201" s="29" t="str">
        <f>IF(M$8="","",L201)</f>
        <v/>
      </c>
      <c r="N201" s="29" t="str">
        <f t="shared" si="2605"/>
        <v/>
      </c>
      <c r="O201" s="29" t="str">
        <f t="shared" si="2606"/>
        <v/>
      </c>
      <c r="P201" s="29" t="str">
        <f>IF(P$8="","",O201)</f>
        <v/>
      </c>
      <c r="Q201" s="29" t="str">
        <f>IF(Q$8="","",P201)</f>
        <v/>
      </c>
      <c r="R201" s="29" t="str">
        <f t="shared" si="2607"/>
        <v/>
      </c>
      <c r="S201" s="29" t="str">
        <f>IF(S$8="","",R201)</f>
        <v/>
      </c>
      <c r="T201" s="29" t="str">
        <f t="shared" ref="T201" si="2621">IF(T$8="","",S201)</f>
        <v/>
      </c>
      <c r="U201" s="29" t="str">
        <f t="shared" si="2608"/>
        <v/>
      </c>
      <c r="V201" s="29" t="str">
        <f t="shared" si="2609"/>
        <v/>
      </c>
      <c r="W201" s="29" t="str">
        <f>IF(W$8="","",V201)</f>
        <v/>
      </c>
      <c r="X201" s="29" t="str">
        <f>IF(X$8="","",W201)</f>
        <v/>
      </c>
      <c r="Y201" s="29" t="str">
        <f t="shared" si="2610"/>
        <v/>
      </c>
      <c r="Z201" s="29" t="str">
        <f t="shared" ref="Z200:Z201" si="2622">IF(Z$8="","",Y201)</f>
        <v/>
      </c>
      <c r="AA201" s="29" t="str">
        <f>IF(AA$8="","",Z201)</f>
        <v/>
      </c>
      <c r="AB201" s="29" t="str">
        <f t="shared" si="2611"/>
        <v/>
      </c>
      <c r="AC201" s="29" t="str">
        <f t="shared" si="2612"/>
        <v/>
      </c>
      <c r="AD201" s="29" t="str">
        <f t="shared" ref="AD200:AD201" si="2623">IF(AD$8="","",AC201)</f>
        <v/>
      </c>
      <c r="AE201" s="29" t="str">
        <f>IF(AE$8="","",AD201)</f>
        <v/>
      </c>
      <c r="AF201" s="29" t="str">
        <f t="shared" si="2613"/>
        <v/>
      </c>
      <c r="AG201" s="29" t="str">
        <f t="shared" ref="AG200:AG201" si="2624">IF(AG$8="","",AF201)</f>
        <v/>
      </c>
      <c r="AH201" s="29" t="str">
        <f t="shared" si="2614"/>
        <v/>
      </c>
      <c r="AI201" s="29" t="str">
        <f t="shared" si="2615"/>
        <v/>
      </c>
      <c r="AJ201" s="29" t="str">
        <f t="shared" si="2616"/>
        <v/>
      </c>
      <c r="AK201" s="29" t="str">
        <f>IF(AK$8="","",AJ201)</f>
        <v/>
      </c>
      <c r="AL201" s="29" t="str">
        <f t="shared" si="2617"/>
        <v/>
      </c>
      <c r="AM201" s="29" t="str">
        <f t="shared" si="2618"/>
        <v/>
      </c>
      <c r="AN201" s="29" t="str">
        <f t="shared" si="2619"/>
        <v/>
      </c>
      <c r="AO201" s="29" t="str">
        <f t="shared" ref="AO201:AS201" si="2625">IF(AO$8="","",AN201)</f>
        <v/>
      </c>
      <c r="AP201" s="29" t="str">
        <f t="shared" si="2625"/>
        <v/>
      </c>
      <c r="AQ201" s="29" t="str">
        <f t="shared" si="2625"/>
        <v/>
      </c>
      <c r="AR201" s="29" t="str">
        <f t="shared" si="2625"/>
        <v/>
      </c>
      <c r="AS201" s="29" t="str">
        <f t="shared" si="2625"/>
        <v/>
      </c>
    </row>
    <row r="202" spans="1:45" x14ac:dyDescent="0.15">
      <c r="A202" s="15">
        <v>1</v>
      </c>
      <c r="B202" s="30" t="s">
        <v>5</v>
      </c>
      <c r="C202" s="29">
        <v>9</v>
      </c>
      <c r="D202" s="29">
        <v>9</v>
      </c>
      <c r="E202" s="29">
        <v>9</v>
      </c>
      <c r="F202" s="29">
        <v>9</v>
      </c>
      <c r="G202" s="29">
        <v>9</v>
      </c>
      <c r="H202" s="29">
        <v>9</v>
      </c>
      <c r="I202" s="29">
        <v>8</v>
      </c>
      <c r="J202" s="29">
        <f>IF(J$8="","",(I202+I203))</f>
        <v>8</v>
      </c>
      <c r="K202" s="29">
        <f t="shared" ref="K202" si="2626">IF(K$8="","",(J202+J203))</f>
        <v>8</v>
      </c>
      <c r="L202" s="29">
        <f>IF(L$8="","",(K202+K203))</f>
        <v>8</v>
      </c>
      <c r="M202" s="29" t="str">
        <f>IF(M$8="","",(L202+L203))</f>
        <v/>
      </c>
      <c r="N202" s="29" t="str">
        <f t="shared" ref="N202" si="2627">IF(N$8="","",(M202+M203))</f>
        <v/>
      </c>
      <c r="O202" s="29" t="str">
        <f t="shared" ref="O202" si="2628">IF(O$8="","",(N202+N203))</f>
        <v/>
      </c>
      <c r="P202" s="29" t="str">
        <f>IF(P$8="","",(O202+O203))</f>
        <v/>
      </c>
      <c r="Q202" s="29" t="str">
        <f>IF(Q$8="","",(P202+P203))</f>
        <v/>
      </c>
      <c r="R202" s="29" t="str">
        <f t="shared" ref="R202" si="2629">IF(R$8="","",(Q202+Q203))</f>
        <v/>
      </c>
      <c r="S202" s="29" t="str">
        <f>IF(S$8="","",(R202+R203))</f>
        <v/>
      </c>
      <c r="T202" s="29" t="str">
        <f>IF(T$8="","",(S202+S203))</f>
        <v/>
      </c>
      <c r="U202" s="29" t="str">
        <f t="shared" ref="U202" si="2630">IF(U$8="","",(T202+T203))</f>
        <v/>
      </c>
      <c r="V202" s="29" t="str">
        <f t="shared" ref="V202" si="2631">IF(V$8="","",(U202+U203))</f>
        <v/>
      </c>
      <c r="W202" s="29" t="str">
        <f>IF(W$8="","",(V202+V203))</f>
        <v/>
      </c>
      <c r="X202" s="29" t="str">
        <f>IF(X$8="","",(W202+W203))</f>
        <v/>
      </c>
      <c r="Y202" s="29" t="str">
        <f t="shared" ref="Y202" si="2632">IF(Y$8="","",(X202+X203))</f>
        <v/>
      </c>
      <c r="Z202" s="29" t="str">
        <f t="shared" ref="Z202" si="2633">IF(Z$8="","",(Y202+Y203))</f>
        <v/>
      </c>
      <c r="AA202" s="29" t="str">
        <f>IF(AA$8="","",(Z202+Z203))</f>
        <v/>
      </c>
      <c r="AB202" s="29" t="str">
        <f t="shared" ref="AB202" si="2634">IF(AB$8="","",(AA202+AA203))</f>
        <v/>
      </c>
      <c r="AC202" s="29" t="str">
        <f t="shared" ref="AC202" si="2635">IF(AC$8="","",(AB202+AB203))</f>
        <v/>
      </c>
      <c r="AD202" s="29" t="str">
        <f t="shared" ref="AD202" si="2636">IF(AD$8="","",(AC202+AC203))</f>
        <v/>
      </c>
      <c r="AE202" s="29" t="str">
        <f>IF(AE$8="","",(AD202+AD203))</f>
        <v/>
      </c>
      <c r="AF202" s="29" t="str">
        <f t="shared" ref="AF202" si="2637">IF(AF$8="","",(AE202+AE203))</f>
        <v/>
      </c>
      <c r="AG202" s="29" t="str">
        <f t="shared" ref="AG202" si="2638">IF(AG$8="","",(AF202+AF203))</f>
        <v/>
      </c>
      <c r="AH202" s="29" t="str">
        <f t="shared" ref="AH202" si="2639">IF(AH$8="","",(AG202+AG203))</f>
        <v/>
      </c>
      <c r="AI202" s="29" t="str">
        <f t="shared" ref="AI202" si="2640">IF(AI$8="","",(AH202+AH203))</f>
        <v/>
      </c>
      <c r="AJ202" s="29" t="str">
        <f t="shared" ref="AJ202" si="2641">IF(AJ$8="","",(AI202+AI203))</f>
        <v/>
      </c>
      <c r="AK202" s="29" t="str">
        <f>IF(AK$8="","",(AJ202+AJ203))</f>
        <v/>
      </c>
      <c r="AL202" s="29" t="str">
        <f t="shared" ref="AL202" si="2642">IF(AL$8="","",(AK202+AK203))</f>
        <v/>
      </c>
      <c r="AM202" s="29" t="str">
        <f t="shared" ref="AM202" si="2643">IF(AM$8="","",(AL202+AL203))</f>
        <v/>
      </c>
      <c r="AN202" s="29" t="str">
        <f t="shared" ref="AN202" si="2644">IF(AN$8="","",(AM202+AM203))</f>
        <v/>
      </c>
      <c r="AO202" s="29" t="str">
        <f t="shared" ref="AO202:AS202" si="2645">IF(AO$8="","",(AN202+AN203))</f>
        <v/>
      </c>
      <c r="AP202" s="29" t="str">
        <f t="shared" si="2645"/>
        <v/>
      </c>
      <c r="AQ202" s="29" t="str">
        <f t="shared" si="2645"/>
        <v/>
      </c>
      <c r="AR202" s="29" t="str">
        <f t="shared" si="2645"/>
        <v/>
      </c>
      <c r="AS202" s="29" t="str">
        <f t="shared" si="2645"/>
        <v/>
      </c>
    </row>
    <row r="203" spans="1:45" x14ac:dyDescent="0.15">
      <c r="A203" s="92" t="s">
        <v>6</v>
      </c>
      <c r="B203" s="30" t="s">
        <v>7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</row>
    <row r="204" spans="1:45" x14ac:dyDescent="0.15">
      <c r="A204" s="93">
        <f>+(A207+A219+A231+A243)*100</f>
        <v>55900</v>
      </c>
      <c r="B204" s="30" t="s">
        <v>8</v>
      </c>
      <c r="C204" s="35">
        <v>400</v>
      </c>
      <c r="D204" s="35">
        <v>400</v>
      </c>
      <c r="E204" s="35">
        <v>400</v>
      </c>
      <c r="F204" s="35">
        <v>400</v>
      </c>
      <c r="G204" s="35">
        <v>400</v>
      </c>
      <c r="H204" s="35">
        <v>400</v>
      </c>
      <c r="I204" s="35">
        <v>400</v>
      </c>
      <c r="J204" s="35">
        <f t="shared" ref="J204:J205" si="2646">IF(J$8="","",I204)</f>
        <v>400</v>
      </c>
      <c r="K204" s="35">
        <f>IF(K$8="","",J204)</f>
        <v>400</v>
      </c>
      <c r="L204" s="35">
        <f t="shared" ref="L204:L205" si="2647">IF(L$8="","",K204)</f>
        <v>400</v>
      </c>
      <c r="M204" s="35" t="str">
        <f t="shared" ref="M204:M205" si="2648">IF(M$8="","",L204)</f>
        <v/>
      </c>
      <c r="N204" s="35" t="str">
        <f t="shared" ref="N204:N205" si="2649">IF(N$8="","",M204)</f>
        <v/>
      </c>
      <c r="O204" s="35" t="str">
        <f t="shared" ref="O204:O205" si="2650">IF(O$8="","",N204)</f>
        <v/>
      </c>
      <c r="P204" s="35" t="str">
        <f t="shared" ref="P204:P205" si="2651">IF(P$8="","",O204)</f>
        <v/>
      </c>
      <c r="Q204" s="35" t="str">
        <f t="shared" ref="Q204:Q205" si="2652">IF(Q$8="","",P204)</f>
        <v/>
      </c>
      <c r="R204" s="35" t="str">
        <f t="shared" ref="R204:R205" si="2653">IF(R$8="","",Q204)</f>
        <v/>
      </c>
      <c r="S204" s="35" t="str">
        <f t="shared" ref="S204:S205" si="2654">IF(S$8="","",R204)</f>
        <v/>
      </c>
      <c r="T204" s="35" t="str">
        <f t="shared" ref="T204:T205" si="2655">IF(T$8="","",S204)</f>
        <v/>
      </c>
      <c r="U204" s="35" t="str">
        <f t="shared" ref="U204:U205" si="2656">IF(U$8="","",T204)</f>
        <v/>
      </c>
      <c r="V204" s="35" t="str">
        <f t="shared" ref="V204:V205" si="2657">IF(V$8="","",U204)</f>
        <v/>
      </c>
      <c r="W204" s="35" t="str">
        <f t="shared" ref="W204:W205" si="2658">IF(W$8="","",V204)</f>
        <v/>
      </c>
      <c r="X204" s="35" t="str">
        <f t="shared" ref="X204:X205" si="2659">IF(X$8="","",W204)</f>
        <v/>
      </c>
      <c r="Y204" s="35" t="str">
        <f t="shared" ref="Y204:Y205" si="2660">IF(Y$8="","",X204)</f>
        <v/>
      </c>
      <c r="Z204" s="35" t="str">
        <f t="shared" ref="Z204:Z205" si="2661">IF(Z$8="","",Y204)</f>
        <v/>
      </c>
      <c r="AA204" s="35" t="str">
        <f t="shared" ref="AA204:AA205" si="2662">IF(AA$8="","",Z204)</f>
        <v/>
      </c>
      <c r="AB204" s="35" t="str">
        <f t="shared" ref="AB204:AB205" si="2663">IF(AB$8="","",AA204)</f>
        <v/>
      </c>
      <c r="AC204" s="35" t="str">
        <f t="shared" ref="AC204:AC205" si="2664">IF(AC$8="","",AB204)</f>
        <v/>
      </c>
      <c r="AD204" s="35" t="str">
        <f t="shared" ref="AD204:AD205" si="2665">IF(AD$8="","",AC204)</f>
        <v/>
      </c>
      <c r="AE204" s="35" t="str">
        <f t="shared" ref="AE204:AE205" si="2666">IF(AE$8="","",AD204)</f>
        <v/>
      </c>
      <c r="AF204" s="35" t="str">
        <f t="shared" ref="AF204:AF205" si="2667">IF(AF$8="","",AE204)</f>
        <v/>
      </c>
      <c r="AG204" s="35" t="str">
        <f t="shared" ref="AG204:AG205" si="2668">IF(AG$8="","",AF204)</f>
        <v/>
      </c>
      <c r="AH204" s="35" t="str">
        <f t="shared" ref="AH204:AH205" si="2669">IF(AH$8="","",AG204)</f>
        <v/>
      </c>
      <c r="AI204" s="35" t="str">
        <f t="shared" ref="AI204:AI205" si="2670">IF(AI$8="","",AH204)</f>
        <v/>
      </c>
      <c r="AJ204" s="35" t="str">
        <f t="shared" ref="AJ204:AJ205" si="2671">IF(AJ$8="","",AI204)</f>
        <v/>
      </c>
      <c r="AK204" s="35" t="str">
        <f t="shared" ref="AK204:AK205" si="2672">IF(AK$8="","",AJ204)</f>
        <v/>
      </c>
      <c r="AL204" s="35" t="str">
        <f t="shared" ref="AL204:AL205" si="2673">IF(AL$8="","",AK204)</f>
        <v/>
      </c>
      <c r="AM204" s="35" t="str">
        <f t="shared" ref="AM204:AM205" si="2674">IF(AM$8="","",AL204)</f>
        <v/>
      </c>
      <c r="AN204" s="35" t="str">
        <f t="shared" ref="AN204:AN205" si="2675">IF(AN$8="","",AM204)</f>
        <v/>
      </c>
      <c r="AO204" s="35" t="str">
        <f t="shared" ref="AO204:AS204" si="2676">IF(AO$8="","",AN204)</f>
        <v/>
      </c>
      <c r="AP204" s="35" t="str">
        <f t="shared" si="2676"/>
        <v/>
      </c>
      <c r="AQ204" s="35" t="str">
        <f t="shared" si="2676"/>
        <v/>
      </c>
      <c r="AR204" s="35" t="str">
        <f t="shared" si="2676"/>
        <v/>
      </c>
      <c r="AS204" s="35" t="str">
        <f t="shared" si="2676"/>
        <v/>
      </c>
    </row>
    <row r="205" spans="1:45" s="85" customFormat="1" x14ac:dyDescent="0.15">
      <c r="A205" s="14" t="s">
        <v>9</v>
      </c>
      <c r="B205" s="33" t="s">
        <v>10</v>
      </c>
      <c r="C205" s="32" t="s">
        <v>37</v>
      </c>
      <c r="D205" s="32" t="s">
        <v>37</v>
      </c>
      <c r="E205" s="32" t="s">
        <v>37</v>
      </c>
      <c r="F205" s="32" t="s">
        <v>37</v>
      </c>
      <c r="G205" s="32" t="s">
        <v>37</v>
      </c>
      <c r="H205" s="32" t="s">
        <v>37</v>
      </c>
      <c r="I205" s="32" t="s">
        <v>37</v>
      </c>
      <c r="J205" s="32" t="str">
        <f t="shared" si="2646"/>
        <v>モンチッチマスコット</v>
      </c>
      <c r="K205" s="32" t="str">
        <f t="shared" ref="K205" si="2677">IF(K$8="","",J205)</f>
        <v>モンチッチマスコット</v>
      </c>
      <c r="L205" s="32" t="str">
        <f t="shared" si="2647"/>
        <v>モンチッチマスコット</v>
      </c>
      <c r="M205" s="32" t="str">
        <f t="shared" si="2648"/>
        <v/>
      </c>
      <c r="N205" s="32" t="str">
        <f t="shared" si="2649"/>
        <v/>
      </c>
      <c r="O205" s="32" t="str">
        <f t="shared" si="2650"/>
        <v/>
      </c>
      <c r="P205" s="32" t="str">
        <f t="shared" si="2651"/>
        <v/>
      </c>
      <c r="Q205" s="32" t="str">
        <f t="shared" si="2652"/>
        <v/>
      </c>
      <c r="R205" s="32" t="str">
        <f t="shared" si="2653"/>
        <v/>
      </c>
      <c r="S205" s="32" t="str">
        <f t="shared" si="2654"/>
        <v/>
      </c>
      <c r="T205" s="32" t="str">
        <f t="shared" si="2655"/>
        <v/>
      </c>
      <c r="U205" s="32" t="str">
        <f t="shared" si="2656"/>
        <v/>
      </c>
      <c r="V205" s="32" t="str">
        <f t="shared" si="2657"/>
        <v/>
      </c>
      <c r="W205" s="32" t="str">
        <f t="shared" si="2658"/>
        <v/>
      </c>
      <c r="X205" s="32" t="str">
        <f t="shared" si="2659"/>
        <v/>
      </c>
      <c r="Y205" s="32" t="str">
        <f t="shared" si="2660"/>
        <v/>
      </c>
      <c r="Z205" s="32" t="str">
        <f t="shared" si="2661"/>
        <v/>
      </c>
      <c r="AA205" s="32" t="str">
        <f t="shared" si="2662"/>
        <v/>
      </c>
      <c r="AB205" s="32" t="str">
        <f t="shared" si="2663"/>
        <v/>
      </c>
      <c r="AC205" s="32" t="str">
        <f t="shared" si="2664"/>
        <v/>
      </c>
      <c r="AD205" s="32" t="str">
        <f t="shared" si="2665"/>
        <v/>
      </c>
      <c r="AE205" s="32" t="str">
        <f t="shared" si="2666"/>
        <v/>
      </c>
      <c r="AF205" s="32" t="str">
        <f t="shared" si="2667"/>
        <v/>
      </c>
      <c r="AG205" s="32" t="str">
        <f t="shared" si="2668"/>
        <v/>
      </c>
      <c r="AH205" s="32" t="str">
        <f t="shared" si="2669"/>
        <v/>
      </c>
      <c r="AI205" s="32" t="str">
        <f t="shared" si="2670"/>
        <v/>
      </c>
      <c r="AJ205" s="32" t="str">
        <f t="shared" si="2671"/>
        <v/>
      </c>
      <c r="AK205" s="32" t="str">
        <f t="shared" si="2672"/>
        <v/>
      </c>
      <c r="AL205" s="32" t="str">
        <f t="shared" si="2673"/>
        <v/>
      </c>
      <c r="AM205" s="32" t="str">
        <f t="shared" si="2674"/>
        <v/>
      </c>
      <c r="AN205" s="32" t="str">
        <f t="shared" si="2675"/>
        <v/>
      </c>
      <c r="AO205" s="32" t="str">
        <f t="shared" ref="AO205:AS205" si="2678">IF(AO$8="","",AN205)</f>
        <v/>
      </c>
      <c r="AP205" s="32" t="str">
        <f t="shared" si="2678"/>
        <v/>
      </c>
      <c r="AQ205" s="32" t="str">
        <f t="shared" si="2678"/>
        <v/>
      </c>
      <c r="AR205" s="32" t="str">
        <f t="shared" si="2678"/>
        <v/>
      </c>
      <c r="AS205" s="32" t="str">
        <f t="shared" si="2678"/>
        <v/>
      </c>
    </row>
    <row r="206" spans="1:45" x14ac:dyDescent="0.15">
      <c r="A206" s="7">
        <f>AVERAGE(C207:AS207)*30*100</f>
        <v>24599.999999999996</v>
      </c>
      <c r="B206" s="30" t="s">
        <v>12</v>
      </c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</row>
    <row r="207" spans="1:45" x14ac:dyDescent="0.15">
      <c r="A207" s="7">
        <f>SUM(C207:AS207)</f>
        <v>82</v>
      </c>
      <c r="B207" s="27" t="s">
        <v>13</v>
      </c>
      <c r="C207" s="26">
        <v>0</v>
      </c>
      <c r="D207" s="26">
        <v>0</v>
      </c>
      <c r="E207" s="26">
        <v>15</v>
      </c>
      <c r="F207" s="26">
        <v>0</v>
      </c>
      <c r="G207" s="26">
        <v>0</v>
      </c>
      <c r="H207" s="26">
        <v>0</v>
      </c>
      <c r="I207" s="26">
        <v>35</v>
      </c>
      <c r="J207" s="26">
        <f t="shared" ref="J207:J208" si="2679">IF(J$8="","",J200-I200)</f>
        <v>0</v>
      </c>
      <c r="K207" s="26">
        <f t="shared" ref="K207:K208" si="2680">IF(K$8="","",K200-J200)</f>
        <v>0</v>
      </c>
      <c r="L207" s="26">
        <f t="shared" ref="L207:L208" si="2681">IF(L$8="","",L200-K200)</f>
        <v>32</v>
      </c>
      <c r="M207" s="26" t="str">
        <f t="shared" ref="M207:M208" si="2682">IF(M$8="","",M200-L200)</f>
        <v/>
      </c>
      <c r="N207" s="26" t="str">
        <f t="shared" ref="N207:N208" si="2683">IF(N$8="","",N200-M200)</f>
        <v/>
      </c>
      <c r="O207" s="26" t="str">
        <f t="shared" ref="O207:O208" si="2684">IF(O$8="","",O200-N200)</f>
        <v/>
      </c>
      <c r="P207" s="26" t="str">
        <f t="shared" ref="P207:P208" si="2685">IF(P$8="","",P200-O200)</f>
        <v/>
      </c>
      <c r="Q207" s="26" t="str">
        <f t="shared" ref="Q207:Q208" si="2686">IF(Q$8="","",Q200-P200)</f>
        <v/>
      </c>
      <c r="R207" s="26" t="str">
        <f t="shared" ref="R207:R208" si="2687">IF(R$8="","",R200-Q200)</f>
        <v/>
      </c>
      <c r="S207" s="26" t="str">
        <f t="shared" ref="S207:S208" si="2688">IF(S$8="","",S200-R200)</f>
        <v/>
      </c>
      <c r="T207" s="26" t="str">
        <f t="shared" ref="T207:T208" si="2689">IF(T$8="","",T200-S200)</f>
        <v/>
      </c>
      <c r="U207" s="26" t="str">
        <f t="shared" ref="U207:U208" si="2690">IF(U$8="","",U200-T200)</f>
        <v/>
      </c>
      <c r="V207" s="26" t="str">
        <f t="shared" ref="V207:V208" si="2691">IF(V$8="","",V200-U200)</f>
        <v/>
      </c>
      <c r="W207" s="26" t="str">
        <f t="shared" ref="W207:W208" si="2692">IF(W$8="","",W200-V200)</f>
        <v/>
      </c>
      <c r="X207" s="26" t="str">
        <f t="shared" ref="X207:X208" si="2693">IF(X$8="","",X200-W200)</f>
        <v/>
      </c>
      <c r="Y207" s="26" t="str">
        <f t="shared" ref="Y207:Y208" si="2694">IF(Y$8="","",Y200-X200)</f>
        <v/>
      </c>
      <c r="Z207" s="26" t="str">
        <f t="shared" ref="Z207:Z208" si="2695">IF(Z$8="","",Z200-Y200)</f>
        <v/>
      </c>
      <c r="AA207" s="26" t="str">
        <f t="shared" ref="AA207:AA208" si="2696">IF(AA$8="","",AA200-Z200)</f>
        <v/>
      </c>
      <c r="AB207" s="26" t="str">
        <f t="shared" ref="AB207:AB208" si="2697">IF(AB$8="","",AB200-AA200)</f>
        <v/>
      </c>
      <c r="AC207" s="26" t="str">
        <f t="shared" ref="AC207:AC208" si="2698">IF(AC$8="","",AC200-AB200)</f>
        <v/>
      </c>
      <c r="AD207" s="26" t="str">
        <f t="shared" ref="AD207:AD208" si="2699">IF(AD$8="","",AD200-AC200)</f>
        <v/>
      </c>
      <c r="AE207" s="26" t="str">
        <f t="shared" ref="AE207:AE208" si="2700">IF(AE$8="","",AE200-AD200)</f>
        <v/>
      </c>
      <c r="AF207" s="26" t="str">
        <f t="shared" ref="AF207:AF208" si="2701">IF(AF$8="","",AF200-AE200)</f>
        <v/>
      </c>
      <c r="AG207" s="26" t="str">
        <f t="shared" ref="AG207:AG208" si="2702">IF(AG$8="","",AG200-AF200)</f>
        <v/>
      </c>
      <c r="AH207" s="26" t="str">
        <f t="shared" ref="AH207:AH208" si="2703">IF(AH$8="","",AH200-AG200)</f>
        <v/>
      </c>
      <c r="AI207" s="26" t="str">
        <f t="shared" ref="AI207:AI208" si="2704">IF(AI$8="","",AI200-AH200)</f>
        <v/>
      </c>
      <c r="AJ207" s="26" t="str">
        <f t="shared" ref="AJ207:AJ208" si="2705">IF(AJ$8="","",AJ200-AI200)</f>
        <v/>
      </c>
      <c r="AK207" s="26" t="str">
        <f t="shared" ref="AK207:AK208" si="2706">IF(AK$8="","",AK200-AJ200)</f>
        <v/>
      </c>
      <c r="AL207" s="26" t="str">
        <f t="shared" ref="AL207:AL208" si="2707">IF(AL$8="","",AL200-AK200)</f>
        <v/>
      </c>
      <c r="AM207" s="26" t="str">
        <f t="shared" ref="AM207:AM208" si="2708">IF(AM$8="","",AM200-AL200)</f>
        <v/>
      </c>
      <c r="AN207" s="26" t="str">
        <f t="shared" ref="AN207:AN208" si="2709">IF(AN$8="","",AN200-AM200)</f>
        <v/>
      </c>
      <c r="AO207" s="26" t="str">
        <f t="shared" ref="AO207:AS207" si="2710">IF(AO$8="","",AO200-AN200)</f>
        <v/>
      </c>
      <c r="AP207" s="26" t="str">
        <f t="shared" si="2710"/>
        <v/>
      </c>
      <c r="AQ207" s="26" t="str">
        <f t="shared" si="2710"/>
        <v/>
      </c>
      <c r="AR207" s="26" t="str">
        <f t="shared" si="2710"/>
        <v/>
      </c>
      <c r="AS207" s="26" t="str">
        <f t="shared" si="2710"/>
        <v/>
      </c>
    </row>
    <row r="208" spans="1:45" x14ac:dyDescent="0.15">
      <c r="A208" s="7">
        <f>SUM(C208:AS208)</f>
        <v>1</v>
      </c>
      <c r="B208" s="27" t="s">
        <v>14</v>
      </c>
      <c r="C208" s="26">
        <v>0</v>
      </c>
      <c r="D208" s="26">
        <v>0</v>
      </c>
      <c r="E208" s="26">
        <v>0</v>
      </c>
      <c r="F208" s="26">
        <v>0</v>
      </c>
      <c r="G208" s="26">
        <v>0</v>
      </c>
      <c r="H208" s="26">
        <v>0</v>
      </c>
      <c r="I208" s="26">
        <v>1</v>
      </c>
      <c r="J208" s="26">
        <f t="shared" si="2679"/>
        <v>0</v>
      </c>
      <c r="K208" s="26">
        <f t="shared" si="2680"/>
        <v>0</v>
      </c>
      <c r="L208" s="26">
        <f t="shared" si="2681"/>
        <v>0</v>
      </c>
      <c r="M208" s="26" t="str">
        <f t="shared" si="2682"/>
        <v/>
      </c>
      <c r="N208" s="26" t="str">
        <f t="shared" si="2683"/>
        <v/>
      </c>
      <c r="O208" s="26" t="str">
        <f t="shared" si="2684"/>
        <v/>
      </c>
      <c r="P208" s="26" t="str">
        <f t="shared" si="2685"/>
        <v/>
      </c>
      <c r="Q208" s="26" t="str">
        <f t="shared" si="2686"/>
        <v/>
      </c>
      <c r="R208" s="26" t="str">
        <f t="shared" si="2687"/>
        <v/>
      </c>
      <c r="S208" s="26" t="str">
        <f t="shared" si="2688"/>
        <v/>
      </c>
      <c r="T208" s="26" t="str">
        <f t="shared" si="2689"/>
        <v/>
      </c>
      <c r="U208" s="26" t="str">
        <f t="shared" si="2690"/>
        <v/>
      </c>
      <c r="V208" s="26" t="str">
        <f t="shared" si="2691"/>
        <v/>
      </c>
      <c r="W208" s="26" t="str">
        <f t="shared" si="2692"/>
        <v/>
      </c>
      <c r="X208" s="26" t="str">
        <f t="shared" si="2693"/>
        <v/>
      </c>
      <c r="Y208" s="26" t="str">
        <f t="shared" si="2694"/>
        <v/>
      </c>
      <c r="Z208" s="26" t="str">
        <f t="shared" si="2695"/>
        <v/>
      </c>
      <c r="AA208" s="26" t="str">
        <f t="shared" si="2696"/>
        <v/>
      </c>
      <c r="AB208" s="26" t="str">
        <f t="shared" si="2697"/>
        <v/>
      </c>
      <c r="AC208" s="26" t="str">
        <f t="shared" si="2698"/>
        <v/>
      </c>
      <c r="AD208" s="26" t="str">
        <f t="shared" si="2699"/>
        <v/>
      </c>
      <c r="AE208" s="26" t="str">
        <f t="shared" si="2700"/>
        <v/>
      </c>
      <c r="AF208" s="26" t="str">
        <f t="shared" si="2701"/>
        <v/>
      </c>
      <c r="AG208" s="26" t="str">
        <f t="shared" si="2702"/>
        <v/>
      </c>
      <c r="AH208" s="26" t="str">
        <f t="shared" si="2703"/>
        <v/>
      </c>
      <c r="AI208" s="26" t="str">
        <f t="shared" si="2704"/>
        <v/>
      </c>
      <c r="AJ208" s="26" t="str">
        <f t="shared" si="2705"/>
        <v/>
      </c>
      <c r="AK208" s="26" t="str">
        <f t="shared" si="2706"/>
        <v/>
      </c>
      <c r="AL208" s="26" t="str">
        <f t="shared" si="2707"/>
        <v/>
      </c>
      <c r="AM208" s="26" t="str">
        <f t="shared" si="2708"/>
        <v/>
      </c>
      <c r="AN208" s="26" t="str">
        <f t="shared" si="2709"/>
        <v/>
      </c>
      <c r="AO208" s="26" t="str">
        <f t="shared" ref="AO208:AS208" si="2711">IF(AO$8="","",AO201-AN201)</f>
        <v/>
      </c>
      <c r="AP208" s="26" t="str">
        <f t="shared" si="2711"/>
        <v/>
      </c>
      <c r="AQ208" s="26" t="str">
        <f t="shared" si="2711"/>
        <v/>
      </c>
      <c r="AR208" s="26" t="str">
        <f t="shared" si="2711"/>
        <v/>
      </c>
      <c r="AS208" s="26" t="str">
        <f t="shared" si="2711"/>
        <v/>
      </c>
    </row>
    <row r="209" spans="1:45" x14ac:dyDescent="0.15">
      <c r="A209" s="7">
        <f>SUM(C209:AS209)</f>
        <v>1</v>
      </c>
      <c r="B209" s="27" t="s">
        <v>15</v>
      </c>
      <c r="C209" s="26">
        <v>0</v>
      </c>
      <c r="D209" s="26">
        <v>0</v>
      </c>
      <c r="E209" s="26">
        <v>0</v>
      </c>
      <c r="F209" s="26">
        <v>0</v>
      </c>
      <c r="G209" s="26">
        <v>0</v>
      </c>
      <c r="H209" s="26">
        <v>0</v>
      </c>
      <c r="I209" s="26">
        <v>1</v>
      </c>
      <c r="J209" s="26">
        <f t="shared" ref="J209" si="2712">IF(J$8="","",I202+I203-J202)</f>
        <v>0</v>
      </c>
      <c r="K209" s="26">
        <f t="shared" ref="K209" si="2713">IF(K$8="","",J202+J203-K202)</f>
        <v>0</v>
      </c>
      <c r="L209" s="26">
        <f t="shared" ref="L209" si="2714">IF(L$8="","",K202+K203-L202)</f>
        <v>0</v>
      </c>
      <c r="M209" s="26" t="str">
        <f t="shared" ref="M209" si="2715">IF(M$8="","",L202+L203-M202)</f>
        <v/>
      </c>
      <c r="N209" s="26" t="str">
        <f t="shared" ref="N209" si="2716">IF(N$8="","",M202+M203-N202)</f>
        <v/>
      </c>
      <c r="O209" s="26" t="str">
        <f t="shared" ref="O209" si="2717">IF(O$8="","",N202+N203-O202)</f>
        <v/>
      </c>
      <c r="P209" s="26" t="str">
        <f t="shared" ref="P209" si="2718">IF(P$8="","",O202+O203-P202)</f>
        <v/>
      </c>
      <c r="Q209" s="26" t="str">
        <f t="shared" ref="Q209" si="2719">IF(Q$8="","",P202+P203-Q202)</f>
        <v/>
      </c>
      <c r="R209" s="26" t="str">
        <f t="shared" ref="R209" si="2720">IF(R$8="","",Q202+Q203-R202)</f>
        <v/>
      </c>
      <c r="S209" s="26" t="str">
        <f t="shared" ref="S209" si="2721">IF(S$8="","",R202+R203-S202)</f>
        <v/>
      </c>
      <c r="T209" s="26" t="str">
        <f t="shared" ref="T209" si="2722">IF(T$8="","",S202+S203-T202)</f>
        <v/>
      </c>
      <c r="U209" s="26" t="str">
        <f t="shared" ref="U209" si="2723">IF(U$8="","",T202+T203-U202)</f>
        <v/>
      </c>
      <c r="V209" s="26" t="str">
        <f t="shared" ref="V209" si="2724">IF(V$8="","",U202+U203-V202)</f>
        <v/>
      </c>
      <c r="W209" s="26" t="str">
        <f t="shared" ref="W209" si="2725">IF(W$8="","",V202+V203-W202)</f>
        <v/>
      </c>
      <c r="X209" s="26" t="str">
        <f t="shared" ref="X209" si="2726">IF(X$8="","",W202+W203-X202)</f>
        <v/>
      </c>
      <c r="Y209" s="26" t="str">
        <f t="shared" ref="Y209" si="2727">IF(Y$8="","",X202+X203-Y202)</f>
        <v/>
      </c>
      <c r="Z209" s="26" t="str">
        <f t="shared" ref="Z209" si="2728">IF(Z$8="","",Y202+Y203-Z202)</f>
        <v/>
      </c>
      <c r="AA209" s="26" t="str">
        <f t="shared" ref="AA209" si="2729">IF(AA$8="","",Z202+Z203-AA202)</f>
        <v/>
      </c>
      <c r="AB209" s="26" t="str">
        <f t="shared" ref="AB209" si="2730">IF(AB$8="","",AA202+AA203-AB202)</f>
        <v/>
      </c>
      <c r="AC209" s="26" t="str">
        <f t="shared" ref="AC209" si="2731">IF(AC$8="","",AB202+AB203-AC202)</f>
        <v/>
      </c>
      <c r="AD209" s="26" t="str">
        <f t="shared" ref="AD209" si="2732">IF(AD$8="","",AC202+AC203-AD202)</f>
        <v/>
      </c>
      <c r="AE209" s="26" t="str">
        <f t="shared" ref="AE209" si="2733">IF(AE$8="","",AD202+AD203-AE202)</f>
        <v/>
      </c>
      <c r="AF209" s="26" t="str">
        <f t="shared" ref="AF209" si="2734">IF(AF$8="","",AE202+AE203-AF202)</f>
        <v/>
      </c>
      <c r="AG209" s="26" t="str">
        <f t="shared" ref="AG209" si="2735">IF(AG$8="","",AF202+AF203-AG202)</f>
        <v/>
      </c>
      <c r="AH209" s="26" t="str">
        <f t="shared" ref="AH209" si="2736">IF(AH$8="","",AG202+AG203-AH202)</f>
        <v/>
      </c>
      <c r="AI209" s="26" t="str">
        <f t="shared" ref="AI209" si="2737">IF(AI$8="","",AH202+AH203-AI202)</f>
        <v/>
      </c>
      <c r="AJ209" s="26" t="str">
        <f t="shared" ref="AJ209" si="2738">IF(AJ$8="","",AI202+AI203-AJ202)</f>
        <v/>
      </c>
      <c r="AK209" s="26" t="str">
        <f t="shared" ref="AK209" si="2739">IF(AK$8="","",AJ202+AJ203-AK202)</f>
        <v/>
      </c>
      <c r="AL209" s="26" t="str">
        <f t="shared" ref="AL209" si="2740">IF(AL$8="","",AK202+AK203-AL202)</f>
        <v/>
      </c>
      <c r="AM209" s="26" t="str">
        <f t="shared" ref="AM209" si="2741">IF(AM$8="","",AL202+AL203-AM202)</f>
        <v/>
      </c>
      <c r="AN209" s="26" t="str">
        <f t="shared" ref="AN209" si="2742">IF(AN$8="","",AM202+AM203-AN202)</f>
        <v/>
      </c>
      <c r="AO209" s="26" t="str">
        <f t="shared" ref="AO209:AS209" si="2743">IF(AO$8="","",AN202+AN203-AO202)</f>
        <v/>
      </c>
      <c r="AP209" s="26" t="str">
        <f t="shared" si="2743"/>
        <v/>
      </c>
      <c r="AQ209" s="26" t="str">
        <f t="shared" si="2743"/>
        <v/>
      </c>
      <c r="AR209" s="26" t="str">
        <f t="shared" si="2743"/>
        <v/>
      </c>
      <c r="AS209" s="26" t="str">
        <f t="shared" si="2743"/>
        <v/>
      </c>
    </row>
    <row r="210" spans="1:45" x14ac:dyDescent="0.15">
      <c r="A210" s="7">
        <f>SUM(C210:AS210)</f>
        <v>400</v>
      </c>
      <c r="B210" s="27" t="s">
        <v>16</v>
      </c>
      <c r="C210" s="26">
        <v>0</v>
      </c>
      <c r="D210" s="26">
        <v>0</v>
      </c>
      <c r="E210" s="26">
        <v>0</v>
      </c>
      <c r="F210" s="26">
        <v>0</v>
      </c>
      <c r="G210" s="26">
        <v>0</v>
      </c>
      <c r="H210" s="26">
        <v>0</v>
      </c>
      <c r="I210" s="26">
        <v>400</v>
      </c>
      <c r="J210" s="26">
        <f t="shared" ref="H210:AM210" si="2744">IF(J$8="","",J209*J204)</f>
        <v>0</v>
      </c>
      <c r="K210" s="26">
        <f t="shared" si="2744"/>
        <v>0</v>
      </c>
      <c r="L210" s="26">
        <f t="shared" si="2744"/>
        <v>0</v>
      </c>
      <c r="M210" s="26" t="str">
        <f t="shared" si="2744"/>
        <v/>
      </c>
      <c r="N210" s="26" t="str">
        <f t="shared" si="2744"/>
        <v/>
      </c>
      <c r="O210" s="26" t="str">
        <f t="shared" si="2744"/>
        <v/>
      </c>
      <c r="P210" s="26" t="str">
        <f t="shared" si="2744"/>
        <v/>
      </c>
      <c r="Q210" s="26" t="str">
        <f t="shared" si="2744"/>
        <v/>
      </c>
      <c r="R210" s="26" t="str">
        <f t="shared" si="2744"/>
        <v/>
      </c>
      <c r="S210" s="26" t="str">
        <f t="shared" si="2744"/>
        <v/>
      </c>
      <c r="T210" s="26" t="str">
        <f t="shared" si="2744"/>
        <v/>
      </c>
      <c r="U210" s="26" t="str">
        <f t="shared" si="2744"/>
        <v/>
      </c>
      <c r="V210" s="26" t="str">
        <f t="shared" si="2744"/>
        <v/>
      </c>
      <c r="W210" s="26" t="str">
        <f t="shared" si="2744"/>
        <v/>
      </c>
      <c r="X210" s="26" t="str">
        <f t="shared" si="2744"/>
        <v/>
      </c>
      <c r="Y210" s="26" t="str">
        <f t="shared" si="2744"/>
        <v/>
      </c>
      <c r="Z210" s="26" t="str">
        <f t="shared" si="2744"/>
        <v/>
      </c>
      <c r="AA210" s="26" t="str">
        <f t="shared" si="2744"/>
        <v/>
      </c>
      <c r="AB210" s="26" t="str">
        <f t="shared" si="2744"/>
        <v/>
      </c>
      <c r="AC210" s="26" t="str">
        <f t="shared" si="2744"/>
        <v/>
      </c>
      <c r="AD210" s="26" t="str">
        <f t="shared" si="2744"/>
        <v/>
      </c>
      <c r="AE210" s="26" t="str">
        <f t="shared" si="2744"/>
        <v/>
      </c>
      <c r="AF210" s="26" t="str">
        <f t="shared" si="2744"/>
        <v/>
      </c>
      <c r="AG210" s="26" t="str">
        <f t="shared" si="2744"/>
        <v/>
      </c>
      <c r="AH210" s="26" t="str">
        <f t="shared" si="2744"/>
        <v/>
      </c>
      <c r="AI210" s="26" t="str">
        <f t="shared" si="2744"/>
        <v/>
      </c>
      <c r="AJ210" s="26" t="str">
        <f t="shared" si="2744"/>
        <v/>
      </c>
      <c r="AK210" s="26" t="str">
        <f t="shared" si="2744"/>
        <v/>
      </c>
      <c r="AL210" s="26" t="str">
        <f t="shared" si="2744"/>
        <v/>
      </c>
      <c r="AM210" s="26" t="str">
        <f t="shared" si="2744"/>
        <v/>
      </c>
      <c r="AN210" s="26" t="str">
        <f t="shared" ref="D210:AN210" si="2745">IF(AN$8="","",AN209*AN204)</f>
        <v/>
      </c>
      <c r="AO210" s="26" t="str">
        <f t="shared" ref="AO210:AS210" si="2746">IF(AO$8="","",AO209*AO204)</f>
        <v/>
      </c>
      <c r="AP210" s="26" t="str">
        <f t="shared" si="2746"/>
        <v/>
      </c>
      <c r="AQ210" s="26" t="str">
        <f t="shared" si="2746"/>
        <v/>
      </c>
      <c r="AR210" s="26" t="str">
        <f t="shared" si="2746"/>
        <v/>
      </c>
      <c r="AS210" s="26" t="str">
        <f t="shared" si="2746"/>
        <v/>
      </c>
    </row>
    <row r="211" spans="1:45" ht="12" thickBot="1" x14ac:dyDescent="0.2">
      <c r="A211" s="4">
        <f>IF(A210="","",A210/(A207*100))</f>
        <v>4.878048780487805E-2</v>
      </c>
      <c r="B211" s="27" t="s">
        <v>18</v>
      </c>
      <c r="C211" s="42" t="s">
        <v>19</v>
      </c>
      <c r="D211" s="42" t="s">
        <v>19</v>
      </c>
      <c r="E211" s="42" t="s">
        <v>19</v>
      </c>
      <c r="F211" s="42" t="s">
        <v>19</v>
      </c>
      <c r="G211" s="42" t="s">
        <v>19</v>
      </c>
      <c r="H211" s="42" t="s">
        <v>19</v>
      </c>
      <c r="I211" s="42">
        <v>0.11428571428571428</v>
      </c>
      <c r="J211" s="42" t="str">
        <f t="shared" ref="H211:AM211" si="2747">IF(J$8="","",IF(J210=0,"",J210/(J207*100)))</f>
        <v/>
      </c>
      <c r="K211" s="42" t="str">
        <f t="shared" si="2747"/>
        <v/>
      </c>
      <c r="L211" s="42" t="str">
        <f t="shared" si="2747"/>
        <v/>
      </c>
      <c r="M211" s="42" t="str">
        <f t="shared" si="2747"/>
        <v/>
      </c>
      <c r="N211" s="42" t="str">
        <f t="shared" si="2747"/>
        <v/>
      </c>
      <c r="O211" s="42" t="str">
        <f t="shared" si="2747"/>
        <v/>
      </c>
      <c r="P211" s="42" t="str">
        <f t="shared" si="2747"/>
        <v/>
      </c>
      <c r="Q211" s="42" t="str">
        <f t="shared" si="2747"/>
        <v/>
      </c>
      <c r="R211" s="42" t="str">
        <f t="shared" si="2747"/>
        <v/>
      </c>
      <c r="S211" s="42" t="str">
        <f t="shared" si="2747"/>
        <v/>
      </c>
      <c r="T211" s="42" t="str">
        <f t="shared" si="2747"/>
        <v/>
      </c>
      <c r="U211" s="42" t="str">
        <f t="shared" si="2747"/>
        <v/>
      </c>
      <c r="V211" s="42" t="str">
        <f t="shared" si="2747"/>
        <v/>
      </c>
      <c r="W211" s="42" t="str">
        <f t="shared" si="2747"/>
        <v/>
      </c>
      <c r="X211" s="42" t="str">
        <f t="shared" si="2747"/>
        <v/>
      </c>
      <c r="Y211" s="42" t="str">
        <f t="shared" si="2747"/>
        <v/>
      </c>
      <c r="Z211" s="42" t="str">
        <f t="shared" si="2747"/>
        <v/>
      </c>
      <c r="AA211" s="42" t="str">
        <f t="shared" si="2747"/>
        <v/>
      </c>
      <c r="AB211" s="42" t="str">
        <f t="shared" si="2747"/>
        <v/>
      </c>
      <c r="AC211" s="42" t="str">
        <f t="shared" si="2747"/>
        <v/>
      </c>
      <c r="AD211" s="42" t="str">
        <f t="shared" si="2747"/>
        <v/>
      </c>
      <c r="AE211" s="42" t="str">
        <f t="shared" si="2747"/>
        <v/>
      </c>
      <c r="AF211" s="42" t="str">
        <f t="shared" si="2747"/>
        <v/>
      </c>
      <c r="AG211" s="42" t="str">
        <f t="shared" si="2747"/>
        <v/>
      </c>
      <c r="AH211" s="42" t="str">
        <f t="shared" si="2747"/>
        <v/>
      </c>
      <c r="AI211" s="42" t="str">
        <f t="shared" si="2747"/>
        <v/>
      </c>
      <c r="AJ211" s="42" t="str">
        <f t="shared" si="2747"/>
        <v/>
      </c>
      <c r="AK211" s="42" t="str">
        <f t="shared" si="2747"/>
        <v/>
      </c>
      <c r="AL211" s="42" t="str">
        <f t="shared" si="2747"/>
        <v/>
      </c>
      <c r="AM211" s="42" t="str">
        <f t="shared" si="2747"/>
        <v/>
      </c>
      <c r="AN211" s="42" t="str">
        <f t="shared" ref="D211:AN211" si="2748">IF(AN$8="","",IF(AN210=0,"",AN210/(AN207*100)))</f>
        <v/>
      </c>
      <c r="AO211" s="42" t="str">
        <f t="shared" ref="AO211:AS211" si="2749">IF(AO$8="","",IF(AO210=0,"",AO210/(AO207*100)))</f>
        <v/>
      </c>
      <c r="AP211" s="42" t="str">
        <f t="shared" si="2749"/>
        <v/>
      </c>
      <c r="AQ211" s="42" t="str">
        <f t="shared" si="2749"/>
        <v/>
      </c>
      <c r="AR211" s="42" t="str">
        <f t="shared" si="2749"/>
        <v/>
      </c>
      <c r="AS211" s="42" t="str">
        <f t="shared" si="2749"/>
        <v/>
      </c>
    </row>
    <row r="212" spans="1:45" x14ac:dyDescent="0.15">
      <c r="A212" s="17" t="s">
        <v>1</v>
      </c>
      <c r="B212" s="41" t="s">
        <v>2</v>
      </c>
      <c r="C212" s="35">
        <v>4235</v>
      </c>
      <c r="D212" s="35">
        <v>4235</v>
      </c>
      <c r="E212" s="35">
        <v>4274</v>
      </c>
      <c r="F212" s="35">
        <v>4274</v>
      </c>
      <c r="G212" s="35">
        <v>4274</v>
      </c>
      <c r="H212" s="35">
        <v>4274</v>
      </c>
      <c r="I212" s="35">
        <v>4296</v>
      </c>
      <c r="J212" s="35">
        <f>IF(J$8="","",I212)</f>
        <v>4296</v>
      </c>
      <c r="K212" s="35">
        <f t="shared" ref="K212:K213" si="2750">IF(K$8="","",J212)</f>
        <v>4296</v>
      </c>
      <c r="L212" s="35">
        <v>4312</v>
      </c>
      <c r="M212" s="35" t="str">
        <f>IF(M$8="","",L212)</f>
        <v/>
      </c>
      <c r="N212" s="35" t="str">
        <f t="shared" ref="N212:N213" si="2751">IF(N$8="","",M212)</f>
        <v/>
      </c>
      <c r="O212" s="35" t="str">
        <f t="shared" ref="O212:O213" si="2752">IF(O$8="","",N212)</f>
        <v/>
      </c>
      <c r="P212" s="35" t="str">
        <f>IF(P$8="","",O212)</f>
        <v/>
      </c>
      <c r="Q212" s="35" t="str">
        <f>IF(Q$8="","",P212)</f>
        <v/>
      </c>
      <c r="R212" s="35" t="str">
        <f t="shared" ref="R212:R213" si="2753">IF(R$8="","",Q212)</f>
        <v/>
      </c>
      <c r="S212" s="35" t="str">
        <f>IF(S$8="","",R212)</f>
        <v/>
      </c>
      <c r="T212" s="35" t="str">
        <f>IF(T$8="","",S212)</f>
        <v/>
      </c>
      <c r="U212" s="35" t="str">
        <f t="shared" ref="U212:U213" si="2754">IF(U$8="","",T212)</f>
        <v/>
      </c>
      <c r="V212" s="35" t="str">
        <f t="shared" ref="V212:V213" si="2755">IF(V$8="","",U212)</f>
        <v/>
      </c>
      <c r="W212" s="35" t="str">
        <f>IF(W$8="","",V212)</f>
        <v/>
      </c>
      <c r="X212" s="35" t="str">
        <f>IF(X$8="","",W212)</f>
        <v/>
      </c>
      <c r="Y212" s="35" t="str">
        <f t="shared" ref="Y212:Y213" si="2756">IF(Y$8="","",X212)</f>
        <v/>
      </c>
      <c r="Z212" s="35" t="str">
        <f>IF(Z$8="","",Y212)</f>
        <v/>
      </c>
      <c r="AA212" s="35" t="str">
        <f>IF(AA$8="","",Z212)</f>
        <v/>
      </c>
      <c r="AB212" s="35" t="str">
        <f t="shared" ref="AB212:AB213" si="2757">IF(AB$8="","",AA212)</f>
        <v/>
      </c>
      <c r="AC212" s="35" t="str">
        <f t="shared" ref="AC212:AC213" si="2758">IF(AC$8="","",AB212)</f>
        <v/>
      </c>
      <c r="AD212" s="35" t="str">
        <f>IF(AD$8="","",AC212)</f>
        <v/>
      </c>
      <c r="AE212" s="35" t="str">
        <f>IF(AE$8="","",AD212)</f>
        <v/>
      </c>
      <c r="AF212" s="35" t="str">
        <f t="shared" ref="AF212:AF213" si="2759">IF(AF$8="","",AE212)</f>
        <v/>
      </c>
      <c r="AG212" s="35" t="str">
        <f>IF(AG$8="","",AF212)</f>
        <v/>
      </c>
      <c r="AH212" s="35" t="str">
        <f t="shared" ref="AH212:AH213" si="2760">IF(AH$8="","",AG212)</f>
        <v/>
      </c>
      <c r="AI212" s="35" t="str">
        <f t="shared" ref="AI212:AI213" si="2761">IF(AI$8="","",AH212)</f>
        <v/>
      </c>
      <c r="AJ212" s="35" t="str">
        <f t="shared" ref="AJ212:AJ213" si="2762">IF(AJ$8="","",AI212)</f>
        <v/>
      </c>
      <c r="AK212" s="35" t="str">
        <f>IF(AK$8="","",AJ212)</f>
        <v/>
      </c>
      <c r="AL212" s="35" t="str">
        <f t="shared" ref="AL212:AL213" si="2763">IF(AL$8="","",AK212)</f>
        <v/>
      </c>
      <c r="AM212" s="35" t="str">
        <f t="shared" ref="AM212:AM213" si="2764">IF(AM$8="","",AL212)</f>
        <v/>
      </c>
      <c r="AN212" s="35" t="str">
        <f t="shared" ref="AN212:AN213" si="2765">IF(AN$8="","",AM212)</f>
        <v/>
      </c>
      <c r="AO212" s="35" t="str">
        <f t="shared" ref="AO212:AS212" si="2766">IF(AO$8="","",AN212)</f>
        <v/>
      </c>
      <c r="AP212" s="35" t="str">
        <f t="shared" si="2766"/>
        <v/>
      </c>
      <c r="AQ212" s="35" t="str">
        <f t="shared" si="2766"/>
        <v/>
      </c>
      <c r="AR212" s="35" t="str">
        <f t="shared" si="2766"/>
        <v/>
      </c>
      <c r="AS212" s="35" t="str">
        <f t="shared" si="2766"/>
        <v/>
      </c>
    </row>
    <row r="213" spans="1:45" x14ac:dyDescent="0.15">
      <c r="A213" s="16" t="s">
        <v>38</v>
      </c>
      <c r="B213" s="30" t="s">
        <v>4</v>
      </c>
      <c r="C213" s="29">
        <v>365</v>
      </c>
      <c r="D213" s="29">
        <v>365</v>
      </c>
      <c r="E213" s="29">
        <v>366</v>
      </c>
      <c r="F213" s="29">
        <v>366</v>
      </c>
      <c r="G213" s="29">
        <v>366</v>
      </c>
      <c r="H213" s="29">
        <v>366</v>
      </c>
      <c r="I213" s="29">
        <v>367</v>
      </c>
      <c r="J213" s="29">
        <f>IF(J$8="","",I213)</f>
        <v>367</v>
      </c>
      <c r="K213" s="29">
        <f t="shared" si="2750"/>
        <v>367</v>
      </c>
      <c r="L213" s="29">
        <f t="shared" ref="L213" si="2767">IF(L$8="","",K213)</f>
        <v>367</v>
      </c>
      <c r="M213" s="29" t="str">
        <f t="shared" ref="M213" si="2768">IF(M$8="","",L213)</f>
        <v/>
      </c>
      <c r="N213" s="29" t="str">
        <f t="shared" si="2751"/>
        <v/>
      </c>
      <c r="O213" s="29" t="str">
        <f t="shared" si="2752"/>
        <v/>
      </c>
      <c r="P213" s="29" t="str">
        <f t="shared" ref="P212:P213" si="2769">IF(P$8="","",O213)</f>
        <v/>
      </c>
      <c r="Q213" s="29" t="str">
        <f t="shared" ref="Q213" si="2770">IF(Q$8="","",P213)</f>
        <v/>
      </c>
      <c r="R213" s="29" t="str">
        <f t="shared" si="2753"/>
        <v/>
      </c>
      <c r="S213" s="29" t="str">
        <f>IF(S$8="","",R213)</f>
        <v/>
      </c>
      <c r="T213" s="29" t="str">
        <f t="shared" ref="T213" si="2771">IF(T$8="","",S213)</f>
        <v/>
      </c>
      <c r="U213" s="29" t="str">
        <f t="shared" si="2754"/>
        <v/>
      </c>
      <c r="V213" s="29" t="str">
        <f t="shared" si="2755"/>
        <v/>
      </c>
      <c r="W213" s="29" t="str">
        <f t="shared" ref="W212:W213" si="2772">IF(W$8="","",V213)</f>
        <v/>
      </c>
      <c r="X213" s="29" t="str">
        <f>IF(X$8="","",W213)</f>
        <v/>
      </c>
      <c r="Y213" s="29" t="str">
        <f t="shared" si="2756"/>
        <v/>
      </c>
      <c r="Z213" s="29" t="str">
        <f>IF(Z$8="","",Y213)</f>
        <v/>
      </c>
      <c r="AA213" s="29" t="str">
        <f t="shared" ref="AA213" si="2773">IF(AA$8="","",Z213)</f>
        <v/>
      </c>
      <c r="AB213" s="29" t="str">
        <f t="shared" si="2757"/>
        <v/>
      </c>
      <c r="AC213" s="29" t="str">
        <f t="shared" si="2758"/>
        <v/>
      </c>
      <c r="AD213" s="29" t="str">
        <f t="shared" ref="AD212:AD213" si="2774">IF(AD$8="","",AC213)</f>
        <v/>
      </c>
      <c r="AE213" s="29" t="str">
        <f t="shared" ref="AE213" si="2775">IF(AE$8="","",AD213)</f>
        <v/>
      </c>
      <c r="AF213" s="29" t="str">
        <f t="shared" si="2759"/>
        <v/>
      </c>
      <c r="AG213" s="29" t="str">
        <f>IF(AG$8="","",AF213)</f>
        <v/>
      </c>
      <c r="AH213" s="29" t="str">
        <f t="shared" si="2760"/>
        <v/>
      </c>
      <c r="AI213" s="29" t="str">
        <f t="shared" si="2761"/>
        <v/>
      </c>
      <c r="AJ213" s="29" t="str">
        <f t="shared" si="2762"/>
        <v/>
      </c>
      <c r="AK213" s="29" t="str">
        <f>IF(AK$8="","",AJ213)</f>
        <v/>
      </c>
      <c r="AL213" s="29" t="str">
        <f t="shared" si="2763"/>
        <v/>
      </c>
      <c r="AM213" s="29" t="str">
        <f t="shared" si="2764"/>
        <v/>
      </c>
      <c r="AN213" s="29" t="str">
        <f t="shared" si="2765"/>
        <v/>
      </c>
      <c r="AO213" s="29" t="str">
        <f t="shared" ref="AO213:AS213" si="2776">IF(AO$8="","",AN213)</f>
        <v/>
      </c>
      <c r="AP213" s="29" t="str">
        <f t="shared" si="2776"/>
        <v/>
      </c>
      <c r="AQ213" s="29" t="str">
        <f t="shared" si="2776"/>
        <v/>
      </c>
      <c r="AR213" s="29" t="str">
        <f t="shared" si="2776"/>
        <v/>
      </c>
      <c r="AS213" s="29" t="str">
        <f t="shared" si="2776"/>
        <v/>
      </c>
    </row>
    <row r="214" spans="1:45" x14ac:dyDescent="0.15">
      <c r="A214" s="15">
        <v>2</v>
      </c>
      <c r="B214" s="30" t="s">
        <v>5</v>
      </c>
      <c r="C214" s="29">
        <v>7</v>
      </c>
      <c r="D214" s="29">
        <v>7</v>
      </c>
      <c r="E214" s="29">
        <v>6</v>
      </c>
      <c r="F214" s="29">
        <v>6</v>
      </c>
      <c r="G214" s="29">
        <v>6</v>
      </c>
      <c r="H214" s="29">
        <v>6</v>
      </c>
      <c r="I214" s="29">
        <v>5</v>
      </c>
      <c r="J214" s="29">
        <f>IF(J$8="","",(I214+I215))</f>
        <v>9</v>
      </c>
      <c r="K214" s="29">
        <f t="shared" ref="K214" si="2777">IF(K$8="","",(J214+J215))</f>
        <v>9</v>
      </c>
      <c r="L214" s="29">
        <f t="shared" ref="L214" si="2778">IF(L$8="","",(K214+K215))</f>
        <v>9</v>
      </c>
      <c r="M214" s="29" t="str">
        <f t="shared" ref="M214" si="2779">IF(M$8="","",(L214+L215))</f>
        <v/>
      </c>
      <c r="N214" s="29" t="str">
        <f t="shared" ref="N214" si="2780">IF(N$8="","",(M214+M215))</f>
        <v/>
      </c>
      <c r="O214" s="29" t="str">
        <f t="shared" ref="O214" si="2781">IF(O$8="","",(N214+N215))</f>
        <v/>
      </c>
      <c r="P214" s="29" t="str">
        <f t="shared" ref="P214" si="2782">IF(P$8="","",(O214+O215))</f>
        <v/>
      </c>
      <c r="Q214" s="29" t="str">
        <f t="shared" ref="Q214" si="2783">IF(Q$8="","",(P214+P215))</f>
        <v/>
      </c>
      <c r="R214" s="29" t="str">
        <f t="shared" ref="R214" si="2784">IF(R$8="","",(Q214+Q215))</f>
        <v/>
      </c>
      <c r="S214" s="29" t="str">
        <f>IF(S$8="","",(R214+R215))</f>
        <v/>
      </c>
      <c r="T214" s="29" t="str">
        <f t="shared" ref="T214" si="2785">IF(T$8="","",(S214+S215))</f>
        <v/>
      </c>
      <c r="U214" s="29" t="str">
        <f t="shared" ref="U214" si="2786">IF(U$8="","",(T214+T215))</f>
        <v/>
      </c>
      <c r="V214" s="29" t="str">
        <f t="shared" ref="V214" si="2787">IF(V$8="","",(U214+U215))</f>
        <v/>
      </c>
      <c r="W214" s="29" t="str">
        <f t="shared" ref="W214" si="2788">IF(W$8="","",(V214+V215))</f>
        <v/>
      </c>
      <c r="X214" s="29" t="str">
        <f>IF(X$8="","",(W214+W215))</f>
        <v/>
      </c>
      <c r="Y214" s="29" t="str">
        <f t="shared" ref="Y214" si="2789">IF(Y$8="","",(X214+X215))</f>
        <v/>
      </c>
      <c r="Z214" s="29" t="str">
        <f>IF(Z$8="","",(Y214+Y215))</f>
        <v/>
      </c>
      <c r="AA214" s="29" t="str">
        <f t="shared" ref="AA214" si="2790">IF(AA$8="","",(Z214+Z215))</f>
        <v/>
      </c>
      <c r="AB214" s="29" t="str">
        <f t="shared" ref="AB214" si="2791">IF(AB$8="","",(AA214+AA215))</f>
        <v/>
      </c>
      <c r="AC214" s="29" t="str">
        <f t="shared" ref="AC214" si="2792">IF(AC$8="","",(AB214+AB215))</f>
        <v/>
      </c>
      <c r="AD214" s="29" t="str">
        <f t="shared" ref="AD214" si="2793">IF(AD$8="","",(AC214+AC215))</f>
        <v/>
      </c>
      <c r="AE214" s="29" t="str">
        <f t="shared" ref="AE214" si="2794">IF(AE$8="","",(AD214+AD215))</f>
        <v/>
      </c>
      <c r="AF214" s="29" t="str">
        <f t="shared" ref="AF214" si="2795">IF(AF$8="","",(AE214+AE215))</f>
        <v/>
      </c>
      <c r="AG214" s="29" t="str">
        <f>IF(AG$8="","",(AF214+AF215))</f>
        <v/>
      </c>
      <c r="AH214" s="29" t="str">
        <f t="shared" ref="AH214" si="2796">IF(AH$8="","",(AG214+AG215))</f>
        <v/>
      </c>
      <c r="AI214" s="29" t="str">
        <f t="shared" ref="AI214" si="2797">IF(AI$8="","",(AH214+AH215))</f>
        <v/>
      </c>
      <c r="AJ214" s="29" t="str">
        <f t="shared" ref="AJ214" si="2798">IF(AJ$8="","",(AI214+AI215))</f>
        <v/>
      </c>
      <c r="AK214" s="29" t="str">
        <f>IF(AK$8="","",(AJ214+AJ215))</f>
        <v/>
      </c>
      <c r="AL214" s="29" t="str">
        <f t="shared" ref="AL214" si="2799">IF(AL$8="","",(AK214+AK215))</f>
        <v/>
      </c>
      <c r="AM214" s="29" t="str">
        <f t="shared" ref="AM214" si="2800">IF(AM$8="","",(AL214+AL215))</f>
        <v/>
      </c>
      <c r="AN214" s="29" t="str">
        <f t="shared" ref="AN214" si="2801">IF(AN$8="","",(AM214+AM215))</f>
        <v/>
      </c>
      <c r="AO214" s="29" t="str">
        <f t="shared" ref="AO214:AS214" si="2802">IF(AO$8="","",(AN214+AN215))</f>
        <v/>
      </c>
      <c r="AP214" s="29" t="str">
        <f t="shared" si="2802"/>
        <v/>
      </c>
      <c r="AQ214" s="29" t="str">
        <f t="shared" si="2802"/>
        <v/>
      </c>
      <c r="AR214" s="29" t="str">
        <f t="shared" si="2802"/>
        <v/>
      </c>
      <c r="AS214" s="29" t="str">
        <f t="shared" si="2802"/>
        <v/>
      </c>
    </row>
    <row r="215" spans="1:45" x14ac:dyDescent="0.15">
      <c r="A215" s="14"/>
      <c r="B215" s="30" t="s">
        <v>7</v>
      </c>
      <c r="C215" s="29"/>
      <c r="D215" s="29"/>
      <c r="E215" s="29"/>
      <c r="F215" s="29"/>
      <c r="G215" s="29"/>
      <c r="H215" s="29"/>
      <c r="I215" s="29">
        <v>4</v>
      </c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</row>
    <row r="216" spans="1:45" x14ac:dyDescent="0.15">
      <c r="A216" s="7"/>
      <c r="B216" s="30" t="s">
        <v>8</v>
      </c>
      <c r="C216" s="35">
        <v>800</v>
      </c>
      <c r="D216" s="35">
        <v>800</v>
      </c>
      <c r="E216" s="35">
        <v>800</v>
      </c>
      <c r="F216" s="35">
        <v>800</v>
      </c>
      <c r="G216" s="35">
        <v>800</v>
      </c>
      <c r="H216" s="35">
        <v>800</v>
      </c>
      <c r="I216" s="35">
        <v>800</v>
      </c>
      <c r="J216" s="35">
        <f t="shared" ref="J216:J217" si="2803">IF(J$8="","",I216)</f>
        <v>800</v>
      </c>
      <c r="K216" s="35">
        <f t="shared" ref="K216:K217" si="2804">IF(K$8="","",J216)</f>
        <v>800</v>
      </c>
      <c r="L216" s="35">
        <f t="shared" ref="L216:L217" si="2805">IF(L$8="","",K216)</f>
        <v>800</v>
      </c>
      <c r="M216" s="35" t="str">
        <f t="shared" ref="M216:M217" si="2806">IF(M$8="","",L216)</f>
        <v/>
      </c>
      <c r="N216" s="35" t="str">
        <f t="shared" ref="N216:N217" si="2807">IF(N$8="","",M216)</f>
        <v/>
      </c>
      <c r="O216" s="35" t="str">
        <f t="shared" ref="O216:O217" si="2808">IF(O$8="","",N216)</f>
        <v/>
      </c>
      <c r="P216" s="35" t="str">
        <f t="shared" ref="P216:P217" si="2809">IF(P$8="","",O216)</f>
        <v/>
      </c>
      <c r="Q216" s="35" t="str">
        <f t="shared" ref="Q216:Q217" si="2810">IF(Q$8="","",P216)</f>
        <v/>
      </c>
      <c r="R216" s="35" t="str">
        <f t="shared" ref="R216:R217" si="2811">IF(R$8="","",Q216)</f>
        <v/>
      </c>
      <c r="S216" s="35" t="str">
        <f t="shared" ref="S216:S217" si="2812">IF(S$8="","",R216)</f>
        <v/>
      </c>
      <c r="T216" s="35" t="str">
        <f t="shared" ref="T216:T217" si="2813">IF(T$8="","",S216)</f>
        <v/>
      </c>
      <c r="U216" s="35" t="str">
        <f t="shared" ref="U216:U217" si="2814">IF(U$8="","",T216)</f>
        <v/>
      </c>
      <c r="V216" s="35" t="str">
        <f t="shared" ref="V216:V217" si="2815">IF(V$8="","",U216)</f>
        <v/>
      </c>
      <c r="W216" s="35" t="str">
        <f t="shared" ref="W216:W217" si="2816">IF(W$8="","",V216)</f>
        <v/>
      </c>
      <c r="X216" s="35" t="str">
        <f t="shared" ref="X216:X217" si="2817">IF(X$8="","",W216)</f>
        <v/>
      </c>
      <c r="Y216" s="35" t="str">
        <f t="shared" ref="Y216:Y217" si="2818">IF(Y$8="","",X216)</f>
        <v/>
      </c>
      <c r="Z216" s="35" t="str">
        <f t="shared" ref="Z216:Z217" si="2819">IF(Z$8="","",Y216)</f>
        <v/>
      </c>
      <c r="AA216" s="35" t="str">
        <f t="shared" ref="AA216:AA217" si="2820">IF(AA$8="","",Z216)</f>
        <v/>
      </c>
      <c r="AB216" s="35" t="str">
        <f t="shared" ref="AB216:AB217" si="2821">IF(AB$8="","",AA216)</f>
        <v/>
      </c>
      <c r="AC216" s="35" t="str">
        <f t="shared" ref="AC216:AC217" si="2822">IF(AC$8="","",AB216)</f>
        <v/>
      </c>
      <c r="AD216" s="35" t="str">
        <f t="shared" ref="AD216:AD217" si="2823">IF(AD$8="","",AC216)</f>
        <v/>
      </c>
      <c r="AE216" s="35" t="str">
        <f t="shared" ref="AE216:AE217" si="2824">IF(AE$8="","",AD216)</f>
        <v/>
      </c>
      <c r="AF216" s="35" t="str">
        <f t="shared" ref="AF216:AF217" si="2825">IF(AF$8="","",AE216)</f>
        <v/>
      </c>
      <c r="AG216" s="35" t="str">
        <f t="shared" ref="AG216:AG217" si="2826">IF(AG$8="","",AF216)</f>
        <v/>
      </c>
      <c r="AH216" s="35" t="str">
        <f t="shared" ref="AH216:AH217" si="2827">IF(AH$8="","",AG216)</f>
        <v/>
      </c>
      <c r="AI216" s="35" t="str">
        <f t="shared" ref="AI216:AI217" si="2828">IF(AI$8="","",AH216)</f>
        <v/>
      </c>
      <c r="AJ216" s="35" t="str">
        <f t="shared" ref="AJ216:AJ217" si="2829">IF(AJ$8="","",AI216)</f>
        <v/>
      </c>
      <c r="AK216" s="35" t="str">
        <f t="shared" ref="AK216:AK217" si="2830">IF(AK$8="","",AJ216)</f>
        <v/>
      </c>
      <c r="AL216" s="35" t="str">
        <f t="shared" ref="AL216:AL217" si="2831">IF(AL$8="","",AK216)</f>
        <v/>
      </c>
      <c r="AM216" s="35" t="str">
        <f t="shared" ref="AM216:AM217" si="2832">IF(AM$8="","",AL216)</f>
        <v/>
      </c>
      <c r="AN216" s="35" t="str">
        <f t="shared" ref="AN216:AN217" si="2833">IF(AN$8="","",AM216)</f>
        <v/>
      </c>
      <c r="AO216" s="35" t="str">
        <f t="shared" ref="AO216:AS216" si="2834">IF(AO$8="","",AN216)</f>
        <v/>
      </c>
      <c r="AP216" s="35" t="str">
        <f t="shared" si="2834"/>
        <v/>
      </c>
      <c r="AQ216" s="35" t="str">
        <f t="shared" si="2834"/>
        <v/>
      </c>
      <c r="AR216" s="35" t="str">
        <f t="shared" si="2834"/>
        <v/>
      </c>
      <c r="AS216" s="35" t="str">
        <f t="shared" si="2834"/>
        <v/>
      </c>
    </row>
    <row r="217" spans="1:45" s="85" customFormat="1" x14ac:dyDescent="0.15">
      <c r="A217" s="14" t="s">
        <v>9</v>
      </c>
      <c r="B217" s="33" t="s">
        <v>10</v>
      </c>
      <c r="C217" s="32" t="s">
        <v>39</v>
      </c>
      <c r="D217" s="32" t="s">
        <v>39</v>
      </c>
      <c r="E217" s="32" t="s">
        <v>39</v>
      </c>
      <c r="F217" s="32" t="s">
        <v>39</v>
      </c>
      <c r="G217" s="32" t="s">
        <v>39</v>
      </c>
      <c r="H217" s="32" t="s">
        <v>39</v>
      </c>
      <c r="I217" s="32" t="s">
        <v>39</v>
      </c>
      <c r="J217" s="32" t="str">
        <f t="shared" si="2803"/>
        <v>サンリオバンズクリップ</v>
      </c>
      <c r="K217" s="32" t="str">
        <f t="shared" si="2804"/>
        <v>サンリオバンズクリップ</v>
      </c>
      <c r="L217" s="32" t="str">
        <f t="shared" si="2805"/>
        <v>サンリオバンズクリップ</v>
      </c>
      <c r="M217" s="32" t="str">
        <f t="shared" si="2806"/>
        <v/>
      </c>
      <c r="N217" s="32" t="str">
        <f t="shared" si="2807"/>
        <v/>
      </c>
      <c r="O217" s="32" t="str">
        <f t="shared" si="2808"/>
        <v/>
      </c>
      <c r="P217" s="32" t="str">
        <f t="shared" si="2809"/>
        <v/>
      </c>
      <c r="Q217" s="32" t="str">
        <f t="shared" si="2810"/>
        <v/>
      </c>
      <c r="R217" s="32" t="str">
        <f t="shared" si="2811"/>
        <v/>
      </c>
      <c r="S217" s="32" t="str">
        <f t="shared" si="2812"/>
        <v/>
      </c>
      <c r="T217" s="32" t="str">
        <f t="shared" si="2813"/>
        <v/>
      </c>
      <c r="U217" s="32" t="str">
        <f t="shared" si="2814"/>
        <v/>
      </c>
      <c r="V217" s="32" t="str">
        <f t="shared" si="2815"/>
        <v/>
      </c>
      <c r="W217" s="32" t="str">
        <f t="shared" si="2816"/>
        <v/>
      </c>
      <c r="X217" s="32" t="str">
        <f t="shared" si="2817"/>
        <v/>
      </c>
      <c r="Y217" s="32" t="str">
        <f t="shared" si="2818"/>
        <v/>
      </c>
      <c r="Z217" s="32" t="str">
        <f t="shared" si="2819"/>
        <v/>
      </c>
      <c r="AA217" s="32" t="str">
        <f t="shared" si="2820"/>
        <v/>
      </c>
      <c r="AB217" s="32" t="str">
        <f t="shared" si="2821"/>
        <v/>
      </c>
      <c r="AC217" s="32" t="str">
        <f t="shared" si="2822"/>
        <v/>
      </c>
      <c r="AD217" s="32" t="str">
        <f t="shared" si="2823"/>
        <v/>
      </c>
      <c r="AE217" s="32" t="str">
        <f t="shared" si="2824"/>
        <v/>
      </c>
      <c r="AF217" s="32" t="str">
        <f t="shared" si="2825"/>
        <v/>
      </c>
      <c r="AG217" s="32" t="str">
        <f t="shared" si="2826"/>
        <v/>
      </c>
      <c r="AH217" s="32" t="str">
        <f t="shared" si="2827"/>
        <v/>
      </c>
      <c r="AI217" s="32" t="str">
        <f t="shared" si="2828"/>
        <v/>
      </c>
      <c r="AJ217" s="32" t="str">
        <f t="shared" si="2829"/>
        <v/>
      </c>
      <c r="AK217" s="32" t="str">
        <f t="shared" si="2830"/>
        <v/>
      </c>
      <c r="AL217" s="32" t="str">
        <f t="shared" si="2831"/>
        <v/>
      </c>
      <c r="AM217" s="32" t="str">
        <f t="shared" si="2832"/>
        <v/>
      </c>
      <c r="AN217" s="32" t="str">
        <f t="shared" si="2833"/>
        <v/>
      </c>
      <c r="AO217" s="32" t="str">
        <f t="shared" ref="AO217:AS217" si="2835">IF(AO$8="","",AN217)</f>
        <v/>
      </c>
      <c r="AP217" s="32" t="str">
        <f t="shared" si="2835"/>
        <v/>
      </c>
      <c r="AQ217" s="32" t="str">
        <f t="shared" si="2835"/>
        <v/>
      </c>
      <c r="AR217" s="32" t="str">
        <f t="shared" si="2835"/>
        <v/>
      </c>
      <c r="AS217" s="32" t="str">
        <f t="shared" si="2835"/>
        <v/>
      </c>
    </row>
    <row r="218" spans="1:45" x14ac:dyDescent="0.15">
      <c r="A218" s="7">
        <f>AVERAGE(C219:AS219)*30*100</f>
        <v>23100</v>
      </c>
      <c r="B218" s="30" t="s">
        <v>12</v>
      </c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</row>
    <row r="219" spans="1:45" x14ac:dyDescent="0.15">
      <c r="A219" s="7">
        <f>SUM(C219:AS219)</f>
        <v>77</v>
      </c>
      <c r="B219" s="27" t="s">
        <v>13</v>
      </c>
      <c r="C219" s="26">
        <v>0</v>
      </c>
      <c r="D219" s="26">
        <v>0</v>
      </c>
      <c r="E219" s="26">
        <v>39</v>
      </c>
      <c r="F219" s="26">
        <v>0</v>
      </c>
      <c r="G219" s="26">
        <v>0</v>
      </c>
      <c r="H219" s="26">
        <v>0</v>
      </c>
      <c r="I219" s="26">
        <v>22</v>
      </c>
      <c r="J219" s="26">
        <f t="shared" ref="J219:J220" si="2836">IF(J$8="","",J212-I212)</f>
        <v>0</v>
      </c>
      <c r="K219" s="26">
        <f t="shared" ref="K219:K220" si="2837">IF(K$8="","",K212-J212)</f>
        <v>0</v>
      </c>
      <c r="L219" s="26">
        <f t="shared" ref="L219:L220" si="2838">IF(L$8="","",L212-K212)</f>
        <v>16</v>
      </c>
      <c r="M219" s="26" t="str">
        <f t="shared" ref="M219:M220" si="2839">IF(M$8="","",M212-L212)</f>
        <v/>
      </c>
      <c r="N219" s="26" t="str">
        <f t="shared" ref="N219:N220" si="2840">IF(N$8="","",N212-M212)</f>
        <v/>
      </c>
      <c r="O219" s="26" t="str">
        <f t="shared" ref="O219:O220" si="2841">IF(O$8="","",O212-N212)</f>
        <v/>
      </c>
      <c r="P219" s="26" t="str">
        <f t="shared" ref="P219:P220" si="2842">IF(P$8="","",P212-O212)</f>
        <v/>
      </c>
      <c r="Q219" s="26" t="str">
        <f t="shared" ref="Q219:Q220" si="2843">IF(Q$8="","",Q212-P212)</f>
        <v/>
      </c>
      <c r="R219" s="26" t="str">
        <f t="shared" ref="R219:R220" si="2844">IF(R$8="","",R212-Q212)</f>
        <v/>
      </c>
      <c r="S219" s="26" t="str">
        <f t="shared" ref="S219:S220" si="2845">IF(S$8="","",S212-R212)</f>
        <v/>
      </c>
      <c r="T219" s="26" t="str">
        <f t="shared" ref="T219:T220" si="2846">IF(T$8="","",T212-S212)</f>
        <v/>
      </c>
      <c r="U219" s="26" t="str">
        <f t="shared" ref="U219:U220" si="2847">IF(U$8="","",U212-T212)</f>
        <v/>
      </c>
      <c r="V219" s="26" t="str">
        <f t="shared" ref="V219:V220" si="2848">IF(V$8="","",V212-U212)</f>
        <v/>
      </c>
      <c r="W219" s="26" t="str">
        <f t="shared" ref="W219:W220" si="2849">IF(W$8="","",W212-V212)</f>
        <v/>
      </c>
      <c r="X219" s="26" t="str">
        <f t="shared" ref="X219:X220" si="2850">IF(X$8="","",X212-W212)</f>
        <v/>
      </c>
      <c r="Y219" s="26" t="str">
        <f t="shared" ref="Y219:Y220" si="2851">IF(Y$8="","",Y212-X212)</f>
        <v/>
      </c>
      <c r="Z219" s="26" t="str">
        <f t="shared" ref="Z219:Z220" si="2852">IF(Z$8="","",Z212-Y212)</f>
        <v/>
      </c>
      <c r="AA219" s="26" t="str">
        <f t="shared" ref="AA219:AA220" si="2853">IF(AA$8="","",AA212-Z212)</f>
        <v/>
      </c>
      <c r="AB219" s="26" t="str">
        <f t="shared" ref="AB219:AB220" si="2854">IF(AB$8="","",AB212-AA212)</f>
        <v/>
      </c>
      <c r="AC219" s="26" t="str">
        <f t="shared" ref="AC219:AC220" si="2855">IF(AC$8="","",AC212-AB212)</f>
        <v/>
      </c>
      <c r="AD219" s="26" t="str">
        <f t="shared" ref="AD219:AD220" si="2856">IF(AD$8="","",AD212-AC212)</f>
        <v/>
      </c>
      <c r="AE219" s="26" t="str">
        <f t="shared" ref="AE219:AE220" si="2857">IF(AE$8="","",AE212-AD212)</f>
        <v/>
      </c>
      <c r="AF219" s="26" t="str">
        <f t="shared" ref="AF219:AF220" si="2858">IF(AF$8="","",AF212-AE212)</f>
        <v/>
      </c>
      <c r="AG219" s="26" t="str">
        <f t="shared" ref="AG219:AG220" si="2859">IF(AG$8="","",AG212-AF212)</f>
        <v/>
      </c>
      <c r="AH219" s="26" t="str">
        <f t="shared" ref="AH219:AH220" si="2860">IF(AH$8="","",AH212-AG212)</f>
        <v/>
      </c>
      <c r="AI219" s="26" t="str">
        <f t="shared" ref="AI219:AI220" si="2861">IF(AI$8="","",AI212-AH212)</f>
        <v/>
      </c>
      <c r="AJ219" s="26" t="str">
        <f t="shared" ref="AJ219:AJ220" si="2862">IF(AJ$8="","",AJ212-AI212)</f>
        <v/>
      </c>
      <c r="AK219" s="26" t="str">
        <f t="shared" ref="AK219:AK220" si="2863">IF(AK$8="","",AK212-AJ212)</f>
        <v/>
      </c>
      <c r="AL219" s="26" t="str">
        <f t="shared" ref="AL219:AL220" si="2864">IF(AL$8="","",AL212-AK212)</f>
        <v/>
      </c>
      <c r="AM219" s="26" t="str">
        <f t="shared" ref="AM219:AM220" si="2865">IF(AM$8="","",AM212-AL212)</f>
        <v/>
      </c>
      <c r="AN219" s="26" t="str">
        <f t="shared" ref="AN219:AN220" si="2866">IF(AN$8="","",AN212-AM212)</f>
        <v/>
      </c>
      <c r="AO219" s="26" t="str">
        <f t="shared" ref="AO219:AS219" si="2867">IF(AO$8="","",AO212-AN212)</f>
        <v/>
      </c>
      <c r="AP219" s="26" t="str">
        <f t="shared" si="2867"/>
        <v/>
      </c>
      <c r="AQ219" s="26" t="str">
        <f t="shared" si="2867"/>
        <v/>
      </c>
      <c r="AR219" s="26" t="str">
        <f t="shared" si="2867"/>
        <v/>
      </c>
      <c r="AS219" s="26" t="str">
        <f t="shared" si="2867"/>
        <v/>
      </c>
    </row>
    <row r="220" spans="1:45" x14ac:dyDescent="0.15">
      <c r="A220" s="7">
        <f>SUM(C220:AS220)</f>
        <v>2</v>
      </c>
      <c r="B220" s="27" t="s">
        <v>14</v>
      </c>
      <c r="C220" s="26">
        <v>0</v>
      </c>
      <c r="D220" s="26">
        <v>0</v>
      </c>
      <c r="E220" s="26">
        <v>1</v>
      </c>
      <c r="F220" s="26">
        <v>0</v>
      </c>
      <c r="G220" s="26">
        <v>0</v>
      </c>
      <c r="H220" s="26">
        <v>0</v>
      </c>
      <c r="I220" s="26">
        <v>1</v>
      </c>
      <c r="J220" s="26">
        <f t="shared" si="2836"/>
        <v>0</v>
      </c>
      <c r="K220" s="26">
        <f t="shared" si="2837"/>
        <v>0</v>
      </c>
      <c r="L220" s="26">
        <f t="shared" si="2838"/>
        <v>0</v>
      </c>
      <c r="M220" s="26" t="str">
        <f t="shared" si="2839"/>
        <v/>
      </c>
      <c r="N220" s="26" t="str">
        <f t="shared" si="2840"/>
        <v/>
      </c>
      <c r="O220" s="26" t="str">
        <f t="shared" si="2841"/>
        <v/>
      </c>
      <c r="P220" s="26" t="str">
        <f t="shared" si="2842"/>
        <v/>
      </c>
      <c r="Q220" s="26" t="str">
        <f t="shared" si="2843"/>
        <v/>
      </c>
      <c r="R220" s="26" t="str">
        <f t="shared" si="2844"/>
        <v/>
      </c>
      <c r="S220" s="26" t="str">
        <f t="shared" si="2845"/>
        <v/>
      </c>
      <c r="T220" s="26" t="str">
        <f t="shared" si="2846"/>
        <v/>
      </c>
      <c r="U220" s="26" t="str">
        <f t="shared" si="2847"/>
        <v/>
      </c>
      <c r="V220" s="26" t="str">
        <f t="shared" si="2848"/>
        <v/>
      </c>
      <c r="W220" s="26" t="str">
        <f t="shared" si="2849"/>
        <v/>
      </c>
      <c r="X220" s="26" t="str">
        <f t="shared" si="2850"/>
        <v/>
      </c>
      <c r="Y220" s="26" t="str">
        <f t="shared" si="2851"/>
        <v/>
      </c>
      <c r="Z220" s="26" t="str">
        <f t="shared" si="2852"/>
        <v/>
      </c>
      <c r="AA220" s="26" t="str">
        <f t="shared" si="2853"/>
        <v/>
      </c>
      <c r="AB220" s="26" t="str">
        <f t="shared" si="2854"/>
        <v/>
      </c>
      <c r="AC220" s="26" t="str">
        <f t="shared" si="2855"/>
        <v/>
      </c>
      <c r="AD220" s="26" t="str">
        <f t="shared" si="2856"/>
        <v/>
      </c>
      <c r="AE220" s="26" t="str">
        <f t="shared" si="2857"/>
        <v/>
      </c>
      <c r="AF220" s="26" t="str">
        <f t="shared" si="2858"/>
        <v/>
      </c>
      <c r="AG220" s="26" t="str">
        <f t="shared" si="2859"/>
        <v/>
      </c>
      <c r="AH220" s="26" t="str">
        <f t="shared" si="2860"/>
        <v/>
      </c>
      <c r="AI220" s="26" t="str">
        <f t="shared" si="2861"/>
        <v/>
      </c>
      <c r="AJ220" s="26" t="str">
        <f t="shared" si="2862"/>
        <v/>
      </c>
      <c r="AK220" s="26" t="str">
        <f t="shared" si="2863"/>
        <v/>
      </c>
      <c r="AL220" s="26" t="str">
        <f t="shared" si="2864"/>
        <v/>
      </c>
      <c r="AM220" s="26" t="str">
        <f t="shared" si="2865"/>
        <v/>
      </c>
      <c r="AN220" s="26" t="str">
        <f t="shared" si="2866"/>
        <v/>
      </c>
      <c r="AO220" s="26" t="str">
        <f t="shared" ref="AO220:AS220" si="2868">IF(AO$8="","",AO213-AN213)</f>
        <v/>
      </c>
      <c r="AP220" s="26" t="str">
        <f t="shared" si="2868"/>
        <v/>
      </c>
      <c r="AQ220" s="26" t="str">
        <f t="shared" si="2868"/>
        <v/>
      </c>
      <c r="AR220" s="26" t="str">
        <f t="shared" si="2868"/>
        <v/>
      </c>
      <c r="AS220" s="26" t="str">
        <f t="shared" si="2868"/>
        <v/>
      </c>
    </row>
    <row r="221" spans="1:45" x14ac:dyDescent="0.15">
      <c r="A221" s="7">
        <f>SUM(C221:AS221)</f>
        <v>2</v>
      </c>
      <c r="B221" s="27" t="s">
        <v>15</v>
      </c>
      <c r="C221" s="26">
        <v>0</v>
      </c>
      <c r="D221" s="26">
        <v>0</v>
      </c>
      <c r="E221" s="26">
        <v>1</v>
      </c>
      <c r="F221" s="26">
        <v>0</v>
      </c>
      <c r="G221" s="26">
        <v>0</v>
      </c>
      <c r="H221" s="26">
        <v>0</v>
      </c>
      <c r="I221" s="26">
        <v>1</v>
      </c>
      <c r="J221" s="26">
        <f t="shared" ref="J221" si="2869">IF(J$8="","",I214+I215-J214)</f>
        <v>0</v>
      </c>
      <c r="K221" s="26">
        <f t="shared" ref="K221" si="2870">IF(K$8="","",J214+J215-K214)</f>
        <v>0</v>
      </c>
      <c r="L221" s="26">
        <f t="shared" ref="L221" si="2871">IF(L$8="","",K214+K215-L214)</f>
        <v>0</v>
      </c>
      <c r="M221" s="26" t="str">
        <f t="shared" ref="M221" si="2872">IF(M$8="","",L214+L215-M214)</f>
        <v/>
      </c>
      <c r="N221" s="26" t="str">
        <f t="shared" ref="N221" si="2873">IF(N$8="","",M214+M215-N214)</f>
        <v/>
      </c>
      <c r="O221" s="26" t="str">
        <f t="shared" ref="O221" si="2874">IF(O$8="","",N214+N215-O214)</f>
        <v/>
      </c>
      <c r="P221" s="26" t="str">
        <f t="shared" ref="P221" si="2875">IF(P$8="","",O214+O215-P214)</f>
        <v/>
      </c>
      <c r="Q221" s="26" t="str">
        <f t="shared" ref="Q221" si="2876">IF(Q$8="","",P214+P215-Q214)</f>
        <v/>
      </c>
      <c r="R221" s="26" t="str">
        <f t="shared" ref="R221" si="2877">IF(R$8="","",Q214+Q215-R214)</f>
        <v/>
      </c>
      <c r="S221" s="26" t="str">
        <f t="shared" ref="S221" si="2878">IF(S$8="","",R214+R215-S214)</f>
        <v/>
      </c>
      <c r="T221" s="26" t="str">
        <f t="shared" ref="T221" si="2879">IF(T$8="","",S214+S215-T214)</f>
        <v/>
      </c>
      <c r="U221" s="26" t="str">
        <f t="shared" ref="U221" si="2880">IF(U$8="","",T214+T215-U214)</f>
        <v/>
      </c>
      <c r="V221" s="26" t="str">
        <f t="shared" ref="V221" si="2881">IF(V$8="","",U214+U215-V214)</f>
        <v/>
      </c>
      <c r="W221" s="26" t="str">
        <f t="shared" ref="W221" si="2882">IF(W$8="","",V214+V215-W214)</f>
        <v/>
      </c>
      <c r="X221" s="26" t="str">
        <f t="shared" ref="X221" si="2883">IF(X$8="","",W214+W215-X214)</f>
        <v/>
      </c>
      <c r="Y221" s="26" t="str">
        <f t="shared" ref="Y221" si="2884">IF(Y$8="","",X214+X215-Y214)</f>
        <v/>
      </c>
      <c r="Z221" s="26" t="str">
        <f t="shared" ref="Z221" si="2885">IF(Z$8="","",Y214+Y215-Z214)</f>
        <v/>
      </c>
      <c r="AA221" s="26" t="str">
        <f t="shared" ref="AA221" si="2886">IF(AA$8="","",Z214+Z215-AA214)</f>
        <v/>
      </c>
      <c r="AB221" s="26" t="str">
        <f t="shared" ref="AB221" si="2887">IF(AB$8="","",AA214+AA215-AB214)</f>
        <v/>
      </c>
      <c r="AC221" s="26" t="str">
        <f t="shared" ref="AC221" si="2888">IF(AC$8="","",AB214+AB215-AC214)</f>
        <v/>
      </c>
      <c r="AD221" s="26" t="str">
        <f t="shared" ref="AD221" si="2889">IF(AD$8="","",AC214+AC215-AD214)</f>
        <v/>
      </c>
      <c r="AE221" s="26" t="str">
        <f t="shared" ref="AE221" si="2890">IF(AE$8="","",AD214+AD215-AE214)</f>
        <v/>
      </c>
      <c r="AF221" s="26" t="str">
        <f t="shared" ref="AF221" si="2891">IF(AF$8="","",AE214+AE215-AF214)</f>
        <v/>
      </c>
      <c r="AG221" s="26" t="str">
        <f t="shared" ref="AG221" si="2892">IF(AG$8="","",AF214+AF215-AG214)</f>
        <v/>
      </c>
      <c r="AH221" s="26" t="str">
        <f t="shared" ref="AH221" si="2893">IF(AH$8="","",AG214+AG215-AH214)</f>
        <v/>
      </c>
      <c r="AI221" s="26" t="str">
        <f t="shared" ref="AI221" si="2894">IF(AI$8="","",AH214+AH215-AI214)</f>
        <v/>
      </c>
      <c r="AJ221" s="26" t="str">
        <f t="shared" ref="AJ221" si="2895">IF(AJ$8="","",AI214+AI215-AJ214)</f>
        <v/>
      </c>
      <c r="AK221" s="26" t="str">
        <f t="shared" ref="AK221" si="2896">IF(AK$8="","",AJ214+AJ215-AK214)</f>
        <v/>
      </c>
      <c r="AL221" s="26" t="str">
        <f t="shared" ref="AL221" si="2897">IF(AL$8="","",AK214+AK215-AL214)</f>
        <v/>
      </c>
      <c r="AM221" s="26" t="str">
        <f t="shared" ref="AM221" si="2898">IF(AM$8="","",AL214+AL215-AM214)</f>
        <v/>
      </c>
      <c r="AN221" s="26" t="str">
        <f t="shared" ref="AN221" si="2899">IF(AN$8="","",AM214+AM215-AN214)</f>
        <v/>
      </c>
      <c r="AO221" s="26" t="str">
        <f t="shared" ref="AO221:AS221" si="2900">IF(AO$8="","",AN214+AN215-AO214)</f>
        <v/>
      </c>
      <c r="AP221" s="26" t="str">
        <f t="shared" si="2900"/>
        <v/>
      </c>
      <c r="AQ221" s="26" t="str">
        <f t="shared" si="2900"/>
        <v/>
      </c>
      <c r="AR221" s="26" t="str">
        <f t="shared" si="2900"/>
        <v/>
      </c>
      <c r="AS221" s="26" t="str">
        <f t="shared" si="2900"/>
        <v/>
      </c>
    </row>
    <row r="222" spans="1:45" x14ac:dyDescent="0.15">
      <c r="A222" s="7">
        <f>SUM(C222:AS222)</f>
        <v>1600</v>
      </c>
      <c r="B222" s="27" t="s">
        <v>16</v>
      </c>
      <c r="C222" s="26">
        <v>0</v>
      </c>
      <c r="D222" s="26">
        <v>0</v>
      </c>
      <c r="E222" s="26">
        <v>800</v>
      </c>
      <c r="F222" s="26">
        <v>0</v>
      </c>
      <c r="G222" s="26">
        <v>0</v>
      </c>
      <c r="H222" s="26">
        <v>0</v>
      </c>
      <c r="I222" s="26">
        <v>800</v>
      </c>
      <c r="J222" s="26">
        <f t="shared" ref="H222:AM222" si="2901">IF(J$8="","",J221*J216)</f>
        <v>0</v>
      </c>
      <c r="K222" s="26">
        <f t="shared" si="2901"/>
        <v>0</v>
      </c>
      <c r="L222" s="26">
        <f t="shared" si="2901"/>
        <v>0</v>
      </c>
      <c r="M222" s="26" t="str">
        <f t="shared" si="2901"/>
        <v/>
      </c>
      <c r="N222" s="26" t="str">
        <f t="shared" si="2901"/>
        <v/>
      </c>
      <c r="O222" s="26" t="str">
        <f t="shared" si="2901"/>
        <v/>
      </c>
      <c r="P222" s="26" t="str">
        <f t="shared" si="2901"/>
        <v/>
      </c>
      <c r="Q222" s="26" t="str">
        <f t="shared" si="2901"/>
        <v/>
      </c>
      <c r="R222" s="26" t="str">
        <f t="shared" si="2901"/>
        <v/>
      </c>
      <c r="S222" s="26" t="str">
        <f t="shared" si="2901"/>
        <v/>
      </c>
      <c r="T222" s="26" t="str">
        <f t="shared" si="2901"/>
        <v/>
      </c>
      <c r="U222" s="26" t="str">
        <f t="shared" si="2901"/>
        <v/>
      </c>
      <c r="V222" s="26" t="str">
        <f t="shared" si="2901"/>
        <v/>
      </c>
      <c r="W222" s="26" t="str">
        <f t="shared" si="2901"/>
        <v/>
      </c>
      <c r="X222" s="26" t="str">
        <f t="shared" si="2901"/>
        <v/>
      </c>
      <c r="Y222" s="26" t="str">
        <f t="shared" si="2901"/>
        <v/>
      </c>
      <c r="Z222" s="26" t="str">
        <f t="shared" si="2901"/>
        <v/>
      </c>
      <c r="AA222" s="26" t="str">
        <f t="shared" si="2901"/>
        <v/>
      </c>
      <c r="AB222" s="26" t="str">
        <f t="shared" si="2901"/>
        <v/>
      </c>
      <c r="AC222" s="26" t="str">
        <f t="shared" si="2901"/>
        <v/>
      </c>
      <c r="AD222" s="26" t="str">
        <f t="shared" si="2901"/>
        <v/>
      </c>
      <c r="AE222" s="26" t="str">
        <f t="shared" si="2901"/>
        <v/>
      </c>
      <c r="AF222" s="26" t="str">
        <f t="shared" si="2901"/>
        <v/>
      </c>
      <c r="AG222" s="26" t="str">
        <f t="shared" si="2901"/>
        <v/>
      </c>
      <c r="AH222" s="26" t="str">
        <f t="shared" si="2901"/>
        <v/>
      </c>
      <c r="AI222" s="26" t="str">
        <f t="shared" si="2901"/>
        <v/>
      </c>
      <c r="AJ222" s="26" t="str">
        <f t="shared" si="2901"/>
        <v/>
      </c>
      <c r="AK222" s="26" t="str">
        <f t="shared" si="2901"/>
        <v/>
      </c>
      <c r="AL222" s="26" t="str">
        <f t="shared" si="2901"/>
        <v/>
      </c>
      <c r="AM222" s="26" t="str">
        <f t="shared" si="2901"/>
        <v/>
      </c>
      <c r="AN222" s="26" t="str">
        <f t="shared" ref="D222:AN222" si="2902">IF(AN$8="","",AN221*AN216)</f>
        <v/>
      </c>
      <c r="AO222" s="26" t="str">
        <f t="shared" ref="AO222:AS222" si="2903">IF(AO$8="","",AO221*AO216)</f>
        <v/>
      </c>
      <c r="AP222" s="26" t="str">
        <f t="shared" si="2903"/>
        <v/>
      </c>
      <c r="AQ222" s="26" t="str">
        <f t="shared" si="2903"/>
        <v/>
      </c>
      <c r="AR222" s="26" t="str">
        <f t="shared" si="2903"/>
        <v/>
      </c>
      <c r="AS222" s="26" t="str">
        <f t="shared" si="2903"/>
        <v/>
      </c>
    </row>
    <row r="223" spans="1:45" ht="12" thickBot="1" x14ac:dyDescent="0.2">
      <c r="A223" s="4">
        <f>IF(A222="","",A222/(A219*100))</f>
        <v>0.20779220779220781</v>
      </c>
      <c r="B223" s="27" t="s">
        <v>18</v>
      </c>
      <c r="C223" s="42" t="s">
        <v>19</v>
      </c>
      <c r="D223" s="42" t="s">
        <v>19</v>
      </c>
      <c r="E223" s="42">
        <v>0.20512820512820512</v>
      </c>
      <c r="F223" s="42" t="s">
        <v>19</v>
      </c>
      <c r="G223" s="42" t="s">
        <v>19</v>
      </c>
      <c r="H223" s="42" t="s">
        <v>19</v>
      </c>
      <c r="I223" s="42">
        <v>0.36363636363636365</v>
      </c>
      <c r="J223" s="42" t="str">
        <f t="shared" ref="H223:AM223" si="2904">IF(J$8="","",IF(J222=0,"",J222/(J219*100)))</f>
        <v/>
      </c>
      <c r="K223" s="42" t="str">
        <f t="shared" si="2904"/>
        <v/>
      </c>
      <c r="L223" s="42" t="str">
        <f t="shared" si="2904"/>
        <v/>
      </c>
      <c r="M223" s="42" t="str">
        <f t="shared" si="2904"/>
        <v/>
      </c>
      <c r="N223" s="42" t="str">
        <f t="shared" si="2904"/>
        <v/>
      </c>
      <c r="O223" s="42" t="str">
        <f t="shared" si="2904"/>
        <v/>
      </c>
      <c r="P223" s="42" t="str">
        <f t="shared" si="2904"/>
        <v/>
      </c>
      <c r="Q223" s="42" t="str">
        <f t="shared" si="2904"/>
        <v/>
      </c>
      <c r="R223" s="42" t="str">
        <f t="shared" si="2904"/>
        <v/>
      </c>
      <c r="S223" s="42" t="str">
        <f t="shared" si="2904"/>
        <v/>
      </c>
      <c r="T223" s="42" t="str">
        <f t="shared" si="2904"/>
        <v/>
      </c>
      <c r="U223" s="42" t="str">
        <f t="shared" si="2904"/>
        <v/>
      </c>
      <c r="V223" s="42" t="str">
        <f t="shared" si="2904"/>
        <v/>
      </c>
      <c r="W223" s="42" t="str">
        <f t="shared" si="2904"/>
        <v/>
      </c>
      <c r="X223" s="42" t="str">
        <f t="shared" si="2904"/>
        <v/>
      </c>
      <c r="Y223" s="42" t="str">
        <f t="shared" si="2904"/>
        <v/>
      </c>
      <c r="Z223" s="42" t="str">
        <f t="shared" si="2904"/>
        <v/>
      </c>
      <c r="AA223" s="42" t="str">
        <f t="shared" si="2904"/>
        <v/>
      </c>
      <c r="AB223" s="42" t="str">
        <f t="shared" si="2904"/>
        <v/>
      </c>
      <c r="AC223" s="42" t="str">
        <f t="shared" si="2904"/>
        <v/>
      </c>
      <c r="AD223" s="42" t="str">
        <f t="shared" si="2904"/>
        <v/>
      </c>
      <c r="AE223" s="42" t="str">
        <f t="shared" si="2904"/>
        <v/>
      </c>
      <c r="AF223" s="42" t="str">
        <f t="shared" si="2904"/>
        <v/>
      </c>
      <c r="AG223" s="42" t="str">
        <f t="shared" si="2904"/>
        <v/>
      </c>
      <c r="AH223" s="42" t="str">
        <f t="shared" si="2904"/>
        <v/>
      </c>
      <c r="AI223" s="42" t="str">
        <f t="shared" si="2904"/>
        <v/>
      </c>
      <c r="AJ223" s="42" t="str">
        <f t="shared" si="2904"/>
        <v/>
      </c>
      <c r="AK223" s="42" t="str">
        <f t="shared" si="2904"/>
        <v/>
      </c>
      <c r="AL223" s="42" t="str">
        <f t="shared" si="2904"/>
        <v/>
      </c>
      <c r="AM223" s="42" t="str">
        <f t="shared" si="2904"/>
        <v/>
      </c>
      <c r="AN223" s="42" t="str">
        <f t="shared" ref="D223:AN223" si="2905">IF(AN$8="","",IF(AN222=0,"",AN222/(AN219*100)))</f>
        <v/>
      </c>
      <c r="AO223" s="42" t="str">
        <f t="shared" ref="AO223:AS223" si="2906">IF(AO$8="","",IF(AO222=0,"",AO222/(AO219*100)))</f>
        <v/>
      </c>
      <c r="AP223" s="42" t="str">
        <f t="shared" si="2906"/>
        <v/>
      </c>
      <c r="AQ223" s="42" t="str">
        <f t="shared" si="2906"/>
        <v/>
      </c>
      <c r="AR223" s="42" t="str">
        <f t="shared" si="2906"/>
        <v/>
      </c>
      <c r="AS223" s="42" t="str">
        <f t="shared" si="2906"/>
        <v/>
      </c>
    </row>
    <row r="224" spans="1:45" x14ac:dyDescent="0.15">
      <c r="A224" s="17" t="s">
        <v>1</v>
      </c>
      <c r="B224" s="41" t="s">
        <v>2</v>
      </c>
      <c r="C224" s="35">
        <v>4000</v>
      </c>
      <c r="D224" s="35">
        <v>4000</v>
      </c>
      <c r="E224" s="35">
        <v>4146</v>
      </c>
      <c r="F224" s="35">
        <v>4146</v>
      </c>
      <c r="G224" s="35">
        <v>4146</v>
      </c>
      <c r="H224" s="35">
        <v>4146</v>
      </c>
      <c r="I224" s="35">
        <v>4209</v>
      </c>
      <c r="J224" s="35">
        <f>IF(J$8="","",I224)</f>
        <v>4209</v>
      </c>
      <c r="K224" s="35">
        <f t="shared" ref="K224:K225" si="2907">IF(K$8="","",J224)</f>
        <v>4209</v>
      </c>
      <c r="L224" s="35">
        <v>4321</v>
      </c>
      <c r="M224" s="35" t="str">
        <f>IF(M$8="","",L224)</f>
        <v/>
      </c>
      <c r="N224" s="35" t="str">
        <f t="shared" ref="N224:N225" si="2908">IF(N$8="","",M224)</f>
        <v/>
      </c>
      <c r="O224" s="35" t="str">
        <f t="shared" ref="O224:O225" si="2909">IF(O$8="","",N224)</f>
        <v/>
      </c>
      <c r="P224" s="35" t="str">
        <f>IF(P$8="","",O224)</f>
        <v/>
      </c>
      <c r="Q224" s="35" t="str">
        <f>IF(Q$8="","",P224)</f>
        <v/>
      </c>
      <c r="R224" s="35" t="str">
        <f t="shared" ref="R224:R225" si="2910">IF(R$8="","",Q224)</f>
        <v/>
      </c>
      <c r="S224" s="35" t="str">
        <f>IF(S$8="","",R224)</f>
        <v/>
      </c>
      <c r="T224" s="35" t="str">
        <f>IF(T$8="","",S224)</f>
        <v/>
      </c>
      <c r="U224" s="35" t="str">
        <f t="shared" ref="U224:U225" si="2911">IF(U$8="","",T224)</f>
        <v/>
      </c>
      <c r="V224" s="35" t="str">
        <f t="shared" ref="V224:V225" si="2912">IF(V$8="","",U224)</f>
        <v/>
      </c>
      <c r="W224" s="35" t="str">
        <f>IF(W$8="","",V224)</f>
        <v/>
      </c>
      <c r="X224" s="35" t="str">
        <f>IF(X$8="","",W224)</f>
        <v/>
      </c>
      <c r="Y224" s="35" t="str">
        <f t="shared" ref="Y224:Y225" si="2913">IF(Y$8="","",X224)</f>
        <v/>
      </c>
      <c r="Z224" s="35" t="str">
        <f>IF(Z$8="","",Y224)</f>
        <v/>
      </c>
      <c r="AA224" s="35" t="str">
        <f>IF(AA$8="","",Z224)</f>
        <v/>
      </c>
      <c r="AB224" s="35" t="str">
        <f t="shared" ref="AB224:AB225" si="2914">IF(AB$8="","",AA224)</f>
        <v/>
      </c>
      <c r="AC224" s="35" t="str">
        <f t="shared" ref="AC224:AC225" si="2915">IF(AC$8="","",AB224)</f>
        <v/>
      </c>
      <c r="AD224" s="35" t="str">
        <f>IF(AD$8="","",AC224)</f>
        <v/>
      </c>
      <c r="AE224" s="35" t="str">
        <f>IF(AE$8="","",AD224)</f>
        <v/>
      </c>
      <c r="AF224" s="35" t="str">
        <f t="shared" ref="AF224:AF225" si="2916">IF(AF$8="","",AE224)</f>
        <v/>
      </c>
      <c r="AG224" s="35" t="str">
        <f>IF(AG$8="","",AF224)</f>
        <v/>
      </c>
      <c r="AH224" s="35" t="str">
        <f t="shared" ref="AH224:AH225" si="2917">IF(AH$8="","",AG224)</f>
        <v/>
      </c>
      <c r="AI224" s="35" t="str">
        <f t="shared" ref="AI224:AI225" si="2918">IF(AI$8="","",AH224)</f>
        <v/>
      </c>
      <c r="AJ224" s="35" t="str">
        <f t="shared" ref="AJ224:AJ225" si="2919">IF(AJ$8="","",AI224)</f>
        <v/>
      </c>
      <c r="AK224" s="35" t="str">
        <f>IF(AK$8="","",AJ224)</f>
        <v/>
      </c>
      <c r="AL224" s="35" t="str">
        <f t="shared" ref="AL224:AL225" si="2920">IF(AL$8="","",AK224)</f>
        <v/>
      </c>
      <c r="AM224" s="35" t="str">
        <f t="shared" ref="AM224:AM225" si="2921">IF(AM$8="","",AL224)</f>
        <v/>
      </c>
      <c r="AN224" s="35" t="str">
        <f t="shared" ref="AN224:AN225" si="2922">IF(AN$8="","",AM224)</f>
        <v/>
      </c>
      <c r="AO224" s="35" t="str">
        <f t="shared" ref="AO224:AS224" si="2923">IF(AO$8="","",AN224)</f>
        <v/>
      </c>
      <c r="AP224" s="35" t="str">
        <f t="shared" si="2923"/>
        <v/>
      </c>
      <c r="AQ224" s="35" t="str">
        <f t="shared" si="2923"/>
        <v/>
      </c>
      <c r="AR224" s="35" t="str">
        <f t="shared" si="2923"/>
        <v/>
      </c>
      <c r="AS224" s="35" t="str">
        <f t="shared" si="2923"/>
        <v/>
      </c>
    </row>
    <row r="225" spans="1:45" x14ac:dyDescent="0.15">
      <c r="A225" s="16" t="s">
        <v>38</v>
      </c>
      <c r="B225" s="30" t="s">
        <v>4</v>
      </c>
      <c r="C225" s="29">
        <v>127</v>
      </c>
      <c r="D225" s="29">
        <v>127</v>
      </c>
      <c r="E225" s="29">
        <v>128</v>
      </c>
      <c r="F225" s="29">
        <v>128</v>
      </c>
      <c r="G225" s="29">
        <v>128</v>
      </c>
      <c r="H225" s="29">
        <v>128</v>
      </c>
      <c r="I225" s="29">
        <v>128</v>
      </c>
      <c r="J225" s="29">
        <f t="shared" ref="J225" si="2924">IF(J$8="","",I225)</f>
        <v>128</v>
      </c>
      <c r="K225" s="29">
        <f t="shared" si="2907"/>
        <v>128</v>
      </c>
      <c r="L225" s="29">
        <v>128</v>
      </c>
      <c r="M225" s="29" t="str">
        <f t="shared" ref="M225" si="2925">IF(M$8="","",L225)</f>
        <v/>
      </c>
      <c r="N225" s="29" t="str">
        <f t="shared" si="2908"/>
        <v/>
      </c>
      <c r="O225" s="29" t="str">
        <f t="shared" si="2909"/>
        <v/>
      </c>
      <c r="P225" s="29" t="str">
        <f t="shared" ref="P224:P225" si="2926">IF(P$8="","",O225)</f>
        <v/>
      </c>
      <c r="Q225" s="29" t="str">
        <f>IF(Q$8="","",P225)</f>
        <v/>
      </c>
      <c r="R225" s="29" t="str">
        <f t="shared" si="2910"/>
        <v/>
      </c>
      <c r="S225" s="29" t="str">
        <f>IF(S$8="","",R225)</f>
        <v/>
      </c>
      <c r="T225" s="29" t="str">
        <f t="shared" ref="T225" si="2927">IF(T$8="","",S225)</f>
        <v/>
      </c>
      <c r="U225" s="29" t="str">
        <f t="shared" si="2911"/>
        <v/>
      </c>
      <c r="V225" s="29" t="str">
        <f t="shared" si="2912"/>
        <v/>
      </c>
      <c r="W225" s="29" t="str">
        <f t="shared" ref="W224:W225" si="2928">IF(W$8="","",V225)</f>
        <v/>
      </c>
      <c r="X225" s="29" t="str">
        <f>IF(X$8="","",W225)</f>
        <v/>
      </c>
      <c r="Y225" s="29" t="str">
        <f t="shared" si="2913"/>
        <v/>
      </c>
      <c r="Z225" s="29" t="str">
        <f>IF(Z$8="","",Y225)</f>
        <v/>
      </c>
      <c r="AA225" s="29" t="str">
        <f t="shared" ref="AA225" si="2929">IF(AA$8="","",Z225)</f>
        <v/>
      </c>
      <c r="AB225" s="29" t="str">
        <f t="shared" si="2914"/>
        <v/>
      </c>
      <c r="AC225" s="29" t="str">
        <f t="shared" si="2915"/>
        <v/>
      </c>
      <c r="AD225" s="29" t="str">
        <f>IF(AD$8="","",AC225)</f>
        <v/>
      </c>
      <c r="AE225" s="29" t="str">
        <f t="shared" ref="AE225" si="2930">IF(AE$8="","",AD225)</f>
        <v/>
      </c>
      <c r="AF225" s="29" t="str">
        <f t="shared" si="2916"/>
        <v/>
      </c>
      <c r="AG225" s="29" t="str">
        <f>IF(AG$8="","",AF225)</f>
        <v/>
      </c>
      <c r="AH225" s="29" t="str">
        <f t="shared" si="2917"/>
        <v/>
      </c>
      <c r="AI225" s="29" t="str">
        <f t="shared" si="2918"/>
        <v/>
      </c>
      <c r="AJ225" s="29" t="str">
        <f t="shared" si="2919"/>
        <v/>
      </c>
      <c r="AK225" s="29" t="str">
        <f t="shared" ref="AK224:AK225" si="2931">IF(AK$8="","",AJ225)</f>
        <v/>
      </c>
      <c r="AL225" s="29" t="str">
        <f t="shared" si="2920"/>
        <v/>
      </c>
      <c r="AM225" s="29" t="str">
        <f t="shared" si="2921"/>
        <v/>
      </c>
      <c r="AN225" s="29" t="str">
        <f t="shared" si="2922"/>
        <v/>
      </c>
      <c r="AO225" s="29" t="str">
        <f t="shared" ref="AO225:AS225" si="2932">IF(AO$8="","",AN225)</f>
        <v/>
      </c>
      <c r="AP225" s="29" t="str">
        <f t="shared" si="2932"/>
        <v/>
      </c>
      <c r="AQ225" s="29" t="str">
        <f t="shared" si="2932"/>
        <v/>
      </c>
      <c r="AR225" s="29" t="str">
        <f t="shared" si="2932"/>
        <v/>
      </c>
      <c r="AS225" s="29" t="str">
        <f t="shared" si="2932"/>
        <v/>
      </c>
    </row>
    <row r="226" spans="1:45" x14ac:dyDescent="0.15">
      <c r="A226" s="15">
        <v>3</v>
      </c>
      <c r="B226" s="30" t="s">
        <v>5</v>
      </c>
      <c r="C226" s="29">
        <v>48</v>
      </c>
      <c r="D226" s="29">
        <v>48</v>
      </c>
      <c r="E226" s="29">
        <v>47</v>
      </c>
      <c r="F226" s="29">
        <v>47</v>
      </c>
      <c r="G226" s="29">
        <v>47</v>
      </c>
      <c r="H226" s="29">
        <v>47</v>
      </c>
      <c r="I226" s="29">
        <v>47</v>
      </c>
      <c r="J226" s="29">
        <f t="shared" ref="J226" si="2933">IF(J$8="","",(I226+I227))</f>
        <v>49</v>
      </c>
      <c r="K226" s="29">
        <f t="shared" ref="K226" si="2934">IF(K$8="","",(J226+J227))</f>
        <v>49</v>
      </c>
      <c r="L226" s="29">
        <f t="shared" ref="L226" si="2935">IF(L$8="","",(K226+K227))</f>
        <v>49</v>
      </c>
      <c r="M226" s="29" t="str">
        <f t="shared" ref="M226" si="2936">IF(M$8="","",(L226+L227))</f>
        <v/>
      </c>
      <c r="N226" s="29" t="str">
        <f t="shared" ref="N226" si="2937">IF(N$8="","",(M226+M227))</f>
        <v/>
      </c>
      <c r="O226" s="29" t="str">
        <f t="shared" ref="O226" si="2938">IF(O$8="","",(N226+N227))</f>
        <v/>
      </c>
      <c r="P226" s="29" t="str">
        <f>IF(P$8="","",(O226+O227))</f>
        <v/>
      </c>
      <c r="Q226" s="29" t="str">
        <f t="shared" ref="Q226" si="2939">IF(Q$8="","",(P226+P227))</f>
        <v/>
      </c>
      <c r="R226" s="29" t="str">
        <f t="shared" ref="R226" si="2940">IF(R$8="","",(Q226+Q227))</f>
        <v/>
      </c>
      <c r="S226" s="29" t="str">
        <f>IF(S$8="","",(R226+R227))</f>
        <v/>
      </c>
      <c r="T226" s="29" t="str">
        <f t="shared" ref="T226" si="2941">IF(T$8="","",(S226+S227))</f>
        <v/>
      </c>
      <c r="U226" s="29" t="str">
        <f t="shared" ref="U226" si="2942">IF(U$8="","",(T226+T227))</f>
        <v/>
      </c>
      <c r="V226" s="29" t="str">
        <f t="shared" ref="V226" si="2943">IF(V$8="","",(U226+U227))</f>
        <v/>
      </c>
      <c r="W226" s="29" t="str">
        <f t="shared" ref="W226" si="2944">IF(W$8="","",(V226+V227))</f>
        <v/>
      </c>
      <c r="X226" s="29" t="str">
        <f t="shared" ref="X226" si="2945">IF(X$8="","",(W226+W227))</f>
        <v/>
      </c>
      <c r="Y226" s="29" t="str">
        <f t="shared" ref="Y226" si="2946">IF(Y$8="","",(X226+X227))</f>
        <v/>
      </c>
      <c r="Z226" s="29" t="str">
        <f t="shared" ref="Z226" si="2947">IF(Z$8="","",(Y226+Y227))</f>
        <v/>
      </c>
      <c r="AA226" s="29" t="str">
        <f t="shared" ref="AA226" si="2948">IF(AA$8="","",(Z226+Z227))</f>
        <v/>
      </c>
      <c r="AB226" s="29" t="str">
        <f t="shared" ref="AB226" si="2949">IF(AB$8="","",(AA226+AA227))</f>
        <v/>
      </c>
      <c r="AC226" s="29" t="str">
        <f t="shared" ref="AC226" si="2950">IF(AC$8="","",(AB226+AB227))</f>
        <v/>
      </c>
      <c r="AD226" s="29" t="str">
        <f t="shared" ref="AD226" si="2951">IF(AD$8="","",(AC226+AC227))</f>
        <v/>
      </c>
      <c r="AE226" s="29" t="str">
        <f t="shared" ref="AE226" si="2952">IF(AE$8="","",(AD226+AD227))</f>
        <v/>
      </c>
      <c r="AF226" s="29" t="str">
        <f t="shared" ref="AF226" si="2953">IF(AF$8="","",(AE226+AE227))</f>
        <v/>
      </c>
      <c r="AG226" s="29" t="str">
        <f>IF(AG$8="","",(AF226+AF227))</f>
        <v/>
      </c>
      <c r="AH226" s="29" t="str">
        <f t="shared" ref="AH226" si="2954">IF(AH$8="","",(AG226+AG227))</f>
        <v/>
      </c>
      <c r="AI226" s="29" t="str">
        <f t="shared" ref="AI226" si="2955">IF(AI$8="","",(AH226+AH227))</f>
        <v/>
      </c>
      <c r="AJ226" s="29" t="str">
        <f t="shared" ref="AJ226" si="2956">IF(AJ$8="","",(AI226+AI227))</f>
        <v/>
      </c>
      <c r="AK226" s="29" t="str">
        <f t="shared" ref="AK226" si="2957">IF(AK$8="","",(AJ226+AJ227))</f>
        <v/>
      </c>
      <c r="AL226" s="29" t="str">
        <f t="shared" ref="AL226" si="2958">IF(AL$8="","",(AK226+AK227))</f>
        <v/>
      </c>
      <c r="AM226" s="29" t="str">
        <f t="shared" ref="AM226" si="2959">IF(AM$8="","",(AL226+AL227))</f>
        <v/>
      </c>
      <c r="AN226" s="29" t="str">
        <f t="shared" ref="AN226" si="2960">IF(AN$8="","",(AM226+AM227))</f>
        <v/>
      </c>
      <c r="AO226" s="29" t="str">
        <f t="shared" ref="AO226:AS226" si="2961">IF(AO$8="","",(AN226+AN227))</f>
        <v/>
      </c>
      <c r="AP226" s="29" t="str">
        <f t="shared" si="2961"/>
        <v/>
      </c>
      <c r="AQ226" s="29" t="str">
        <f t="shared" si="2961"/>
        <v/>
      </c>
      <c r="AR226" s="29" t="str">
        <f t="shared" si="2961"/>
        <v/>
      </c>
      <c r="AS226" s="29" t="str">
        <f t="shared" si="2961"/>
        <v/>
      </c>
    </row>
    <row r="227" spans="1:45" x14ac:dyDescent="0.15">
      <c r="A227" s="14"/>
      <c r="B227" s="30" t="s">
        <v>7</v>
      </c>
      <c r="C227" s="29"/>
      <c r="D227" s="29"/>
      <c r="E227" s="29"/>
      <c r="F227" s="29"/>
      <c r="G227" s="29"/>
      <c r="H227" s="29"/>
      <c r="I227" s="29">
        <v>2</v>
      </c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</row>
    <row r="228" spans="1:45" x14ac:dyDescent="0.15">
      <c r="A228" s="7"/>
      <c r="B228" s="30" t="s">
        <v>8</v>
      </c>
      <c r="C228" s="35">
        <v>600</v>
      </c>
      <c r="D228" s="35">
        <v>600</v>
      </c>
      <c r="E228" s="35">
        <v>600</v>
      </c>
      <c r="F228" s="35">
        <v>600</v>
      </c>
      <c r="G228" s="35">
        <v>600</v>
      </c>
      <c r="H228" s="35">
        <v>600</v>
      </c>
      <c r="I228" s="35">
        <v>600</v>
      </c>
      <c r="J228" s="35">
        <f t="shared" ref="J228:J229" si="2962">IF(J$8="","",I228)</f>
        <v>600</v>
      </c>
      <c r="K228" s="35">
        <f t="shared" ref="K228:K229" si="2963">IF(K$8="","",J228)</f>
        <v>600</v>
      </c>
      <c r="L228" s="35">
        <f t="shared" ref="L228:L229" si="2964">IF(L$8="","",K228)</f>
        <v>600</v>
      </c>
      <c r="M228" s="35" t="str">
        <f t="shared" ref="M228:M229" si="2965">IF(M$8="","",L228)</f>
        <v/>
      </c>
      <c r="N228" s="35" t="str">
        <f t="shared" ref="N228:N229" si="2966">IF(N$8="","",M228)</f>
        <v/>
      </c>
      <c r="O228" s="35" t="str">
        <f t="shared" ref="O228:O229" si="2967">IF(O$8="","",N228)</f>
        <v/>
      </c>
      <c r="P228" s="35" t="str">
        <f t="shared" ref="P228:P229" si="2968">IF(P$8="","",O228)</f>
        <v/>
      </c>
      <c r="Q228" s="35" t="str">
        <f t="shared" ref="Q228:Q229" si="2969">IF(Q$8="","",P228)</f>
        <v/>
      </c>
      <c r="R228" s="35" t="str">
        <f t="shared" ref="R228:R229" si="2970">IF(R$8="","",Q228)</f>
        <v/>
      </c>
      <c r="S228" s="35" t="str">
        <f t="shared" ref="S228:S229" si="2971">IF(S$8="","",R228)</f>
        <v/>
      </c>
      <c r="T228" s="35" t="str">
        <f t="shared" ref="T228:T229" si="2972">IF(T$8="","",S228)</f>
        <v/>
      </c>
      <c r="U228" s="35" t="str">
        <f t="shared" ref="U228:U229" si="2973">IF(U$8="","",T228)</f>
        <v/>
      </c>
      <c r="V228" s="35" t="str">
        <f t="shared" ref="V228:V229" si="2974">IF(V$8="","",U228)</f>
        <v/>
      </c>
      <c r="W228" s="35" t="str">
        <f t="shared" ref="W228:W229" si="2975">IF(W$8="","",V228)</f>
        <v/>
      </c>
      <c r="X228" s="35" t="str">
        <f t="shared" ref="X228:X229" si="2976">IF(X$8="","",W228)</f>
        <v/>
      </c>
      <c r="Y228" s="35" t="str">
        <f t="shared" ref="Y228:Y229" si="2977">IF(Y$8="","",X228)</f>
        <v/>
      </c>
      <c r="Z228" s="35" t="str">
        <f t="shared" ref="Z228:Z229" si="2978">IF(Z$8="","",Y228)</f>
        <v/>
      </c>
      <c r="AA228" s="35" t="str">
        <f t="shared" ref="AA228:AA229" si="2979">IF(AA$8="","",Z228)</f>
        <v/>
      </c>
      <c r="AB228" s="35" t="str">
        <f t="shared" ref="AB228:AB229" si="2980">IF(AB$8="","",AA228)</f>
        <v/>
      </c>
      <c r="AC228" s="35" t="str">
        <f t="shared" ref="AC228:AC229" si="2981">IF(AC$8="","",AB228)</f>
        <v/>
      </c>
      <c r="AD228" s="35" t="str">
        <f t="shared" ref="AD228:AD229" si="2982">IF(AD$8="","",AC228)</f>
        <v/>
      </c>
      <c r="AE228" s="35" t="str">
        <f t="shared" ref="AE228:AE229" si="2983">IF(AE$8="","",AD228)</f>
        <v/>
      </c>
      <c r="AF228" s="35" t="str">
        <f t="shared" ref="AF228:AF229" si="2984">IF(AF$8="","",AE228)</f>
        <v/>
      </c>
      <c r="AG228" s="35" t="str">
        <f t="shared" ref="AG228:AG229" si="2985">IF(AG$8="","",AF228)</f>
        <v/>
      </c>
      <c r="AH228" s="35" t="str">
        <f t="shared" ref="AH228:AH229" si="2986">IF(AH$8="","",AG228)</f>
        <v/>
      </c>
      <c r="AI228" s="35" t="str">
        <f t="shared" ref="AI228:AI229" si="2987">IF(AI$8="","",AH228)</f>
        <v/>
      </c>
      <c r="AJ228" s="35" t="str">
        <f t="shared" ref="AJ228:AJ229" si="2988">IF(AJ$8="","",AI228)</f>
        <v/>
      </c>
      <c r="AK228" s="35" t="str">
        <f t="shared" ref="AK228:AK229" si="2989">IF(AK$8="","",AJ228)</f>
        <v/>
      </c>
      <c r="AL228" s="35" t="str">
        <f t="shared" ref="AL228:AL229" si="2990">IF(AL$8="","",AK228)</f>
        <v/>
      </c>
      <c r="AM228" s="35" t="str">
        <f t="shared" ref="AM228:AM229" si="2991">IF(AM$8="","",AL228)</f>
        <v/>
      </c>
      <c r="AN228" s="35" t="str">
        <f t="shared" ref="AN228:AN229" si="2992">IF(AN$8="","",AM228)</f>
        <v/>
      </c>
      <c r="AO228" s="35" t="str">
        <f t="shared" ref="AO228:AS228" si="2993">IF(AO$8="","",AN228)</f>
        <v/>
      </c>
      <c r="AP228" s="35" t="str">
        <f t="shared" si="2993"/>
        <v/>
      </c>
      <c r="AQ228" s="35" t="str">
        <f t="shared" si="2993"/>
        <v/>
      </c>
      <c r="AR228" s="35" t="str">
        <f t="shared" si="2993"/>
        <v/>
      </c>
      <c r="AS228" s="35" t="str">
        <f t="shared" si="2993"/>
        <v/>
      </c>
    </row>
    <row r="229" spans="1:45" s="85" customFormat="1" x14ac:dyDescent="0.15">
      <c r="A229" s="14" t="s">
        <v>9</v>
      </c>
      <c r="B229" s="33" t="s">
        <v>10</v>
      </c>
      <c r="C229" s="32" t="s">
        <v>348</v>
      </c>
      <c r="D229" s="32" t="s">
        <v>348</v>
      </c>
      <c r="E229" s="32" t="s">
        <v>348</v>
      </c>
      <c r="F229" s="32" t="s">
        <v>348</v>
      </c>
      <c r="G229" s="32" t="s">
        <v>348</v>
      </c>
      <c r="H229" s="32" t="s">
        <v>348</v>
      </c>
      <c r="I229" s="32" t="s">
        <v>348</v>
      </c>
      <c r="J229" s="32" t="str">
        <f t="shared" si="2962"/>
        <v>ベーカリースクイーズ</v>
      </c>
      <c r="K229" s="32" t="str">
        <f t="shared" si="2963"/>
        <v>ベーカリースクイーズ</v>
      </c>
      <c r="L229" s="32" t="str">
        <f t="shared" si="2964"/>
        <v>ベーカリースクイーズ</v>
      </c>
      <c r="M229" s="32" t="str">
        <f t="shared" si="2965"/>
        <v/>
      </c>
      <c r="N229" s="32" t="str">
        <f t="shared" si="2966"/>
        <v/>
      </c>
      <c r="O229" s="32" t="str">
        <f t="shared" si="2967"/>
        <v/>
      </c>
      <c r="P229" s="32" t="str">
        <f>IF(P$8="","",O229)</f>
        <v/>
      </c>
      <c r="Q229" s="32" t="str">
        <f t="shared" si="2969"/>
        <v/>
      </c>
      <c r="R229" s="32" t="str">
        <f t="shared" si="2970"/>
        <v/>
      </c>
      <c r="S229" s="32" t="str">
        <f t="shared" si="2971"/>
        <v/>
      </c>
      <c r="T229" s="32" t="str">
        <f t="shared" si="2972"/>
        <v/>
      </c>
      <c r="U229" s="32" t="str">
        <f t="shared" si="2973"/>
        <v/>
      </c>
      <c r="V229" s="32" t="str">
        <f t="shared" si="2974"/>
        <v/>
      </c>
      <c r="W229" s="32" t="str">
        <f t="shared" si="2975"/>
        <v/>
      </c>
      <c r="X229" s="32" t="str">
        <f t="shared" si="2976"/>
        <v/>
      </c>
      <c r="Y229" s="32" t="str">
        <f t="shared" si="2977"/>
        <v/>
      </c>
      <c r="Z229" s="32" t="str">
        <f t="shared" si="2978"/>
        <v/>
      </c>
      <c r="AA229" s="32" t="str">
        <f t="shared" si="2979"/>
        <v/>
      </c>
      <c r="AB229" s="32" t="str">
        <f t="shared" si="2980"/>
        <v/>
      </c>
      <c r="AC229" s="32" t="str">
        <f t="shared" si="2981"/>
        <v/>
      </c>
      <c r="AD229" s="32" t="str">
        <f t="shared" si="2982"/>
        <v/>
      </c>
      <c r="AE229" s="32" t="str">
        <f t="shared" si="2983"/>
        <v/>
      </c>
      <c r="AF229" s="32" t="str">
        <f t="shared" si="2984"/>
        <v/>
      </c>
      <c r="AG229" s="32" t="str">
        <f t="shared" si="2985"/>
        <v/>
      </c>
      <c r="AH229" s="32" t="str">
        <f t="shared" si="2986"/>
        <v/>
      </c>
      <c r="AI229" s="32" t="str">
        <f t="shared" si="2987"/>
        <v/>
      </c>
      <c r="AJ229" s="32" t="str">
        <f t="shared" si="2988"/>
        <v/>
      </c>
      <c r="AK229" s="32" t="str">
        <f t="shared" si="2989"/>
        <v/>
      </c>
      <c r="AL229" s="32" t="str">
        <f t="shared" si="2990"/>
        <v/>
      </c>
      <c r="AM229" s="32" t="str">
        <f t="shared" si="2991"/>
        <v/>
      </c>
      <c r="AN229" s="32" t="str">
        <f t="shared" si="2992"/>
        <v/>
      </c>
      <c r="AO229" s="32" t="str">
        <f t="shared" ref="AO229:AS229" si="2994">IF(AO$8="","",AN229)</f>
        <v/>
      </c>
      <c r="AP229" s="32" t="str">
        <f t="shared" si="2994"/>
        <v/>
      </c>
      <c r="AQ229" s="32" t="str">
        <f t="shared" si="2994"/>
        <v/>
      </c>
      <c r="AR229" s="32" t="str">
        <f t="shared" si="2994"/>
        <v/>
      </c>
      <c r="AS229" s="32" t="str">
        <f t="shared" si="2994"/>
        <v/>
      </c>
    </row>
    <row r="230" spans="1:45" x14ac:dyDescent="0.15">
      <c r="A230" s="7">
        <f>AVERAGE(C231:AS231)*30*100</f>
        <v>96300</v>
      </c>
      <c r="B230" s="30" t="s">
        <v>12</v>
      </c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</row>
    <row r="231" spans="1:45" x14ac:dyDescent="0.15">
      <c r="A231" s="7">
        <f>SUM(C231:AS231)</f>
        <v>321</v>
      </c>
      <c r="B231" s="27" t="s">
        <v>13</v>
      </c>
      <c r="C231" s="26">
        <v>0</v>
      </c>
      <c r="D231" s="26">
        <v>0</v>
      </c>
      <c r="E231" s="26">
        <v>146</v>
      </c>
      <c r="F231" s="26">
        <v>0</v>
      </c>
      <c r="G231" s="26">
        <v>0</v>
      </c>
      <c r="H231" s="26">
        <v>0</v>
      </c>
      <c r="I231" s="26">
        <v>63</v>
      </c>
      <c r="J231" s="26">
        <f t="shared" ref="J231:J232" si="2995">IF(J$8="","",J224-I224)</f>
        <v>0</v>
      </c>
      <c r="K231" s="26">
        <f t="shared" ref="K231:K232" si="2996">IF(K$8="","",K224-J224)</f>
        <v>0</v>
      </c>
      <c r="L231" s="26">
        <f t="shared" ref="L231:L232" si="2997">IF(L$8="","",L224-K224)</f>
        <v>112</v>
      </c>
      <c r="M231" s="26" t="str">
        <f t="shared" ref="M231:M232" si="2998">IF(M$8="","",M224-L224)</f>
        <v/>
      </c>
      <c r="N231" s="26" t="str">
        <f t="shared" ref="N231:N232" si="2999">IF(N$8="","",N224-M224)</f>
        <v/>
      </c>
      <c r="O231" s="26" t="str">
        <f t="shared" ref="O231:O232" si="3000">IF(O$8="","",O224-N224)</f>
        <v/>
      </c>
      <c r="P231" s="26" t="str">
        <f t="shared" ref="P231:P232" si="3001">IF(P$8="","",P224-O224)</f>
        <v/>
      </c>
      <c r="Q231" s="26" t="str">
        <f t="shared" ref="Q231:Q232" si="3002">IF(Q$8="","",Q224-P224)</f>
        <v/>
      </c>
      <c r="R231" s="26" t="str">
        <f t="shared" ref="R231:R232" si="3003">IF(R$8="","",R224-Q224)</f>
        <v/>
      </c>
      <c r="S231" s="26" t="str">
        <f t="shared" ref="S231:S232" si="3004">IF(S$8="","",S224-R224)</f>
        <v/>
      </c>
      <c r="T231" s="26" t="str">
        <f t="shared" ref="T231:T232" si="3005">IF(T$8="","",T224-S224)</f>
        <v/>
      </c>
      <c r="U231" s="26" t="str">
        <f t="shared" ref="U231:U232" si="3006">IF(U$8="","",U224-T224)</f>
        <v/>
      </c>
      <c r="V231" s="26" t="str">
        <f t="shared" ref="V231:V232" si="3007">IF(V$8="","",V224-U224)</f>
        <v/>
      </c>
      <c r="W231" s="26" t="str">
        <f t="shared" ref="W231:W232" si="3008">IF(W$8="","",W224-V224)</f>
        <v/>
      </c>
      <c r="X231" s="26" t="str">
        <f t="shared" ref="X231:X232" si="3009">IF(X$8="","",X224-W224)</f>
        <v/>
      </c>
      <c r="Y231" s="26" t="str">
        <f t="shared" ref="Y231:Y232" si="3010">IF(Y$8="","",Y224-X224)</f>
        <v/>
      </c>
      <c r="Z231" s="26" t="str">
        <f t="shared" ref="Z231:Z232" si="3011">IF(Z$8="","",Z224-Y224)</f>
        <v/>
      </c>
      <c r="AA231" s="26" t="str">
        <f t="shared" ref="AA231:AA232" si="3012">IF(AA$8="","",AA224-Z224)</f>
        <v/>
      </c>
      <c r="AB231" s="26" t="str">
        <f t="shared" ref="AB231:AB232" si="3013">IF(AB$8="","",AB224-AA224)</f>
        <v/>
      </c>
      <c r="AC231" s="26" t="str">
        <f t="shared" ref="AC231:AC232" si="3014">IF(AC$8="","",AC224-AB224)</f>
        <v/>
      </c>
      <c r="AD231" s="26" t="str">
        <f t="shared" ref="AD231:AD232" si="3015">IF(AD$8="","",AD224-AC224)</f>
        <v/>
      </c>
      <c r="AE231" s="26" t="str">
        <f t="shared" ref="AE231:AE232" si="3016">IF(AE$8="","",AE224-AD224)</f>
        <v/>
      </c>
      <c r="AF231" s="26" t="str">
        <f t="shared" ref="AF231:AF232" si="3017">IF(AF$8="","",AF224-AE224)</f>
        <v/>
      </c>
      <c r="AG231" s="26" t="str">
        <f t="shared" ref="AG231:AG232" si="3018">IF(AG$8="","",AG224-AF224)</f>
        <v/>
      </c>
      <c r="AH231" s="26" t="str">
        <f t="shared" ref="AH231:AH232" si="3019">IF(AH$8="","",AH224-AG224)</f>
        <v/>
      </c>
      <c r="AI231" s="26" t="str">
        <f t="shared" ref="AI231:AI232" si="3020">IF(AI$8="","",AI224-AH224)</f>
        <v/>
      </c>
      <c r="AJ231" s="26" t="str">
        <f t="shared" ref="AJ231:AJ232" si="3021">IF(AJ$8="","",AJ224-AI224)</f>
        <v/>
      </c>
      <c r="AK231" s="26" t="str">
        <f t="shared" ref="AK231:AK232" si="3022">IF(AK$8="","",AK224-AJ224)</f>
        <v/>
      </c>
      <c r="AL231" s="26" t="str">
        <f t="shared" ref="AL231:AL232" si="3023">IF(AL$8="","",AL224-AK224)</f>
        <v/>
      </c>
      <c r="AM231" s="26" t="str">
        <f t="shared" ref="AM231:AM232" si="3024">IF(AM$8="","",AM224-AL224)</f>
        <v/>
      </c>
      <c r="AN231" s="26" t="str">
        <f t="shared" ref="AN231:AN232" si="3025">IF(AN$8="","",AN224-AM224)</f>
        <v/>
      </c>
      <c r="AO231" s="26" t="str">
        <f t="shared" ref="AO231:AS231" si="3026">IF(AO$8="","",AO224-AN224)</f>
        <v/>
      </c>
      <c r="AP231" s="26" t="str">
        <f t="shared" si="3026"/>
        <v/>
      </c>
      <c r="AQ231" s="26" t="str">
        <f t="shared" si="3026"/>
        <v/>
      </c>
      <c r="AR231" s="26" t="str">
        <f t="shared" si="3026"/>
        <v/>
      </c>
      <c r="AS231" s="26" t="str">
        <f t="shared" si="3026"/>
        <v/>
      </c>
    </row>
    <row r="232" spans="1:45" x14ac:dyDescent="0.15">
      <c r="A232" s="7">
        <f>SUM(C232:AS232)</f>
        <v>1</v>
      </c>
      <c r="B232" s="27" t="s">
        <v>14</v>
      </c>
      <c r="C232" s="26">
        <v>0</v>
      </c>
      <c r="D232" s="26">
        <v>0</v>
      </c>
      <c r="E232" s="26">
        <v>1</v>
      </c>
      <c r="F232" s="26">
        <v>0</v>
      </c>
      <c r="G232" s="26">
        <v>0</v>
      </c>
      <c r="H232" s="26">
        <v>0</v>
      </c>
      <c r="I232" s="26">
        <v>0</v>
      </c>
      <c r="J232" s="26">
        <f t="shared" si="2995"/>
        <v>0</v>
      </c>
      <c r="K232" s="26">
        <f t="shared" si="2996"/>
        <v>0</v>
      </c>
      <c r="L232" s="26">
        <f t="shared" si="2997"/>
        <v>0</v>
      </c>
      <c r="M232" s="26" t="str">
        <f t="shared" si="2998"/>
        <v/>
      </c>
      <c r="N232" s="26" t="str">
        <f t="shared" si="2999"/>
        <v/>
      </c>
      <c r="O232" s="26" t="str">
        <f t="shared" si="3000"/>
        <v/>
      </c>
      <c r="P232" s="26" t="str">
        <f t="shared" si="3001"/>
        <v/>
      </c>
      <c r="Q232" s="26" t="str">
        <f t="shared" si="3002"/>
        <v/>
      </c>
      <c r="R232" s="26" t="str">
        <f t="shared" si="3003"/>
        <v/>
      </c>
      <c r="S232" s="26" t="str">
        <f t="shared" si="3004"/>
        <v/>
      </c>
      <c r="T232" s="26" t="str">
        <f t="shared" si="3005"/>
        <v/>
      </c>
      <c r="U232" s="26" t="str">
        <f t="shared" si="3006"/>
        <v/>
      </c>
      <c r="V232" s="26" t="str">
        <f t="shared" si="3007"/>
        <v/>
      </c>
      <c r="W232" s="26" t="str">
        <f t="shared" si="3008"/>
        <v/>
      </c>
      <c r="X232" s="26" t="str">
        <f t="shared" si="3009"/>
        <v/>
      </c>
      <c r="Y232" s="26" t="str">
        <f t="shared" si="3010"/>
        <v/>
      </c>
      <c r="Z232" s="26" t="str">
        <f t="shared" si="3011"/>
        <v/>
      </c>
      <c r="AA232" s="26" t="str">
        <f t="shared" si="3012"/>
        <v/>
      </c>
      <c r="AB232" s="26" t="str">
        <f t="shared" si="3013"/>
        <v/>
      </c>
      <c r="AC232" s="26" t="str">
        <f t="shared" si="3014"/>
        <v/>
      </c>
      <c r="AD232" s="26" t="str">
        <f t="shared" si="3015"/>
        <v/>
      </c>
      <c r="AE232" s="26" t="str">
        <f t="shared" si="3016"/>
        <v/>
      </c>
      <c r="AF232" s="26" t="str">
        <f t="shared" si="3017"/>
        <v/>
      </c>
      <c r="AG232" s="26" t="str">
        <f t="shared" si="3018"/>
        <v/>
      </c>
      <c r="AH232" s="26" t="str">
        <f t="shared" si="3019"/>
        <v/>
      </c>
      <c r="AI232" s="26" t="str">
        <f t="shared" si="3020"/>
        <v/>
      </c>
      <c r="AJ232" s="26" t="str">
        <f t="shared" si="3021"/>
        <v/>
      </c>
      <c r="AK232" s="26" t="str">
        <f t="shared" si="3022"/>
        <v/>
      </c>
      <c r="AL232" s="26" t="str">
        <f t="shared" si="3023"/>
        <v/>
      </c>
      <c r="AM232" s="26" t="str">
        <f t="shared" si="3024"/>
        <v/>
      </c>
      <c r="AN232" s="26" t="str">
        <f t="shared" si="3025"/>
        <v/>
      </c>
      <c r="AO232" s="26" t="str">
        <f t="shared" ref="AO232:AS232" si="3027">IF(AO$8="","",AO225-AN225)</f>
        <v/>
      </c>
      <c r="AP232" s="26" t="str">
        <f t="shared" si="3027"/>
        <v/>
      </c>
      <c r="AQ232" s="26" t="str">
        <f t="shared" si="3027"/>
        <v/>
      </c>
      <c r="AR232" s="26" t="str">
        <f t="shared" si="3027"/>
        <v/>
      </c>
      <c r="AS232" s="26" t="str">
        <f t="shared" si="3027"/>
        <v/>
      </c>
    </row>
    <row r="233" spans="1:45" x14ac:dyDescent="0.15">
      <c r="A233" s="7">
        <f>SUM(C233:AS233)</f>
        <v>1</v>
      </c>
      <c r="B233" s="27" t="s">
        <v>15</v>
      </c>
      <c r="C233" s="26">
        <v>0</v>
      </c>
      <c r="D233" s="26">
        <v>0</v>
      </c>
      <c r="E233" s="26">
        <v>1</v>
      </c>
      <c r="F233" s="26">
        <v>0</v>
      </c>
      <c r="G233" s="26">
        <v>0</v>
      </c>
      <c r="H233" s="26">
        <v>0</v>
      </c>
      <c r="I233" s="26">
        <v>0</v>
      </c>
      <c r="J233" s="26">
        <f t="shared" ref="J233" si="3028">IF(J$8="","",I226+I227-J226)</f>
        <v>0</v>
      </c>
      <c r="K233" s="26">
        <f t="shared" ref="K233" si="3029">IF(K$8="","",J226+J227-K226)</f>
        <v>0</v>
      </c>
      <c r="L233" s="26">
        <f t="shared" ref="L233" si="3030">IF(L$8="","",K226+K227-L226)</f>
        <v>0</v>
      </c>
      <c r="M233" s="26" t="str">
        <f t="shared" ref="M233" si="3031">IF(M$8="","",L226+L227-M226)</f>
        <v/>
      </c>
      <c r="N233" s="26" t="str">
        <f t="shared" ref="N233" si="3032">IF(N$8="","",M226+M227-N226)</f>
        <v/>
      </c>
      <c r="O233" s="26" t="str">
        <f t="shared" ref="O233" si="3033">IF(O$8="","",N226+N227-O226)</f>
        <v/>
      </c>
      <c r="P233" s="26" t="str">
        <f t="shared" ref="P233" si="3034">IF(P$8="","",O226+O227-P226)</f>
        <v/>
      </c>
      <c r="Q233" s="26" t="str">
        <f t="shared" ref="Q233" si="3035">IF(Q$8="","",P226+P227-Q226)</f>
        <v/>
      </c>
      <c r="R233" s="26" t="str">
        <f t="shared" ref="R233" si="3036">IF(R$8="","",Q226+Q227-R226)</f>
        <v/>
      </c>
      <c r="S233" s="26" t="str">
        <f t="shared" ref="S233" si="3037">IF(S$8="","",R226+R227-S226)</f>
        <v/>
      </c>
      <c r="T233" s="26" t="str">
        <f t="shared" ref="T233" si="3038">IF(T$8="","",S226+S227-T226)</f>
        <v/>
      </c>
      <c r="U233" s="26" t="str">
        <f t="shared" ref="U233" si="3039">IF(U$8="","",T226+T227-U226)</f>
        <v/>
      </c>
      <c r="V233" s="26" t="str">
        <f t="shared" ref="V233" si="3040">IF(V$8="","",U226+U227-V226)</f>
        <v/>
      </c>
      <c r="W233" s="26" t="str">
        <f t="shared" ref="W233" si="3041">IF(W$8="","",V226+V227-W226)</f>
        <v/>
      </c>
      <c r="X233" s="26" t="str">
        <f t="shared" ref="X233" si="3042">IF(X$8="","",W226+W227-X226)</f>
        <v/>
      </c>
      <c r="Y233" s="26" t="str">
        <f t="shared" ref="Y233" si="3043">IF(Y$8="","",X226+X227-Y226)</f>
        <v/>
      </c>
      <c r="Z233" s="26" t="str">
        <f t="shared" ref="Z233" si="3044">IF(Z$8="","",Y226+Y227-Z226)</f>
        <v/>
      </c>
      <c r="AA233" s="26" t="str">
        <f t="shared" ref="AA233" si="3045">IF(AA$8="","",Z226+Z227-AA226)</f>
        <v/>
      </c>
      <c r="AB233" s="26" t="str">
        <f t="shared" ref="AB233" si="3046">IF(AB$8="","",AA226+AA227-AB226)</f>
        <v/>
      </c>
      <c r="AC233" s="26" t="str">
        <f t="shared" ref="AC233" si="3047">IF(AC$8="","",AB226+AB227-AC226)</f>
        <v/>
      </c>
      <c r="AD233" s="26" t="str">
        <f t="shared" ref="AD233" si="3048">IF(AD$8="","",AC226+AC227-AD226)</f>
        <v/>
      </c>
      <c r="AE233" s="26" t="str">
        <f t="shared" ref="AE233" si="3049">IF(AE$8="","",AD226+AD227-AE226)</f>
        <v/>
      </c>
      <c r="AF233" s="26" t="str">
        <f t="shared" ref="AF233" si="3050">IF(AF$8="","",AE226+AE227-AF226)</f>
        <v/>
      </c>
      <c r="AG233" s="26" t="str">
        <f t="shared" ref="AG233" si="3051">IF(AG$8="","",AF226+AF227-AG226)</f>
        <v/>
      </c>
      <c r="AH233" s="26" t="str">
        <f t="shared" ref="AH233" si="3052">IF(AH$8="","",AG226+AG227-AH226)</f>
        <v/>
      </c>
      <c r="AI233" s="26" t="str">
        <f t="shared" ref="AI233" si="3053">IF(AI$8="","",AH226+AH227-AI226)</f>
        <v/>
      </c>
      <c r="AJ233" s="26" t="str">
        <f t="shared" ref="AJ233" si="3054">IF(AJ$8="","",AI226+AI227-AJ226)</f>
        <v/>
      </c>
      <c r="AK233" s="26" t="str">
        <f t="shared" ref="AK233" si="3055">IF(AK$8="","",AJ226+AJ227-AK226)</f>
        <v/>
      </c>
      <c r="AL233" s="26" t="str">
        <f t="shared" ref="AL233" si="3056">IF(AL$8="","",AK226+AK227-AL226)</f>
        <v/>
      </c>
      <c r="AM233" s="26" t="str">
        <f t="shared" ref="AM233" si="3057">IF(AM$8="","",AL226+AL227-AM226)</f>
        <v/>
      </c>
      <c r="AN233" s="26" t="str">
        <f t="shared" ref="AN233" si="3058">IF(AN$8="","",AM226+AM227-AN226)</f>
        <v/>
      </c>
      <c r="AO233" s="26" t="str">
        <f t="shared" ref="AO233:AS233" si="3059">IF(AO$8="","",AN226+AN227-AO226)</f>
        <v/>
      </c>
      <c r="AP233" s="26" t="str">
        <f t="shared" si="3059"/>
        <v/>
      </c>
      <c r="AQ233" s="26" t="str">
        <f t="shared" si="3059"/>
        <v/>
      </c>
      <c r="AR233" s="26" t="str">
        <f t="shared" si="3059"/>
        <v/>
      </c>
      <c r="AS233" s="26" t="str">
        <f t="shared" si="3059"/>
        <v/>
      </c>
    </row>
    <row r="234" spans="1:45" x14ac:dyDescent="0.15">
      <c r="A234" s="7">
        <f>SUM(C234:AS234)</f>
        <v>600</v>
      </c>
      <c r="B234" s="27" t="s">
        <v>16</v>
      </c>
      <c r="C234" s="26">
        <v>0</v>
      </c>
      <c r="D234" s="26">
        <v>0</v>
      </c>
      <c r="E234" s="26">
        <v>600</v>
      </c>
      <c r="F234" s="26">
        <v>0</v>
      </c>
      <c r="G234" s="26">
        <v>0</v>
      </c>
      <c r="H234" s="26">
        <v>0</v>
      </c>
      <c r="I234" s="26">
        <v>0</v>
      </c>
      <c r="J234" s="26">
        <f t="shared" ref="H234:AM234" si="3060">IF(J$8="","",J233*J228)</f>
        <v>0</v>
      </c>
      <c r="K234" s="26">
        <f t="shared" si="3060"/>
        <v>0</v>
      </c>
      <c r="L234" s="26">
        <f t="shared" si="3060"/>
        <v>0</v>
      </c>
      <c r="M234" s="26" t="str">
        <f t="shared" si="3060"/>
        <v/>
      </c>
      <c r="N234" s="26" t="str">
        <f t="shared" si="3060"/>
        <v/>
      </c>
      <c r="O234" s="26" t="str">
        <f t="shared" si="3060"/>
        <v/>
      </c>
      <c r="P234" s="26" t="str">
        <f t="shared" si="3060"/>
        <v/>
      </c>
      <c r="Q234" s="26" t="str">
        <f t="shared" si="3060"/>
        <v/>
      </c>
      <c r="R234" s="26" t="str">
        <f t="shared" si="3060"/>
        <v/>
      </c>
      <c r="S234" s="26" t="str">
        <f t="shared" si="3060"/>
        <v/>
      </c>
      <c r="T234" s="26" t="str">
        <f t="shared" si="3060"/>
        <v/>
      </c>
      <c r="U234" s="26" t="str">
        <f t="shared" si="3060"/>
        <v/>
      </c>
      <c r="V234" s="26" t="str">
        <f t="shared" si="3060"/>
        <v/>
      </c>
      <c r="W234" s="26" t="str">
        <f t="shared" si="3060"/>
        <v/>
      </c>
      <c r="X234" s="26" t="str">
        <f t="shared" si="3060"/>
        <v/>
      </c>
      <c r="Y234" s="26" t="str">
        <f t="shared" si="3060"/>
        <v/>
      </c>
      <c r="Z234" s="26" t="str">
        <f t="shared" si="3060"/>
        <v/>
      </c>
      <c r="AA234" s="26" t="str">
        <f t="shared" si="3060"/>
        <v/>
      </c>
      <c r="AB234" s="26" t="str">
        <f t="shared" si="3060"/>
        <v/>
      </c>
      <c r="AC234" s="26" t="str">
        <f t="shared" si="3060"/>
        <v/>
      </c>
      <c r="AD234" s="26" t="str">
        <f t="shared" si="3060"/>
        <v/>
      </c>
      <c r="AE234" s="26" t="str">
        <f t="shared" si="3060"/>
        <v/>
      </c>
      <c r="AF234" s="26" t="str">
        <f t="shared" si="3060"/>
        <v/>
      </c>
      <c r="AG234" s="26" t="str">
        <f t="shared" si="3060"/>
        <v/>
      </c>
      <c r="AH234" s="26" t="str">
        <f t="shared" si="3060"/>
        <v/>
      </c>
      <c r="AI234" s="26" t="str">
        <f t="shared" si="3060"/>
        <v/>
      </c>
      <c r="AJ234" s="26" t="str">
        <f t="shared" si="3060"/>
        <v/>
      </c>
      <c r="AK234" s="26" t="str">
        <f t="shared" si="3060"/>
        <v/>
      </c>
      <c r="AL234" s="26" t="str">
        <f t="shared" si="3060"/>
        <v/>
      </c>
      <c r="AM234" s="26" t="str">
        <f t="shared" si="3060"/>
        <v/>
      </c>
      <c r="AN234" s="26" t="str">
        <f t="shared" ref="D234:AN234" si="3061">IF(AN$8="","",AN233*AN228)</f>
        <v/>
      </c>
      <c r="AO234" s="26" t="str">
        <f t="shared" ref="AO234:AS234" si="3062">IF(AO$8="","",AO233*AO228)</f>
        <v/>
      </c>
      <c r="AP234" s="26" t="str">
        <f t="shared" si="3062"/>
        <v/>
      </c>
      <c r="AQ234" s="26" t="str">
        <f t="shared" si="3062"/>
        <v/>
      </c>
      <c r="AR234" s="26" t="str">
        <f t="shared" si="3062"/>
        <v/>
      </c>
      <c r="AS234" s="26" t="str">
        <f t="shared" si="3062"/>
        <v/>
      </c>
    </row>
    <row r="235" spans="1:45" ht="12" thickBot="1" x14ac:dyDescent="0.2">
      <c r="A235" s="4">
        <f>IF(A234="","",A234/(A231*100))</f>
        <v>1.8691588785046728E-2</v>
      </c>
      <c r="B235" s="27" t="s">
        <v>18</v>
      </c>
      <c r="C235" s="42" t="s">
        <v>19</v>
      </c>
      <c r="D235" s="42" t="s">
        <v>19</v>
      </c>
      <c r="E235" s="42">
        <v>4.1095890410958902E-2</v>
      </c>
      <c r="F235" s="42" t="s">
        <v>19</v>
      </c>
      <c r="G235" s="42" t="s">
        <v>19</v>
      </c>
      <c r="H235" s="42" t="s">
        <v>19</v>
      </c>
      <c r="I235" s="42" t="s">
        <v>19</v>
      </c>
      <c r="J235" s="42" t="str">
        <f t="shared" ref="H235:AM235" si="3063">IF(J$8="","",IF(J234=0,"",J234/(J231*100)))</f>
        <v/>
      </c>
      <c r="K235" s="42" t="str">
        <f t="shared" si="3063"/>
        <v/>
      </c>
      <c r="L235" s="42" t="str">
        <f t="shared" si="3063"/>
        <v/>
      </c>
      <c r="M235" s="42" t="str">
        <f t="shared" si="3063"/>
        <v/>
      </c>
      <c r="N235" s="42" t="str">
        <f t="shared" si="3063"/>
        <v/>
      </c>
      <c r="O235" s="42" t="str">
        <f t="shared" si="3063"/>
        <v/>
      </c>
      <c r="P235" s="42" t="str">
        <f t="shared" si="3063"/>
        <v/>
      </c>
      <c r="Q235" s="42" t="str">
        <f t="shared" si="3063"/>
        <v/>
      </c>
      <c r="R235" s="42" t="str">
        <f t="shared" si="3063"/>
        <v/>
      </c>
      <c r="S235" s="42" t="str">
        <f t="shared" si="3063"/>
        <v/>
      </c>
      <c r="T235" s="42" t="str">
        <f t="shared" si="3063"/>
        <v/>
      </c>
      <c r="U235" s="42" t="str">
        <f t="shared" si="3063"/>
        <v/>
      </c>
      <c r="V235" s="42" t="str">
        <f t="shared" si="3063"/>
        <v/>
      </c>
      <c r="W235" s="42" t="str">
        <f t="shared" si="3063"/>
        <v/>
      </c>
      <c r="X235" s="42" t="str">
        <f t="shared" si="3063"/>
        <v/>
      </c>
      <c r="Y235" s="42" t="str">
        <f t="shared" si="3063"/>
        <v/>
      </c>
      <c r="Z235" s="42" t="str">
        <f t="shared" si="3063"/>
        <v/>
      </c>
      <c r="AA235" s="42" t="str">
        <f t="shared" si="3063"/>
        <v/>
      </c>
      <c r="AB235" s="42" t="str">
        <f t="shared" si="3063"/>
        <v/>
      </c>
      <c r="AC235" s="42" t="str">
        <f t="shared" si="3063"/>
        <v/>
      </c>
      <c r="AD235" s="42" t="str">
        <f t="shared" si="3063"/>
        <v/>
      </c>
      <c r="AE235" s="42" t="str">
        <f t="shared" si="3063"/>
        <v/>
      </c>
      <c r="AF235" s="42" t="str">
        <f t="shared" si="3063"/>
        <v/>
      </c>
      <c r="AG235" s="42" t="str">
        <f t="shared" si="3063"/>
        <v/>
      </c>
      <c r="AH235" s="42" t="str">
        <f t="shared" si="3063"/>
        <v/>
      </c>
      <c r="AI235" s="42" t="str">
        <f t="shared" si="3063"/>
        <v/>
      </c>
      <c r="AJ235" s="42" t="str">
        <f t="shared" si="3063"/>
        <v/>
      </c>
      <c r="AK235" s="42" t="str">
        <f t="shared" si="3063"/>
        <v/>
      </c>
      <c r="AL235" s="42" t="str">
        <f t="shared" si="3063"/>
        <v/>
      </c>
      <c r="AM235" s="42" t="str">
        <f t="shared" si="3063"/>
        <v/>
      </c>
      <c r="AN235" s="42" t="str">
        <f t="shared" ref="D235:AN235" si="3064">IF(AN$8="","",IF(AN234=0,"",AN234/(AN231*100)))</f>
        <v/>
      </c>
      <c r="AO235" s="42" t="str">
        <f t="shared" ref="AO235:AS235" si="3065">IF(AO$8="","",IF(AO234=0,"",AO234/(AO231*100)))</f>
        <v/>
      </c>
      <c r="AP235" s="42" t="str">
        <f t="shared" si="3065"/>
        <v/>
      </c>
      <c r="AQ235" s="42" t="str">
        <f t="shared" si="3065"/>
        <v/>
      </c>
      <c r="AR235" s="42" t="str">
        <f t="shared" si="3065"/>
        <v/>
      </c>
      <c r="AS235" s="42" t="str">
        <f t="shared" si="3065"/>
        <v/>
      </c>
    </row>
    <row r="236" spans="1:45" x14ac:dyDescent="0.15">
      <c r="A236" s="17" t="s">
        <v>1</v>
      </c>
      <c r="B236" s="41" t="s">
        <v>2</v>
      </c>
      <c r="C236" s="35">
        <v>4504</v>
      </c>
      <c r="D236" s="35">
        <v>4504</v>
      </c>
      <c r="E236" s="35">
        <v>4524</v>
      </c>
      <c r="F236" s="35">
        <v>4524</v>
      </c>
      <c r="G236" s="35">
        <v>4524</v>
      </c>
      <c r="H236" s="35">
        <v>4524</v>
      </c>
      <c r="I236" s="35">
        <v>4556</v>
      </c>
      <c r="J236" s="35">
        <f>IF(J$8="","",I236)</f>
        <v>4556</v>
      </c>
      <c r="K236" s="35">
        <f t="shared" ref="K236:K237" si="3066">IF(K$8="","",J236)</f>
        <v>4556</v>
      </c>
      <c r="L236" s="35">
        <v>4583</v>
      </c>
      <c r="M236" s="35" t="str">
        <f>IF(M$8="","",L236)</f>
        <v/>
      </c>
      <c r="N236" s="35" t="str">
        <f t="shared" ref="N236:N237" si="3067">IF(N$8="","",M236)</f>
        <v/>
      </c>
      <c r="O236" s="35" t="str">
        <f t="shared" ref="O236:O237" si="3068">IF(O$8="","",N236)</f>
        <v/>
      </c>
      <c r="P236" s="35" t="str">
        <f>IF(P$8="","",O236)</f>
        <v/>
      </c>
      <c r="Q236" s="35" t="str">
        <f>IF(Q$8="","",P236)</f>
        <v/>
      </c>
      <c r="R236" s="35" t="str">
        <f t="shared" ref="R236:R237" si="3069">IF(R$8="","",Q236)</f>
        <v/>
      </c>
      <c r="S236" s="35" t="str">
        <f>IF(S$8="","",R236)</f>
        <v/>
      </c>
      <c r="T236" s="35" t="str">
        <f>IF(T$8="","",S236)</f>
        <v/>
      </c>
      <c r="U236" s="35" t="str">
        <f t="shared" ref="U236:U237" si="3070">IF(U$8="","",T236)</f>
        <v/>
      </c>
      <c r="V236" s="35" t="str">
        <f t="shared" ref="V236:V237" si="3071">IF(V$8="","",U236)</f>
        <v/>
      </c>
      <c r="W236" s="35" t="str">
        <f>IF(W$8="","",V236)</f>
        <v/>
      </c>
      <c r="X236" s="35" t="str">
        <f>IF(X$8="","",W236)</f>
        <v/>
      </c>
      <c r="Y236" s="35" t="str">
        <f t="shared" ref="Y236:Y237" si="3072">IF(Y$8="","",X236)</f>
        <v/>
      </c>
      <c r="Z236" s="35" t="str">
        <f>IF(Z$8="","",Y236)</f>
        <v/>
      </c>
      <c r="AA236" s="35" t="str">
        <f>IF(AA$8="","",Z236)</f>
        <v/>
      </c>
      <c r="AB236" s="35" t="str">
        <f t="shared" ref="AB236:AB237" si="3073">IF(AB$8="","",AA236)</f>
        <v/>
      </c>
      <c r="AC236" s="35" t="str">
        <f t="shared" ref="AC236:AC237" si="3074">IF(AC$8="","",AB236)</f>
        <v/>
      </c>
      <c r="AD236" s="35" t="str">
        <f>IF(AD$8="","",AC236)</f>
        <v/>
      </c>
      <c r="AE236" s="35" t="str">
        <f>IF(AE$8="","",AD236)</f>
        <v/>
      </c>
      <c r="AF236" s="35" t="str">
        <f t="shared" ref="AF236:AF237" si="3075">IF(AF$8="","",AE236)</f>
        <v/>
      </c>
      <c r="AG236" s="35" t="str">
        <f>IF(AG$8="","",AF236)</f>
        <v/>
      </c>
      <c r="AH236" s="35" t="str">
        <f t="shared" ref="AH236:AH237" si="3076">IF(AH$8="","",AG236)</f>
        <v/>
      </c>
      <c r="AI236" s="35" t="str">
        <f t="shared" ref="AI236:AI237" si="3077">IF(AI$8="","",AH236)</f>
        <v/>
      </c>
      <c r="AJ236" s="35" t="str">
        <f t="shared" ref="AJ236:AJ237" si="3078">IF(AJ$8="","",AI236)</f>
        <v/>
      </c>
      <c r="AK236" s="35" t="str">
        <f>IF(AK$8="","",AJ236)</f>
        <v/>
      </c>
      <c r="AL236" s="35" t="str">
        <f t="shared" ref="AL236:AL237" si="3079">IF(AL$8="","",AK236)</f>
        <v/>
      </c>
      <c r="AM236" s="35" t="str">
        <f t="shared" ref="AM236:AM237" si="3080">IF(AM$8="","",AL236)</f>
        <v/>
      </c>
      <c r="AN236" s="35" t="str">
        <f t="shared" ref="AN236:AN237" si="3081">IF(AN$8="","",AM236)</f>
        <v/>
      </c>
      <c r="AO236" s="35" t="str">
        <f t="shared" ref="AO236:AS236" si="3082">IF(AO$8="","",AN236)</f>
        <v/>
      </c>
      <c r="AP236" s="35" t="str">
        <f t="shared" si="3082"/>
        <v/>
      </c>
      <c r="AQ236" s="35" t="str">
        <f t="shared" si="3082"/>
        <v/>
      </c>
      <c r="AR236" s="35" t="str">
        <f t="shared" si="3082"/>
        <v/>
      </c>
      <c r="AS236" s="35" t="str">
        <f t="shared" si="3082"/>
        <v/>
      </c>
    </row>
    <row r="237" spans="1:45" x14ac:dyDescent="0.15">
      <c r="A237" s="16" t="s">
        <v>38</v>
      </c>
      <c r="B237" s="30" t="s">
        <v>4</v>
      </c>
      <c r="C237" s="29">
        <v>197</v>
      </c>
      <c r="D237" s="29">
        <v>197</v>
      </c>
      <c r="E237" s="29">
        <v>197</v>
      </c>
      <c r="F237" s="29">
        <v>197</v>
      </c>
      <c r="G237" s="29">
        <v>197</v>
      </c>
      <c r="H237" s="29">
        <v>197</v>
      </c>
      <c r="I237" s="29">
        <v>197</v>
      </c>
      <c r="J237" s="29">
        <f>IF(J$8="","",I237)</f>
        <v>197</v>
      </c>
      <c r="K237" s="29">
        <f t="shared" si="3066"/>
        <v>197</v>
      </c>
      <c r="L237" s="29">
        <f t="shared" ref="L237" si="3083">IF(L$8="","",K237)</f>
        <v>197</v>
      </c>
      <c r="M237" s="29" t="str">
        <f t="shared" ref="M237" si="3084">IF(M$8="","",L237)</f>
        <v/>
      </c>
      <c r="N237" s="29" t="str">
        <f t="shared" si="3067"/>
        <v/>
      </c>
      <c r="O237" s="29" t="str">
        <f t="shared" si="3068"/>
        <v/>
      </c>
      <c r="P237" s="29" t="str">
        <f t="shared" ref="P236:P237" si="3085">IF(P$8="","",O237)</f>
        <v/>
      </c>
      <c r="Q237" s="29" t="str">
        <f t="shared" ref="Q237" si="3086">IF(Q$8="","",P237)</f>
        <v/>
      </c>
      <c r="R237" s="29" t="str">
        <f t="shared" si="3069"/>
        <v/>
      </c>
      <c r="S237" s="29" t="str">
        <f t="shared" ref="S236:S237" si="3087">IF(S$8="","",R237)</f>
        <v/>
      </c>
      <c r="T237" s="29" t="str">
        <f>IF(T$8="","",S237)</f>
        <v/>
      </c>
      <c r="U237" s="29" t="str">
        <f t="shared" si="3070"/>
        <v/>
      </c>
      <c r="V237" s="29" t="str">
        <f t="shared" si="3071"/>
        <v/>
      </c>
      <c r="W237" s="29" t="str">
        <f>IF(W$8="","",V237)</f>
        <v/>
      </c>
      <c r="X237" s="29" t="str">
        <f t="shared" ref="X237" si="3088">IF(X$8="","",W237)</f>
        <v/>
      </c>
      <c r="Y237" s="29" t="str">
        <f t="shared" si="3072"/>
        <v/>
      </c>
      <c r="Z237" s="29" t="str">
        <f t="shared" ref="Z236:Z237" si="3089">IF(Z$8="","",Y237)</f>
        <v/>
      </c>
      <c r="AA237" s="29" t="str">
        <f>IF(AA$8="","",Z237)</f>
        <v/>
      </c>
      <c r="AB237" s="29" t="str">
        <f t="shared" si="3073"/>
        <v/>
      </c>
      <c r="AC237" s="29" t="str">
        <f t="shared" si="3074"/>
        <v/>
      </c>
      <c r="AD237" s="29" t="str">
        <f t="shared" ref="AD236:AD237" si="3090">IF(AD$8="","",AC237)</f>
        <v/>
      </c>
      <c r="AE237" s="29" t="str">
        <f t="shared" ref="AE237" si="3091">IF(AE$8="","",AD237)</f>
        <v/>
      </c>
      <c r="AF237" s="29" t="str">
        <f t="shared" si="3075"/>
        <v/>
      </c>
      <c r="AG237" s="29" t="str">
        <f t="shared" ref="AG236:AG237" si="3092">IF(AG$8="","",AF237)</f>
        <v/>
      </c>
      <c r="AH237" s="29" t="str">
        <f t="shared" si="3076"/>
        <v/>
      </c>
      <c r="AI237" s="29" t="str">
        <f t="shared" si="3077"/>
        <v/>
      </c>
      <c r="AJ237" s="29" t="str">
        <f t="shared" si="3078"/>
        <v/>
      </c>
      <c r="AK237" s="29" t="str">
        <f t="shared" ref="AK236:AK237" si="3093">IF(AK$8="","",AJ237)</f>
        <v/>
      </c>
      <c r="AL237" s="29" t="str">
        <f t="shared" si="3079"/>
        <v/>
      </c>
      <c r="AM237" s="29" t="str">
        <f t="shared" si="3080"/>
        <v/>
      </c>
      <c r="AN237" s="29" t="str">
        <f t="shared" si="3081"/>
        <v/>
      </c>
      <c r="AO237" s="29" t="str">
        <f t="shared" ref="AO237:AS237" si="3094">IF(AO$8="","",AN237)</f>
        <v/>
      </c>
      <c r="AP237" s="29" t="str">
        <f t="shared" si="3094"/>
        <v/>
      </c>
      <c r="AQ237" s="29" t="str">
        <f t="shared" si="3094"/>
        <v/>
      </c>
      <c r="AR237" s="29" t="str">
        <f t="shared" si="3094"/>
        <v/>
      </c>
      <c r="AS237" s="29" t="str">
        <f t="shared" si="3094"/>
        <v/>
      </c>
    </row>
    <row r="238" spans="1:45" x14ac:dyDescent="0.15">
      <c r="A238" s="15">
        <v>4</v>
      </c>
      <c r="B238" s="30" t="s">
        <v>5</v>
      </c>
      <c r="C238" s="29">
        <v>11</v>
      </c>
      <c r="D238" s="29">
        <v>11</v>
      </c>
      <c r="E238" s="29">
        <v>11</v>
      </c>
      <c r="F238" s="29">
        <v>9</v>
      </c>
      <c r="G238" s="29">
        <v>9</v>
      </c>
      <c r="H238" s="29">
        <v>9</v>
      </c>
      <c r="I238" s="29">
        <v>9</v>
      </c>
      <c r="J238" s="29">
        <f>IF(J$8="","",(I238+I239))</f>
        <v>9</v>
      </c>
      <c r="K238" s="29">
        <f t="shared" ref="K238" si="3095">IF(K$8="","",(J238+J239))</f>
        <v>9</v>
      </c>
      <c r="L238" s="29">
        <f t="shared" ref="L238" si="3096">IF(L$8="","",(K238+K239))</f>
        <v>9</v>
      </c>
      <c r="M238" s="29" t="str">
        <f t="shared" ref="M238" si="3097">IF(M$8="","",(L238+L239))</f>
        <v/>
      </c>
      <c r="N238" s="29" t="str">
        <f t="shared" ref="N238" si="3098">IF(N$8="","",(M238+M239))</f>
        <v/>
      </c>
      <c r="O238" s="29" t="str">
        <f t="shared" ref="O238" si="3099">IF(O$8="","",(N238+N239))</f>
        <v/>
      </c>
      <c r="P238" s="29" t="str">
        <f t="shared" ref="P238" si="3100">IF(P$8="","",(O238+O239))</f>
        <v/>
      </c>
      <c r="Q238" s="29" t="str">
        <f t="shared" ref="Q238" si="3101">IF(Q$8="","",(P238+P239))</f>
        <v/>
      </c>
      <c r="R238" s="29" t="str">
        <f t="shared" ref="R238" si="3102">IF(R$8="","",(Q238+Q239))</f>
        <v/>
      </c>
      <c r="S238" s="29" t="str">
        <f t="shared" ref="S238" si="3103">IF(S$8="","",(R238+R239))</f>
        <v/>
      </c>
      <c r="T238" s="29" t="str">
        <f>IF(T$8="","",(S238+S239))</f>
        <v/>
      </c>
      <c r="U238" s="29" t="str">
        <f t="shared" ref="U238" si="3104">IF(U$8="","",(T238+T239))</f>
        <v/>
      </c>
      <c r="V238" s="29" t="str">
        <f t="shared" ref="V238" si="3105">IF(V$8="","",(U238+U239))</f>
        <v/>
      </c>
      <c r="W238" s="29" t="str">
        <f>IF(W$8="","",(V238+V239))</f>
        <v/>
      </c>
      <c r="X238" s="29" t="str">
        <f t="shared" ref="X238" si="3106">IF(X$8="","",(W238+W239))</f>
        <v/>
      </c>
      <c r="Y238" s="29" t="str">
        <f t="shared" ref="Y238" si="3107">IF(Y$8="","",(X238+X239))</f>
        <v/>
      </c>
      <c r="Z238" s="29" t="str">
        <f t="shared" ref="Z238" si="3108">IF(Z$8="","",(Y238+Y239))</f>
        <v/>
      </c>
      <c r="AA238" s="29" t="str">
        <f>IF(AA$8="","",(Z238+Z239))</f>
        <v/>
      </c>
      <c r="AB238" s="29" t="str">
        <f t="shared" ref="AB238" si="3109">IF(AB$8="","",(AA238+AA239))</f>
        <v/>
      </c>
      <c r="AC238" s="29" t="str">
        <f t="shared" ref="AC238" si="3110">IF(AC$8="","",(AB238+AB239))</f>
        <v/>
      </c>
      <c r="AD238" s="29" t="str">
        <f t="shared" ref="AD238" si="3111">IF(AD$8="","",(AC238+AC239))</f>
        <v/>
      </c>
      <c r="AE238" s="29" t="str">
        <f t="shared" ref="AE238" si="3112">IF(AE$8="","",(AD238+AD239))</f>
        <v/>
      </c>
      <c r="AF238" s="29" t="str">
        <f t="shared" ref="AF238" si="3113">IF(AF$8="","",(AE238+AE239))</f>
        <v/>
      </c>
      <c r="AG238" s="29" t="str">
        <f t="shared" ref="AG238" si="3114">IF(AG$8="","",(AF238+AF239))</f>
        <v/>
      </c>
      <c r="AH238" s="29" t="str">
        <f t="shared" ref="AH238" si="3115">IF(AH$8="","",(AG238+AG239))</f>
        <v/>
      </c>
      <c r="AI238" s="29" t="str">
        <f t="shared" ref="AI238" si="3116">IF(AI$8="","",(AH238+AH239))</f>
        <v/>
      </c>
      <c r="AJ238" s="29" t="str">
        <f t="shared" ref="AJ238" si="3117">IF(AJ$8="","",(AI238+AI239))</f>
        <v/>
      </c>
      <c r="AK238" s="29" t="str">
        <f t="shared" ref="AK238" si="3118">IF(AK$8="","",(AJ238+AJ239))</f>
        <v/>
      </c>
      <c r="AL238" s="29" t="str">
        <f t="shared" ref="AL238" si="3119">IF(AL$8="","",(AK238+AK239))</f>
        <v/>
      </c>
      <c r="AM238" s="29" t="str">
        <f t="shared" ref="AM238" si="3120">IF(AM$8="","",(AL238+AL239))</f>
        <v/>
      </c>
      <c r="AN238" s="29" t="str">
        <f t="shared" ref="AN238" si="3121">IF(AN$8="","",(AM238+AM239))</f>
        <v/>
      </c>
      <c r="AO238" s="29" t="str">
        <f t="shared" ref="AO238:AS238" si="3122">IF(AO$8="","",(AN238+AN239))</f>
        <v/>
      </c>
      <c r="AP238" s="29" t="str">
        <f t="shared" si="3122"/>
        <v/>
      </c>
      <c r="AQ238" s="29" t="str">
        <f t="shared" si="3122"/>
        <v/>
      </c>
      <c r="AR238" s="29" t="str">
        <f t="shared" si="3122"/>
        <v/>
      </c>
      <c r="AS238" s="29" t="str">
        <f t="shared" si="3122"/>
        <v/>
      </c>
    </row>
    <row r="239" spans="1:45" x14ac:dyDescent="0.15">
      <c r="A239" s="14"/>
      <c r="B239" s="30" t="s">
        <v>7</v>
      </c>
      <c r="C239" s="29"/>
      <c r="D239" s="29"/>
      <c r="E239" s="29">
        <v>-2</v>
      </c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</row>
    <row r="240" spans="1:45" x14ac:dyDescent="0.15">
      <c r="A240" s="7"/>
      <c r="B240" s="30" t="s">
        <v>8</v>
      </c>
      <c r="C240" s="35">
        <v>400</v>
      </c>
      <c r="D240" s="35">
        <v>400</v>
      </c>
      <c r="E240" s="35">
        <v>400</v>
      </c>
      <c r="F240" s="35">
        <v>400</v>
      </c>
      <c r="G240" s="35">
        <v>400</v>
      </c>
      <c r="H240" s="35">
        <v>400</v>
      </c>
      <c r="I240" s="35">
        <v>400</v>
      </c>
      <c r="J240" s="35">
        <f t="shared" ref="J240:J241" si="3123">IF(J$8="","",I240)</f>
        <v>400</v>
      </c>
      <c r="K240" s="35">
        <f t="shared" ref="K240:K241" si="3124">IF(K$8="","",J240)</f>
        <v>400</v>
      </c>
      <c r="L240" s="35">
        <f t="shared" ref="L240:L241" si="3125">IF(L$8="","",K240)</f>
        <v>400</v>
      </c>
      <c r="M240" s="35" t="str">
        <f t="shared" ref="M240:M241" si="3126">IF(M$8="","",L240)</f>
        <v/>
      </c>
      <c r="N240" s="35" t="str">
        <f t="shared" ref="N240:N241" si="3127">IF(N$8="","",M240)</f>
        <v/>
      </c>
      <c r="O240" s="35" t="str">
        <f t="shared" ref="O240:O241" si="3128">IF(O$8="","",N240)</f>
        <v/>
      </c>
      <c r="P240" s="35" t="str">
        <f t="shared" ref="P240:P241" si="3129">IF(P$8="","",O240)</f>
        <v/>
      </c>
      <c r="Q240" s="35" t="str">
        <f t="shared" ref="Q240:Q241" si="3130">IF(Q$8="","",P240)</f>
        <v/>
      </c>
      <c r="R240" s="35" t="str">
        <f t="shared" ref="R240:R241" si="3131">IF(R$8="","",Q240)</f>
        <v/>
      </c>
      <c r="S240" s="35" t="str">
        <f t="shared" ref="S240:S241" si="3132">IF(S$8="","",R240)</f>
        <v/>
      </c>
      <c r="T240" s="35" t="str">
        <f t="shared" ref="T240:T241" si="3133">IF(T$8="","",S240)</f>
        <v/>
      </c>
      <c r="U240" s="35" t="str">
        <f t="shared" ref="U240:U241" si="3134">IF(U$8="","",T240)</f>
        <v/>
      </c>
      <c r="V240" s="35" t="str">
        <f t="shared" ref="V240:V241" si="3135">IF(V$8="","",U240)</f>
        <v/>
      </c>
      <c r="W240" s="35" t="str">
        <f t="shared" ref="W240:W241" si="3136">IF(W$8="","",V240)</f>
        <v/>
      </c>
      <c r="X240" s="35" t="str">
        <f t="shared" ref="X240:X241" si="3137">IF(X$8="","",W240)</f>
        <v/>
      </c>
      <c r="Y240" s="35" t="str">
        <f t="shared" ref="Y240:Y241" si="3138">IF(Y$8="","",X240)</f>
        <v/>
      </c>
      <c r="Z240" s="35" t="str">
        <f t="shared" ref="Z240:Z241" si="3139">IF(Z$8="","",Y240)</f>
        <v/>
      </c>
      <c r="AA240" s="35" t="str">
        <f t="shared" ref="AA240:AA241" si="3140">IF(AA$8="","",Z240)</f>
        <v/>
      </c>
      <c r="AB240" s="35" t="str">
        <f t="shared" ref="AB240:AB241" si="3141">IF(AB$8="","",AA240)</f>
        <v/>
      </c>
      <c r="AC240" s="35" t="str">
        <f t="shared" ref="AC240:AC241" si="3142">IF(AC$8="","",AB240)</f>
        <v/>
      </c>
      <c r="AD240" s="35" t="str">
        <f t="shared" ref="AD240:AD241" si="3143">IF(AD$8="","",AC240)</f>
        <v/>
      </c>
      <c r="AE240" s="35" t="str">
        <f t="shared" ref="AE240:AE241" si="3144">IF(AE$8="","",AD240)</f>
        <v/>
      </c>
      <c r="AF240" s="35" t="str">
        <f t="shared" ref="AF240:AF241" si="3145">IF(AF$8="","",AE240)</f>
        <v/>
      </c>
      <c r="AG240" s="35" t="str">
        <f t="shared" ref="AG240:AG241" si="3146">IF(AG$8="","",AF240)</f>
        <v/>
      </c>
      <c r="AH240" s="35" t="str">
        <f t="shared" ref="AH240:AH241" si="3147">IF(AH$8="","",AG240)</f>
        <v/>
      </c>
      <c r="AI240" s="35" t="str">
        <f t="shared" ref="AI240:AI241" si="3148">IF(AI$8="","",AH240)</f>
        <v/>
      </c>
      <c r="AJ240" s="35" t="str">
        <f t="shared" ref="AJ240:AJ241" si="3149">IF(AJ$8="","",AI240)</f>
        <v/>
      </c>
      <c r="AK240" s="35" t="str">
        <f t="shared" ref="AK240:AK241" si="3150">IF(AK$8="","",AJ240)</f>
        <v/>
      </c>
      <c r="AL240" s="35" t="str">
        <f t="shared" ref="AL240:AL241" si="3151">IF(AL$8="","",AK240)</f>
        <v/>
      </c>
      <c r="AM240" s="35" t="str">
        <f t="shared" ref="AM240:AM241" si="3152">IF(AM$8="","",AL240)</f>
        <v/>
      </c>
      <c r="AN240" s="35" t="str">
        <f t="shared" ref="AN240:AN241" si="3153">IF(AN$8="","",AM240)</f>
        <v/>
      </c>
      <c r="AO240" s="35" t="str">
        <f t="shared" ref="AO240:AS240" si="3154">IF(AO$8="","",AN240)</f>
        <v/>
      </c>
      <c r="AP240" s="35" t="str">
        <f t="shared" si="3154"/>
        <v/>
      </c>
      <c r="AQ240" s="35" t="str">
        <f t="shared" si="3154"/>
        <v/>
      </c>
      <c r="AR240" s="35" t="str">
        <f t="shared" si="3154"/>
        <v/>
      </c>
      <c r="AS240" s="35" t="str">
        <f t="shared" si="3154"/>
        <v/>
      </c>
    </row>
    <row r="241" spans="1:46" s="85" customFormat="1" x14ac:dyDescent="0.15">
      <c r="A241" s="14" t="s">
        <v>9</v>
      </c>
      <c r="B241" s="33" t="s">
        <v>10</v>
      </c>
      <c r="C241" s="32" t="s">
        <v>41</v>
      </c>
      <c r="D241" s="32" t="s">
        <v>41</v>
      </c>
      <c r="E241" s="32" t="s">
        <v>365</v>
      </c>
      <c r="F241" s="32" t="s">
        <v>365</v>
      </c>
      <c r="G241" s="32" t="s">
        <v>365</v>
      </c>
      <c r="H241" s="32" t="s">
        <v>365</v>
      </c>
      <c r="I241" s="32" t="s">
        <v>365</v>
      </c>
      <c r="J241" s="32" t="str">
        <f t="shared" si="3123"/>
        <v>スンスンがま口</v>
      </c>
      <c r="K241" s="32" t="str">
        <f t="shared" si="3124"/>
        <v>スンスンがま口</v>
      </c>
      <c r="L241" s="32" t="str">
        <f t="shared" si="3125"/>
        <v>スンスンがま口</v>
      </c>
      <c r="M241" s="32" t="str">
        <f t="shared" si="3126"/>
        <v/>
      </c>
      <c r="N241" s="32" t="str">
        <f t="shared" si="3127"/>
        <v/>
      </c>
      <c r="O241" s="32" t="str">
        <f t="shared" si="3128"/>
        <v/>
      </c>
      <c r="P241" s="32" t="str">
        <f t="shared" si="3129"/>
        <v/>
      </c>
      <c r="Q241" s="32" t="str">
        <f t="shared" si="3130"/>
        <v/>
      </c>
      <c r="R241" s="32" t="str">
        <f t="shared" si="3131"/>
        <v/>
      </c>
      <c r="S241" s="32" t="str">
        <f t="shared" si="3132"/>
        <v/>
      </c>
      <c r="T241" s="32" t="str">
        <f t="shared" si="3133"/>
        <v/>
      </c>
      <c r="U241" s="32" t="str">
        <f t="shared" si="3134"/>
        <v/>
      </c>
      <c r="V241" s="32" t="str">
        <f t="shared" si="3135"/>
        <v/>
      </c>
      <c r="W241" s="32" t="str">
        <f t="shared" si="3136"/>
        <v/>
      </c>
      <c r="X241" s="32" t="str">
        <f t="shared" si="3137"/>
        <v/>
      </c>
      <c r="Y241" s="32" t="str">
        <f t="shared" si="3138"/>
        <v/>
      </c>
      <c r="Z241" s="32" t="str">
        <f t="shared" si="3139"/>
        <v/>
      </c>
      <c r="AA241" s="32" t="str">
        <f t="shared" si="3140"/>
        <v/>
      </c>
      <c r="AB241" s="32" t="str">
        <f t="shared" si="3141"/>
        <v/>
      </c>
      <c r="AC241" s="32" t="str">
        <f t="shared" si="3142"/>
        <v/>
      </c>
      <c r="AD241" s="32" t="str">
        <f t="shared" si="3143"/>
        <v/>
      </c>
      <c r="AE241" s="32" t="str">
        <f t="shared" si="3144"/>
        <v/>
      </c>
      <c r="AF241" s="32" t="str">
        <f t="shared" si="3145"/>
        <v/>
      </c>
      <c r="AG241" s="32" t="str">
        <f>IF(AG$8="","",AF241)</f>
        <v/>
      </c>
      <c r="AH241" s="32" t="str">
        <f t="shared" si="3147"/>
        <v/>
      </c>
      <c r="AI241" s="32" t="str">
        <f t="shared" si="3148"/>
        <v/>
      </c>
      <c r="AJ241" s="32" t="str">
        <f t="shared" si="3149"/>
        <v/>
      </c>
      <c r="AK241" s="32" t="str">
        <f t="shared" si="3150"/>
        <v/>
      </c>
      <c r="AL241" s="32" t="str">
        <f t="shared" si="3151"/>
        <v/>
      </c>
      <c r="AM241" s="32" t="str">
        <f t="shared" si="3152"/>
        <v/>
      </c>
      <c r="AN241" s="32" t="str">
        <f t="shared" si="3153"/>
        <v/>
      </c>
      <c r="AO241" s="32" t="str">
        <f t="shared" ref="AO241:AS241" si="3155">IF(AO$8="","",AN241)</f>
        <v/>
      </c>
      <c r="AP241" s="32" t="str">
        <f t="shared" si="3155"/>
        <v/>
      </c>
      <c r="AQ241" s="32" t="str">
        <f t="shared" si="3155"/>
        <v/>
      </c>
      <c r="AR241" s="32" t="str">
        <f t="shared" si="3155"/>
        <v/>
      </c>
      <c r="AS241" s="32" t="str">
        <f t="shared" si="3155"/>
        <v/>
      </c>
    </row>
    <row r="242" spans="1:46" x14ac:dyDescent="0.15">
      <c r="A242" s="7">
        <f>AVERAGE(C243:AS243)*30*100</f>
        <v>23700</v>
      </c>
      <c r="B242" s="30" t="s">
        <v>12</v>
      </c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</row>
    <row r="243" spans="1:46" x14ac:dyDescent="0.15">
      <c r="A243" s="7">
        <f>SUM(C243:AS243)</f>
        <v>79</v>
      </c>
      <c r="B243" s="27" t="s">
        <v>13</v>
      </c>
      <c r="C243" s="26">
        <v>0</v>
      </c>
      <c r="D243" s="26">
        <v>0</v>
      </c>
      <c r="E243" s="26">
        <v>20</v>
      </c>
      <c r="F243" s="26">
        <v>0</v>
      </c>
      <c r="G243" s="26">
        <v>0</v>
      </c>
      <c r="H243" s="26">
        <v>0</v>
      </c>
      <c r="I243" s="26">
        <v>32</v>
      </c>
      <c r="J243" s="26">
        <f t="shared" ref="J243:J244" si="3156">IF(J$8="","",J236-I236)</f>
        <v>0</v>
      </c>
      <c r="K243" s="26">
        <f t="shared" ref="K243:K244" si="3157">IF(K$8="","",K236-J236)</f>
        <v>0</v>
      </c>
      <c r="L243" s="26">
        <f t="shared" ref="L243:L244" si="3158">IF(L$8="","",L236-K236)</f>
        <v>27</v>
      </c>
      <c r="M243" s="26" t="str">
        <f t="shared" ref="M243:M244" si="3159">IF(M$8="","",M236-L236)</f>
        <v/>
      </c>
      <c r="N243" s="26" t="str">
        <f t="shared" ref="N243:N244" si="3160">IF(N$8="","",N236-M236)</f>
        <v/>
      </c>
      <c r="O243" s="26" t="str">
        <f t="shared" ref="O243:O244" si="3161">IF(O$8="","",O236-N236)</f>
        <v/>
      </c>
      <c r="P243" s="26" t="str">
        <f t="shared" ref="P243:P244" si="3162">IF(P$8="","",P236-O236)</f>
        <v/>
      </c>
      <c r="Q243" s="26" t="str">
        <f t="shared" ref="Q243:Q244" si="3163">IF(Q$8="","",Q236-P236)</f>
        <v/>
      </c>
      <c r="R243" s="26" t="str">
        <f t="shared" ref="R243:R244" si="3164">IF(R$8="","",R236-Q236)</f>
        <v/>
      </c>
      <c r="S243" s="26" t="str">
        <f t="shared" ref="S243:S244" si="3165">IF(S$8="","",S236-R236)</f>
        <v/>
      </c>
      <c r="T243" s="26" t="str">
        <f t="shared" ref="T243:T244" si="3166">IF(T$8="","",T236-S236)</f>
        <v/>
      </c>
      <c r="U243" s="26" t="str">
        <f t="shared" ref="U243:U244" si="3167">IF(U$8="","",U236-T236)</f>
        <v/>
      </c>
      <c r="V243" s="26" t="str">
        <f t="shared" ref="V243:V244" si="3168">IF(V$8="","",V236-U236)</f>
        <v/>
      </c>
      <c r="W243" s="26" t="str">
        <f t="shared" ref="W243:W244" si="3169">IF(W$8="","",W236-V236)</f>
        <v/>
      </c>
      <c r="X243" s="26" t="str">
        <f t="shared" ref="X243:X244" si="3170">IF(X$8="","",X236-W236)</f>
        <v/>
      </c>
      <c r="Y243" s="26" t="str">
        <f t="shared" ref="Y243:Y244" si="3171">IF(Y$8="","",Y236-X236)</f>
        <v/>
      </c>
      <c r="Z243" s="26" t="str">
        <f t="shared" ref="Z243:Z244" si="3172">IF(Z$8="","",Z236-Y236)</f>
        <v/>
      </c>
      <c r="AA243" s="26" t="str">
        <f t="shared" ref="AA243:AA244" si="3173">IF(AA$8="","",AA236-Z236)</f>
        <v/>
      </c>
      <c r="AB243" s="26" t="str">
        <f t="shared" ref="AB243:AB244" si="3174">IF(AB$8="","",AB236-AA236)</f>
        <v/>
      </c>
      <c r="AC243" s="26" t="str">
        <f t="shared" ref="AC243:AC244" si="3175">IF(AC$8="","",AC236-AB236)</f>
        <v/>
      </c>
      <c r="AD243" s="26" t="str">
        <f t="shared" ref="AD243:AD244" si="3176">IF(AD$8="","",AD236-AC236)</f>
        <v/>
      </c>
      <c r="AE243" s="26" t="str">
        <f t="shared" ref="AE243:AE244" si="3177">IF(AE$8="","",AE236-AD236)</f>
        <v/>
      </c>
      <c r="AF243" s="26" t="str">
        <f t="shared" ref="AF243:AF244" si="3178">IF(AF$8="","",AF236-AE236)</f>
        <v/>
      </c>
      <c r="AG243" s="26" t="str">
        <f t="shared" ref="AG243:AG244" si="3179">IF(AG$8="","",AG236-AF236)</f>
        <v/>
      </c>
      <c r="AH243" s="26" t="str">
        <f t="shared" ref="AH243:AH244" si="3180">IF(AH$8="","",AH236-AG236)</f>
        <v/>
      </c>
      <c r="AI243" s="26" t="str">
        <f t="shared" ref="AI243:AI244" si="3181">IF(AI$8="","",AI236-AH236)</f>
        <v/>
      </c>
      <c r="AJ243" s="26" t="str">
        <f t="shared" ref="AJ243:AJ244" si="3182">IF(AJ$8="","",AJ236-AI236)</f>
        <v/>
      </c>
      <c r="AK243" s="26" t="str">
        <f t="shared" ref="AK243:AK244" si="3183">IF(AK$8="","",AK236-AJ236)</f>
        <v/>
      </c>
      <c r="AL243" s="26" t="str">
        <f t="shared" ref="AL243:AL244" si="3184">IF(AL$8="","",AL236-AK236)</f>
        <v/>
      </c>
      <c r="AM243" s="26" t="str">
        <f t="shared" ref="AM243:AM244" si="3185">IF(AM$8="","",AM236-AL236)</f>
        <v/>
      </c>
      <c r="AN243" s="26" t="str">
        <f t="shared" ref="AN243:AN244" si="3186">IF(AN$8="","",AN236-AM236)</f>
        <v/>
      </c>
      <c r="AO243" s="26" t="str">
        <f t="shared" ref="AO243:AS243" si="3187">IF(AO$8="","",AO236-AN236)</f>
        <v/>
      </c>
      <c r="AP243" s="26" t="str">
        <f t="shared" si="3187"/>
        <v/>
      </c>
      <c r="AQ243" s="26" t="str">
        <f t="shared" si="3187"/>
        <v/>
      </c>
      <c r="AR243" s="26" t="str">
        <f t="shared" si="3187"/>
        <v/>
      </c>
      <c r="AS243" s="26" t="str">
        <f t="shared" si="3187"/>
        <v/>
      </c>
    </row>
    <row r="244" spans="1:46" x14ac:dyDescent="0.15">
      <c r="A244" s="7">
        <f>SUM(C244:AS244)</f>
        <v>0</v>
      </c>
      <c r="B244" s="27" t="s">
        <v>14</v>
      </c>
      <c r="C244" s="26">
        <v>0</v>
      </c>
      <c r="D244" s="26">
        <v>0</v>
      </c>
      <c r="E244" s="26">
        <v>0</v>
      </c>
      <c r="F244" s="26">
        <v>0</v>
      </c>
      <c r="G244" s="26">
        <v>0</v>
      </c>
      <c r="H244" s="26">
        <v>0</v>
      </c>
      <c r="I244" s="26">
        <v>0</v>
      </c>
      <c r="J244" s="26">
        <f t="shared" si="3156"/>
        <v>0</v>
      </c>
      <c r="K244" s="26">
        <f t="shared" si="3157"/>
        <v>0</v>
      </c>
      <c r="L244" s="26">
        <f t="shared" si="3158"/>
        <v>0</v>
      </c>
      <c r="M244" s="26" t="str">
        <f t="shared" si="3159"/>
        <v/>
      </c>
      <c r="N244" s="26" t="str">
        <f t="shared" si="3160"/>
        <v/>
      </c>
      <c r="O244" s="26" t="str">
        <f t="shared" si="3161"/>
        <v/>
      </c>
      <c r="P244" s="26" t="str">
        <f t="shared" si="3162"/>
        <v/>
      </c>
      <c r="Q244" s="26" t="str">
        <f t="shared" si="3163"/>
        <v/>
      </c>
      <c r="R244" s="26" t="str">
        <f t="shared" si="3164"/>
        <v/>
      </c>
      <c r="S244" s="26" t="str">
        <f t="shared" si="3165"/>
        <v/>
      </c>
      <c r="T244" s="26" t="str">
        <f t="shared" si="3166"/>
        <v/>
      </c>
      <c r="U244" s="26" t="str">
        <f t="shared" si="3167"/>
        <v/>
      </c>
      <c r="V244" s="26" t="str">
        <f t="shared" si="3168"/>
        <v/>
      </c>
      <c r="W244" s="26" t="str">
        <f t="shared" si="3169"/>
        <v/>
      </c>
      <c r="X244" s="26" t="str">
        <f t="shared" si="3170"/>
        <v/>
      </c>
      <c r="Y244" s="26" t="str">
        <f t="shared" si="3171"/>
        <v/>
      </c>
      <c r="Z244" s="26" t="str">
        <f t="shared" si="3172"/>
        <v/>
      </c>
      <c r="AA244" s="26" t="str">
        <f t="shared" si="3173"/>
        <v/>
      </c>
      <c r="AB244" s="26" t="str">
        <f t="shared" si="3174"/>
        <v/>
      </c>
      <c r="AC244" s="26" t="str">
        <f t="shared" si="3175"/>
        <v/>
      </c>
      <c r="AD244" s="26" t="str">
        <f t="shared" si="3176"/>
        <v/>
      </c>
      <c r="AE244" s="26" t="str">
        <f t="shared" si="3177"/>
        <v/>
      </c>
      <c r="AF244" s="26" t="str">
        <f t="shared" si="3178"/>
        <v/>
      </c>
      <c r="AG244" s="26" t="str">
        <f t="shared" si="3179"/>
        <v/>
      </c>
      <c r="AH244" s="26" t="str">
        <f t="shared" si="3180"/>
        <v/>
      </c>
      <c r="AI244" s="26" t="str">
        <f t="shared" si="3181"/>
        <v/>
      </c>
      <c r="AJ244" s="26" t="str">
        <f t="shared" si="3182"/>
        <v/>
      </c>
      <c r="AK244" s="26" t="str">
        <f t="shared" si="3183"/>
        <v/>
      </c>
      <c r="AL244" s="26" t="str">
        <f t="shared" si="3184"/>
        <v/>
      </c>
      <c r="AM244" s="26" t="str">
        <f t="shared" si="3185"/>
        <v/>
      </c>
      <c r="AN244" s="26" t="str">
        <f t="shared" si="3186"/>
        <v/>
      </c>
      <c r="AO244" s="26" t="str">
        <f t="shared" ref="AO244:AS244" si="3188">IF(AO$8="","",AO237-AN237)</f>
        <v/>
      </c>
      <c r="AP244" s="26" t="str">
        <f t="shared" si="3188"/>
        <v/>
      </c>
      <c r="AQ244" s="26" t="str">
        <f t="shared" si="3188"/>
        <v/>
      </c>
      <c r="AR244" s="26" t="str">
        <f t="shared" si="3188"/>
        <v/>
      </c>
      <c r="AS244" s="26" t="str">
        <f t="shared" si="3188"/>
        <v/>
      </c>
    </row>
    <row r="245" spans="1:46" x14ac:dyDescent="0.15">
      <c r="A245" s="7">
        <f>SUM(C245:AS245)</f>
        <v>0</v>
      </c>
      <c r="B245" s="27" t="s">
        <v>15</v>
      </c>
      <c r="C245" s="26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f t="shared" ref="J245" si="3189">IF(J$8="","",I238+I239-J238)</f>
        <v>0</v>
      </c>
      <c r="K245" s="26">
        <f t="shared" ref="K245" si="3190">IF(K$8="","",J238+J239-K238)</f>
        <v>0</v>
      </c>
      <c r="L245" s="26">
        <f t="shared" ref="L245" si="3191">IF(L$8="","",K238+K239-L238)</f>
        <v>0</v>
      </c>
      <c r="M245" s="26" t="str">
        <f t="shared" ref="M245" si="3192">IF(M$8="","",L238+L239-M238)</f>
        <v/>
      </c>
      <c r="N245" s="26" t="str">
        <f t="shared" ref="N245" si="3193">IF(N$8="","",M238+M239-N238)</f>
        <v/>
      </c>
      <c r="O245" s="26" t="str">
        <f t="shared" ref="O245" si="3194">IF(O$8="","",N238+N239-O238)</f>
        <v/>
      </c>
      <c r="P245" s="26" t="str">
        <f t="shared" ref="P245" si="3195">IF(P$8="","",O238+O239-P238)</f>
        <v/>
      </c>
      <c r="Q245" s="26" t="str">
        <f t="shared" ref="Q245" si="3196">IF(Q$8="","",P238+P239-Q238)</f>
        <v/>
      </c>
      <c r="R245" s="26" t="str">
        <f t="shared" ref="R245" si="3197">IF(R$8="","",Q238+Q239-R238)</f>
        <v/>
      </c>
      <c r="S245" s="26" t="str">
        <f t="shared" ref="S245" si="3198">IF(S$8="","",R238+R239-S238)</f>
        <v/>
      </c>
      <c r="T245" s="26" t="str">
        <f t="shared" ref="T245" si="3199">IF(T$8="","",S238+S239-T238)</f>
        <v/>
      </c>
      <c r="U245" s="26" t="str">
        <f t="shared" ref="U245" si="3200">IF(U$8="","",T238+T239-U238)</f>
        <v/>
      </c>
      <c r="V245" s="26" t="str">
        <f t="shared" ref="V245" si="3201">IF(V$8="","",U238+U239-V238)</f>
        <v/>
      </c>
      <c r="W245" s="26" t="str">
        <f t="shared" ref="W245" si="3202">IF(W$8="","",V238+V239-W238)</f>
        <v/>
      </c>
      <c r="X245" s="26" t="str">
        <f t="shared" ref="X245" si="3203">IF(X$8="","",W238+W239-X238)</f>
        <v/>
      </c>
      <c r="Y245" s="26" t="str">
        <f t="shared" ref="Y245" si="3204">IF(Y$8="","",X238+X239-Y238)</f>
        <v/>
      </c>
      <c r="Z245" s="26" t="str">
        <f t="shared" ref="Z245" si="3205">IF(Z$8="","",Y238+Y239-Z238)</f>
        <v/>
      </c>
      <c r="AA245" s="26" t="str">
        <f t="shared" ref="AA245" si="3206">IF(AA$8="","",Z238+Z239-AA238)</f>
        <v/>
      </c>
      <c r="AB245" s="26" t="str">
        <f t="shared" ref="AB245" si="3207">IF(AB$8="","",AA238+AA239-AB238)</f>
        <v/>
      </c>
      <c r="AC245" s="26" t="str">
        <f t="shared" ref="AC245" si="3208">IF(AC$8="","",AB238+AB239-AC238)</f>
        <v/>
      </c>
      <c r="AD245" s="26" t="str">
        <f t="shared" ref="AD245" si="3209">IF(AD$8="","",AC238+AC239-AD238)</f>
        <v/>
      </c>
      <c r="AE245" s="26" t="str">
        <f t="shared" ref="AE245" si="3210">IF(AE$8="","",AD238+AD239-AE238)</f>
        <v/>
      </c>
      <c r="AF245" s="26" t="str">
        <f t="shared" ref="AF245" si="3211">IF(AF$8="","",AE238+AE239-AF238)</f>
        <v/>
      </c>
      <c r="AG245" s="26" t="str">
        <f t="shared" ref="AG245" si="3212">IF(AG$8="","",AF238+AF239-AG238)</f>
        <v/>
      </c>
      <c r="AH245" s="26" t="str">
        <f t="shared" ref="AH245" si="3213">IF(AH$8="","",AG238+AG239-AH238)</f>
        <v/>
      </c>
      <c r="AI245" s="26" t="str">
        <f t="shared" ref="AI245" si="3214">IF(AI$8="","",AH238+AH239-AI238)</f>
        <v/>
      </c>
      <c r="AJ245" s="26" t="str">
        <f t="shared" ref="AJ245" si="3215">IF(AJ$8="","",AI238+AI239-AJ238)</f>
        <v/>
      </c>
      <c r="AK245" s="26" t="str">
        <f t="shared" ref="AK245" si="3216">IF(AK$8="","",AJ238+AJ239-AK238)</f>
        <v/>
      </c>
      <c r="AL245" s="26" t="str">
        <f t="shared" ref="AL245" si="3217">IF(AL$8="","",AK238+AK239-AL238)</f>
        <v/>
      </c>
      <c r="AM245" s="26" t="str">
        <f t="shared" ref="AM245" si="3218">IF(AM$8="","",AL238+AL239-AM238)</f>
        <v/>
      </c>
      <c r="AN245" s="26" t="str">
        <f t="shared" ref="AN245" si="3219">IF(AN$8="","",AM238+AM239-AN238)</f>
        <v/>
      </c>
      <c r="AO245" s="26" t="str">
        <f t="shared" ref="AO245:AS245" si="3220">IF(AO$8="","",AN238+AN239-AO238)</f>
        <v/>
      </c>
      <c r="AP245" s="26" t="str">
        <f t="shared" si="3220"/>
        <v/>
      </c>
      <c r="AQ245" s="26" t="str">
        <f t="shared" si="3220"/>
        <v/>
      </c>
      <c r="AR245" s="26" t="str">
        <f t="shared" si="3220"/>
        <v/>
      </c>
      <c r="AS245" s="26" t="str">
        <f t="shared" si="3220"/>
        <v/>
      </c>
    </row>
    <row r="246" spans="1:46" x14ac:dyDescent="0.15">
      <c r="A246" s="7">
        <f>SUM(C246:AS246)</f>
        <v>0</v>
      </c>
      <c r="B246" s="27" t="s">
        <v>16</v>
      </c>
      <c r="C246" s="26">
        <v>0</v>
      </c>
      <c r="D246" s="26">
        <v>0</v>
      </c>
      <c r="E246" s="26">
        <v>0</v>
      </c>
      <c r="F246" s="26">
        <v>0</v>
      </c>
      <c r="G246" s="26">
        <v>0</v>
      </c>
      <c r="H246" s="26">
        <v>0</v>
      </c>
      <c r="I246" s="26">
        <v>0</v>
      </c>
      <c r="J246" s="26">
        <f t="shared" ref="H246:AM246" si="3221">IF(J$8="","",J245*J240)</f>
        <v>0</v>
      </c>
      <c r="K246" s="26">
        <f t="shared" si="3221"/>
        <v>0</v>
      </c>
      <c r="L246" s="26">
        <f t="shared" si="3221"/>
        <v>0</v>
      </c>
      <c r="M246" s="26" t="str">
        <f t="shared" si="3221"/>
        <v/>
      </c>
      <c r="N246" s="26" t="str">
        <f t="shared" si="3221"/>
        <v/>
      </c>
      <c r="O246" s="26" t="str">
        <f t="shared" si="3221"/>
        <v/>
      </c>
      <c r="P246" s="26" t="str">
        <f t="shared" si="3221"/>
        <v/>
      </c>
      <c r="Q246" s="26" t="str">
        <f t="shared" si="3221"/>
        <v/>
      </c>
      <c r="R246" s="26" t="str">
        <f t="shared" si="3221"/>
        <v/>
      </c>
      <c r="S246" s="26" t="str">
        <f t="shared" si="3221"/>
        <v/>
      </c>
      <c r="T246" s="26" t="str">
        <f t="shared" si="3221"/>
        <v/>
      </c>
      <c r="U246" s="26" t="str">
        <f t="shared" si="3221"/>
        <v/>
      </c>
      <c r="V246" s="26" t="str">
        <f t="shared" si="3221"/>
        <v/>
      </c>
      <c r="W246" s="26" t="str">
        <f t="shared" si="3221"/>
        <v/>
      </c>
      <c r="X246" s="26" t="str">
        <f t="shared" si="3221"/>
        <v/>
      </c>
      <c r="Y246" s="26" t="str">
        <f t="shared" si="3221"/>
        <v/>
      </c>
      <c r="Z246" s="26" t="str">
        <f t="shared" si="3221"/>
        <v/>
      </c>
      <c r="AA246" s="26" t="str">
        <f t="shared" si="3221"/>
        <v/>
      </c>
      <c r="AB246" s="26" t="str">
        <f t="shared" si="3221"/>
        <v/>
      </c>
      <c r="AC246" s="26" t="str">
        <f t="shared" si="3221"/>
        <v/>
      </c>
      <c r="AD246" s="26" t="str">
        <f t="shared" si="3221"/>
        <v/>
      </c>
      <c r="AE246" s="26" t="str">
        <f t="shared" si="3221"/>
        <v/>
      </c>
      <c r="AF246" s="26" t="str">
        <f t="shared" si="3221"/>
        <v/>
      </c>
      <c r="AG246" s="26" t="str">
        <f t="shared" si="3221"/>
        <v/>
      </c>
      <c r="AH246" s="26" t="str">
        <f t="shared" si="3221"/>
        <v/>
      </c>
      <c r="AI246" s="26" t="str">
        <f t="shared" si="3221"/>
        <v/>
      </c>
      <c r="AJ246" s="26" t="str">
        <f t="shared" si="3221"/>
        <v/>
      </c>
      <c r="AK246" s="26" t="str">
        <f t="shared" si="3221"/>
        <v/>
      </c>
      <c r="AL246" s="26" t="str">
        <f t="shared" si="3221"/>
        <v/>
      </c>
      <c r="AM246" s="26" t="str">
        <f t="shared" si="3221"/>
        <v/>
      </c>
      <c r="AN246" s="26" t="str">
        <f t="shared" ref="D246:AN246" si="3222">IF(AN$8="","",AN245*AN240)</f>
        <v/>
      </c>
      <c r="AO246" s="26" t="str">
        <f t="shared" ref="AO246:AS246" si="3223">IF(AO$8="","",AO245*AO240)</f>
        <v/>
      </c>
      <c r="AP246" s="26" t="str">
        <f t="shared" si="3223"/>
        <v/>
      </c>
      <c r="AQ246" s="26" t="str">
        <f t="shared" si="3223"/>
        <v/>
      </c>
      <c r="AR246" s="26" t="str">
        <f t="shared" si="3223"/>
        <v/>
      </c>
      <c r="AS246" s="26" t="str">
        <f t="shared" si="3223"/>
        <v/>
      </c>
    </row>
    <row r="247" spans="1:46" ht="12" thickBot="1" x14ac:dyDescent="0.2">
      <c r="A247" s="4">
        <f>IF(A246="","",A246/(A243*100))</f>
        <v>0</v>
      </c>
      <c r="B247" s="24" t="s">
        <v>18</v>
      </c>
      <c r="C247" s="23" t="s">
        <v>19</v>
      </c>
      <c r="D247" s="23" t="s">
        <v>19</v>
      </c>
      <c r="E247" s="23" t="s">
        <v>19</v>
      </c>
      <c r="F247" s="23" t="s">
        <v>19</v>
      </c>
      <c r="G247" s="23" t="s">
        <v>19</v>
      </c>
      <c r="H247" s="23" t="s">
        <v>19</v>
      </c>
      <c r="I247" s="23" t="s">
        <v>19</v>
      </c>
      <c r="J247" s="23" t="str">
        <f t="shared" ref="H247:AM247" si="3224">IF(J$8="","",IF(J246=0,"",J246/(J243*100)))</f>
        <v/>
      </c>
      <c r="K247" s="23" t="str">
        <f t="shared" si="3224"/>
        <v/>
      </c>
      <c r="L247" s="23" t="str">
        <f t="shared" si="3224"/>
        <v/>
      </c>
      <c r="M247" s="23" t="str">
        <f t="shared" si="3224"/>
        <v/>
      </c>
      <c r="N247" s="23" t="str">
        <f t="shared" si="3224"/>
        <v/>
      </c>
      <c r="O247" s="23" t="str">
        <f t="shared" si="3224"/>
        <v/>
      </c>
      <c r="P247" s="23" t="str">
        <f t="shared" si="3224"/>
        <v/>
      </c>
      <c r="Q247" s="23" t="str">
        <f t="shared" si="3224"/>
        <v/>
      </c>
      <c r="R247" s="23" t="str">
        <f t="shared" si="3224"/>
        <v/>
      </c>
      <c r="S247" s="23" t="str">
        <f t="shared" si="3224"/>
        <v/>
      </c>
      <c r="T247" s="23" t="str">
        <f t="shared" si="3224"/>
        <v/>
      </c>
      <c r="U247" s="23" t="str">
        <f t="shared" si="3224"/>
        <v/>
      </c>
      <c r="V247" s="23" t="str">
        <f t="shared" si="3224"/>
        <v/>
      </c>
      <c r="W247" s="23" t="str">
        <f t="shared" si="3224"/>
        <v/>
      </c>
      <c r="X247" s="23" t="str">
        <f t="shared" si="3224"/>
        <v/>
      </c>
      <c r="Y247" s="23" t="str">
        <f t="shared" si="3224"/>
        <v/>
      </c>
      <c r="Z247" s="23" t="str">
        <f t="shared" si="3224"/>
        <v/>
      </c>
      <c r="AA247" s="23" t="str">
        <f t="shared" si="3224"/>
        <v/>
      </c>
      <c r="AB247" s="23" t="str">
        <f t="shared" si="3224"/>
        <v/>
      </c>
      <c r="AC247" s="23" t="str">
        <f t="shared" si="3224"/>
        <v/>
      </c>
      <c r="AD247" s="23" t="str">
        <f t="shared" si="3224"/>
        <v/>
      </c>
      <c r="AE247" s="23" t="str">
        <f t="shared" si="3224"/>
        <v/>
      </c>
      <c r="AF247" s="23" t="str">
        <f t="shared" si="3224"/>
        <v/>
      </c>
      <c r="AG247" s="23" t="str">
        <f t="shared" si="3224"/>
        <v/>
      </c>
      <c r="AH247" s="23" t="str">
        <f t="shared" si="3224"/>
        <v/>
      </c>
      <c r="AI247" s="23" t="str">
        <f t="shared" si="3224"/>
        <v/>
      </c>
      <c r="AJ247" s="23" t="str">
        <f t="shared" si="3224"/>
        <v/>
      </c>
      <c r="AK247" s="23" t="str">
        <f t="shared" si="3224"/>
        <v/>
      </c>
      <c r="AL247" s="23" t="str">
        <f t="shared" si="3224"/>
        <v/>
      </c>
      <c r="AM247" s="23" t="str">
        <f t="shared" si="3224"/>
        <v/>
      </c>
      <c r="AN247" s="23" t="str">
        <f t="shared" ref="D247:AN247" si="3225">IF(AN$8="","",IF(AN246=0,"",AN246/(AN243*100)))</f>
        <v/>
      </c>
      <c r="AO247" s="23" t="str">
        <f t="shared" ref="AO247:AS247" si="3226">IF(AO$8="","",IF(AO246=0,"",AO246/(AO243*100)))</f>
        <v/>
      </c>
      <c r="AP247" s="23" t="str">
        <f t="shared" si="3226"/>
        <v/>
      </c>
      <c r="AQ247" s="23" t="str">
        <f t="shared" si="3226"/>
        <v/>
      </c>
      <c r="AR247" s="23" t="str">
        <f t="shared" si="3226"/>
        <v/>
      </c>
      <c r="AS247" s="23" t="str">
        <f t="shared" si="3226"/>
        <v/>
      </c>
    </row>
    <row r="248" spans="1:46" x14ac:dyDescent="0.15">
      <c r="A248" s="22" t="s">
        <v>1</v>
      </c>
      <c r="B248" s="21" t="s">
        <v>2</v>
      </c>
      <c r="C248" s="20">
        <v>9097</v>
      </c>
      <c r="D248" s="20">
        <v>9097</v>
      </c>
      <c r="E248" s="20">
        <v>9163</v>
      </c>
      <c r="F248" s="20">
        <v>9163</v>
      </c>
      <c r="G248" s="20">
        <v>9163</v>
      </c>
      <c r="H248" s="20">
        <v>9163</v>
      </c>
      <c r="I248" s="20">
        <v>9262</v>
      </c>
      <c r="J248" s="20">
        <f>IF(J$8="","",I248)</f>
        <v>9262</v>
      </c>
      <c r="K248" s="20">
        <f t="shared" ref="K248:K249" si="3227">IF(K$8="","",J248)</f>
        <v>9262</v>
      </c>
      <c r="L248" s="20">
        <v>9421</v>
      </c>
      <c r="M248" s="20" t="str">
        <f>IF(M$8="","",L248)</f>
        <v/>
      </c>
      <c r="N248" s="20" t="str">
        <f t="shared" ref="N248:N249" si="3228">IF(N$8="","",M248)</f>
        <v/>
      </c>
      <c r="O248" s="20" t="str">
        <f t="shared" ref="O248:O249" si="3229">IF(O$8="","",N248)</f>
        <v/>
      </c>
      <c r="P248" s="20" t="str">
        <f>IF(P$8="","",O248)</f>
        <v/>
      </c>
      <c r="Q248" s="20" t="str">
        <f>IF(Q$8="","",P248)</f>
        <v/>
      </c>
      <c r="R248" s="20" t="str">
        <f t="shared" ref="R248:R249" si="3230">IF(R$8="","",Q248)</f>
        <v/>
      </c>
      <c r="S248" s="20" t="str">
        <f>IF(S$8="","",R248)</f>
        <v/>
      </c>
      <c r="T248" s="20" t="str">
        <f>IF(T$8="","",S248)</f>
        <v/>
      </c>
      <c r="U248" s="20" t="str">
        <f t="shared" ref="U248:U249" si="3231">IF(U$8="","",T248)</f>
        <v/>
      </c>
      <c r="V248" s="20" t="str">
        <f t="shared" ref="V248:V249" si="3232">IF(V$8="","",U248)</f>
        <v/>
      </c>
      <c r="W248" s="20" t="str">
        <f>IF(W$8="","",V248)</f>
        <v/>
      </c>
      <c r="X248" s="20" t="str">
        <f>IF(X$8="","",W248)</f>
        <v/>
      </c>
      <c r="Y248" s="20" t="str">
        <f t="shared" ref="Y248:Y249" si="3233">IF(Y$8="","",X248)</f>
        <v/>
      </c>
      <c r="Z248" s="20" t="str">
        <f>IF(Z$8="","",Y248)</f>
        <v/>
      </c>
      <c r="AA248" s="20" t="str">
        <f>IF(AA$8="","",Z248)</f>
        <v/>
      </c>
      <c r="AB248" s="20" t="str">
        <f t="shared" ref="AB248:AB249" si="3234">IF(AB$8="","",AA248)</f>
        <v/>
      </c>
      <c r="AC248" s="20" t="str">
        <f t="shared" ref="AC248:AC249" si="3235">IF(AC$8="","",AB248)</f>
        <v/>
      </c>
      <c r="AD248" s="20" t="str">
        <f>IF(AD$8="","",AC248)</f>
        <v/>
      </c>
      <c r="AE248" s="20" t="str">
        <f>IF(AE$8="","",AD248)</f>
        <v/>
      </c>
      <c r="AF248" s="20" t="str">
        <f t="shared" ref="AF248:AF249" si="3236">IF(AF$8="","",AE248)</f>
        <v/>
      </c>
      <c r="AG248" s="20" t="str">
        <f>IF(AG$8="","",AF248)</f>
        <v/>
      </c>
      <c r="AH248" s="20" t="str">
        <f t="shared" ref="AH248:AH249" si="3237">IF(AH$8="","",AG248)</f>
        <v/>
      </c>
      <c r="AI248" s="20" t="str">
        <f t="shared" ref="AI248:AI249" si="3238">IF(AI$8="","",AH248)</f>
        <v/>
      </c>
      <c r="AJ248" s="20" t="str">
        <f t="shared" ref="AJ248:AJ249" si="3239">IF(AJ$8="","",AI248)</f>
        <v/>
      </c>
      <c r="AK248" s="20" t="str">
        <f>IF(AK$8="","",AJ248)</f>
        <v/>
      </c>
      <c r="AL248" s="20" t="str">
        <f t="shared" ref="AL248:AL249" si="3240">IF(AL$8="","",AK248)</f>
        <v/>
      </c>
      <c r="AM248" s="20" t="str">
        <f t="shared" ref="AM248:AM249" si="3241">IF(AM$8="","",AL248)</f>
        <v/>
      </c>
      <c r="AN248" s="20" t="str">
        <f t="shared" ref="AN248:AN249" si="3242">IF(AN$8="","",AM248)</f>
        <v/>
      </c>
      <c r="AO248" s="20" t="str">
        <f t="shared" ref="AO248:AS248" si="3243">IF(AO$8="","",AN248)</f>
        <v/>
      </c>
      <c r="AP248" s="20" t="str">
        <f t="shared" si="3243"/>
        <v/>
      </c>
      <c r="AQ248" s="20" t="str">
        <f t="shared" si="3243"/>
        <v/>
      </c>
      <c r="AR248" s="20" t="str">
        <f t="shared" si="3243"/>
        <v/>
      </c>
      <c r="AS248" s="20" t="str">
        <f t="shared" si="3243"/>
        <v/>
      </c>
    </row>
    <row r="249" spans="1:46" x14ac:dyDescent="0.15">
      <c r="A249" s="16" t="s">
        <v>42</v>
      </c>
      <c r="B249" s="9" t="s">
        <v>4</v>
      </c>
      <c r="C249" s="8">
        <v>334</v>
      </c>
      <c r="D249" s="8">
        <v>334</v>
      </c>
      <c r="E249" s="8">
        <v>336</v>
      </c>
      <c r="F249" s="8">
        <v>336</v>
      </c>
      <c r="G249" s="8">
        <v>336</v>
      </c>
      <c r="H249" s="8">
        <v>336</v>
      </c>
      <c r="I249" s="8">
        <v>340</v>
      </c>
      <c r="J249" s="8">
        <f>IF(J$8="","",I249)</f>
        <v>340</v>
      </c>
      <c r="K249" s="8">
        <f t="shared" si="3227"/>
        <v>340</v>
      </c>
      <c r="L249" s="8">
        <v>343</v>
      </c>
      <c r="M249" s="8" t="str">
        <f>IF(M$8="","",L249)</f>
        <v/>
      </c>
      <c r="N249" s="8" t="str">
        <f t="shared" si="3228"/>
        <v/>
      </c>
      <c r="O249" s="8" t="str">
        <f t="shared" si="3229"/>
        <v/>
      </c>
      <c r="P249" s="8" t="str">
        <f>IF(P$8="","",O249)</f>
        <v/>
      </c>
      <c r="Q249" s="8" t="str">
        <f>IF(Q$8="","",P249)</f>
        <v/>
      </c>
      <c r="R249" s="8" t="str">
        <f t="shared" si="3230"/>
        <v/>
      </c>
      <c r="S249" s="8" t="str">
        <f>IF(S$8="","",R249)</f>
        <v/>
      </c>
      <c r="T249" s="8" t="str">
        <f>IF(T$8="","",S249)</f>
        <v/>
      </c>
      <c r="U249" s="8" t="str">
        <f t="shared" si="3231"/>
        <v/>
      </c>
      <c r="V249" s="8" t="str">
        <f t="shared" si="3232"/>
        <v/>
      </c>
      <c r="W249" s="8" t="str">
        <f>IF(W$8="","",V249)</f>
        <v/>
      </c>
      <c r="X249" s="8" t="str">
        <f>IF(X$8="","",W249)</f>
        <v/>
      </c>
      <c r="Y249" s="8" t="str">
        <f t="shared" si="3233"/>
        <v/>
      </c>
      <c r="Z249" s="8" t="str">
        <f>IF(Z$8="","",Y249)</f>
        <v/>
      </c>
      <c r="AA249" s="8" t="str">
        <f>IF(AA$8="","",Z249)</f>
        <v/>
      </c>
      <c r="AB249" s="8" t="str">
        <f t="shared" si="3234"/>
        <v/>
      </c>
      <c r="AC249" s="8" t="str">
        <f t="shared" si="3235"/>
        <v/>
      </c>
      <c r="AD249" s="8" t="str">
        <f>IF(AD$8="","",AC249)</f>
        <v/>
      </c>
      <c r="AE249" s="8" t="str">
        <f t="shared" ref="AE249" si="3244">IF(AE$8="","",AD249)</f>
        <v/>
      </c>
      <c r="AF249" s="8" t="str">
        <f t="shared" si="3236"/>
        <v/>
      </c>
      <c r="AG249" s="8" t="str">
        <f>IF(AG$8="","",AF249)</f>
        <v/>
      </c>
      <c r="AH249" s="8" t="str">
        <f t="shared" si="3237"/>
        <v/>
      </c>
      <c r="AI249" s="8" t="str">
        <f t="shared" si="3238"/>
        <v/>
      </c>
      <c r="AJ249" s="8" t="str">
        <f t="shared" si="3239"/>
        <v/>
      </c>
      <c r="AK249" s="8" t="str">
        <f>IF(AK$8="","",AJ249)</f>
        <v/>
      </c>
      <c r="AL249" s="8" t="str">
        <f t="shared" si="3240"/>
        <v/>
      </c>
      <c r="AM249" s="8" t="str">
        <f t="shared" si="3241"/>
        <v/>
      </c>
      <c r="AN249" s="8" t="str">
        <f t="shared" si="3242"/>
        <v/>
      </c>
      <c r="AO249" s="8" t="str">
        <f t="shared" ref="AO249:AS249" si="3245">IF(AO$8="","",AN249)</f>
        <v/>
      </c>
      <c r="AP249" s="8" t="str">
        <f t="shared" si="3245"/>
        <v/>
      </c>
      <c r="AQ249" s="8" t="str">
        <f t="shared" si="3245"/>
        <v/>
      </c>
      <c r="AR249" s="8" t="str">
        <f t="shared" si="3245"/>
        <v/>
      </c>
      <c r="AS249" s="8" t="str">
        <f t="shared" si="3245"/>
        <v/>
      </c>
    </row>
    <row r="250" spans="1:46" x14ac:dyDescent="0.15">
      <c r="A250" s="15">
        <v>1</v>
      </c>
      <c r="B250" s="9" t="s">
        <v>5</v>
      </c>
      <c r="C250" s="8">
        <v>12</v>
      </c>
      <c r="D250" s="8">
        <v>12</v>
      </c>
      <c r="E250" s="8">
        <v>10</v>
      </c>
      <c r="F250" s="8">
        <v>30</v>
      </c>
      <c r="G250" s="8">
        <v>30</v>
      </c>
      <c r="H250" s="8">
        <v>30</v>
      </c>
      <c r="I250" s="8">
        <v>26</v>
      </c>
      <c r="J250" s="8">
        <f>IF(J$8="","",(I250+I251))</f>
        <v>26</v>
      </c>
      <c r="K250" s="8">
        <f t="shared" ref="K250" si="3246">IF(K$8="","",(J250+J251))</f>
        <v>26</v>
      </c>
      <c r="L250" s="8">
        <v>23</v>
      </c>
      <c r="M250" s="8" t="str">
        <f>IF(M$8="","",(L250+L251))</f>
        <v/>
      </c>
      <c r="N250" s="8" t="str">
        <f t="shared" ref="N250" si="3247">IF(N$8="","",(M250+M251))</f>
        <v/>
      </c>
      <c r="O250" s="8" t="str">
        <f t="shared" ref="O250" si="3248">IF(O$8="","",(N250+N251))</f>
        <v/>
      </c>
      <c r="P250" s="8" t="str">
        <f>IF(P$8="","",(O250+O251))</f>
        <v/>
      </c>
      <c r="Q250" s="8" t="str">
        <f>IF(Q$8="","",(P250+P251))</f>
        <v/>
      </c>
      <c r="R250" s="8" t="str">
        <f t="shared" ref="R250" si="3249">IF(R$8="","",(Q250+Q251))</f>
        <v/>
      </c>
      <c r="S250" s="8" t="str">
        <f>IF(S$8="","",(R250+R251))</f>
        <v/>
      </c>
      <c r="T250" s="8" t="str">
        <f>IF(T$8="","",(S250+S251))</f>
        <v/>
      </c>
      <c r="U250" s="8" t="str">
        <f t="shared" ref="U250" si="3250">IF(U$8="","",(T250+T251))</f>
        <v/>
      </c>
      <c r="V250" s="8" t="str">
        <f t="shared" ref="V250" si="3251">IF(V$8="","",(U250+U251))</f>
        <v/>
      </c>
      <c r="W250" s="8" t="str">
        <f>IF(W$8="","",(V250+V251))</f>
        <v/>
      </c>
      <c r="X250" s="8" t="str">
        <f>IF(X$8="","",(W250+W251))</f>
        <v/>
      </c>
      <c r="Y250" s="8" t="str">
        <f t="shared" ref="Y250" si="3252">IF(Y$8="","",(X250+X251))</f>
        <v/>
      </c>
      <c r="Z250" s="8" t="str">
        <f>IF(Z$8="","",(Y250+Y251))</f>
        <v/>
      </c>
      <c r="AA250" s="8" t="str">
        <f>IF(AA$8="","",(Z250+Z251))</f>
        <v/>
      </c>
      <c r="AB250" s="8" t="str">
        <f t="shared" ref="AB250" si="3253">IF(AB$8="","",(AA250+AA251))</f>
        <v/>
      </c>
      <c r="AC250" s="8" t="str">
        <f t="shared" ref="AC250" si="3254">IF(AC$8="","",(AB250+AB251))</f>
        <v/>
      </c>
      <c r="AD250" s="8" t="str">
        <f>IF(AD$8="","",(AC250+AC251))</f>
        <v/>
      </c>
      <c r="AE250" s="8" t="str">
        <f t="shared" ref="AE250" si="3255">IF(AE$8="","",(AD250+AD251))</f>
        <v/>
      </c>
      <c r="AF250" s="8" t="str">
        <f t="shared" ref="AF250" si="3256">IF(AF$8="","",(AE250+AE251))</f>
        <v/>
      </c>
      <c r="AG250" s="8" t="str">
        <f>IF(AG$8="","",(AF250+AF251))</f>
        <v/>
      </c>
      <c r="AH250" s="8" t="str">
        <f t="shared" ref="AH250" si="3257">IF(AH$8="","",(AG250+AG251))</f>
        <v/>
      </c>
      <c r="AI250" s="8" t="str">
        <f t="shared" ref="AI250" si="3258">IF(AI$8="","",(AH250+AH251))</f>
        <v/>
      </c>
      <c r="AJ250" s="8" t="str">
        <f t="shared" ref="AJ250" si="3259">IF(AJ$8="","",(AI250+AI251))</f>
        <v/>
      </c>
      <c r="AK250" s="8" t="str">
        <f>IF(AK$8="","",(AJ250+AJ251))</f>
        <v/>
      </c>
      <c r="AL250" s="8" t="str">
        <f t="shared" ref="AL250" si="3260">IF(AL$8="","",(AK250+AK251))</f>
        <v/>
      </c>
      <c r="AM250" s="8" t="str">
        <f t="shared" ref="AM250" si="3261">IF(AM$8="","",(AL250+AL251))</f>
        <v/>
      </c>
      <c r="AN250" s="8" t="str">
        <f t="shared" ref="AN250" si="3262">IF(AN$8="","",(AM250+AM251))</f>
        <v/>
      </c>
      <c r="AO250" s="8" t="str">
        <f t="shared" ref="AO250:AS250" si="3263">IF(AO$8="","",(AN250+AN251))</f>
        <v/>
      </c>
      <c r="AP250" s="8" t="str">
        <f t="shared" si="3263"/>
        <v/>
      </c>
      <c r="AQ250" s="8" t="str">
        <f t="shared" si="3263"/>
        <v/>
      </c>
      <c r="AR250" s="8" t="str">
        <f t="shared" si="3263"/>
        <v/>
      </c>
      <c r="AS250" s="8" t="str">
        <f t="shared" si="3263"/>
        <v/>
      </c>
    </row>
    <row r="251" spans="1:46" x14ac:dyDescent="0.15">
      <c r="A251" s="14"/>
      <c r="B251" s="9" t="s">
        <v>7</v>
      </c>
      <c r="C251" s="8"/>
      <c r="D251" s="8"/>
      <c r="E251" s="8">
        <v>20</v>
      </c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</row>
    <row r="252" spans="1:46" x14ac:dyDescent="0.15">
      <c r="A252" s="7"/>
      <c r="B252" s="9" t="s">
        <v>8</v>
      </c>
      <c r="C252" s="8">
        <v>750</v>
      </c>
      <c r="D252" s="8">
        <v>750</v>
      </c>
      <c r="E252" s="8">
        <v>750</v>
      </c>
      <c r="F252" s="8">
        <v>750</v>
      </c>
      <c r="G252" s="8">
        <v>750</v>
      </c>
      <c r="H252" s="8">
        <v>750</v>
      </c>
      <c r="I252" s="8">
        <v>750</v>
      </c>
      <c r="J252" s="8">
        <f t="shared" ref="J252:J253" si="3264">IF(J$8="","",I252)</f>
        <v>750</v>
      </c>
      <c r="K252" s="8">
        <f t="shared" ref="K252:K253" si="3265">IF(K$8="","",J252)</f>
        <v>750</v>
      </c>
      <c r="L252" s="8">
        <f t="shared" ref="L252:L253" si="3266">IF(L$8="","",K252)</f>
        <v>750</v>
      </c>
      <c r="M252" s="8" t="str">
        <f t="shared" ref="M252:M253" si="3267">IF(M$8="","",L252)</f>
        <v/>
      </c>
      <c r="N252" s="8" t="str">
        <f t="shared" ref="N252:N253" si="3268">IF(N$8="","",M252)</f>
        <v/>
      </c>
      <c r="O252" s="8" t="str">
        <f t="shared" ref="O252:O253" si="3269">IF(O$8="","",N252)</f>
        <v/>
      </c>
      <c r="P252" s="8" t="str">
        <f t="shared" ref="P252:P253" si="3270">IF(P$8="","",O252)</f>
        <v/>
      </c>
      <c r="Q252" s="8" t="str">
        <f t="shared" ref="Q252:Q253" si="3271">IF(Q$8="","",P252)</f>
        <v/>
      </c>
      <c r="R252" s="8" t="str">
        <f t="shared" ref="R252:R253" si="3272">IF(R$8="","",Q252)</f>
        <v/>
      </c>
      <c r="S252" s="8" t="str">
        <f t="shared" ref="S252:S253" si="3273">IF(S$8="","",R252)</f>
        <v/>
      </c>
      <c r="T252" s="8" t="str">
        <f t="shared" ref="T252:T253" si="3274">IF(T$8="","",S252)</f>
        <v/>
      </c>
      <c r="U252" s="8" t="str">
        <f t="shared" ref="U252:U253" si="3275">IF(U$8="","",T252)</f>
        <v/>
      </c>
      <c r="V252" s="8" t="str">
        <f t="shared" ref="V252:V253" si="3276">IF(V$8="","",U252)</f>
        <v/>
      </c>
      <c r="W252" s="8" t="str">
        <f t="shared" ref="W252:W253" si="3277">IF(W$8="","",V252)</f>
        <v/>
      </c>
      <c r="X252" s="8" t="str">
        <f t="shared" ref="X252:X253" si="3278">IF(X$8="","",W252)</f>
        <v/>
      </c>
      <c r="Y252" s="8" t="str">
        <f t="shared" ref="Y252:Y253" si="3279">IF(Y$8="","",X252)</f>
        <v/>
      </c>
      <c r="Z252" s="8" t="str">
        <f t="shared" ref="Z252:Z253" si="3280">IF(Z$8="","",Y252)</f>
        <v/>
      </c>
      <c r="AA252" s="8" t="str">
        <f t="shared" ref="AA252:AA253" si="3281">IF(AA$8="","",Z252)</f>
        <v/>
      </c>
      <c r="AB252" s="8" t="str">
        <f t="shared" ref="AB252:AB253" si="3282">IF(AB$8="","",AA252)</f>
        <v/>
      </c>
      <c r="AC252" s="8" t="str">
        <f t="shared" ref="AC252:AC253" si="3283">IF(AC$8="","",AB252)</f>
        <v/>
      </c>
      <c r="AD252" s="8" t="str">
        <f t="shared" ref="AD252:AD253" si="3284">IF(AD$8="","",AC252)</f>
        <v/>
      </c>
      <c r="AE252" s="8" t="str">
        <f t="shared" ref="AE252:AE253" si="3285">IF(AE$8="","",AD252)</f>
        <v/>
      </c>
      <c r="AF252" s="8" t="str">
        <f t="shared" ref="AF252:AF253" si="3286">IF(AF$8="","",AE252)</f>
        <v/>
      </c>
      <c r="AG252" s="8" t="str">
        <f t="shared" ref="AG252:AG253" si="3287">IF(AG$8="","",AF252)</f>
        <v/>
      </c>
      <c r="AH252" s="8" t="str">
        <f t="shared" ref="AH252:AH253" si="3288">IF(AH$8="","",AG252)</f>
        <v/>
      </c>
      <c r="AI252" s="8" t="str">
        <f t="shared" ref="AI252:AI253" si="3289">IF(AI$8="","",AH252)</f>
        <v/>
      </c>
      <c r="AJ252" s="8" t="str">
        <f t="shared" ref="AJ252:AJ253" si="3290">IF(AJ$8="","",AI252)</f>
        <v/>
      </c>
      <c r="AK252" s="8" t="str">
        <f t="shared" ref="AK252:AK253" si="3291">IF(AK$8="","",AJ252)</f>
        <v/>
      </c>
      <c r="AL252" s="8" t="str">
        <f t="shared" ref="AL252:AL253" si="3292">IF(AL$8="","",AK252)</f>
        <v/>
      </c>
      <c r="AM252" s="8" t="str">
        <f t="shared" ref="AM252:AM253" si="3293">IF(AM$8="","",AL252)</f>
        <v/>
      </c>
      <c r="AN252" s="8" t="str">
        <f t="shared" ref="AN252:AN253" si="3294">IF(AN$8="","",AM252)</f>
        <v/>
      </c>
      <c r="AO252" s="8" t="str">
        <f t="shared" ref="AO252:AS252" si="3295">IF(AO$8="","",AN252)</f>
        <v/>
      </c>
      <c r="AP252" s="8" t="str">
        <f t="shared" si="3295"/>
        <v/>
      </c>
      <c r="AQ252" s="8" t="str">
        <f t="shared" si="3295"/>
        <v/>
      </c>
      <c r="AR252" s="8" t="str">
        <f t="shared" si="3295"/>
        <v/>
      </c>
      <c r="AS252" s="8" t="str">
        <f t="shared" si="3295"/>
        <v/>
      </c>
    </row>
    <row r="253" spans="1:46" s="85" customFormat="1" x14ac:dyDescent="0.15">
      <c r="A253" s="14" t="s">
        <v>9</v>
      </c>
      <c r="B253" s="13" t="s">
        <v>10</v>
      </c>
      <c r="C253" s="12" t="s">
        <v>43</v>
      </c>
      <c r="D253" s="12" t="s">
        <v>43</v>
      </c>
      <c r="E253" s="12" t="s">
        <v>43</v>
      </c>
      <c r="F253" s="12" t="s">
        <v>43</v>
      </c>
      <c r="G253" s="12" t="s">
        <v>43</v>
      </c>
      <c r="H253" s="12" t="s">
        <v>43</v>
      </c>
      <c r="I253" s="12" t="s">
        <v>43</v>
      </c>
      <c r="J253" s="12" t="str">
        <f t="shared" si="3264"/>
        <v>サムエル（箱無し）</v>
      </c>
      <c r="K253" s="12" t="str">
        <f t="shared" si="3265"/>
        <v>サムエル（箱無し）</v>
      </c>
      <c r="L253" s="12" t="str">
        <f t="shared" si="3266"/>
        <v>サムエル（箱無し）</v>
      </c>
      <c r="M253" s="12" t="str">
        <f t="shared" si="3267"/>
        <v/>
      </c>
      <c r="N253" s="12" t="str">
        <f t="shared" si="3268"/>
        <v/>
      </c>
      <c r="O253" s="12" t="str">
        <f t="shared" si="3269"/>
        <v/>
      </c>
      <c r="P253" s="12" t="str">
        <f t="shared" si="3270"/>
        <v/>
      </c>
      <c r="Q253" s="12" t="str">
        <f t="shared" si="3271"/>
        <v/>
      </c>
      <c r="R253" s="12" t="str">
        <f t="shared" si="3272"/>
        <v/>
      </c>
      <c r="S253" s="12" t="str">
        <f t="shared" si="3273"/>
        <v/>
      </c>
      <c r="T253" s="12" t="str">
        <f t="shared" si="3274"/>
        <v/>
      </c>
      <c r="U253" s="12" t="str">
        <f t="shared" si="3275"/>
        <v/>
      </c>
      <c r="V253" s="12" t="str">
        <f t="shared" si="3276"/>
        <v/>
      </c>
      <c r="W253" s="12" t="str">
        <f t="shared" si="3277"/>
        <v/>
      </c>
      <c r="X253" s="12" t="str">
        <f t="shared" si="3278"/>
        <v/>
      </c>
      <c r="Y253" s="12" t="str">
        <f t="shared" si="3279"/>
        <v/>
      </c>
      <c r="Z253" s="12" t="str">
        <f t="shared" si="3280"/>
        <v/>
      </c>
      <c r="AA253" s="12" t="str">
        <f t="shared" si="3281"/>
        <v/>
      </c>
      <c r="AB253" s="12" t="str">
        <f t="shared" si="3282"/>
        <v/>
      </c>
      <c r="AC253" s="12" t="str">
        <f t="shared" si="3283"/>
        <v/>
      </c>
      <c r="AD253" s="12" t="str">
        <f t="shared" si="3284"/>
        <v/>
      </c>
      <c r="AE253" s="12" t="str">
        <f t="shared" si="3285"/>
        <v/>
      </c>
      <c r="AF253" s="12" t="str">
        <f t="shared" si="3286"/>
        <v/>
      </c>
      <c r="AG253" s="12" t="str">
        <f t="shared" si="3287"/>
        <v/>
      </c>
      <c r="AH253" s="12" t="str">
        <f t="shared" si="3288"/>
        <v/>
      </c>
      <c r="AI253" s="12" t="str">
        <f t="shared" si="3289"/>
        <v/>
      </c>
      <c r="AJ253" s="12" t="str">
        <f t="shared" si="3290"/>
        <v/>
      </c>
      <c r="AK253" s="12" t="str">
        <f t="shared" si="3291"/>
        <v/>
      </c>
      <c r="AL253" s="12" t="str">
        <f t="shared" si="3292"/>
        <v/>
      </c>
      <c r="AM253" s="12" t="str">
        <f t="shared" si="3293"/>
        <v/>
      </c>
      <c r="AN253" s="12" t="str">
        <f t="shared" si="3294"/>
        <v/>
      </c>
      <c r="AO253" s="12" t="str">
        <f t="shared" ref="AO253:AS253" si="3296">IF(AO$8="","",AN253)</f>
        <v/>
      </c>
      <c r="AP253" s="12" t="str">
        <f t="shared" si="3296"/>
        <v/>
      </c>
      <c r="AQ253" s="12" t="str">
        <f t="shared" si="3296"/>
        <v/>
      </c>
      <c r="AR253" s="12" t="str">
        <f t="shared" si="3296"/>
        <v/>
      </c>
      <c r="AS253" s="12" t="str">
        <f t="shared" si="3296"/>
        <v/>
      </c>
      <c r="AT253" s="11"/>
    </row>
    <row r="254" spans="1:46" x14ac:dyDescent="0.15">
      <c r="A254" s="7">
        <f>AVERAGE(C255:AS255)*30*100</f>
        <v>97200</v>
      </c>
      <c r="B254" s="9" t="s">
        <v>12</v>
      </c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</row>
    <row r="255" spans="1:46" x14ac:dyDescent="0.15">
      <c r="A255" s="7">
        <f>SUM(C255:AS255)</f>
        <v>324</v>
      </c>
      <c r="B255" s="6" t="s">
        <v>13</v>
      </c>
      <c r="C255" s="5">
        <v>0</v>
      </c>
      <c r="D255" s="5">
        <v>0</v>
      </c>
      <c r="E255" s="5">
        <v>66</v>
      </c>
      <c r="F255" s="5">
        <v>0</v>
      </c>
      <c r="G255" s="5">
        <v>0</v>
      </c>
      <c r="H255" s="5">
        <v>0</v>
      </c>
      <c r="I255" s="5">
        <v>99</v>
      </c>
      <c r="J255" s="5">
        <f t="shared" ref="J255:J256" si="3297">IF(J$8="","",J248-I248)</f>
        <v>0</v>
      </c>
      <c r="K255" s="5">
        <f t="shared" ref="K255:K256" si="3298">IF(K$8="","",K248-J248)</f>
        <v>0</v>
      </c>
      <c r="L255" s="5">
        <f t="shared" ref="L255:L256" si="3299">IF(L$8="","",L248-K248)</f>
        <v>159</v>
      </c>
      <c r="M255" s="5" t="str">
        <f t="shared" ref="M255:M256" si="3300">IF(M$8="","",M248-L248)</f>
        <v/>
      </c>
      <c r="N255" s="5" t="str">
        <f t="shared" ref="N255:N256" si="3301">IF(N$8="","",N248-M248)</f>
        <v/>
      </c>
      <c r="O255" s="5" t="str">
        <f t="shared" ref="O255:O256" si="3302">IF(O$8="","",O248-N248)</f>
        <v/>
      </c>
      <c r="P255" s="5" t="str">
        <f t="shared" ref="P255:P256" si="3303">IF(P$8="","",P248-O248)</f>
        <v/>
      </c>
      <c r="Q255" s="5" t="str">
        <f t="shared" ref="Q255:Q256" si="3304">IF(Q$8="","",Q248-P248)</f>
        <v/>
      </c>
      <c r="R255" s="5" t="str">
        <f t="shared" ref="R255:R256" si="3305">IF(R$8="","",R248-Q248)</f>
        <v/>
      </c>
      <c r="S255" s="5" t="str">
        <f t="shared" ref="S255:S256" si="3306">IF(S$8="","",S248-R248)</f>
        <v/>
      </c>
      <c r="T255" s="5" t="str">
        <f t="shared" ref="T255:T256" si="3307">IF(T$8="","",T248-S248)</f>
        <v/>
      </c>
      <c r="U255" s="5" t="str">
        <f t="shared" ref="U255:U256" si="3308">IF(U$8="","",U248-T248)</f>
        <v/>
      </c>
      <c r="V255" s="5" t="str">
        <f t="shared" ref="V255:V256" si="3309">IF(V$8="","",V248-U248)</f>
        <v/>
      </c>
      <c r="W255" s="5" t="str">
        <f t="shared" ref="W255:W256" si="3310">IF(W$8="","",W248-V248)</f>
        <v/>
      </c>
      <c r="X255" s="5" t="str">
        <f t="shared" ref="X255:X256" si="3311">IF(X$8="","",X248-W248)</f>
        <v/>
      </c>
      <c r="Y255" s="5" t="str">
        <f t="shared" ref="Y255:Y256" si="3312">IF(Y$8="","",Y248-X248)</f>
        <v/>
      </c>
      <c r="Z255" s="5" t="str">
        <f t="shared" ref="Z255:Z256" si="3313">IF(Z$8="","",Z248-Y248)</f>
        <v/>
      </c>
      <c r="AA255" s="5" t="str">
        <f t="shared" ref="AA255:AA256" si="3314">IF(AA$8="","",AA248-Z248)</f>
        <v/>
      </c>
      <c r="AB255" s="5" t="str">
        <f t="shared" ref="AB255:AB256" si="3315">IF(AB$8="","",AB248-AA248)</f>
        <v/>
      </c>
      <c r="AC255" s="5" t="str">
        <f t="shared" ref="AC255:AC256" si="3316">IF(AC$8="","",AC248-AB248)</f>
        <v/>
      </c>
      <c r="AD255" s="5" t="str">
        <f t="shared" ref="AD255:AD256" si="3317">IF(AD$8="","",AD248-AC248)</f>
        <v/>
      </c>
      <c r="AE255" s="5" t="str">
        <f t="shared" ref="AE255:AE256" si="3318">IF(AE$8="","",AE248-AD248)</f>
        <v/>
      </c>
      <c r="AF255" s="5" t="str">
        <f t="shared" ref="AF255:AF256" si="3319">IF(AF$8="","",AF248-AE248)</f>
        <v/>
      </c>
      <c r="AG255" s="5" t="str">
        <f t="shared" ref="AG255:AG256" si="3320">IF(AG$8="","",AG248-AF248)</f>
        <v/>
      </c>
      <c r="AH255" s="5" t="str">
        <f t="shared" ref="AH255:AH256" si="3321">IF(AH$8="","",AH248-AG248)</f>
        <v/>
      </c>
      <c r="AI255" s="5" t="str">
        <f t="shared" ref="AI255:AI256" si="3322">IF(AI$8="","",AI248-AH248)</f>
        <v/>
      </c>
      <c r="AJ255" s="5" t="str">
        <f t="shared" ref="AJ255:AJ256" si="3323">IF(AJ$8="","",AJ248-AI248)</f>
        <v/>
      </c>
      <c r="AK255" s="5" t="str">
        <f t="shared" ref="AK255:AK256" si="3324">IF(AK$8="","",AK248-AJ248)</f>
        <v/>
      </c>
      <c r="AL255" s="5" t="str">
        <f t="shared" ref="AL255:AL256" si="3325">IF(AL$8="","",AL248-AK248)</f>
        <v/>
      </c>
      <c r="AM255" s="5" t="str">
        <f t="shared" ref="AM255:AM256" si="3326">IF(AM$8="","",AM248-AL248)</f>
        <v/>
      </c>
      <c r="AN255" s="5" t="str">
        <f t="shared" ref="AN255:AN256" si="3327">IF(AN$8="","",AN248-AM248)</f>
        <v/>
      </c>
      <c r="AO255" s="5" t="str">
        <f t="shared" ref="AO255:AS255" si="3328">IF(AO$8="","",AO248-AN248)</f>
        <v/>
      </c>
      <c r="AP255" s="5" t="str">
        <f t="shared" si="3328"/>
        <v/>
      </c>
      <c r="AQ255" s="5" t="str">
        <f t="shared" si="3328"/>
        <v/>
      </c>
      <c r="AR255" s="5" t="str">
        <f t="shared" si="3328"/>
        <v/>
      </c>
      <c r="AS255" s="5" t="str">
        <f t="shared" si="3328"/>
        <v/>
      </c>
    </row>
    <row r="256" spans="1:46" x14ac:dyDescent="0.15">
      <c r="A256" s="7">
        <f>SUM(C256:AS256)</f>
        <v>9</v>
      </c>
      <c r="B256" s="6" t="s">
        <v>14</v>
      </c>
      <c r="C256" s="5">
        <v>0</v>
      </c>
      <c r="D256" s="5">
        <v>0</v>
      </c>
      <c r="E256" s="5">
        <v>2</v>
      </c>
      <c r="F256" s="5">
        <v>0</v>
      </c>
      <c r="G256" s="5">
        <v>0</v>
      </c>
      <c r="H256" s="5">
        <v>0</v>
      </c>
      <c r="I256" s="5">
        <v>4</v>
      </c>
      <c r="J256" s="5">
        <f t="shared" si="3297"/>
        <v>0</v>
      </c>
      <c r="K256" s="5">
        <f t="shared" si="3298"/>
        <v>0</v>
      </c>
      <c r="L256" s="5">
        <f t="shared" si="3299"/>
        <v>3</v>
      </c>
      <c r="M256" s="5" t="str">
        <f t="shared" si="3300"/>
        <v/>
      </c>
      <c r="N256" s="5" t="str">
        <f t="shared" si="3301"/>
        <v/>
      </c>
      <c r="O256" s="5" t="str">
        <f t="shared" si="3302"/>
        <v/>
      </c>
      <c r="P256" s="5" t="str">
        <f t="shared" si="3303"/>
        <v/>
      </c>
      <c r="Q256" s="5" t="str">
        <f t="shared" si="3304"/>
        <v/>
      </c>
      <c r="R256" s="5" t="str">
        <f t="shared" si="3305"/>
        <v/>
      </c>
      <c r="S256" s="5" t="str">
        <f t="shared" si="3306"/>
        <v/>
      </c>
      <c r="T256" s="5" t="str">
        <f t="shared" si="3307"/>
        <v/>
      </c>
      <c r="U256" s="5" t="str">
        <f t="shared" si="3308"/>
        <v/>
      </c>
      <c r="V256" s="5" t="str">
        <f t="shared" si="3309"/>
        <v/>
      </c>
      <c r="W256" s="5" t="str">
        <f t="shared" si="3310"/>
        <v/>
      </c>
      <c r="X256" s="5" t="str">
        <f t="shared" si="3311"/>
        <v/>
      </c>
      <c r="Y256" s="5" t="str">
        <f t="shared" si="3312"/>
        <v/>
      </c>
      <c r="Z256" s="5" t="str">
        <f t="shared" si="3313"/>
        <v/>
      </c>
      <c r="AA256" s="5" t="str">
        <f t="shared" si="3314"/>
        <v/>
      </c>
      <c r="AB256" s="5" t="str">
        <f t="shared" si="3315"/>
        <v/>
      </c>
      <c r="AC256" s="5" t="str">
        <f t="shared" si="3316"/>
        <v/>
      </c>
      <c r="AD256" s="5" t="str">
        <f t="shared" si="3317"/>
        <v/>
      </c>
      <c r="AE256" s="5" t="str">
        <f t="shared" si="3318"/>
        <v/>
      </c>
      <c r="AF256" s="5" t="str">
        <f t="shared" si="3319"/>
        <v/>
      </c>
      <c r="AG256" s="5" t="str">
        <f t="shared" si="3320"/>
        <v/>
      </c>
      <c r="AH256" s="5" t="str">
        <f t="shared" si="3321"/>
        <v/>
      </c>
      <c r="AI256" s="5" t="str">
        <f t="shared" si="3322"/>
        <v/>
      </c>
      <c r="AJ256" s="5" t="str">
        <f t="shared" si="3323"/>
        <v/>
      </c>
      <c r="AK256" s="5" t="str">
        <f t="shared" si="3324"/>
        <v/>
      </c>
      <c r="AL256" s="5" t="str">
        <f t="shared" si="3325"/>
        <v/>
      </c>
      <c r="AM256" s="5" t="str">
        <f t="shared" si="3326"/>
        <v/>
      </c>
      <c r="AN256" s="5" t="str">
        <f t="shared" si="3327"/>
        <v/>
      </c>
      <c r="AO256" s="5" t="str">
        <f t="shared" ref="AO256:AS256" si="3329">IF(AO$8="","",AO249-AN249)</f>
        <v/>
      </c>
      <c r="AP256" s="5" t="str">
        <f t="shared" si="3329"/>
        <v/>
      </c>
      <c r="AQ256" s="5" t="str">
        <f t="shared" si="3329"/>
        <v/>
      </c>
      <c r="AR256" s="5" t="str">
        <f t="shared" si="3329"/>
        <v/>
      </c>
      <c r="AS256" s="5" t="str">
        <f t="shared" si="3329"/>
        <v/>
      </c>
    </row>
    <row r="257" spans="1:46" x14ac:dyDescent="0.15">
      <c r="A257" s="7">
        <f>SUM(C257:AS257)</f>
        <v>9</v>
      </c>
      <c r="B257" s="6" t="s">
        <v>15</v>
      </c>
      <c r="C257" s="5">
        <v>0</v>
      </c>
      <c r="D257" s="5">
        <v>0</v>
      </c>
      <c r="E257" s="5">
        <v>2</v>
      </c>
      <c r="F257" s="5">
        <v>0</v>
      </c>
      <c r="G257" s="5">
        <v>0</v>
      </c>
      <c r="H257" s="5">
        <v>0</v>
      </c>
      <c r="I257" s="5">
        <v>4</v>
      </c>
      <c r="J257" s="5">
        <f t="shared" ref="J257" si="3330">IF(J$8="","",I250+I251-J250)</f>
        <v>0</v>
      </c>
      <c r="K257" s="5">
        <f t="shared" ref="K257" si="3331">IF(K$8="","",J250+J251-K250)</f>
        <v>0</v>
      </c>
      <c r="L257" s="5">
        <f t="shared" ref="L257" si="3332">IF(L$8="","",K250+K251-L250)</f>
        <v>3</v>
      </c>
      <c r="M257" s="5" t="str">
        <f t="shared" ref="M257" si="3333">IF(M$8="","",L250+L251-M250)</f>
        <v/>
      </c>
      <c r="N257" s="5" t="str">
        <f t="shared" ref="N257" si="3334">IF(N$8="","",M250+M251-N250)</f>
        <v/>
      </c>
      <c r="O257" s="5" t="str">
        <f t="shared" ref="O257" si="3335">IF(O$8="","",N250+N251-O250)</f>
        <v/>
      </c>
      <c r="P257" s="5" t="str">
        <f t="shared" ref="P257" si="3336">IF(P$8="","",O250+O251-P250)</f>
        <v/>
      </c>
      <c r="Q257" s="5" t="str">
        <f t="shared" ref="Q257" si="3337">IF(Q$8="","",P250+P251-Q250)</f>
        <v/>
      </c>
      <c r="R257" s="5" t="str">
        <f t="shared" ref="R257" si="3338">IF(R$8="","",Q250+Q251-R250)</f>
        <v/>
      </c>
      <c r="S257" s="5" t="str">
        <f t="shared" ref="S257" si="3339">IF(S$8="","",R250+R251-S250)</f>
        <v/>
      </c>
      <c r="T257" s="5" t="str">
        <f t="shared" ref="T257" si="3340">IF(T$8="","",S250+S251-T250)</f>
        <v/>
      </c>
      <c r="U257" s="5" t="str">
        <f t="shared" ref="U257" si="3341">IF(U$8="","",T250+T251-U250)</f>
        <v/>
      </c>
      <c r="V257" s="5" t="str">
        <f t="shared" ref="V257" si="3342">IF(V$8="","",U250+U251-V250)</f>
        <v/>
      </c>
      <c r="W257" s="5" t="str">
        <f t="shared" ref="W257" si="3343">IF(W$8="","",V250+V251-W250)</f>
        <v/>
      </c>
      <c r="X257" s="5" t="str">
        <f t="shared" ref="X257" si="3344">IF(X$8="","",W250+W251-X250)</f>
        <v/>
      </c>
      <c r="Y257" s="5" t="str">
        <f t="shared" ref="Y257" si="3345">IF(Y$8="","",X250+X251-Y250)</f>
        <v/>
      </c>
      <c r="Z257" s="5" t="str">
        <f t="shared" ref="Z257" si="3346">IF(Z$8="","",Y250+Y251-Z250)</f>
        <v/>
      </c>
      <c r="AA257" s="5" t="str">
        <f t="shared" ref="AA257" si="3347">IF(AA$8="","",Z250+Z251-AA250)</f>
        <v/>
      </c>
      <c r="AB257" s="5" t="str">
        <f t="shared" ref="AB257" si="3348">IF(AB$8="","",AA250+AA251-AB250)</f>
        <v/>
      </c>
      <c r="AC257" s="5" t="str">
        <f t="shared" ref="AC257" si="3349">IF(AC$8="","",AB250+AB251-AC250)</f>
        <v/>
      </c>
      <c r="AD257" s="5" t="str">
        <f t="shared" ref="AD257" si="3350">IF(AD$8="","",AC250+AC251-AD250)</f>
        <v/>
      </c>
      <c r="AE257" s="5" t="str">
        <f t="shared" ref="AE257" si="3351">IF(AE$8="","",AD250+AD251-AE250)</f>
        <v/>
      </c>
      <c r="AF257" s="5" t="str">
        <f t="shared" ref="AF257" si="3352">IF(AF$8="","",AE250+AE251-AF250)</f>
        <v/>
      </c>
      <c r="AG257" s="5" t="str">
        <f t="shared" ref="AG257" si="3353">IF(AG$8="","",AF250+AF251-AG250)</f>
        <v/>
      </c>
      <c r="AH257" s="5" t="str">
        <f t="shared" ref="AH257" si="3354">IF(AH$8="","",AG250+AG251-AH250)</f>
        <v/>
      </c>
      <c r="AI257" s="5" t="str">
        <f t="shared" ref="AI257" si="3355">IF(AI$8="","",AH250+AH251-AI250)</f>
        <v/>
      </c>
      <c r="AJ257" s="5" t="str">
        <f t="shared" ref="AJ257" si="3356">IF(AJ$8="","",AI250+AI251-AJ250)</f>
        <v/>
      </c>
      <c r="AK257" s="5" t="str">
        <f t="shared" ref="AK257" si="3357">IF(AK$8="","",AJ250+AJ251-AK250)</f>
        <v/>
      </c>
      <c r="AL257" s="5" t="str">
        <f t="shared" ref="AL257" si="3358">IF(AL$8="","",AK250+AK251-AL250)</f>
        <v/>
      </c>
      <c r="AM257" s="5" t="str">
        <f t="shared" ref="AM257" si="3359">IF(AM$8="","",AL250+AL251-AM250)</f>
        <v/>
      </c>
      <c r="AN257" s="5" t="str">
        <f t="shared" ref="AN257" si="3360">IF(AN$8="","",AM250+AM251-AN250)</f>
        <v/>
      </c>
      <c r="AO257" s="5" t="str">
        <f t="shared" ref="AO257:AS257" si="3361">IF(AO$8="","",AN250+AN251-AO250)</f>
        <v/>
      </c>
      <c r="AP257" s="5" t="str">
        <f t="shared" si="3361"/>
        <v/>
      </c>
      <c r="AQ257" s="5" t="str">
        <f t="shared" si="3361"/>
        <v/>
      </c>
      <c r="AR257" s="5" t="str">
        <f t="shared" si="3361"/>
        <v/>
      </c>
      <c r="AS257" s="5" t="str">
        <f t="shared" si="3361"/>
        <v/>
      </c>
    </row>
    <row r="258" spans="1:46" x14ac:dyDescent="0.15">
      <c r="A258" s="7">
        <f>SUM(C258:AS258)</f>
        <v>6750</v>
      </c>
      <c r="B258" s="6" t="s">
        <v>16</v>
      </c>
      <c r="C258" s="5">
        <v>0</v>
      </c>
      <c r="D258" s="5">
        <v>0</v>
      </c>
      <c r="E258" s="5">
        <v>1500</v>
      </c>
      <c r="F258" s="5">
        <v>0</v>
      </c>
      <c r="G258" s="5">
        <v>0</v>
      </c>
      <c r="H258" s="5">
        <v>0</v>
      </c>
      <c r="I258" s="5">
        <v>3000</v>
      </c>
      <c r="J258" s="5">
        <f t="shared" ref="H258:AM258" si="3362">IF(J$8="","",J257*J252)</f>
        <v>0</v>
      </c>
      <c r="K258" s="5">
        <f t="shared" si="3362"/>
        <v>0</v>
      </c>
      <c r="L258" s="5">
        <f t="shared" si="3362"/>
        <v>2250</v>
      </c>
      <c r="M258" s="5" t="str">
        <f t="shared" si="3362"/>
        <v/>
      </c>
      <c r="N258" s="5" t="str">
        <f t="shared" si="3362"/>
        <v/>
      </c>
      <c r="O258" s="5" t="str">
        <f t="shared" si="3362"/>
        <v/>
      </c>
      <c r="P258" s="5" t="str">
        <f t="shared" si="3362"/>
        <v/>
      </c>
      <c r="Q258" s="5" t="str">
        <f t="shared" si="3362"/>
        <v/>
      </c>
      <c r="R258" s="5" t="str">
        <f t="shared" si="3362"/>
        <v/>
      </c>
      <c r="S258" s="5" t="str">
        <f t="shared" si="3362"/>
        <v/>
      </c>
      <c r="T258" s="5" t="str">
        <f t="shared" si="3362"/>
        <v/>
      </c>
      <c r="U258" s="5" t="str">
        <f t="shared" si="3362"/>
        <v/>
      </c>
      <c r="V258" s="5" t="str">
        <f t="shared" si="3362"/>
        <v/>
      </c>
      <c r="W258" s="5" t="str">
        <f t="shared" si="3362"/>
        <v/>
      </c>
      <c r="X258" s="5" t="str">
        <f t="shared" si="3362"/>
        <v/>
      </c>
      <c r="Y258" s="5" t="str">
        <f t="shared" si="3362"/>
        <v/>
      </c>
      <c r="Z258" s="5" t="str">
        <f t="shared" si="3362"/>
        <v/>
      </c>
      <c r="AA258" s="5" t="str">
        <f t="shared" si="3362"/>
        <v/>
      </c>
      <c r="AB258" s="5" t="str">
        <f t="shared" si="3362"/>
        <v/>
      </c>
      <c r="AC258" s="5" t="str">
        <f t="shared" si="3362"/>
        <v/>
      </c>
      <c r="AD258" s="5" t="str">
        <f t="shared" si="3362"/>
        <v/>
      </c>
      <c r="AE258" s="5" t="str">
        <f t="shared" si="3362"/>
        <v/>
      </c>
      <c r="AF258" s="5" t="str">
        <f t="shared" si="3362"/>
        <v/>
      </c>
      <c r="AG258" s="5" t="str">
        <f t="shared" si="3362"/>
        <v/>
      </c>
      <c r="AH258" s="5" t="str">
        <f t="shared" si="3362"/>
        <v/>
      </c>
      <c r="AI258" s="5" t="str">
        <f t="shared" si="3362"/>
        <v/>
      </c>
      <c r="AJ258" s="5" t="str">
        <f t="shared" si="3362"/>
        <v/>
      </c>
      <c r="AK258" s="5" t="str">
        <f t="shared" si="3362"/>
        <v/>
      </c>
      <c r="AL258" s="5" t="str">
        <f t="shared" si="3362"/>
        <v/>
      </c>
      <c r="AM258" s="5" t="str">
        <f t="shared" si="3362"/>
        <v/>
      </c>
      <c r="AN258" s="5" t="str">
        <f t="shared" ref="D258:AN258" si="3363">IF(AN$8="","",AN257*AN252)</f>
        <v/>
      </c>
      <c r="AO258" s="5" t="str">
        <f t="shared" ref="AO258:AS258" si="3364">IF(AO$8="","",AO257*AO252)</f>
        <v/>
      </c>
      <c r="AP258" s="5" t="str">
        <f t="shared" si="3364"/>
        <v/>
      </c>
      <c r="AQ258" s="5" t="str">
        <f t="shared" si="3364"/>
        <v/>
      </c>
      <c r="AR258" s="5" t="str">
        <f t="shared" si="3364"/>
        <v/>
      </c>
      <c r="AS258" s="5" t="str">
        <f t="shared" si="3364"/>
        <v/>
      </c>
    </row>
    <row r="259" spans="1:46" ht="12" thickBot="1" x14ac:dyDescent="0.2">
      <c r="A259" s="4">
        <f>IF(A258="","",A258/(A255*100))</f>
        <v>0.20833333333333334</v>
      </c>
      <c r="B259" s="87" t="s">
        <v>18</v>
      </c>
      <c r="C259" s="88" t="s">
        <v>19</v>
      </c>
      <c r="D259" s="88" t="s">
        <v>19</v>
      </c>
      <c r="E259" s="88">
        <v>0.22727272727272727</v>
      </c>
      <c r="F259" s="88" t="s">
        <v>19</v>
      </c>
      <c r="G259" s="88" t="s">
        <v>19</v>
      </c>
      <c r="H259" s="88" t="s">
        <v>19</v>
      </c>
      <c r="I259" s="88">
        <v>0.30303030303030304</v>
      </c>
      <c r="J259" s="88" t="str">
        <f t="shared" ref="H259:AM259" si="3365">IF(J$8="","",IF(J258=0,"",J258/(J255*100)))</f>
        <v/>
      </c>
      <c r="K259" s="88" t="str">
        <f t="shared" si="3365"/>
        <v/>
      </c>
      <c r="L259" s="88">
        <f t="shared" si="3365"/>
        <v>0.14150943396226415</v>
      </c>
      <c r="M259" s="88" t="str">
        <f t="shared" si="3365"/>
        <v/>
      </c>
      <c r="N259" s="88" t="str">
        <f t="shared" si="3365"/>
        <v/>
      </c>
      <c r="O259" s="88" t="str">
        <f t="shared" si="3365"/>
        <v/>
      </c>
      <c r="P259" s="88" t="str">
        <f t="shared" si="3365"/>
        <v/>
      </c>
      <c r="Q259" s="88" t="str">
        <f t="shared" si="3365"/>
        <v/>
      </c>
      <c r="R259" s="88" t="str">
        <f t="shared" si="3365"/>
        <v/>
      </c>
      <c r="S259" s="88" t="str">
        <f t="shared" si="3365"/>
        <v/>
      </c>
      <c r="T259" s="88" t="str">
        <f t="shared" si="3365"/>
        <v/>
      </c>
      <c r="U259" s="88" t="str">
        <f t="shared" si="3365"/>
        <v/>
      </c>
      <c r="V259" s="88" t="str">
        <f t="shared" si="3365"/>
        <v/>
      </c>
      <c r="W259" s="88" t="str">
        <f t="shared" si="3365"/>
        <v/>
      </c>
      <c r="X259" s="88" t="str">
        <f t="shared" si="3365"/>
        <v/>
      </c>
      <c r="Y259" s="88" t="str">
        <f t="shared" si="3365"/>
        <v/>
      </c>
      <c r="Z259" s="88" t="str">
        <f t="shared" si="3365"/>
        <v/>
      </c>
      <c r="AA259" s="88" t="str">
        <f t="shared" si="3365"/>
        <v/>
      </c>
      <c r="AB259" s="88" t="str">
        <f t="shared" si="3365"/>
        <v/>
      </c>
      <c r="AC259" s="88" t="str">
        <f t="shared" si="3365"/>
        <v/>
      </c>
      <c r="AD259" s="88" t="str">
        <f t="shared" si="3365"/>
        <v/>
      </c>
      <c r="AE259" s="88" t="str">
        <f t="shared" si="3365"/>
        <v/>
      </c>
      <c r="AF259" s="88" t="str">
        <f t="shared" si="3365"/>
        <v/>
      </c>
      <c r="AG259" s="88" t="str">
        <f t="shared" si="3365"/>
        <v/>
      </c>
      <c r="AH259" s="88" t="str">
        <f t="shared" si="3365"/>
        <v/>
      </c>
      <c r="AI259" s="88" t="str">
        <f t="shared" si="3365"/>
        <v/>
      </c>
      <c r="AJ259" s="88" t="str">
        <f t="shared" si="3365"/>
        <v/>
      </c>
      <c r="AK259" s="88" t="str">
        <f t="shared" si="3365"/>
        <v/>
      </c>
      <c r="AL259" s="88" t="str">
        <f t="shared" si="3365"/>
        <v/>
      </c>
      <c r="AM259" s="88" t="str">
        <f t="shared" si="3365"/>
        <v/>
      </c>
      <c r="AN259" s="88" t="str">
        <f t="shared" ref="D259:AN259" si="3366">IF(AN$8="","",IF(AN258=0,"",AN258/(AN255*100)))</f>
        <v/>
      </c>
      <c r="AO259" s="88" t="str">
        <f t="shared" ref="AO259:AS259" si="3367">IF(AO$8="","",IF(AO258=0,"",AO258/(AO255*100)))</f>
        <v/>
      </c>
      <c r="AP259" s="88" t="str">
        <f t="shared" si="3367"/>
        <v/>
      </c>
      <c r="AQ259" s="88" t="str">
        <f t="shared" si="3367"/>
        <v/>
      </c>
      <c r="AR259" s="88" t="str">
        <f t="shared" si="3367"/>
        <v/>
      </c>
      <c r="AS259" s="88" t="str">
        <f t="shared" si="3367"/>
        <v/>
      </c>
    </row>
    <row r="260" spans="1:46" x14ac:dyDescent="0.15">
      <c r="A260" s="22" t="s">
        <v>1</v>
      </c>
      <c r="B260" s="21" t="s">
        <v>2</v>
      </c>
      <c r="C260" s="20">
        <v>27483</v>
      </c>
      <c r="D260" s="20">
        <v>27483</v>
      </c>
      <c r="E260" s="20">
        <v>27774</v>
      </c>
      <c r="F260" s="20">
        <v>27774</v>
      </c>
      <c r="G260" s="20">
        <v>27774</v>
      </c>
      <c r="H260" s="20">
        <v>27774</v>
      </c>
      <c r="I260" s="20">
        <v>27895</v>
      </c>
      <c r="J260" s="20">
        <f>IF(J$8="","",I260)</f>
        <v>27895</v>
      </c>
      <c r="K260" s="20">
        <f t="shared" ref="K260:K261" si="3368">IF(K$8="","",J260)</f>
        <v>27895</v>
      </c>
      <c r="L260" s="20">
        <v>28093</v>
      </c>
      <c r="M260" s="20" t="str">
        <f>IF(M$8="","",L260)</f>
        <v/>
      </c>
      <c r="N260" s="20" t="str">
        <f t="shared" ref="N260:N261" si="3369">IF(N$8="","",M260)</f>
        <v/>
      </c>
      <c r="O260" s="20" t="str">
        <f t="shared" ref="O260:O261" si="3370">IF(O$8="","",N260)</f>
        <v/>
      </c>
      <c r="P260" s="20" t="str">
        <f>IF(P$8="","",O260)</f>
        <v/>
      </c>
      <c r="Q260" s="20" t="str">
        <f>IF(Q$8="","",P260)</f>
        <v/>
      </c>
      <c r="R260" s="20" t="str">
        <f t="shared" ref="R260:R261" si="3371">IF(R$8="","",Q260)</f>
        <v/>
      </c>
      <c r="S260" s="20" t="str">
        <f>IF(S$8="","",R260)</f>
        <v/>
      </c>
      <c r="T260" s="20" t="str">
        <f>IF(T$8="","",S260)</f>
        <v/>
      </c>
      <c r="U260" s="20" t="str">
        <f t="shared" ref="U260:U261" si="3372">IF(U$8="","",T260)</f>
        <v/>
      </c>
      <c r="V260" s="20" t="str">
        <f t="shared" ref="V260:V261" si="3373">IF(V$8="","",U260)</f>
        <v/>
      </c>
      <c r="W260" s="20" t="str">
        <f>IF(W$8="","",V260)</f>
        <v/>
      </c>
      <c r="X260" s="20" t="str">
        <f>IF(X$8="","",W260)</f>
        <v/>
      </c>
      <c r="Y260" s="20" t="str">
        <f t="shared" ref="Y260:Y261" si="3374">IF(Y$8="","",X260)</f>
        <v/>
      </c>
      <c r="Z260" s="20" t="str">
        <f>IF(Z$8="","",Y260)</f>
        <v/>
      </c>
      <c r="AA260" s="20" t="str">
        <f>IF(AA$8="","",Z260)</f>
        <v/>
      </c>
      <c r="AB260" s="20" t="str">
        <f t="shared" ref="AB260:AB261" si="3375">IF(AB$8="","",AA260)</f>
        <v/>
      </c>
      <c r="AC260" s="20" t="str">
        <f t="shared" ref="AC260:AC261" si="3376">IF(AC$8="","",AB260)</f>
        <v/>
      </c>
      <c r="AD260" s="20" t="str">
        <f>IF(AD$8="","",AC260)</f>
        <v/>
      </c>
      <c r="AE260" s="20" t="str">
        <f>IF(AE$8="","",AD260)</f>
        <v/>
      </c>
      <c r="AF260" s="20" t="str">
        <f t="shared" ref="AF260:AF261" si="3377">IF(AF$8="","",AE260)</f>
        <v/>
      </c>
      <c r="AG260" s="20" t="str">
        <f>IF(AG$8="","",AF260)</f>
        <v/>
      </c>
      <c r="AH260" s="20" t="str">
        <f t="shared" ref="AH260:AH261" si="3378">IF(AH$8="","",AG260)</f>
        <v/>
      </c>
      <c r="AI260" s="20" t="str">
        <f t="shared" ref="AI260:AI261" si="3379">IF(AI$8="","",AH260)</f>
        <v/>
      </c>
      <c r="AJ260" s="20" t="str">
        <f t="shared" ref="AJ260:AJ261" si="3380">IF(AJ$8="","",AI260)</f>
        <v/>
      </c>
      <c r="AK260" s="20" t="str">
        <f>IF(AK$8="","",AJ260)</f>
        <v/>
      </c>
      <c r="AL260" s="20" t="str">
        <f t="shared" ref="AL260:AL261" si="3381">IF(AL$8="","",AK260)</f>
        <v/>
      </c>
      <c r="AM260" s="20" t="str">
        <f t="shared" ref="AM260:AM261" si="3382">IF(AM$8="","",AL260)</f>
        <v/>
      </c>
      <c r="AN260" s="20" t="str">
        <f t="shared" ref="AN260:AN261" si="3383">IF(AN$8="","",AM260)</f>
        <v/>
      </c>
      <c r="AO260" s="20" t="str">
        <f t="shared" ref="AO260:AS260" si="3384">IF(AO$8="","",AN260)</f>
        <v/>
      </c>
      <c r="AP260" s="20" t="str">
        <f t="shared" si="3384"/>
        <v/>
      </c>
      <c r="AQ260" s="20" t="str">
        <f t="shared" si="3384"/>
        <v/>
      </c>
      <c r="AR260" s="20" t="str">
        <f t="shared" si="3384"/>
        <v/>
      </c>
      <c r="AS260" s="20" t="str">
        <f t="shared" si="3384"/>
        <v/>
      </c>
    </row>
    <row r="261" spans="1:46" x14ac:dyDescent="0.15">
      <c r="A261" s="16" t="s">
        <v>44</v>
      </c>
      <c r="B261" s="9" t="s">
        <v>4</v>
      </c>
      <c r="C261" s="8">
        <v>414</v>
      </c>
      <c r="D261" s="8">
        <v>414</v>
      </c>
      <c r="E261" s="8">
        <v>415</v>
      </c>
      <c r="F261" s="8">
        <v>415</v>
      </c>
      <c r="G261" s="8">
        <v>415</v>
      </c>
      <c r="H261" s="8">
        <v>415</v>
      </c>
      <c r="I261" s="8">
        <v>416</v>
      </c>
      <c r="J261" s="8">
        <f>IF(J$8="","",I261)</f>
        <v>416</v>
      </c>
      <c r="K261" s="8">
        <f t="shared" si="3368"/>
        <v>416</v>
      </c>
      <c r="L261" s="8">
        <v>417</v>
      </c>
      <c r="M261" s="8" t="str">
        <f t="shared" ref="M261" si="3385">IF(M$8="","",L261)</f>
        <v/>
      </c>
      <c r="N261" s="8" t="str">
        <f t="shared" si="3369"/>
        <v/>
      </c>
      <c r="O261" s="8" t="str">
        <f t="shared" si="3370"/>
        <v/>
      </c>
      <c r="P261" s="8" t="str">
        <f>IF(P$8="","",O261)</f>
        <v/>
      </c>
      <c r="Q261" s="8" t="str">
        <f>IF(Q$8="","",P261)</f>
        <v/>
      </c>
      <c r="R261" s="8" t="str">
        <f t="shared" si="3371"/>
        <v/>
      </c>
      <c r="S261" s="8" t="str">
        <f>IF(S$8="","",R261)</f>
        <v/>
      </c>
      <c r="T261" s="8" t="str">
        <f>IF(T$8="","",S261)</f>
        <v/>
      </c>
      <c r="U261" s="8" t="str">
        <f t="shared" si="3372"/>
        <v/>
      </c>
      <c r="V261" s="8" t="str">
        <f t="shared" si="3373"/>
        <v/>
      </c>
      <c r="W261" s="8" t="str">
        <f>IF(W$8="","",V261)</f>
        <v/>
      </c>
      <c r="X261" s="8" t="str">
        <f>IF(X$8="","",W261)</f>
        <v/>
      </c>
      <c r="Y261" s="8" t="str">
        <f t="shared" si="3374"/>
        <v/>
      </c>
      <c r="Z261" s="8" t="str">
        <f t="shared" ref="Z260:Z261" si="3386">IF(Z$8="","",Y261)</f>
        <v/>
      </c>
      <c r="AA261" s="8" t="str">
        <f>IF(AA$8="","",Z261)</f>
        <v/>
      </c>
      <c r="AB261" s="8" t="str">
        <f t="shared" si="3375"/>
        <v/>
      </c>
      <c r="AC261" s="8" t="str">
        <f t="shared" si="3376"/>
        <v/>
      </c>
      <c r="AD261" s="8" t="str">
        <f t="shared" ref="AD260:AD261" si="3387">IF(AD$8="","",AC261)</f>
        <v/>
      </c>
      <c r="AE261" s="8" t="str">
        <f t="shared" ref="AE261" si="3388">IF(AE$8="","",AD261)</f>
        <v/>
      </c>
      <c r="AF261" s="8" t="str">
        <f t="shared" si="3377"/>
        <v/>
      </c>
      <c r="AG261" s="8" t="str">
        <f>IF(AG$8="","",AF261)</f>
        <v/>
      </c>
      <c r="AH261" s="8" t="str">
        <f t="shared" si="3378"/>
        <v/>
      </c>
      <c r="AI261" s="8" t="str">
        <f t="shared" si="3379"/>
        <v/>
      </c>
      <c r="AJ261" s="8" t="str">
        <f t="shared" si="3380"/>
        <v/>
      </c>
      <c r="AK261" s="8" t="str">
        <f>IF(AK$8="","",AJ261)</f>
        <v/>
      </c>
      <c r="AL261" s="8" t="str">
        <f t="shared" si="3381"/>
        <v/>
      </c>
      <c r="AM261" s="8" t="str">
        <f t="shared" si="3382"/>
        <v/>
      </c>
      <c r="AN261" s="8" t="str">
        <f t="shared" si="3383"/>
        <v/>
      </c>
      <c r="AO261" s="8" t="str">
        <f t="shared" ref="AO261:AS261" si="3389">IF(AO$8="","",AN261)</f>
        <v/>
      </c>
      <c r="AP261" s="8" t="str">
        <f t="shared" si="3389"/>
        <v/>
      </c>
      <c r="AQ261" s="8" t="str">
        <f t="shared" si="3389"/>
        <v/>
      </c>
      <c r="AR261" s="8" t="str">
        <f t="shared" si="3389"/>
        <v/>
      </c>
      <c r="AS261" s="8" t="str">
        <f t="shared" si="3389"/>
        <v/>
      </c>
    </row>
    <row r="262" spans="1:46" x14ac:dyDescent="0.15">
      <c r="A262" s="15">
        <v>2</v>
      </c>
      <c r="B262" s="9" t="s">
        <v>5</v>
      </c>
      <c r="C262" s="8">
        <v>10</v>
      </c>
      <c r="D262" s="8">
        <v>10</v>
      </c>
      <c r="E262" s="8">
        <v>9</v>
      </c>
      <c r="F262" s="8">
        <v>9</v>
      </c>
      <c r="G262" s="8">
        <v>9</v>
      </c>
      <c r="H262" s="8">
        <v>9</v>
      </c>
      <c r="I262" s="8">
        <v>8</v>
      </c>
      <c r="J262" s="8">
        <f>IF(J$8="","",(I262+I263))</f>
        <v>8</v>
      </c>
      <c r="K262" s="8">
        <f t="shared" ref="H262:AM262" si="3390">IF(K$8="","",(J262+J263))</f>
        <v>8</v>
      </c>
      <c r="L262" s="8">
        <v>7</v>
      </c>
      <c r="M262" s="8" t="str">
        <f t="shared" si="3390"/>
        <v/>
      </c>
      <c r="N262" s="8" t="str">
        <f t="shared" si="3390"/>
        <v/>
      </c>
      <c r="O262" s="8" t="str">
        <f t="shared" si="3390"/>
        <v/>
      </c>
      <c r="P262" s="8" t="str">
        <f>IF(P$8="","",(O262+O263))</f>
        <v/>
      </c>
      <c r="Q262" s="8" t="str">
        <f>IF(Q$8="","",(P262+P263))</f>
        <v/>
      </c>
      <c r="R262" s="8" t="str">
        <f t="shared" si="3390"/>
        <v/>
      </c>
      <c r="S262" s="8" t="str">
        <f>IF(S$8="","",(R262+R263))</f>
        <v/>
      </c>
      <c r="T262" s="8" t="str">
        <f>IF(T$8="","",(S262+S263))</f>
        <v/>
      </c>
      <c r="U262" s="8" t="str">
        <f t="shared" si="3390"/>
        <v/>
      </c>
      <c r="V262" s="8" t="str">
        <f t="shared" si="3390"/>
        <v/>
      </c>
      <c r="W262" s="8" t="str">
        <f>IF(W$8="","",(V262+V263))</f>
        <v/>
      </c>
      <c r="X262" s="8" t="str">
        <f>IF(X$8="","",(W262+W263))</f>
        <v/>
      </c>
      <c r="Y262" s="8" t="str">
        <f t="shared" si="3390"/>
        <v/>
      </c>
      <c r="Z262" s="8" t="str">
        <f t="shared" si="3390"/>
        <v/>
      </c>
      <c r="AA262" s="8" t="str">
        <f>IF(AA$8="","",(Z262+Z263))</f>
        <v/>
      </c>
      <c r="AB262" s="8" t="str">
        <f t="shared" si="3390"/>
        <v/>
      </c>
      <c r="AC262" s="8" t="str">
        <f t="shared" si="3390"/>
        <v/>
      </c>
      <c r="AD262" s="8" t="str">
        <f t="shared" si="3390"/>
        <v/>
      </c>
      <c r="AE262" s="8" t="str">
        <f t="shared" si="3390"/>
        <v/>
      </c>
      <c r="AF262" s="8" t="str">
        <f t="shared" si="3390"/>
        <v/>
      </c>
      <c r="AG262" s="8" t="str">
        <f>IF(AG$8="","",(AF262+AF263))</f>
        <v/>
      </c>
      <c r="AH262" s="8" t="str">
        <f t="shared" si="3390"/>
        <v/>
      </c>
      <c r="AI262" s="8" t="str">
        <f t="shared" si="3390"/>
        <v/>
      </c>
      <c r="AJ262" s="8" t="str">
        <f t="shared" si="3390"/>
        <v/>
      </c>
      <c r="AK262" s="8" t="str">
        <f>IF(AK$8="","",(AJ262+AJ263))</f>
        <v/>
      </c>
      <c r="AL262" s="8" t="str">
        <f t="shared" si="3390"/>
        <v/>
      </c>
      <c r="AM262" s="8" t="str">
        <f t="shared" si="3390"/>
        <v/>
      </c>
      <c r="AN262" s="8" t="str">
        <f>IF(都城!AN$8="","",(AM262+AM263))</f>
        <v/>
      </c>
      <c r="AO262" s="8" t="str">
        <f>IF(都城!AO$8="","",(AN262+AN263))</f>
        <v/>
      </c>
      <c r="AP262" s="8" t="str">
        <f>IF(都城!AP$8="","",(AO262+AO263))</f>
        <v/>
      </c>
      <c r="AQ262" s="8" t="str">
        <f>IF(都城!AQ$8="","",(AP262+AP263))</f>
        <v/>
      </c>
      <c r="AR262" s="8" t="str">
        <f>IF(都城!AR$8="","",(AQ262+AQ263))</f>
        <v/>
      </c>
      <c r="AS262" s="8" t="str">
        <f>IF(都城!AS$8="","",(AR262+AR263))</f>
        <v/>
      </c>
    </row>
    <row r="263" spans="1:46" x14ac:dyDescent="0.15">
      <c r="A263" s="14"/>
      <c r="B263" s="9" t="s">
        <v>7</v>
      </c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</row>
    <row r="264" spans="1:46" x14ac:dyDescent="0.15">
      <c r="A264" s="7"/>
      <c r="B264" s="9" t="s">
        <v>8</v>
      </c>
      <c r="C264" s="8">
        <v>1500</v>
      </c>
      <c r="D264" s="8">
        <v>1500</v>
      </c>
      <c r="E264" s="8">
        <v>1500</v>
      </c>
      <c r="F264" s="8">
        <v>1500</v>
      </c>
      <c r="G264" s="8">
        <v>1500</v>
      </c>
      <c r="H264" s="8">
        <v>1500</v>
      </c>
      <c r="I264" s="8">
        <v>1500</v>
      </c>
      <c r="J264" s="8">
        <f t="shared" ref="J264:J265" si="3391">IF(J$8="","",I264)</f>
        <v>1500</v>
      </c>
      <c r="K264" s="8">
        <f t="shared" ref="K264:K265" si="3392">IF(K$8="","",J264)</f>
        <v>1500</v>
      </c>
      <c r="L264" s="8">
        <f t="shared" ref="L264:L265" si="3393">IF(L$8="","",K264)</f>
        <v>1500</v>
      </c>
      <c r="M264" s="8" t="str">
        <f t="shared" ref="M264:M265" si="3394">IF(M$8="","",L264)</f>
        <v/>
      </c>
      <c r="N264" s="8" t="str">
        <f t="shared" ref="N264:N265" si="3395">IF(N$8="","",M264)</f>
        <v/>
      </c>
      <c r="O264" s="8" t="str">
        <f t="shared" ref="O264:O265" si="3396">IF(O$8="","",N264)</f>
        <v/>
      </c>
      <c r="P264" s="8" t="str">
        <f t="shared" ref="P264:P265" si="3397">IF(P$8="","",O264)</f>
        <v/>
      </c>
      <c r="Q264" s="8" t="str">
        <f t="shared" ref="Q264:Q265" si="3398">IF(Q$8="","",P264)</f>
        <v/>
      </c>
      <c r="R264" s="8" t="str">
        <f t="shared" ref="R264:R265" si="3399">IF(R$8="","",Q264)</f>
        <v/>
      </c>
      <c r="S264" s="8" t="str">
        <f t="shared" ref="S264:S265" si="3400">IF(S$8="","",R264)</f>
        <v/>
      </c>
      <c r="T264" s="8" t="str">
        <f t="shared" ref="T264:T265" si="3401">IF(T$8="","",S264)</f>
        <v/>
      </c>
      <c r="U264" s="8" t="str">
        <f t="shared" ref="U264:U265" si="3402">IF(U$8="","",T264)</f>
        <v/>
      </c>
      <c r="V264" s="8" t="str">
        <f t="shared" ref="V264:V265" si="3403">IF(V$8="","",U264)</f>
        <v/>
      </c>
      <c r="W264" s="8" t="str">
        <f t="shared" ref="W264:W265" si="3404">IF(W$8="","",V264)</f>
        <v/>
      </c>
      <c r="X264" s="8" t="str">
        <f t="shared" ref="X264:X265" si="3405">IF(X$8="","",W264)</f>
        <v/>
      </c>
      <c r="Y264" s="8" t="str">
        <f t="shared" ref="Y264:Y265" si="3406">IF(Y$8="","",X264)</f>
        <v/>
      </c>
      <c r="Z264" s="8" t="str">
        <f t="shared" ref="Z264:Z265" si="3407">IF(Z$8="","",Y264)</f>
        <v/>
      </c>
      <c r="AA264" s="8" t="str">
        <f t="shared" ref="AA264:AA265" si="3408">IF(AA$8="","",Z264)</f>
        <v/>
      </c>
      <c r="AB264" s="8" t="str">
        <f t="shared" ref="AB264:AB265" si="3409">IF(AB$8="","",AA264)</f>
        <v/>
      </c>
      <c r="AC264" s="8" t="str">
        <f t="shared" ref="AC264:AC265" si="3410">IF(AC$8="","",AB264)</f>
        <v/>
      </c>
      <c r="AD264" s="8" t="str">
        <f t="shared" ref="AD264:AD265" si="3411">IF(AD$8="","",AC264)</f>
        <v/>
      </c>
      <c r="AE264" s="8" t="str">
        <f t="shared" ref="AE264:AE265" si="3412">IF(AE$8="","",AD264)</f>
        <v/>
      </c>
      <c r="AF264" s="8" t="str">
        <f t="shared" ref="AF264:AF265" si="3413">IF(AF$8="","",AE264)</f>
        <v/>
      </c>
      <c r="AG264" s="8" t="str">
        <f t="shared" ref="AG264:AG265" si="3414">IF(AG$8="","",AF264)</f>
        <v/>
      </c>
      <c r="AH264" s="8" t="str">
        <f t="shared" ref="AH264:AH265" si="3415">IF(AH$8="","",AG264)</f>
        <v/>
      </c>
      <c r="AI264" s="8" t="str">
        <f t="shared" ref="AI264:AI265" si="3416">IF(AI$8="","",AH264)</f>
        <v/>
      </c>
      <c r="AJ264" s="8" t="str">
        <f t="shared" ref="AJ264:AJ265" si="3417">IF(AJ$8="","",AI264)</f>
        <v/>
      </c>
      <c r="AK264" s="8" t="str">
        <f t="shared" ref="AK264:AK265" si="3418">IF(AK$8="","",AJ264)</f>
        <v/>
      </c>
      <c r="AL264" s="8" t="str">
        <f t="shared" ref="AL264:AL265" si="3419">IF(AL$8="","",AK264)</f>
        <v/>
      </c>
      <c r="AM264" s="8" t="str">
        <f t="shared" ref="AM264:AM265" si="3420">IF(AM$8="","",AL264)</f>
        <v/>
      </c>
      <c r="AN264" s="8" t="str">
        <f t="shared" ref="AN264:AN265" si="3421">IF(AN$8="","",AM264)</f>
        <v/>
      </c>
      <c r="AO264" s="8" t="str">
        <f t="shared" ref="AO264:AS264" si="3422">IF(AO$8="","",AN264)</f>
        <v/>
      </c>
      <c r="AP264" s="8" t="str">
        <f t="shared" si="3422"/>
        <v/>
      </c>
      <c r="AQ264" s="8" t="str">
        <f t="shared" si="3422"/>
        <v/>
      </c>
      <c r="AR264" s="8" t="str">
        <f t="shared" si="3422"/>
        <v/>
      </c>
      <c r="AS264" s="8" t="str">
        <f t="shared" si="3422"/>
        <v/>
      </c>
    </row>
    <row r="265" spans="1:46" s="85" customFormat="1" x14ac:dyDescent="0.15">
      <c r="A265" s="14" t="s">
        <v>9</v>
      </c>
      <c r="B265" s="13" t="s">
        <v>10</v>
      </c>
      <c r="C265" s="12" t="s">
        <v>45</v>
      </c>
      <c r="D265" s="12" t="s">
        <v>45</v>
      </c>
      <c r="E265" s="12" t="s">
        <v>45</v>
      </c>
      <c r="F265" s="12" t="s">
        <v>45</v>
      </c>
      <c r="G265" s="12" t="s">
        <v>45</v>
      </c>
      <c r="H265" s="12" t="s">
        <v>45</v>
      </c>
      <c r="I265" s="12" t="s">
        <v>45</v>
      </c>
      <c r="J265" s="12" t="str">
        <f t="shared" si="3391"/>
        <v>ボンボンドロップ</v>
      </c>
      <c r="K265" s="12" t="str">
        <f t="shared" si="3392"/>
        <v>ボンボンドロップ</v>
      </c>
      <c r="L265" s="12" t="str">
        <f t="shared" si="3393"/>
        <v>ボンボンドロップ</v>
      </c>
      <c r="M265" s="12" t="str">
        <f t="shared" si="3394"/>
        <v/>
      </c>
      <c r="N265" s="12" t="str">
        <f t="shared" si="3395"/>
        <v/>
      </c>
      <c r="O265" s="12" t="str">
        <f t="shared" si="3396"/>
        <v/>
      </c>
      <c r="P265" s="12" t="str">
        <f t="shared" si="3397"/>
        <v/>
      </c>
      <c r="Q265" s="12" t="str">
        <f t="shared" si="3398"/>
        <v/>
      </c>
      <c r="R265" s="12" t="str">
        <f t="shared" si="3399"/>
        <v/>
      </c>
      <c r="S265" s="12" t="str">
        <f t="shared" si="3400"/>
        <v/>
      </c>
      <c r="T265" s="12" t="str">
        <f t="shared" si="3401"/>
        <v/>
      </c>
      <c r="U265" s="12" t="str">
        <f t="shared" si="3402"/>
        <v/>
      </c>
      <c r="V265" s="12" t="str">
        <f t="shared" si="3403"/>
        <v/>
      </c>
      <c r="W265" s="12" t="str">
        <f t="shared" si="3404"/>
        <v/>
      </c>
      <c r="X265" s="12" t="str">
        <f t="shared" si="3405"/>
        <v/>
      </c>
      <c r="Y265" s="12" t="str">
        <f t="shared" si="3406"/>
        <v/>
      </c>
      <c r="Z265" s="12" t="str">
        <f t="shared" si="3407"/>
        <v/>
      </c>
      <c r="AA265" s="12" t="str">
        <f t="shared" si="3408"/>
        <v/>
      </c>
      <c r="AB265" s="12" t="str">
        <f t="shared" si="3409"/>
        <v/>
      </c>
      <c r="AC265" s="12" t="str">
        <f t="shared" si="3410"/>
        <v/>
      </c>
      <c r="AD265" s="12" t="str">
        <f t="shared" si="3411"/>
        <v/>
      </c>
      <c r="AE265" s="12" t="str">
        <f t="shared" si="3412"/>
        <v/>
      </c>
      <c r="AF265" s="12" t="str">
        <f t="shared" si="3413"/>
        <v/>
      </c>
      <c r="AG265" s="12" t="str">
        <f t="shared" si="3414"/>
        <v/>
      </c>
      <c r="AH265" s="12" t="str">
        <f t="shared" si="3415"/>
        <v/>
      </c>
      <c r="AI265" s="12" t="str">
        <f t="shared" si="3416"/>
        <v/>
      </c>
      <c r="AJ265" s="12" t="str">
        <f t="shared" si="3417"/>
        <v/>
      </c>
      <c r="AK265" s="12" t="str">
        <f t="shared" si="3418"/>
        <v/>
      </c>
      <c r="AL265" s="12" t="str">
        <f t="shared" si="3419"/>
        <v/>
      </c>
      <c r="AM265" s="12" t="str">
        <f t="shared" si="3420"/>
        <v/>
      </c>
      <c r="AN265" s="12" t="str">
        <f t="shared" si="3421"/>
        <v/>
      </c>
      <c r="AO265" s="12" t="str">
        <f t="shared" ref="AO265:AS265" si="3423">IF(AO$8="","",AN265)</f>
        <v/>
      </c>
      <c r="AP265" s="12" t="str">
        <f t="shared" si="3423"/>
        <v/>
      </c>
      <c r="AQ265" s="12" t="str">
        <f t="shared" si="3423"/>
        <v/>
      </c>
      <c r="AR265" s="12" t="str">
        <f t="shared" si="3423"/>
        <v/>
      </c>
      <c r="AS265" s="12" t="str">
        <f t="shared" si="3423"/>
        <v/>
      </c>
      <c r="AT265" s="11"/>
    </row>
    <row r="266" spans="1:46" x14ac:dyDescent="0.15">
      <c r="A266" s="7">
        <f>AVERAGE(C267:AS267)*30*100</f>
        <v>183000</v>
      </c>
      <c r="B266" s="9" t="s">
        <v>12</v>
      </c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</row>
    <row r="267" spans="1:46" x14ac:dyDescent="0.15">
      <c r="A267" s="7">
        <f>SUM(C267:AS267)</f>
        <v>610</v>
      </c>
      <c r="B267" s="6" t="s">
        <v>13</v>
      </c>
      <c r="C267" s="5">
        <v>0</v>
      </c>
      <c r="D267" s="5">
        <v>0</v>
      </c>
      <c r="E267" s="5">
        <v>291</v>
      </c>
      <c r="F267" s="5">
        <v>0</v>
      </c>
      <c r="G267" s="5">
        <v>0</v>
      </c>
      <c r="H267" s="5">
        <v>0</v>
      </c>
      <c r="I267" s="5">
        <v>121</v>
      </c>
      <c r="J267" s="5">
        <f t="shared" ref="J267:J268" si="3424">IF(J$8="","",J260-I260)</f>
        <v>0</v>
      </c>
      <c r="K267" s="5">
        <f t="shared" ref="K267:K268" si="3425">IF(K$8="","",K260-J260)</f>
        <v>0</v>
      </c>
      <c r="L267" s="5">
        <f t="shared" ref="L267:L268" si="3426">IF(L$8="","",L260-K260)</f>
        <v>198</v>
      </c>
      <c r="M267" s="5" t="str">
        <f t="shared" ref="M267:M268" si="3427">IF(M$8="","",M260-L260)</f>
        <v/>
      </c>
      <c r="N267" s="5" t="str">
        <f t="shared" ref="N267:N268" si="3428">IF(N$8="","",N260-M260)</f>
        <v/>
      </c>
      <c r="O267" s="5" t="str">
        <f t="shared" ref="O267:O268" si="3429">IF(O$8="","",O260-N260)</f>
        <v/>
      </c>
      <c r="P267" s="5" t="str">
        <f t="shared" ref="P267:P268" si="3430">IF(P$8="","",P260-O260)</f>
        <v/>
      </c>
      <c r="Q267" s="5" t="str">
        <f t="shared" ref="Q267:Q268" si="3431">IF(Q$8="","",Q260-P260)</f>
        <v/>
      </c>
      <c r="R267" s="5" t="str">
        <f t="shared" ref="R267:R268" si="3432">IF(R$8="","",R260-Q260)</f>
        <v/>
      </c>
      <c r="S267" s="5" t="str">
        <f t="shared" ref="S267:S268" si="3433">IF(S$8="","",S260-R260)</f>
        <v/>
      </c>
      <c r="T267" s="5" t="str">
        <f t="shared" ref="T267:T268" si="3434">IF(T$8="","",T260-S260)</f>
        <v/>
      </c>
      <c r="U267" s="5" t="str">
        <f t="shared" ref="U267:U268" si="3435">IF(U$8="","",U260-T260)</f>
        <v/>
      </c>
      <c r="V267" s="5" t="str">
        <f t="shared" ref="V267:V268" si="3436">IF(V$8="","",V260-U260)</f>
        <v/>
      </c>
      <c r="W267" s="5" t="str">
        <f t="shared" ref="W267:W268" si="3437">IF(W$8="","",W260-V260)</f>
        <v/>
      </c>
      <c r="X267" s="5" t="str">
        <f t="shared" ref="X267:X268" si="3438">IF(X$8="","",X260-W260)</f>
        <v/>
      </c>
      <c r="Y267" s="5" t="str">
        <f t="shared" ref="Y267:Y268" si="3439">IF(Y$8="","",Y260-X260)</f>
        <v/>
      </c>
      <c r="Z267" s="5" t="str">
        <f t="shared" ref="Z267:Z268" si="3440">IF(Z$8="","",Z260-Y260)</f>
        <v/>
      </c>
      <c r="AA267" s="5" t="str">
        <f t="shared" ref="AA267:AA268" si="3441">IF(AA$8="","",AA260-Z260)</f>
        <v/>
      </c>
      <c r="AB267" s="5" t="str">
        <f t="shared" ref="AB267:AB268" si="3442">IF(AB$8="","",AB260-AA260)</f>
        <v/>
      </c>
      <c r="AC267" s="5" t="str">
        <f t="shared" ref="AC267:AC268" si="3443">IF(AC$8="","",AC260-AB260)</f>
        <v/>
      </c>
      <c r="AD267" s="5" t="str">
        <f t="shared" ref="AD267:AD268" si="3444">IF(AD$8="","",AD260-AC260)</f>
        <v/>
      </c>
      <c r="AE267" s="5" t="str">
        <f t="shared" ref="AE267:AE268" si="3445">IF(AE$8="","",AE260-AD260)</f>
        <v/>
      </c>
      <c r="AF267" s="5" t="str">
        <f t="shared" ref="AF267:AF268" si="3446">IF(AF$8="","",AF260-AE260)</f>
        <v/>
      </c>
      <c r="AG267" s="5" t="str">
        <f t="shared" ref="AG267:AG268" si="3447">IF(AG$8="","",AG260-AF260)</f>
        <v/>
      </c>
      <c r="AH267" s="5" t="str">
        <f t="shared" ref="AH267:AH268" si="3448">IF(AH$8="","",AH260-AG260)</f>
        <v/>
      </c>
      <c r="AI267" s="5" t="str">
        <f t="shared" ref="AI267:AI268" si="3449">IF(AI$8="","",AI260-AH260)</f>
        <v/>
      </c>
      <c r="AJ267" s="5" t="str">
        <f t="shared" ref="AJ267:AJ268" si="3450">IF(AJ$8="","",AJ260-AI260)</f>
        <v/>
      </c>
      <c r="AK267" s="5" t="str">
        <f t="shared" ref="AK267:AK268" si="3451">IF(AK$8="","",AK260-AJ260)</f>
        <v/>
      </c>
      <c r="AL267" s="5" t="str">
        <f t="shared" ref="AL267:AL268" si="3452">IF(AL$8="","",AL260-AK260)</f>
        <v/>
      </c>
      <c r="AM267" s="5" t="str">
        <f t="shared" ref="AM267:AM268" si="3453">IF(AM$8="","",AM260-AL260)</f>
        <v/>
      </c>
      <c r="AN267" s="5" t="str">
        <f t="shared" ref="AN267:AN268" si="3454">IF(AN$8="","",AN260-AM260)</f>
        <v/>
      </c>
      <c r="AO267" s="5" t="str">
        <f t="shared" ref="AO267:AS267" si="3455">IF(AO$8="","",AO260-AN260)</f>
        <v/>
      </c>
      <c r="AP267" s="5" t="str">
        <f t="shared" si="3455"/>
        <v/>
      </c>
      <c r="AQ267" s="5" t="str">
        <f t="shared" si="3455"/>
        <v/>
      </c>
      <c r="AR267" s="5" t="str">
        <f t="shared" si="3455"/>
        <v/>
      </c>
      <c r="AS267" s="5" t="str">
        <f t="shared" si="3455"/>
        <v/>
      </c>
    </row>
    <row r="268" spans="1:46" x14ac:dyDescent="0.15">
      <c r="A268" s="7">
        <f>SUM(C268:AS268)</f>
        <v>3</v>
      </c>
      <c r="B268" s="6" t="s">
        <v>14</v>
      </c>
      <c r="C268" s="5">
        <v>0</v>
      </c>
      <c r="D268" s="5">
        <v>0</v>
      </c>
      <c r="E268" s="5">
        <v>1</v>
      </c>
      <c r="F268" s="5">
        <v>0</v>
      </c>
      <c r="G268" s="5">
        <v>0</v>
      </c>
      <c r="H268" s="5">
        <v>0</v>
      </c>
      <c r="I268" s="5">
        <v>1</v>
      </c>
      <c r="J268" s="5">
        <f t="shared" si="3424"/>
        <v>0</v>
      </c>
      <c r="K268" s="5">
        <f t="shared" si="3425"/>
        <v>0</v>
      </c>
      <c r="L268" s="5">
        <f t="shared" si="3426"/>
        <v>1</v>
      </c>
      <c r="M268" s="5" t="str">
        <f t="shared" si="3427"/>
        <v/>
      </c>
      <c r="N268" s="5" t="str">
        <f t="shared" si="3428"/>
        <v/>
      </c>
      <c r="O268" s="5" t="str">
        <f t="shared" si="3429"/>
        <v/>
      </c>
      <c r="P268" s="5" t="str">
        <f t="shared" si="3430"/>
        <v/>
      </c>
      <c r="Q268" s="5" t="str">
        <f t="shared" si="3431"/>
        <v/>
      </c>
      <c r="R268" s="5" t="str">
        <f t="shared" si="3432"/>
        <v/>
      </c>
      <c r="S268" s="5" t="str">
        <f t="shared" si="3433"/>
        <v/>
      </c>
      <c r="T268" s="5" t="str">
        <f t="shared" si="3434"/>
        <v/>
      </c>
      <c r="U268" s="5" t="str">
        <f t="shared" si="3435"/>
        <v/>
      </c>
      <c r="V268" s="5" t="str">
        <f t="shared" si="3436"/>
        <v/>
      </c>
      <c r="W268" s="5" t="str">
        <f t="shared" si="3437"/>
        <v/>
      </c>
      <c r="X268" s="5" t="str">
        <f t="shared" si="3438"/>
        <v/>
      </c>
      <c r="Y268" s="5" t="str">
        <f t="shared" si="3439"/>
        <v/>
      </c>
      <c r="Z268" s="5" t="str">
        <f t="shared" si="3440"/>
        <v/>
      </c>
      <c r="AA268" s="5" t="str">
        <f t="shared" si="3441"/>
        <v/>
      </c>
      <c r="AB268" s="5" t="str">
        <f t="shared" si="3442"/>
        <v/>
      </c>
      <c r="AC268" s="5" t="str">
        <f t="shared" si="3443"/>
        <v/>
      </c>
      <c r="AD268" s="5" t="str">
        <f t="shared" si="3444"/>
        <v/>
      </c>
      <c r="AE268" s="5" t="str">
        <f t="shared" si="3445"/>
        <v/>
      </c>
      <c r="AF268" s="5" t="str">
        <f t="shared" si="3446"/>
        <v/>
      </c>
      <c r="AG268" s="5" t="str">
        <f t="shared" si="3447"/>
        <v/>
      </c>
      <c r="AH268" s="5" t="str">
        <f t="shared" si="3448"/>
        <v/>
      </c>
      <c r="AI268" s="5" t="str">
        <f t="shared" si="3449"/>
        <v/>
      </c>
      <c r="AJ268" s="5" t="str">
        <f t="shared" si="3450"/>
        <v/>
      </c>
      <c r="AK268" s="5" t="str">
        <f t="shared" si="3451"/>
        <v/>
      </c>
      <c r="AL268" s="5" t="str">
        <f t="shared" si="3452"/>
        <v/>
      </c>
      <c r="AM268" s="5" t="str">
        <f t="shared" si="3453"/>
        <v/>
      </c>
      <c r="AN268" s="5" t="str">
        <f t="shared" si="3454"/>
        <v/>
      </c>
      <c r="AO268" s="5" t="str">
        <f t="shared" ref="AO268:AS268" si="3456">IF(AO$8="","",AO261-AN261)</f>
        <v/>
      </c>
      <c r="AP268" s="5" t="str">
        <f t="shared" si="3456"/>
        <v/>
      </c>
      <c r="AQ268" s="5" t="str">
        <f t="shared" si="3456"/>
        <v/>
      </c>
      <c r="AR268" s="5" t="str">
        <f t="shared" si="3456"/>
        <v/>
      </c>
      <c r="AS268" s="5" t="str">
        <f t="shared" si="3456"/>
        <v/>
      </c>
    </row>
    <row r="269" spans="1:46" x14ac:dyDescent="0.15">
      <c r="A269" s="7">
        <f>SUM(C269:AS269)</f>
        <v>3</v>
      </c>
      <c r="B269" s="6" t="s">
        <v>15</v>
      </c>
      <c r="C269" s="5">
        <v>0</v>
      </c>
      <c r="D269" s="5">
        <v>0</v>
      </c>
      <c r="E269" s="5">
        <v>1</v>
      </c>
      <c r="F269" s="5">
        <v>0</v>
      </c>
      <c r="G269" s="5">
        <v>0</v>
      </c>
      <c r="H269" s="5">
        <v>0</v>
      </c>
      <c r="I269" s="5">
        <v>1</v>
      </c>
      <c r="J269" s="5">
        <f t="shared" ref="J269" si="3457">IF(J$8="","",I262+I263-J262)</f>
        <v>0</v>
      </c>
      <c r="K269" s="5">
        <f t="shared" ref="K269" si="3458">IF(K$8="","",J262+J263-K262)</f>
        <v>0</v>
      </c>
      <c r="L269" s="5">
        <f t="shared" ref="L269" si="3459">IF(L$8="","",K262+K263-L262)</f>
        <v>1</v>
      </c>
      <c r="M269" s="5" t="str">
        <f t="shared" ref="M269" si="3460">IF(M$8="","",L262+L263-M262)</f>
        <v/>
      </c>
      <c r="N269" s="5" t="str">
        <f t="shared" ref="N269" si="3461">IF(N$8="","",M262+M263-N262)</f>
        <v/>
      </c>
      <c r="O269" s="5" t="str">
        <f t="shared" ref="O269" si="3462">IF(O$8="","",N262+N263-O262)</f>
        <v/>
      </c>
      <c r="P269" s="5" t="str">
        <f t="shared" ref="P269" si="3463">IF(P$8="","",O262+O263-P262)</f>
        <v/>
      </c>
      <c r="Q269" s="5" t="str">
        <f t="shared" ref="Q269" si="3464">IF(Q$8="","",P262+P263-Q262)</f>
        <v/>
      </c>
      <c r="R269" s="5" t="str">
        <f t="shared" ref="R269" si="3465">IF(R$8="","",Q262+Q263-R262)</f>
        <v/>
      </c>
      <c r="S269" s="5" t="str">
        <f t="shared" ref="S269" si="3466">IF(S$8="","",R262+R263-S262)</f>
        <v/>
      </c>
      <c r="T269" s="5" t="str">
        <f t="shared" ref="T269" si="3467">IF(T$8="","",S262+S263-T262)</f>
        <v/>
      </c>
      <c r="U269" s="5" t="str">
        <f t="shared" ref="U269" si="3468">IF(U$8="","",T262+T263-U262)</f>
        <v/>
      </c>
      <c r="V269" s="5" t="str">
        <f t="shared" ref="V269" si="3469">IF(V$8="","",U262+U263-V262)</f>
        <v/>
      </c>
      <c r="W269" s="5" t="str">
        <f t="shared" ref="W269" si="3470">IF(W$8="","",V262+V263-W262)</f>
        <v/>
      </c>
      <c r="X269" s="5" t="str">
        <f t="shared" ref="X269" si="3471">IF(X$8="","",W262+W263-X262)</f>
        <v/>
      </c>
      <c r="Y269" s="5" t="str">
        <f t="shared" ref="Y269" si="3472">IF(Y$8="","",X262+X263-Y262)</f>
        <v/>
      </c>
      <c r="Z269" s="5" t="str">
        <f t="shared" ref="Z269" si="3473">IF(Z$8="","",Y262+Y263-Z262)</f>
        <v/>
      </c>
      <c r="AA269" s="5" t="str">
        <f t="shared" ref="AA269" si="3474">IF(AA$8="","",Z262+Z263-AA262)</f>
        <v/>
      </c>
      <c r="AB269" s="5" t="str">
        <f t="shared" ref="AB269" si="3475">IF(AB$8="","",AA262+AA263-AB262)</f>
        <v/>
      </c>
      <c r="AC269" s="5" t="str">
        <f t="shared" ref="AC269" si="3476">IF(AC$8="","",AB262+AB263-AC262)</f>
        <v/>
      </c>
      <c r="AD269" s="5" t="str">
        <f t="shared" ref="AD269" si="3477">IF(AD$8="","",AC262+AC263-AD262)</f>
        <v/>
      </c>
      <c r="AE269" s="5" t="str">
        <f t="shared" ref="AE269" si="3478">IF(AE$8="","",AD262+AD263-AE262)</f>
        <v/>
      </c>
      <c r="AF269" s="5" t="str">
        <f t="shared" ref="AF269" si="3479">IF(AF$8="","",AE262+AE263-AF262)</f>
        <v/>
      </c>
      <c r="AG269" s="5" t="str">
        <f t="shared" ref="AG269" si="3480">IF(AG$8="","",AF262+AF263-AG262)</f>
        <v/>
      </c>
      <c r="AH269" s="5" t="str">
        <f t="shared" ref="AH269" si="3481">IF(AH$8="","",AG262+AG263-AH262)</f>
        <v/>
      </c>
      <c r="AI269" s="5" t="str">
        <f t="shared" ref="AI269" si="3482">IF(AI$8="","",AH262+AH263-AI262)</f>
        <v/>
      </c>
      <c r="AJ269" s="5" t="str">
        <f t="shared" ref="AJ269" si="3483">IF(AJ$8="","",AI262+AI263-AJ262)</f>
        <v/>
      </c>
      <c r="AK269" s="5" t="str">
        <f t="shared" ref="AK269" si="3484">IF(AK$8="","",AJ262+AJ263-AK262)</f>
        <v/>
      </c>
      <c r="AL269" s="5" t="str">
        <f t="shared" ref="AL269" si="3485">IF(AL$8="","",AK262+AK263-AL262)</f>
        <v/>
      </c>
      <c r="AM269" s="5" t="str">
        <f t="shared" ref="AM269" si="3486">IF(AM$8="","",AL262+AL263-AM262)</f>
        <v/>
      </c>
      <c r="AN269" s="5" t="str">
        <f t="shared" ref="AN269" si="3487">IF(AN$8="","",AM262+AM263-AN262)</f>
        <v/>
      </c>
      <c r="AO269" s="5" t="str">
        <f t="shared" ref="AO269:AS269" si="3488">IF(AO$8="","",AN262+AN263-AO262)</f>
        <v/>
      </c>
      <c r="AP269" s="5" t="str">
        <f t="shared" si="3488"/>
        <v/>
      </c>
      <c r="AQ269" s="5" t="str">
        <f t="shared" si="3488"/>
        <v/>
      </c>
      <c r="AR269" s="5" t="str">
        <f t="shared" si="3488"/>
        <v/>
      </c>
      <c r="AS269" s="5" t="str">
        <f t="shared" si="3488"/>
        <v/>
      </c>
    </row>
    <row r="270" spans="1:46" x14ac:dyDescent="0.15">
      <c r="A270" s="7">
        <f>SUM(C270:AS270)</f>
        <v>4500</v>
      </c>
      <c r="B270" s="6" t="s">
        <v>16</v>
      </c>
      <c r="C270" s="5">
        <v>0</v>
      </c>
      <c r="D270" s="5">
        <v>0</v>
      </c>
      <c r="E270" s="5">
        <v>1500</v>
      </c>
      <c r="F270" s="5">
        <v>0</v>
      </c>
      <c r="G270" s="5">
        <v>0</v>
      </c>
      <c r="H270" s="5">
        <v>0</v>
      </c>
      <c r="I270" s="5">
        <v>1500</v>
      </c>
      <c r="J270" s="5">
        <f t="shared" ref="H270:AM270" si="3489">IF(J$8="","",J269*J264)</f>
        <v>0</v>
      </c>
      <c r="K270" s="5">
        <f t="shared" si="3489"/>
        <v>0</v>
      </c>
      <c r="L270" s="5">
        <f t="shared" si="3489"/>
        <v>1500</v>
      </c>
      <c r="M270" s="5" t="str">
        <f t="shared" si="3489"/>
        <v/>
      </c>
      <c r="N270" s="5" t="str">
        <f t="shared" si="3489"/>
        <v/>
      </c>
      <c r="O270" s="5" t="str">
        <f t="shared" si="3489"/>
        <v/>
      </c>
      <c r="P270" s="5" t="str">
        <f t="shared" si="3489"/>
        <v/>
      </c>
      <c r="Q270" s="5" t="str">
        <f t="shared" si="3489"/>
        <v/>
      </c>
      <c r="R270" s="5" t="str">
        <f t="shared" si="3489"/>
        <v/>
      </c>
      <c r="S270" s="5" t="str">
        <f t="shared" si="3489"/>
        <v/>
      </c>
      <c r="T270" s="5" t="str">
        <f t="shared" si="3489"/>
        <v/>
      </c>
      <c r="U270" s="5" t="str">
        <f t="shared" si="3489"/>
        <v/>
      </c>
      <c r="V270" s="5" t="str">
        <f t="shared" si="3489"/>
        <v/>
      </c>
      <c r="W270" s="5" t="str">
        <f t="shared" si="3489"/>
        <v/>
      </c>
      <c r="X270" s="5" t="str">
        <f t="shared" si="3489"/>
        <v/>
      </c>
      <c r="Y270" s="5" t="str">
        <f t="shared" si="3489"/>
        <v/>
      </c>
      <c r="Z270" s="5" t="str">
        <f t="shared" si="3489"/>
        <v/>
      </c>
      <c r="AA270" s="5" t="str">
        <f t="shared" si="3489"/>
        <v/>
      </c>
      <c r="AB270" s="5" t="str">
        <f t="shared" si="3489"/>
        <v/>
      </c>
      <c r="AC270" s="5" t="str">
        <f t="shared" si="3489"/>
        <v/>
      </c>
      <c r="AD270" s="5" t="str">
        <f t="shared" si="3489"/>
        <v/>
      </c>
      <c r="AE270" s="5" t="str">
        <f t="shared" si="3489"/>
        <v/>
      </c>
      <c r="AF270" s="5" t="str">
        <f t="shared" si="3489"/>
        <v/>
      </c>
      <c r="AG270" s="5" t="str">
        <f t="shared" si="3489"/>
        <v/>
      </c>
      <c r="AH270" s="5" t="str">
        <f t="shared" si="3489"/>
        <v/>
      </c>
      <c r="AI270" s="5" t="str">
        <f t="shared" si="3489"/>
        <v/>
      </c>
      <c r="AJ270" s="5" t="str">
        <f t="shared" si="3489"/>
        <v/>
      </c>
      <c r="AK270" s="5" t="str">
        <f t="shared" si="3489"/>
        <v/>
      </c>
      <c r="AL270" s="5" t="str">
        <f t="shared" si="3489"/>
        <v/>
      </c>
      <c r="AM270" s="5" t="str">
        <f t="shared" si="3489"/>
        <v/>
      </c>
      <c r="AN270" s="5" t="str">
        <f t="shared" ref="D270:AN270" si="3490">IF(AN$8="","",AN269*AN264)</f>
        <v/>
      </c>
      <c r="AO270" s="5" t="str">
        <f t="shared" ref="AO270:AS270" si="3491">IF(AO$8="","",AO269*AO264)</f>
        <v/>
      </c>
      <c r="AP270" s="5" t="str">
        <f t="shared" si="3491"/>
        <v/>
      </c>
      <c r="AQ270" s="5" t="str">
        <f t="shared" si="3491"/>
        <v/>
      </c>
      <c r="AR270" s="5" t="str">
        <f t="shared" si="3491"/>
        <v/>
      </c>
      <c r="AS270" s="5" t="str">
        <f t="shared" si="3491"/>
        <v/>
      </c>
    </row>
    <row r="271" spans="1:46" ht="12" thickBot="1" x14ac:dyDescent="0.2">
      <c r="A271" s="4">
        <f>IF(A270="","",A270/(A267*100))</f>
        <v>7.3770491803278687E-2</v>
      </c>
      <c r="B271" s="3" t="s">
        <v>18</v>
      </c>
      <c r="C271" s="2" t="s">
        <v>19</v>
      </c>
      <c r="D271" s="2" t="s">
        <v>19</v>
      </c>
      <c r="E271" s="2">
        <v>5.1546391752577317E-2</v>
      </c>
      <c r="F271" s="2" t="s">
        <v>19</v>
      </c>
      <c r="G271" s="2" t="s">
        <v>19</v>
      </c>
      <c r="H271" s="2" t="s">
        <v>19</v>
      </c>
      <c r="I271" s="2">
        <v>0.12396694214876033</v>
      </c>
      <c r="J271" s="2" t="str">
        <f t="shared" ref="H271:AM271" si="3492">IF(J$8="","",IF(J270=0,"",J270/(J267*100)))</f>
        <v/>
      </c>
      <c r="K271" s="2" t="str">
        <f t="shared" si="3492"/>
        <v/>
      </c>
      <c r="L271" s="2">
        <f t="shared" si="3492"/>
        <v>7.575757575757576E-2</v>
      </c>
      <c r="M271" s="2" t="str">
        <f t="shared" si="3492"/>
        <v/>
      </c>
      <c r="N271" s="2" t="str">
        <f t="shared" si="3492"/>
        <v/>
      </c>
      <c r="O271" s="2" t="str">
        <f t="shared" si="3492"/>
        <v/>
      </c>
      <c r="P271" s="2" t="str">
        <f t="shared" si="3492"/>
        <v/>
      </c>
      <c r="Q271" s="2" t="str">
        <f t="shared" si="3492"/>
        <v/>
      </c>
      <c r="R271" s="2" t="str">
        <f t="shared" si="3492"/>
        <v/>
      </c>
      <c r="S271" s="2" t="str">
        <f t="shared" si="3492"/>
        <v/>
      </c>
      <c r="T271" s="2" t="str">
        <f t="shared" si="3492"/>
        <v/>
      </c>
      <c r="U271" s="2" t="str">
        <f t="shared" si="3492"/>
        <v/>
      </c>
      <c r="V271" s="2" t="str">
        <f t="shared" si="3492"/>
        <v/>
      </c>
      <c r="W271" s="2" t="str">
        <f t="shared" si="3492"/>
        <v/>
      </c>
      <c r="X271" s="2" t="str">
        <f t="shared" si="3492"/>
        <v/>
      </c>
      <c r="Y271" s="2" t="str">
        <f t="shared" si="3492"/>
        <v/>
      </c>
      <c r="Z271" s="2" t="str">
        <f t="shared" si="3492"/>
        <v/>
      </c>
      <c r="AA271" s="2" t="str">
        <f t="shared" si="3492"/>
        <v/>
      </c>
      <c r="AB271" s="2" t="str">
        <f t="shared" si="3492"/>
        <v/>
      </c>
      <c r="AC271" s="2" t="str">
        <f t="shared" si="3492"/>
        <v/>
      </c>
      <c r="AD271" s="2" t="str">
        <f t="shared" si="3492"/>
        <v/>
      </c>
      <c r="AE271" s="2" t="str">
        <f t="shared" si="3492"/>
        <v/>
      </c>
      <c r="AF271" s="2" t="str">
        <f t="shared" si="3492"/>
        <v/>
      </c>
      <c r="AG271" s="2" t="str">
        <f t="shared" si="3492"/>
        <v/>
      </c>
      <c r="AH271" s="2" t="str">
        <f t="shared" si="3492"/>
        <v/>
      </c>
      <c r="AI271" s="2" t="str">
        <f t="shared" si="3492"/>
        <v/>
      </c>
      <c r="AJ271" s="2" t="str">
        <f t="shared" si="3492"/>
        <v/>
      </c>
      <c r="AK271" s="2" t="str">
        <f t="shared" si="3492"/>
        <v/>
      </c>
      <c r="AL271" s="2" t="str">
        <f t="shared" si="3492"/>
        <v/>
      </c>
      <c r="AM271" s="2" t="str">
        <f t="shared" si="3492"/>
        <v/>
      </c>
      <c r="AN271" s="2" t="str">
        <f t="shared" ref="D271:AN271" si="3493">IF(AN$8="","",IF(AN270=0,"",AN270/(AN267*100)))</f>
        <v/>
      </c>
      <c r="AO271" s="2" t="str">
        <f t="shared" ref="AO271:AS271" si="3494">IF(AO$8="","",IF(AO270=0,"",AO270/(AO267*100)))</f>
        <v/>
      </c>
      <c r="AP271" s="2" t="str">
        <f t="shared" si="3494"/>
        <v/>
      </c>
      <c r="AQ271" s="2" t="str">
        <f t="shared" si="3494"/>
        <v/>
      </c>
      <c r="AR271" s="2" t="str">
        <f t="shared" si="3494"/>
        <v/>
      </c>
      <c r="AS271" s="2" t="str">
        <f t="shared" si="3494"/>
        <v/>
      </c>
    </row>
    <row r="272" spans="1:46" customFormat="1" ht="15" x14ac:dyDescent="0.2">
      <c r="A272" s="363"/>
    </row>
  </sheetData>
  <phoneticPr fontId="2"/>
  <conditionalFormatting sqref="A19">
    <cfRule type="cellIs" dxfId="116" priority="33" operator="greaterThan">
      <formula>0.25</formula>
    </cfRule>
  </conditionalFormatting>
  <conditionalFormatting sqref="A31">
    <cfRule type="cellIs" dxfId="115" priority="80" operator="greaterThan">
      <formula>0.25</formula>
    </cfRule>
  </conditionalFormatting>
  <conditionalFormatting sqref="A43">
    <cfRule type="cellIs" dxfId="114" priority="81" operator="greaterThan">
      <formula>0.25</formula>
    </cfRule>
  </conditionalFormatting>
  <conditionalFormatting sqref="A55">
    <cfRule type="cellIs" dxfId="113" priority="82" operator="greaterThan">
      <formula>0.25</formula>
    </cfRule>
  </conditionalFormatting>
  <conditionalFormatting sqref="A67">
    <cfRule type="cellIs" dxfId="112" priority="34" operator="greaterThan">
      <formula>0.25</formula>
    </cfRule>
  </conditionalFormatting>
  <conditionalFormatting sqref="A79">
    <cfRule type="cellIs" dxfId="111" priority="84" operator="greaterThan">
      <formula>0.25</formula>
    </cfRule>
  </conditionalFormatting>
  <conditionalFormatting sqref="A91">
    <cfRule type="cellIs" dxfId="110" priority="22" operator="greaterThan">
      <formula>0.25</formula>
    </cfRule>
  </conditionalFormatting>
  <conditionalFormatting sqref="A103">
    <cfRule type="cellIs" dxfId="109" priority="85" operator="greaterThan">
      <formula>0.25</formula>
    </cfRule>
  </conditionalFormatting>
  <conditionalFormatting sqref="A115">
    <cfRule type="cellIs" dxfId="108" priority="35" operator="greaterThan">
      <formula>0.25</formula>
    </cfRule>
  </conditionalFormatting>
  <conditionalFormatting sqref="A127">
    <cfRule type="cellIs" dxfId="107" priority="87" operator="greaterThan">
      <formula>0.25</formula>
    </cfRule>
  </conditionalFormatting>
  <conditionalFormatting sqref="A139">
    <cfRule type="cellIs" dxfId="106" priority="88" operator="greaterThan">
      <formula>0.25</formula>
    </cfRule>
  </conditionalFormatting>
  <conditionalFormatting sqref="A151">
    <cfRule type="cellIs" dxfId="105" priority="89" operator="greaterThan">
      <formula>0.25</formula>
    </cfRule>
  </conditionalFormatting>
  <conditionalFormatting sqref="A163">
    <cfRule type="cellIs" dxfId="104" priority="36" operator="greaterThan">
      <formula>0.25</formula>
    </cfRule>
  </conditionalFormatting>
  <conditionalFormatting sqref="A175">
    <cfRule type="cellIs" dxfId="103" priority="90" operator="greaterThan">
      <formula>0.25</formula>
    </cfRule>
  </conditionalFormatting>
  <conditionalFormatting sqref="A187">
    <cfRule type="cellIs" dxfId="102" priority="91" operator="greaterThan">
      <formula>0.25</formula>
    </cfRule>
  </conditionalFormatting>
  <conditionalFormatting sqref="A199">
    <cfRule type="cellIs" dxfId="101" priority="92" operator="greaterThan">
      <formula>0.25</formula>
    </cfRule>
  </conditionalFormatting>
  <conditionalFormatting sqref="A211">
    <cfRule type="cellIs" dxfId="100" priority="37" operator="greaterThan">
      <formula>0.25</formula>
    </cfRule>
  </conditionalFormatting>
  <conditionalFormatting sqref="A223">
    <cfRule type="cellIs" dxfId="99" priority="93" operator="greaterThan">
      <formula>0.25</formula>
    </cfRule>
  </conditionalFormatting>
  <conditionalFormatting sqref="A235">
    <cfRule type="cellIs" dxfId="98" priority="94" operator="greaterThan">
      <formula>0.25</formula>
    </cfRule>
  </conditionalFormatting>
  <conditionalFormatting sqref="A247">
    <cfRule type="cellIs" dxfId="97" priority="95" operator="greaterThan">
      <formula>0.25</formula>
    </cfRule>
  </conditionalFormatting>
  <conditionalFormatting sqref="A259">
    <cfRule type="cellIs" dxfId="96" priority="1" operator="greaterThan">
      <formula>0.25</formula>
    </cfRule>
  </conditionalFormatting>
  <conditionalFormatting sqref="A271">
    <cfRule type="cellIs" dxfId="95" priority="2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613C-1169-42CD-AC18-4869BCA76ACB}">
  <dimension ref="A1:AT247"/>
  <sheetViews>
    <sheetView zoomScale="130" zoomScaleNormal="130" zoomScaleSheetLayoutView="100" workbookViewId="0">
      <pane xSplit="2" ySplit="1" topLeftCell="U54" activePane="bottomRight" state="frozen"/>
      <selection pane="bottomLeft" activeCell="A3" sqref="A3"/>
      <selection pane="topRight" activeCell="C1" sqref="C1"/>
      <selection pane="bottomRight" activeCell="W72" sqref="W72"/>
    </sheetView>
  </sheetViews>
  <sheetFormatPr defaultColWidth="8.875" defaultRowHeight="15" x14ac:dyDescent="0.2"/>
  <cols>
    <col min="3" max="3" width="7.80078125" customWidth="1"/>
    <col min="4" max="40" width="8.875" bestFit="1" customWidth="1"/>
  </cols>
  <sheetData>
    <row r="1" spans="1:45" s="84" customFormat="1" ht="11.25" x14ac:dyDescent="0.15">
      <c r="A1" s="349">
        <f>SUM(A62,A74,A86,A98,A14,A26,A38,A50,A206,A218,A230,A242,A110,A122,A134,A146,A158,A170,A182,A194,A253,A265)</f>
        <v>1034700</v>
      </c>
      <c r="B1" s="47" t="s">
        <v>0</v>
      </c>
      <c r="C1" s="362">
        <v>46157</v>
      </c>
      <c r="D1" s="46">
        <v>46158</v>
      </c>
      <c r="E1" s="46">
        <v>46159</v>
      </c>
      <c r="F1" s="46">
        <v>46160</v>
      </c>
      <c r="G1" s="46">
        <v>46161</v>
      </c>
      <c r="H1" s="46">
        <v>46162</v>
      </c>
      <c r="I1" s="46">
        <v>46163</v>
      </c>
      <c r="J1" s="46">
        <f t="shared" ref="J1" si="0">I1+1</f>
        <v>46164</v>
      </c>
      <c r="K1" s="46">
        <f t="shared" ref="K1" si="1">J1+1</f>
        <v>46165</v>
      </c>
      <c r="L1" s="46">
        <f t="shared" ref="L1" si="2">K1+1</f>
        <v>46166</v>
      </c>
      <c r="M1" s="46">
        <f t="shared" ref="M1" si="3">L1+1</f>
        <v>46167</v>
      </c>
      <c r="N1" s="46">
        <f t="shared" ref="N1" si="4">M1+1</f>
        <v>46168</v>
      </c>
      <c r="O1" s="46">
        <f t="shared" ref="O1" si="5">N1+1</f>
        <v>46169</v>
      </c>
      <c r="P1" s="46">
        <f t="shared" ref="P1" si="6">O1+1</f>
        <v>46170</v>
      </c>
      <c r="Q1" s="46">
        <f t="shared" ref="Q1" si="7">P1+1</f>
        <v>46171</v>
      </c>
      <c r="R1" s="46">
        <f t="shared" ref="R1" si="8">Q1+1</f>
        <v>46172</v>
      </c>
      <c r="S1" s="46">
        <f t="shared" ref="S1" si="9">R1+1</f>
        <v>46173</v>
      </c>
      <c r="T1" s="46">
        <f t="shared" ref="T1" si="10">S1+1</f>
        <v>46174</v>
      </c>
      <c r="U1" s="46">
        <f t="shared" ref="U1" si="11">T1+1</f>
        <v>46175</v>
      </c>
      <c r="V1" s="46">
        <f t="shared" ref="V1" si="12">U1+1</f>
        <v>46176</v>
      </c>
      <c r="W1" s="46">
        <f t="shared" ref="W1" si="13">V1+1</f>
        <v>46177</v>
      </c>
      <c r="X1" s="46">
        <f t="shared" ref="X1" si="14">W1+1</f>
        <v>46178</v>
      </c>
      <c r="Y1" s="46">
        <f t="shared" ref="Y1" si="15">X1+1</f>
        <v>46179</v>
      </c>
      <c r="Z1" s="46">
        <f t="shared" ref="Z1" si="16">Y1+1</f>
        <v>46180</v>
      </c>
      <c r="AA1" s="46">
        <f t="shared" ref="AA1" si="17">Z1+1</f>
        <v>46181</v>
      </c>
      <c r="AB1" s="46">
        <f t="shared" ref="AB1" si="18">AA1+1</f>
        <v>46182</v>
      </c>
      <c r="AC1" s="46">
        <f t="shared" ref="AC1" si="19">AB1+1</f>
        <v>46183</v>
      </c>
      <c r="AD1" s="46">
        <f t="shared" ref="AD1" si="20">AC1+1</f>
        <v>46184</v>
      </c>
      <c r="AE1" s="46">
        <f t="shared" ref="AE1" si="21">AD1+1</f>
        <v>46185</v>
      </c>
      <c r="AF1" s="46">
        <f t="shared" ref="AF1" si="22">AE1+1</f>
        <v>46186</v>
      </c>
      <c r="AG1" s="46">
        <f t="shared" ref="AG1" si="23">AF1+1</f>
        <v>46187</v>
      </c>
      <c r="AH1" s="46">
        <f t="shared" ref="AH1" si="24">AG1+1</f>
        <v>46188</v>
      </c>
      <c r="AI1" s="46">
        <f t="shared" ref="AI1" si="25">AH1+1</f>
        <v>46189</v>
      </c>
      <c r="AJ1" s="46">
        <f t="shared" ref="AJ1" si="26">AI1+1</f>
        <v>46190</v>
      </c>
      <c r="AK1" s="46">
        <f t="shared" ref="AK1" si="27">AJ1+1</f>
        <v>46191</v>
      </c>
      <c r="AL1" s="46">
        <f t="shared" ref="AL1" si="28">AK1+1</f>
        <v>46192</v>
      </c>
      <c r="AM1" s="46">
        <f t="shared" ref="AM1" si="29">AL1+1</f>
        <v>46193</v>
      </c>
      <c r="AN1" s="46">
        <f t="shared" ref="AN1" si="30">AM1+1</f>
        <v>46194</v>
      </c>
      <c r="AO1" s="46">
        <f t="shared" ref="AO1:AS1" si="31">AN1+1</f>
        <v>46195</v>
      </c>
      <c r="AP1" s="46">
        <f t="shared" si="31"/>
        <v>46196</v>
      </c>
      <c r="AQ1" s="46">
        <f t="shared" si="31"/>
        <v>46197</v>
      </c>
      <c r="AR1" s="46">
        <f t="shared" si="31"/>
        <v>46198</v>
      </c>
      <c r="AS1" s="46">
        <f t="shared" si="31"/>
        <v>46199</v>
      </c>
    </row>
    <row r="2" spans="1:45" s="390" customFormat="1" ht="11.25" x14ac:dyDescent="0.15">
      <c r="B2" s="389">
        <f>SUM(C2:AO2)</f>
        <v>3449</v>
      </c>
      <c r="C2" s="103">
        <v>0</v>
      </c>
      <c r="D2" s="43">
        <v>0</v>
      </c>
      <c r="E2" s="43">
        <v>1209</v>
      </c>
      <c r="F2" s="43">
        <v>0</v>
      </c>
      <c r="G2" s="43">
        <v>0</v>
      </c>
      <c r="H2" s="43">
        <v>0</v>
      </c>
      <c r="I2" s="43">
        <v>967</v>
      </c>
      <c r="J2" s="43">
        <f t="shared" ref="D2:AS2" si="32">SUM(J15,J27,J39,J51,J63,J75,J87,J99,J111,J123,J135,J147,J159,J171,J183,J195,J207,J219,J231,J243)</f>
        <v>0</v>
      </c>
      <c r="K2" s="43">
        <f t="shared" si="32"/>
        <v>0</v>
      </c>
      <c r="L2" s="43">
        <f t="shared" si="32"/>
        <v>1273</v>
      </c>
      <c r="M2" s="43">
        <f t="shared" si="32"/>
        <v>0</v>
      </c>
      <c r="N2" s="43">
        <f t="shared" si="32"/>
        <v>0</v>
      </c>
      <c r="O2" s="43">
        <f t="shared" si="32"/>
        <v>0</v>
      </c>
      <c r="P2" s="43">
        <f t="shared" si="32"/>
        <v>0</v>
      </c>
      <c r="Q2" s="43">
        <f t="shared" si="32"/>
        <v>0</v>
      </c>
      <c r="R2" s="43">
        <f t="shared" si="32"/>
        <v>0</v>
      </c>
      <c r="S2" s="43">
        <f t="shared" si="32"/>
        <v>0</v>
      </c>
      <c r="T2" s="43">
        <f t="shared" si="32"/>
        <v>0</v>
      </c>
      <c r="U2" s="43">
        <f t="shared" si="32"/>
        <v>0</v>
      </c>
      <c r="V2" s="43">
        <f t="shared" si="32"/>
        <v>0</v>
      </c>
      <c r="W2" s="43">
        <f t="shared" si="32"/>
        <v>0</v>
      </c>
      <c r="X2" s="43">
        <f t="shared" si="32"/>
        <v>0</v>
      </c>
      <c r="Y2" s="43">
        <f t="shared" si="32"/>
        <v>0</v>
      </c>
      <c r="Z2" s="43">
        <f t="shared" si="32"/>
        <v>0</v>
      </c>
      <c r="AA2" s="43">
        <f t="shared" si="32"/>
        <v>0</v>
      </c>
      <c r="AB2" s="43">
        <f t="shared" si="32"/>
        <v>0</v>
      </c>
      <c r="AC2" s="43">
        <f t="shared" si="32"/>
        <v>0</v>
      </c>
      <c r="AD2" s="43">
        <f t="shared" si="32"/>
        <v>0</v>
      </c>
      <c r="AE2" s="43">
        <f t="shared" si="32"/>
        <v>0</v>
      </c>
      <c r="AF2" s="43">
        <f t="shared" si="32"/>
        <v>0</v>
      </c>
      <c r="AG2" s="43">
        <f t="shared" si="32"/>
        <v>0</v>
      </c>
      <c r="AH2" s="43">
        <f t="shared" si="32"/>
        <v>0</v>
      </c>
      <c r="AI2" s="43">
        <f t="shared" si="32"/>
        <v>0</v>
      </c>
      <c r="AJ2" s="43">
        <f t="shared" si="32"/>
        <v>0</v>
      </c>
      <c r="AK2" s="43">
        <f t="shared" si="32"/>
        <v>0</v>
      </c>
      <c r="AL2" s="43">
        <f t="shared" si="32"/>
        <v>0</v>
      </c>
      <c r="AM2" s="43">
        <f t="shared" si="32"/>
        <v>0</v>
      </c>
      <c r="AN2" s="43">
        <f t="shared" si="32"/>
        <v>0</v>
      </c>
      <c r="AO2" s="43">
        <f t="shared" si="32"/>
        <v>0</v>
      </c>
      <c r="AP2" s="43">
        <f t="shared" si="32"/>
        <v>0</v>
      </c>
      <c r="AQ2" s="43">
        <f t="shared" si="32"/>
        <v>0</v>
      </c>
      <c r="AR2" s="43">
        <f t="shared" si="32"/>
        <v>0</v>
      </c>
      <c r="AS2" s="43">
        <f t="shared" si="32"/>
        <v>0</v>
      </c>
    </row>
    <row r="3" spans="1:45" s="388" customFormat="1" ht="11.25" x14ac:dyDescent="0.15">
      <c r="A3" s="385" t="s">
        <v>342</v>
      </c>
      <c r="B3" s="386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7"/>
      <c r="AJ3" s="387"/>
      <c r="AK3" s="387"/>
      <c r="AL3" s="387"/>
      <c r="AM3" s="387"/>
      <c r="AN3" s="387"/>
      <c r="AO3" s="387"/>
      <c r="AP3" s="387"/>
      <c r="AQ3" s="387"/>
      <c r="AR3" s="387"/>
      <c r="AS3" s="387"/>
    </row>
    <row r="4" spans="1:45" s="388" customFormat="1" ht="11.25" x14ac:dyDescent="0.15">
      <c r="A4" s="385" t="s">
        <v>343</v>
      </c>
      <c r="B4" s="386"/>
      <c r="C4" s="387"/>
      <c r="D4" s="387"/>
      <c r="E4" s="387"/>
      <c r="F4" s="387"/>
      <c r="G4" s="387"/>
      <c r="H4" s="387"/>
      <c r="I4" s="387"/>
      <c r="J4" s="387"/>
      <c r="K4" s="387"/>
      <c r="L4" s="387"/>
      <c r="M4" s="387"/>
      <c r="N4" s="387"/>
      <c r="O4" s="387"/>
      <c r="P4" s="387"/>
      <c r="Q4" s="387"/>
      <c r="R4" s="387"/>
      <c r="S4" s="387"/>
      <c r="T4" s="387"/>
      <c r="U4" s="387"/>
      <c r="V4" s="387"/>
      <c r="W4" s="387"/>
      <c r="X4" s="387"/>
      <c r="Y4" s="387"/>
      <c r="Z4" s="387"/>
      <c r="AA4" s="387"/>
      <c r="AB4" s="387"/>
      <c r="AC4" s="387"/>
      <c r="AD4" s="387"/>
      <c r="AE4" s="387"/>
      <c r="AF4" s="387"/>
      <c r="AG4" s="387"/>
      <c r="AH4" s="387"/>
      <c r="AI4" s="387"/>
      <c r="AJ4" s="387"/>
      <c r="AK4" s="387"/>
      <c r="AL4" s="387"/>
      <c r="AM4" s="387"/>
      <c r="AN4" s="387"/>
      <c r="AO4" s="387"/>
      <c r="AP4" s="387"/>
      <c r="AQ4" s="387"/>
      <c r="AR4" s="387"/>
      <c r="AS4" s="387"/>
    </row>
    <row r="5" spans="1:45" s="388" customFormat="1" ht="11.25" x14ac:dyDescent="0.15">
      <c r="A5" s="385" t="s">
        <v>344</v>
      </c>
      <c r="B5" s="386"/>
      <c r="C5" s="387"/>
      <c r="D5" s="387"/>
      <c r="E5" s="387">
        <v>1227</v>
      </c>
      <c r="F5" s="387"/>
      <c r="G5" s="387"/>
      <c r="H5" s="387"/>
      <c r="I5" s="387">
        <v>2120</v>
      </c>
      <c r="J5" s="387"/>
      <c r="K5" s="387"/>
      <c r="L5" s="387">
        <v>3310</v>
      </c>
      <c r="M5" s="387"/>
      <c r="N5" s="387"/>
      <c r="O5" s="387"/>
      <c r="P5" s="387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  <c r="AK5" s="387"/>
      <c r="AL5" s="387"/>
      <c r="AM5" s="387"/>
      <c r="AN5" s="387"/>
      <c r="AO5" s="387"/>
      <c r="AP5" s="387"/>
      <c r="AQ5" s="387"/>
      <c r="AR5" s="387"/>
      <c r="AS5" s="387"/>
    </row>
    <row r="6" spans="1:45" s="388" customFormat="1" ht="11.25" x14ac:dyDescent="0.15">
      <c r="A6" s="385" t="s">
        <v>345</v>
      </c>
      <c r="B6" s="386"/>
      <c r="C6" s="387"/>
      <c r="D6" s="387"/>
      <c r="E6" s="387">
        <v>105</v>
      </c>
      <c r="F6" s="387"/>
      <c r="G6" s="387"/>
      <c r="H6" s="387"/>
      <c r="I6" s="387">
        <v>174</v>
      </c>
      <c r="J6" s="387"/>
      <c r="K6" s="387"/>
      <c r="L6" s="387">
        <v>265</v>
      </c>
      <c r="M6" s="387"/>
      <c r="N6" s="387"/>
      <c r="O6" s="387"/>
      <c r="P6" s="387"/>
      <c r="Q6" s="387"/>
      <c r="R6" s="387"/>
      <c r="S6" s="387"/>
      <c r="T6" s="387"/>
      <c r="U6" s="387"/>
      <c r="V6" s="387"/>
      <c r="W6" s="387"/>
      <c r="X6" s="387"/>
      <c r="Y6" s="387"/>
      <c r="Z6" s="387"/>
      <c r="AA6" s="387"/>
      <c r="AB6" s="387"/>
      <c r="AC6" s="387"/>
      <c r="AD6" s="387"/>
      <c r="AE6" s="387"/>
      <c r="AF6" s="387"/>
      <c r="AG6" s="387"/>
      <c r="AH6" s="387"/>
      <c r="AI6" s="387"/>
      <c r="AJ6" s="387"/>
      <c r="AK6" s="387"/>
      <c r="AL6" s="387"/>
      <c r="AM6" s="387"/>
      <c r="AN6" s="387"/>
      <c r="AO6" s="387"/>
      <c r="AP6" s="387"/>
      <c r="AQ6" s="387"/>
      <c r="AR6" s="387"/>
      <c r="AS6" s="387"/>
    </row>
    <row r="7" spans="1:45" s="388" customFormat="1" ht="12" thickBot="1" x14ac:dyDescent="0.2">
      <c r="A7" s="385" t="s">
        <v>346</v>
      </c>
      <c r="B7" s="386"/>
      <c r="C7" s="387"/>
      <c r="D7" s="387"/>
      <c r="E7" s="387">
        <v>44</v>
      </c>
      <c r="F7" s="387"/>
      <c r="G7" s="387"/>
      <c r="H7" s="387"/>
      <c r="I7" s="387">
        <v>76</v>
      </c>
      <c r="J7" s="387"/>
      <c r="K7" s="387"/>
      <c r="L7" s="387">
        <v>132</v>
      </c>
      <c r="M7" s="387"/>
      <c r="N7" s="387"/>
      <c r="O7" s="387"/>
      <c r="P7" s="387"/>
      <c r="Q7" s="387"/>
      <c r="R7" s="387"/>
      <c r="S7" s="387"/>
      <c r="T7" s="387"/>
      <c r="U7" s="387"/>
      <c r="V7" s="387"/>
      <c r="W7" s="387"/>
      <c r="X7" s="387"/>
      <c r="Y7" s="387"/>
      <c r="Z7" s="387"/>
      <c r="AA7" s="387"/>
      <c r="AB7" s="387"/>
      <c r="AC7" s="387"/>
      <c r="AD7" s="387"/>
      <c r="AE7" s="387"/>
      <c r="AF7" s="387"/>
      <c r="AG7" s="387"/>
      <c r="AH7" s="387"/>
      <c r="AI7" s="387"/>
      <c r="AJ7" s="387"/>
      <c r="AK7" s="387"/>
      <c r="AL7" s="387"/>
      <c r="AM7" s="387"/>
      <c r="AN7" s="387"/>
      <c r="AO7" s="387"/>
      <c r="AP7" s="387"/>
      <c r="AQ7" s="387"/>
      <c r="AR7" s="387"/>
      <c r="AS7" s="387"/>
    </row>
    <row r="8" spans="1:45" s="1" customFormat="1" ht="11.25" x14ac:dyDescent="0.15">
      <c r="A8" s="22" t="s">
        <v>46</v>
      </c>
      <c r="B8" s="21" t="s">
        <v>2</v>
      </c>
      <c r="C8" s="64">
        <v>4765</v>
      </c>
      <c r="D8" s="64">
        <v>4765</v>
      </c>
      <c r="E8" s="20">
        <v>4800</v>
      </c>
      <c r="F8" s="20">
        <v>4800</v>
      </c>
      <c r="G8" s="20">
        <v>4800</v>
      </c>
      <c r="H8" s="20">
        <v>4800</v>
      </c>
      <c r="I8" s="20">
        <v>4843</v>
      </c>
      <c r="J8" s="20">
        <v>4843</v>
      </c>
      <c r="K8" s="20">
        <v>4843</v>
      </c>
      <c r="L8" s="20">
        <v>4895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</row>
    <row r="9" spans="1:45" s="1" customFormat="1" ht="11.25" x14ac:dyDescent="0.15">
      <c r="A9" s="16" t="s">
        <v>3</v>
      </c>
      <c r="B9" s="9" t="s">
        <v>4</v>
      </c>
      <c r="C9" s="65">
        <v>105</v>
      </c>
      <c r="D9" s="8">
        <v>105</v>
      </c>
      <c r="E9" s="8">
        <v>105</v>
      </c>
      <c r="F9" s="8">
        <v>105</v>
      </c>
      <c r="G9" s="8">
        <v>105</v>
      </c>
      <c r="H9" s="8">
        <v>105</v>
      </c>
      <c r="I9" s="8">
        <v>106</v>
      </c>
      <c r="J9" s="8">
        <f t="shared" ref="J9" si="33">IF(J8="","",I9)</f>
        <v>106</v>
      </c>
      <c r="K9" s="8">
        <f>IF(K8="","",J9)</f>
        <v>106</v>
      </c>
      <c r="L9" s="8">
        <v>108</v>
      </c>
      <c r="M9" s="8" t="str">
        <f t="shared" ref="M9" si="34">IF(M8="","",L9)</f>
        <v/>
      </c>
      <c r="N9" s="8" t="str">
        <f t="shared" ref="N9" si="35">IF(N8="","",M9)</f>
        <v/>
      </c>
      <c r="O9" s="8" t="str">
        <f t="shared" ref="O9" si="36">IF(O8="","",N9)</f>
        <v/>
      </c>
      <c r="P9" s="8" t="str">
        <f>IF(P8="","",O9)</f>
        <v/>
      </c>
      <c r="Q9" s="8" t="str">
        <f t="shared" ref="Q9" si="37">IF(Q8="","",P9)</f>
        <v/>
      </c>
      <c r="R9" s="8" t="str">
        <f>IF(R8="","",Q9)</f>
        <v/>
      </c>
      <c r="S9" s="8" t="str">
        <f>IF(S8="","",R9)</f>
        <v/>
      </c>
      <c r="T9" s="8" t="str">
        <f t="shared" ref="T9" si="38">IF(T8="","",S9)</f>
        <v/>
      </c>
      <c r="U9" s="8" t="str">
        <f>IF(U8="","",T9)</f>
        <v/>
      </c>
      <c r="V9" s="8" t="str">
        <f t="shared" ref="V9" si="39">IF(V8="","",U9)</f>
        <v/>
      </c>
      <c r="W9" s="8" t="str">
        <f>IF(W8="","",V9)</f>
        <v/>
      </c>
      <c r="X9" s="8" t="str">
        <f t="shared" ref="X9" si="40">IF(X8="","",W9)</f>
        <v/>
      </c>
      <c r="Y9" s="8" t="str">
        <f t="shared" ref="Y9" si="41">IF(Y8="","",X9)</f>
        <v/>
      </c>
      <c r="Z9" s="8" t="str">
        <f>IF(Z8="","",Y9)</f>
        <v/>
      </c>
      <c r="AA9" s="8" t="str">
        <f t="shared" ref="AA9" si="42">IF(AA8="","",Z9)</f>
        <v/>
      </c>
      <c r="AB9" s="8" t="str">
        <f t="shared" ref="AB9" si="43">IF(AB8="","",AA9)</f>
        <v/>
      </c>
      <c r="AC9" s="8" t="str">
        <f t="shared" ref="AC9" si="44">IF(AC8="","",AB9)</f>
        <v/>
      </c>
      <c r="AD9" s="8" t="str">
        <f>IF(AD8="","",AC9)</f>
        <v/>
      </c>
      <c r="AE9" s="8" t="str">
        <f t="shared" ref="AE9" si="45">IF(AE8="","",AD9)</f>
        <v/>
      </c>
      <c r="AF9" s="8" t="str">
        <f t="shared" ref="AF9" si="46">IF(AF8="","",AE9)</f>
        <v/>
      </c>
      <c r="AG9" s="8" t="str">
        <f t="shared" ref="AG9" si="47">IF(AG8="","",AF9)</f>
        <v/>
      </c>
      <c r="AH9" s="8" t="str">
        <f t="shared" ref="AH9" si="48">IF(AH8="","",AG9)</f>
        <v/>
      </c>
      <c r="AI9" s="8" t="str">
        <f t="shared" ref="AI9" si="49">IF(AI8="","",AH9)</f>
        <v/>
      </c>
      <c r="AJ9" s="8" t="str">
        <f t="shared" ref="AJ9" si="50">IF(AJ8="","",AI9)</f>
        <v/>
      </c>
      <c r="AK9" s="8" t="str">
        <f>IF(AK8="","",AJ9)</f>
        <v/>
      </c>
      <c r="AL9" s="8" t="str">
        <f t="shared" ref="AL9" si="51">IF(AL8="","",AK9)</f>
        <v/>
      </c>
      <c r="AM9" s="8" t="str">
        <f t="shared" ref="AM9" si="52">IF(AM8="","",AL9)</f>
        <v/>
      </c>
      <c r="AN9" s="8" t="str">
        <f t="shared" ref="AN9" si="53">IF(AN8="","",AM9)</f>
        <v/>
      </c>
      <c r="AO9" s="8" t="str">
        <f t="shared" ref="AO9:AS9" si="54">IF(AO8="","",AN9)</f>
        <v/>
      </c>
      <c r="AP9" s="8" t="str">
        <f t="shared" si="54"/>
        <v/>
      </c>
      <c r="AQ9" s="8" t="str">
        <f t="shared" si="54"/>
        <v/>
      </c>
      <c r="AR9" s="8" t="str">
        <f t="shared" si="54"/>
        <v/>
      </c>
      <c r="AS9" s="8" t="str">
        <f t="shared" si="54"/>
        <v/>
      </c>
    </row>
    <row r="10" spans="1:45" s="1" customFormat="1" ht="11.25" x14ac:dyDescent="0.15">
      <c r="A10" s="15">
        <v>1</v>
      </c>
      <c r="B10" s="9" t="s">
        <v>5</v>
      </c>
      <c r="C10" s="65">
        <v>13</v>
      </c>
      <c r="D10" s="8">
        <v>13</v>
      </c>
      <c r="E10" s="8">
        <v>13</v>
      </c>
      <c r="F10" s="8">
        <v>13</v>
      </c>
      <c r="G10" s="8">
        <v>13</v>
      </c>
      <c r="H10" s="8">
        <v>13</v>
      </c>
      <c r="I10" s="8">
        <v>12</v>
      </c>
      <c r="J10" s="8">
        <f t="shared" ref="J10" si="55">IF(J8="","",(I10+I11))</f>
        <v>12</v>
      </c>
      <c r="K10" s="8">
        <f t="shared" ref="K10" si="56">IF(K8="","",(J10+J11))</f>
        <v>12</v>
      </c>
      <c r="L10" s="8">
        <v>10</v>
      </c>
      <c r="M10" s="8" t="str">
        <f t="shared" ref="M10" si="57">IF(M8="","",(L10+L11))</f>
        <v/>
      </c>
      <c r="N10" s="8" t="str">
        <f t="shared" ref="N10" si="58">IF(N8="","",(M10+M11))</f>
        <v/>
      </c>
      <c r="O10" s="8" t="str">
        <f t="shared" ref="O10" si="59">IF(O8="","",(N10+N11))</f>
        <v/>
      </c>
      <c r="P10" s="8" t="str">
        <f>IF(P8="","",(O10+O11))</f>
        <v/>
      </c>
      <c r="Q10" s="8" t="str">
        <f t="shared" ref="Q10" si="60">IF(Q8="","",(P10+P11))</f>
        <v/>
      </c>
      <c r="R10" s="8" t="str">
        <f t="shared" ref="R10" si="61">IF(R8="","",(Q10+Q11))</f>
        <v/>
      </c>
      <c r="S10" s="8" t="str">
        <f>IF(S8="","",(R10+R11))</f>
        <v/>
      </c>
      <c r="T10" s="8" t="str">
        <f t="shared" ref="T10" si="62">IF(T8="","",(S10+S11))</f>
        <v/>
      </c>
      <c r="U10" s="8" t="str">
        <f>IF(U8="","",(T10+T11))</f>
        <v/>
      </c>
      <c r="V10" s="8" t="str">
        <f t="shared" ref="V10" si="63">IF(V8="","",(U10+U11))</f>
        <v/>
      </c>
      <c r="W10" s="8" t="str">
        <f>IF(W8="","",(V10+V11))</f>
        <v/>
      </c>
      <c r="X10" s="8" t="str">
        <f t="shared" ref="X10" si="64">IF(X8="","",(W10+W11))</f>
        <v/>
      </c>
      <c r="Y10" s="8" t="str">
        <f t="shared" ref="Y10" si="65">IF(Y8="","",(X10+X11))</f>
        <v/>
      </c>
      <c r="Z10" s="8" t="str">
        <f>IF(Z8="","",(Y10+Y11))</f>
        <v/>
      </c>
      <c r="AA10" s="8" t="str">
        <f t="shared" ref="AA10" si="66">IF(AA8="","",(Z10+Z11))</f>
        <v/>
      </c>
      <c r="AB10" s="8" t="str">
        <f t="shared" ref="AB10" si="67">IF(AB8="","",(AA10+AA11))</f>
        <v/>
      </c>
      <c r="AC10" s="8" t="str">
        <f t="shared" ref="AC10" si="68">IF(AC8="","",(AB10+AB11))</f>
        <v/>
      </c>
      <c r="AD10" s="8" t="str">
        <f>IF(AD8="","",(AC10+AC11))</f>
        <v/>
      </c>
      <c r="AE10" s="8" t="str">
        <f t="shared" ref="AE10" si="69">IF(AE8="","",(AD10+AD11))</f>
        <v/>
      </c>
      <c r="AF10" s="8" t="str">
        <f t="shared" ref="AF10" si="70">IF(AF8="","",(AE10+AE11))</f>
        <v/>
      </c>
      <c r="AG10" s="8" t="str">
        <f t="shared" ref="AG10" si="71">IF(AG8="","",(AF10+AF11))</f>
        <v/>
      </c>
      <c r="AH10" s="8" t="str">
        <f t="shared" ref="AH10" si="72">IF(AH8="","",(AG10+AG11))</f>
        <v/>
      </c>
      <c r="AI10" s="8" t="str">
        <f t="shared" ref="AI10" si="73">IF(AI8="","",(AH10+AH11))</f>
        <v/>
      </c>
      <c r="AJ10" s="8" t="str">
        <f t="shared" ref="AJ10" si="74">IF(AJ8="","",(AI10+AI11))</f>
        <v/>
      </c>
      <c r="AK10" s="8" t="str">
        <f>IF(AK8="","",(AJ10+AJ11))</f>
        <v/>
      </c>
      <c r="AL10" s="8" t="str">
        <f t="shared" ref="AL10" si="75">IF(AL8="","",(AK10+AK11))</f>
        <v/>
      </c>
      <c r="AM10" s="8" t="str">
        <f t="shared" ref="AM10" si="76">IF(AM8="","",(AL10+AL11))</f>
        <v/>
      </c>
      <c r="AN10" s="8" t="str">
        <f t="shared" ref="AN10" si="77">IF(AN8="","",(AM10+AM11))</f>
        <v/>
      </c>
      <c r="AO10" s="8" t="str">
        <f t="shared" ref="AO10:AS10" si="78">IF(AO8="","",(AN10+AN11))</f>
        <v/>
      </c>
      <c r="AP10" s="8" t="str">
        <f t="shared" si="78"/>
        <v/>
      </c>
      <c r="AQ10" s="8" t="str">
        <f t="shared" si="78"/>
        <v/>
      </c>
      <c r="AR10" s="8" t="str">
        <f t="shared" si="78"/>
        <v/>
      </c>
      <c r="AS10" s="8" t="str">
        <f t="shared" si="78"/>
        <v/>
      </c>
    </row>
    <row r="11" spans="1:45" s="1" customFormat="1" ht="11.25" x14ac:dyDescent="0.15">
      <c r="A11" s="92" t="s">
        <v>6</v>
      </c>
      <c r="B11" s="9" t="s">
        <v>7</v>
      </c>
      <c r="C11" s="6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</row>
    <row r="12" spans="1:45" s="1" customFormat="1" ht="11.25" x14ac:dyDescent="0.15">
      <c r="A12" s="93">
        <f>+(A15+A27+A39+A51)*100</f>
        <v>92700</v>
      </c>
      <c r="B12" s="9" t="s">
        <v>8</v>
      </c>
      <c r="C12" s="65">
        <v>500</v>
      </c>
      <c r="D12" s="8">
        <v>500</v>
      </c>
      <c r="E12" s="8">
        <v>500</v>
      </c>
      <c r="F12" s="8">
        <v>500</v>
      </c>
      <c r="G12" s="8">
        <v>500</v>
      </c>
      <c r="H12" s="8">
        <v>500</v>
      </c>
      <c r="I12" s="8">
        <v>500</v>
      </c>
      <c r="J12" s="8">
        <f t="shared" ref="J12" si="79">IF(J8="","",I12)</f>
        <v>500</v>
      </c>
      <c r="K12" s="8">
        <f t="shared" ref="K12" si="80">IF(K8="","",J12)</f>
        <v>500</v>
      </c>
      <c r="L12" s="8">
        <f t="shared" ref="L12" si="81">IF(L8="","",K12)</f>
        <v>500</v>
      </c>
      <c r="M12" s="8" t="str">
        <f t="shared" ref="M12" si="82">IF(M8="","",L12)</f>
        <v/>
      </c>
      <c r="N12" s="8" t="str">
        <f t="shared" ref="N12" si="83">IF(N8="","",M12)</f>
        <v/>
      </c>
      <c r="O12" s="8" t="str">
        <f t="shared" ref="O12" si="84">IF(O8="","",N12)</f>
        <v/>
      </c>
      <c r="P12" s="8" t="str">
        <f t="shared" ref="P12" si="85">IF(P8="","",O12)</f>
        <v/>
      </c>
      <c r="Q12" s="8" t="str">
        <f t="shared" ref="Q12" si="86">IF(Q8="","",P12)</f>
        <v/>
      </c>
      <c r="R12" s="8" t="str">
        <f t="shared" ref="R12" si="87">IF(R8="","",Q12)</f>
        <v/>
      </c>
      <c r="S12" s="8" t="str">
        <f t="shared" ref="S12" si="88">IF(S8="","",R12)</f>
        <v/>
      </c>
      <c r="T12" s="8" t="str">
        <f t="shared" ref="T12" si="89">IF(T8="","",S12)</f>
        <v/>
      </c>
      <c r="U12" s="8" t="str">
        <f t="shared" ref="U12" si="90">IF(U8="","",T12)</f>
        <v/>
      </c>
      <c r="V12" s="8" t="str">
        <f t="shared" ref="V12" si="91">IF(V8="","",U12)</f>
        <v/>
      </c>
      <c r="W12" s="8" t="str">
        <f t="shared" ref="W12" si="92">IF(W8="","",V12)</f>
        <v/>
      </c>
      <c r="X12" s="8" t="str">
        <f t="shared" ref="X12" si="93">IF(X8="","",W12)</f>
        <v/>
      </c>
      <c r="Y12" s="8" t="str">
        <f t="shared" ref="Y12" si="94">IF(Y8="","",X12)</f>
        <v/>
      </c>
      <c r="Z12" s="8" t="str">
        <f t="shared" ref="Z12" si="95">IF(Z8="","",Y12)</f>
        <v/>
      </c>
      <c r="AA12" s="8" t="str">
        <f t="shared" ref="AA12" si="96">IF(AA8="","",Z12)</f>
        <v/>
      </c>
      <c r="AB12" s="8" t="str">
        <f t="shared" ref="AB12" si="97">IF(AB8="","",AA12)</f>
        <v/>
      </c>
      <c r="AC12" s="8" t="str">
        <f t="shared" ref="AC12" si="98">IF(AC8="","",AB12)</f>
        <v/>
      </c>
      <c r="AD12" s="8" t="str">
        <f t="shared" ref="AD12" si="99">IF(AD8="","",AC12)</f>
        <v/>
      </c>
      <c r="AE12" s="8" t="str">
        <f t="shared" ref="AE12" si="100">IF(AE8="","",AD12)</f>
        <v/>
      </c>
      <c r="AF12" s="8" t="str">
        <f t="shared" ref="AF12" si="101">IF(AF8="","",AE12)</f>
        <v/>
      </c>
      <c r="AG12" s="8" t="str">
        <f t="shared" ref="AG12" si="102">IF(AG8="","",AF12)</f>
        <v/>
      </c>
      <c r="AH12" s="8" t="str">
        <f t="shared" ref="AH12" si="103">IF(AH8="","",AG12)</f>
        <v/>
      </c>
      <c r="AI12" s="8" t="str">
        <f t="shared" ref="AI12" si="104">IF(AI8="","",AH12)</f>
        <v/>
      </c>
      <c r="AJ12" s="8" t="str">
        <f t="shared" ref="AJ12" si="105">IF(AJ8="","",AI12)</f>
        <v/>
      </c>
      <c r="AK12" s="8" t="str">
        <f t="shared" ref="AK12" si="106">IF(AK8="","",AJ12)</f>
        <v/>
      </c>
      <c r="AL12" s="8" t="str">
        <f t="shared" ref="AL12" si="107">IF(AL8="","",AK12)</f>
        <v/>
      </c>
      <c r="AM12" s="8" t="str">
        <f t="shared" ref="AM12" si="108">IF(AM8="","",AL12)</f>
        <v/>
      </c>
      <c r="AN12" s="8" t="str">
        <f t="shared" ref="AN12" si="109">IF(AN8="","",AM12)</f>
        <v/>
      </c>
      <c r="AO12" s="8" t="str">
        <f t="shared" ref="AO12:AS12" si="110">IF(AO8="","",AN12)</f>
        <v/>
      </c>
      <c r="AP12" s="8" t="str">
        <f t="shared" si="110"/>
        <v/>
      </c>
      <c r="AQ12" s="8" t="str">
        <f t="shared" si="110"/>
        <v/>
      </c>
      <c r="AR12" s="8" t="str">
        <f t="shared" si="110"/>
        <v/>
      </c>
      <c r="AS12" s="8" t="str">
        <f t="shared" si="110"/>
        <v/>
      </c>
    </row>
    <row r="13" spans="1:45" s="85" customFormat="1" ht="11.25" x14ac:dyDescent="0.15">
      <c r="A13" s="14" t="s">
        <v>9</v>
      </c>
      <c r="B13" s="13" t="s">
        <v>10</v>
      </c>
      <c r="C13" s="66" t="s">
        <v>338</v>
      </c>
      <c r="D13" s="12" t="s">
        <v>338</v>
      </c>
      <c r="E13" s="12" t="s">
        <v>338</v>
      </c>
      <c r="F13" s="12" t="s">
        <v>338</v>
      </c>
      <c r="G13" s="12" t="s">
        <v>338</v>
      </c>
      <c r="H13" s="12" t="s">
        <v>338</v>
      </c>
      <c r="I13" s="12" t="s">
        <v>338</v>
      </c>
      <c r="J13" s="12" t="str">
        <f t="shared" ref="J13" si="111">IF(J8="","",I13)</f>
        <v>フルーツモンチッチマスコット</v>
      </c>
      <c r="K13" s="12" t="str">
        <f t="shared" ref="K13" si="112">IF(K8="","",J13)</f>
        <v>フルーツモンチッチマスコット</v>
      </c>
      <c r="L13" s="12" t="str">
        <f t="shared" ref="L13" si="113">IF(L8="","",K13)</f>
        <v>フルーツモンチッチマスコット</v>
      </c>
      <c r="M13" s="12" t="str">
        <f t="shared" ref="M13" si="114">IF(M8="","",L13)</f>
        <v/>
      </c>
      <c r="N13" s="12" t="str">
        <f t="shared" ref="N13" si="115">IF(N8="","",M13)</f>
        <v/>
      </c>
      <c r="O13" s="12" t="str">
        <f t="shared" ref="O13" si="116">IF(O8="","",N13)</f>
        <v/>
      </c>
      <c r="P13" s="12" t="str">
        <f t="shared" ref="P13:R13" si="117">IF(P8="","",O13)</f>
        <v/>
      </c>
      <c r="Q13" s="12" t="str">
        <f t="shared" ref="Q13" si="118">IF(Q8="","",P13)</f>
        <v/>
      </c>
      <c r="R13" s="12" t="str">
        <f t="shared" ref="R13" si="119">IF(R8="","",Q13)</f>
        <v/>
      </c>
      <c r="S13" s="12" t="str">
        <f>IF(S8="","",R13)</f>
        <v/>
      </c>
      <c r="T13" s="12" t="str">
        <f t="shared" ref="T13" si="120">IF(T8="","",S13)</f>
        <v/>
      </c>
      <c r="U13" s="12" t="str">
        <f t="shared" ref="U13" si="121">IF(U8="","",T13)</f>
        <v/>
      </c>
      <c r="V13" s="12" t="str">
        <f t="shared" ref="V13" si="122">IF(V8="","",U13)</f>
        <v/>
      </c>
      <c r="W13" s="12" t="str">
        <f t="shared" ref="W13" si="123">IF(W8="","",V13)</f>
        <v/>
      </c>
      <c r="X13" s="12" t="str">
        <f t="shared" ref="X13" si="124">IF(X8="","",W13)</f>
        <v/>
      </c>
      <c r="Y13" s="12" t="str">
        <f t="shared" ref="Y13" si="125">IF(Y8="","",X13)</f>
        <v/>
      </c>
      <c r="Z13" s="12" t="str">
        <f t="shared" ref="Z13" si="126">IF(Z8="","",Y13)</f>
        <v/>
      </c>
      <c r="AA13" s="12" t="str">
        <f t="shared" ref="AA13" si="127">IF(AA8="","",Z13)</f>
        <v/>
      </c>
      <c r="AB13" s="12" t="str">
        <f t="shared" ref="AB13" si="128">IF(AB8="","",AA13)</f>
        <v/>
      </c>
      <c r="AC13" s="12" t="str">
        <f t="shared" ref="AC13" si="129">IF(AC8="","",AB13)</f>
        <v/>
      </c>
      <c r="AD13" s="12" t="str">
        <f t="shared" ref="AD13" si="130">IF(AD8="","",AC13)</f>
        <v/>
      </c>
      <c r="AE13" s="12" t="str">
        <f t="shared" ref="AE13" si="131">IF(AE8="","",AD13)</f>
        <v/>
      </c>
      <c r="AF13" s="12" t="str">
        <f t="shared" ref="AF13" si="132">IF(AF8="","",AE13)</f>
        <v/>
      </c>
      <c r="AG13" s="12" t="str">
        <f t="shared" ref="AG13" si="133">IF(AG8="","",AF13)</f>
        <v/>
      </c>
      <c r="AH13" s="12" t="str">
        <f t="shared" ref="AH13" si="134">IF(AH8="","",AG13)</f>
        <v/>
      </c>
      <c r="AI13" s="12" t="str">
        <f t="shared" ref="AI13" si="135">IF(AI8="","",AH13)</f>
        <v/>
      </c>
      <c r="AJ13" s="12" t="str">
        <f t="shared" ref="AJ13" si="136">IF(AJ8="","",AI13)</f>
        <v/>
      </c>
      <c r="AK13" s="12" t="str">
        <f t="shared" ref="AK13" si="137">IF(AK8="","",AJ13)</f>
        <v/>
      </c>
      <c r="AL13" s="12" t="str">
        <f t="shared" ref="AL13" si="138">IF(AL8="","",AK13)</f>
        <v/>
      </c>
      <c r="AM13" s="12" t="str">
        <f t="shared" ref="AM13" si="139">IF(AM8="","",AL13)</f>
        <v/>
      </c>
      <c r="AN13" s="12" t="str">
        <f t="shared" ref="AN13" si="140">IF(AN8="","",AM13)</f>
        <v/>
      </c>
      <c r="AO13" s="12" t="str">
        <f t="shared" ref="AO13:AS13" si="141">IF(AO8="","",AN13)</f>
        <v/>
      </c>
      <c r="AP13" s="12" t="str">
        <f t="shared" si="141"/>
        <v/>
      </c>
      <c r="AQ13" s="12" t="str">
        <f t="shared" si="141"/>
        <v/>
      </c>
      <c r="AR13" s="12" t="str">
        <f t="shared" si="141"/>
        <v/>
      </c>
      <c r="AS13" s="12" t="str">
        <f t="shared" si="141"/>
        <v/>
      </c>
    </row>
    <row r="14" spans="1:45" s="1" customFormat="1" ht="11.25" x14ac:dyDescent="0.15">
      <c r="A14" s="7">
        <f>AVERAGE(C15:AS15)*30*100</f>
        <v>39000</v>
      </c>
      <c r="B14" s="9" t="s">
        <v>12</v>
      </c>
      <c r="C14" s="6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</row>
    <row r="15" spans="1:45" s="1" customFormat="1" ht="11.25" x14ac:dyDescent="0.15">
      <c r="A15" s="7">
        <f>SUM(C15:AS15)</f>
        <v>130</v>
      </c>
      <c r="B15" s="6" t="s">
        <v>13</v>
      </c>
      <c r="C15" s="65">
        <v>0</v>
      </c>
      <c r="D15" s="5">
        <v>0</v>
      </c>
      <c r="E15" s="5">
        <v>35</v>
      </c>
      <c r="F15" s="5">
        <v>0</v>
      </c>
      <c r="G15" s="5">
        <v>0</v>
      </c>
      <c r="H15" s="5">
        <v>0</v>
      </c>
      <c r="I15" s="5">
        <v>43</v>
      </c>
      <c r="J15" s="5">
        <f t="shared" ref="J15:J16" si="142">IF(J8="","",J8-I8)</f>
        <v>0</v>
      </c>
      <c r="K15" s="5">
        <f t="shared" ref="K15:K16" si="143">IF(K8="","",K8-J8)</f>
        <v>0</v>
      </c>
      <c r="L15" s="5">
        <f t="shared" ref="L15:L16" si="144">IF(L8="","",L8-K8)</f>
        <v>52</v>
      </c>
      <c r="M15" s="5" t="str">
        <f t="shared" ref="M15:M16" si="145">IF(M8="","",M8-L8)</f>
        <v/>
      </c>
      <c r="N15" s="5" t="str">
        <f t="shared" ref="N15:N16" si="146">IF(N8="","",N8-M8)</f>
        <v/>
      </c>
      <c r="O15" s="5" t="str">
        <f t="shared" ref="O15:O16" si="147">IF(O8="","",O8-N8)</f>
        <v/>
      </c>
      <c r="P15" s="5" t="str">
        <f t="shared" ref="P15:P16" si="148">IF(P8="","",P8-O8)</f>
        <v/>
      </c>
      <c r="Q15" s="5" t="str">
        <f t="shared" ref="Q15:Q16" si="149">IF(Q8="","",Q8-P8)</f>
        <v/>
      </c>
      <c r="R15" s="5" t="str">
        <f t="shared" ref="R15:R16" si="150">IF(R8="","",R8-Q8)</f>
        <v/>
      </c>
      <c r="S15" s="5" t="str">
        <f t="shared" ref="S15:S16" si="151">IF(S8="","",S8-R8)</f>
        <v/>
      </c>
      <c r="T15" s="5" t="str">
        <f t="shared" ref="T15:T16" si="152">IF(T8="","",T8-S8)</f>
        <v/>
      </c>
      <c r="U15" s="5" t="str">
        <f t="shared" ref="U15:U16" si="153">IF(U8="","",U8-T8)</f>
        <v/>
      </c>
      <c r="V15" s="5" t="str">
        <f t="shared" ref="V15:V16" si="154">IF(V8="","",V8-U8)</f>
        <v/>
      </c>
      <c r="W15" s="5" t="str">
        <f t="shared" ref="W15:W16" si="155">IF(W8="","",W8-V8)</f>
        <v/>
      </c>
      <c r="X15" s="5" t="str">
        <f t="shared" ref="X15:X16" si="156">IF(X8="","",X8-W8)</f>
        <v/>
      </c>
      <c r="Y15" s="5" t="str">
        <f t="shared" ref="Y15:Y16" si="157">IF(Y8="","",Y8-X8)</f>
        <v/>
      </c>
      <c r="Z15" s="5" t="str">
        <f t="shared" ref="Z15:Z16" si="158">IF(Z8="","",Z8-Y8)</f>
        <v/>
      </c>
      <c r="AA15" s="5" t="str">
        <f t="shared" ref="AA15:AA16" si="159">IF(AA8="","",AA8-Z8)</f>
        <v/>
      </c>
      <c r="AB15" s="5" t="str">
        <f t="shared" ref="AB15:AB16" si="160">IF(AB8="","",AB8-AA8)</f>
        <v/>
      </c>
      <c r="AC15" s="5" t="str">
        <f t="shared" ref="AC15:AC16" si="161">IF(AC8="","",AC8-AB8)</f>
        <v/>
      </c>
      <c r="AD15" s="5" t="str">
        <f t="shared" ref="AD15:AD16" si="162">IF(AD8="","",AD8-AC8)</f>
        <v/>
      </c>
      <c r="AE15" s="5" t="str">
        <f t="shared" ref="AE15:AE16" si="163">IF(AE8="","",AE8-AD8)</f>
        <v/>
      </c>
      <c r="AF15" s="5" t="str">
        <f t="shared" ref="AF15:AF16" si="164">IF(AF8="","",AF8-AE8)</f>
        <v/>
      </c>
      <c r="AG15" s="5" t="str">
        <f t="shared" ref="AG15:AG16" si="165">IF(AG8="","",AG8-AF8)</f>
        <v/>
      </c>
      <c r="AH15" s="5" t="str">
        <f t="shared" ref="AH15:AH16" si="166">IF(AH8="","",AH8-AG8)</f>
        <v/>
      </c>
      <c r="AI15" s="5" t="str">
        <f t="shared" ref="AI15:AI16" si="167">IF(AI8="","",AI8-AH8)</f>
        <v/>
      </c>
      <c r="AJ15" s="5" t="str">
        <f t="shared" ref="AJ15:AJ16" si="168">IF(AJ8="","",AJ8-AI8)</f>
        <v/>
      </c>
      <c r="AK15" s="5" t="str">
        <f t="shared" ref="AK15:AK16" si="169">IF(AK8="","",AK8-AJ8)</f>
        <v/>
      </c>
      <c r="AL15" s="5" t="str">
        <f t="shared" ref="AL15:AL16" si="170">IF(AL8="","",AL8-AK8)</f>
        <v/>
      </c>
      <c r="AM15" s="5" t="str">
        <f t="shared" ref="AM15:AM16" si="171">IF(AM8="","",AM8-AL8)</f>
        <v/>
      </c>
      <c r="AN15" s="5" t="str">
        <f t="shared" ref="AN15:AN16" si="172">IF(AN8="","",AN8-AM8)</f>
        <v/>
      </c>
      <c r="AO15" s="5" t="str">
        <f t="shared" ref="AO15:AS15" si="173">IF(AO8="","",AO8-AN8)</f>
        <v/>
      </c>
      <c r="AP15" s="5" t="str">
        <f t="shared" si="173"/>
        <v/>
      </c>
      <c r="AQ15" s="5" t="str">
        <f t="shared" si="173"/>
        <v/>
      </c>
      <c r="AR15" s="5" t="str">
        <f t="shared" si="173"/>
        <v/>
      </c>
      <c r="AS15" s="5" t="str">
        <f t="shared" si="173"/>
        <v/>
      </c>
    </row>
    <row r="16" spans="1:45" s="1" customFormat="1" ht="11.25" x14ac:dyDescent="0.15">
      <c r="A16" s="7">
        <f>SUM(C16:AS16)</f>
        <v>3</v>
      </c>
      <c r="B16" s="6" t="s">
        <v>14</v>
      </c>
      <c r="C16" s="6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</v>
      </c>
      <c r="J16" s="5">
        <f t="shared" si="142"/>
        <v>0</v>
      </c>
      <c r="K16" s="5">
        <f t="shared" si="143"/>
        <v>0</v>
      </c>
      <c r="L16" s="5">
        <f t="shared" si="144"/>
        <v>2</v>
      </c>
      <c r="M16" s="5" t="str">
        <f t="shared" si="145"/>
        <v/>
      </c>
      <c r="N16" s="5" t="str">
        <f t="shared" si="146"/>
        <v/>
      </c>
      <c r="O16" s="5" t="str">
        <f t="shared" si="147"/>
        <v/>
      </c>
      <c r="P16" s="5" t="str">
        <f t="shared" si="148"/>
        <v/>
      </c>
      <c r="Q16" s="5" t="str">
        <f t="shared" si="149"/>
        <v/>
      </c>
      <c r="R16" s="5" t="str">
        <f t="shared" si="150"/>
        <v/>
      </c>
      <c r="S16" s="5" t="str">
        <f t="shared" si="151"/>
        <v/>
      </c>
      <c r="T16" s="5" t="str">
        <f t="shared" si="152"/>
        <v/>
      </c>
      <c r="U16" s="5" t="str">
        <f t="shared" si="153"/>
        <v/>
      </c>
      <c r="V16" s="5" t="str">
        <f t="shared" si="154"/>
        <v/>
      </c>
      <c r="W16" s="5" t="str">
        <f t="shared" si="155"/>
        <v/>
      </c>
      <c r="X16" s="5" t="str">
        <f t="shared" si="156"/>
        <v/>
      </c>
      <c r="Y16" s="5" t="str">
        <f t="shared" si="157"/>
        <v/>
      </c>
      <c r="Z16" s="5" t="str">
        <f t="shared" si="158"/>
        <v/>
      </c>
      <c r="AA16" s="5" t="str">
        <f t="shared" si="159"/>
        <v/>
      </c>
      <c r="AB16" s="5" t="str">
        <f t="shared" si="160"/>
        <v/>
      </c>
      <c r="AC16" s="5" t="str">
        <f t="shared" si="161"/>
        <v/>
      </c>
      <c r="AD16" s="5" t="str">
        <f t="shared" si="162"/>
        <v/>
      </c>
      <c r="AE16" s="5" t="str">
        <f t="shared" si="163"/>
        <v/>
      </c>
      <c r="AF16" s="5" t="str">
        <f t="shared" si="164"/>
        <v/>
      </c>
      <c r="AG16" s="5" t="str">
        <f t="shared" si="165"/>
        <v/>
      </c>
      <c r="AH16" s="5" t="str">
        <f t="shared" si="166"/>
        <v/>
      </c>
      <c r="AI16" s="5" t="str">
        <f t="shared" si="167"/>
        <v/>
      </c>
      <c r="AJ16" s="5" t="str">
        <f t="shared" si="168"/>
        <v/>
      </c>
      <c r="AK16" s="5" t="str">
        <f t="shared" si="169"/>
        <v/>
      </c>
      <c r="AL16" s="5" t="str">
        <f t="shared" si="170"/>
        <v/>
      </c>
      <c r="AM16" s="5" t="str">
        <f t="shared" si="171"/>
        <v/>
      </c>
      <c r="AN16" s="5" t="str">
        <f t="shared" si="172"/>
        <v/>
      </c>
      <c r="AO16" s="5" t="str">
        <f t="shared" ref="AO16:AS16" si="174">IF(AO9="","",AO9-AN9)</f>
        <v/>
      </c>
      <c r="AP16" s="5" t="str">
        <f t="shared" si="174"/>
        <v/>
      </c>
      <c r="AQ16" s="5" t="str">
        <f t="shared" si="174"/>
        <v/>
      </c>
      <c r="AR16" s="5" t="str">
        <f t="shared" si="174"/>
        <v/>
      </c>
      <c r="AS16" s="5" t="str">
        <f t="shared" si="174"/>
        <v/>
      </c>
    </row>
    <row r="17" spans="1:45" s="1" customFormat="1" ht="11.25" x14ac:dyDescent="0.15">
      <c r="A17" s="7">
        <f>SUM(C17:AS17)</f>
        <v>3</v>
      </c>
      <c r="B17" s="6" t="s">
        <v>15</v>
      </c>
      <c r="C17" s="6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</v>
      </c>
      <c r="J17" s="5">
        <f t="shared" ref="J17" si="175">IF(J10="","",I10+I11-J10)</f>
        <v>0</v>
      </c>
      <c r="K17" s="5">
        <f t="shared" ref="K17" si="176">IF(K10="","",J10+J11-K10)</f>
        <v>0</v>
      </c>
      <c r="L17" s="5">
        <f t="shared" ref="L17" si="177">IF(L10="","",K10+K11-L10)</f>
        <v>2</v>
      </c>
      <c r="M17" s="5" t="str">
        <f t="shared" ref="M17" si="178">IF(M10="","",L10+L11-M10)</f>
        <v/>
      </c>
      <c r="N17" s="5" t="str">
        <f t="shared" ref="N17" si="179">IF(N10="","",M10+M11-N10)</f>
        <v/>
      </c>
      <c r="O17" s="5" t="str">
        <f t="shared" ref="O17" si="180">IF(O10="","",N10+N11-O10)</f>
        <v/>
      </c>
      <c r="P17" s="5" t="str">
        <f t="shared" ref="P17" si="181">IF(P10="","",O10+O11-P10)</f>
        <v/>
      </c>
      <c r="Q17" s="5" t="str">
        <f t="shared" ref="Q17" si="182">IF(Q10="","",P10+P11-Q10)</f>
        <v/>
      </c>
      <c r="R17" s="5" t="str">
        <f t="shared" ref="R17" si="183">IF(R10="","",Q10+Q11-R10)</f>
        <v/>
      </c>
      <c r="S17" s="5" t="str">
        <f t="shared" ref="S17" si="184">IF(S10="","",R10+R11-S10)</f>
        <v/>
      </c>
      <c r="T17" s="5" t="str">
        <f t="shared" ref="T17" si="185">IF(T10="","",S10+S11-T10)</f>
        <v/>
      </c>
      <c r="U17" s="5" t="str">
        <f t="shared" ref="U17" si="186">IF(U10="","",T10+T11-U10)</f>
        <v/>
      </c>
      <c r="V17" s="5" t="str">
        <f t="shared" ref="V17" si="187">IF(V10="","",U10+U11-V10)</f>
        <v/>
      </c>
      <c r="W17" s="5" t="str">
        <f t="shared" ref="W17" si="188">IF(W10="","",V10+V11-W10)</f>
        <v/>
      </c>
      <c r="X17" s="5" t="str">
        <f t="shared" ref="X17" si="189">IF(X10="","",W10+W11-X10)</f>
        <v/>
      </c>
      <c r="Y17" s="5" t="str">
        <f t="shared" ref="Y17" si="190">IF(Y10="","",X10+X11-Y10)</f>
        <v/>
      </c>
      <c r="Z17" s="5" t="str">
        <f t="shared" ref="Z17" si="191">IF(Z10="","",Y10+Y11-Z10)</f>
        <v/>
      </c>
      <c r="AA17" s="5" t="str">
        <f t="shared" ref="AA17" si="192">IF(AA10="","",Z10+Z11-AA10)</f>
        <v/>
      </c>
      <c r="AB17" s="5" t="str">
        <f t="shared" ref="AB17" si="193">IF(AB10="","",AA10+AA11-AB10)</f>
        <v/>
      </c>
      <c r="AC17" s="5" t="str">
        <f t="shared" ref="AC17" si="194">IF(AC10="","",AB10+AB11-AC10)</f>
        <v/>
      </c>
      <c r="AD17" s="5" t="str">
        <f t="shared" ref="AD17" si="195">IF(AD10="","",AC10+AC11-AD10)</f>
        <v/>
      </c>
      <c r="AE17" s="5" t="str">
        <f t="shared" ref="AE17" si="196">IF(AE10="","",AD10+AD11-AE10)</f>
        <v/>
      </c>
      <c r="AF17" s="5" t="str">
        <f t="shared" ref="AF17" si="197">IF(AF10="","",AE10+AE11-AF10)</f>
        <v/>
      </c>
      <c r="AG17" s="5" t="str">
        <f t="shared" ref="AG17" si="198">IF(AG10="","",AF10+AF11-AG10)</f>
        <v/>
      </c>
      <c r="AH17" s="5" t="str">
        <f t="shared" ref="AH17" si="199">IF(AH10="","",AG10+AG11-AH10)</f>
        <v/>
      </c>
      <c r="AI17" s="5" t="str">
        <f t="shared" ref="AI17" si="200">IF(AI10="","",AH10+AH11-AI10)</f>
        <v/>
      </c>
      <c r="AJ17" s="5" t="str">
        <f t="shared" ref="AJ17" si="201">IF(AJ10="","",AI10+AI11-AJ10)</f>
        <v/>
      </c>
      <c r="AK17" s="5" t="str">
        <f t="shared" ref="AK17" si="202">IF(AK10="","",AJ10+AJ11-AK10)</f>
        <v/>
      </c>
      <c r="AL17" s="5" t="str">
        <f t="shared" ref="AL17" si="203">IF(AL10="","",AK10+AK11-AL10)</f>
        <v/>
      </c>
      <c r="AM17" s="5" t="str">
        <f t="shared" ref="AM17" si="204">IF(AM10="","",AL10+AL11-AM10)</f>
        <v/>
      </c>
      <c r="AN17" s="5" t="str">
        <f t="shared" ref="AN17" si="205">IF(AN10="","",AM10+AM11-AN10)</f>
        <v/>
      </c>
      <c r="AO17" s="5" t="str">
        <f t="shared" ref="AO17:AS17" si="206">IF(AO10="","",AN10+AN11-AO10)</f>
        <v/>
      </c>
      <c r="AP17" s="5" t="str">
        <f t="shared" si="206"/>
        <v/>
      </c>
      <c r="AQ17" s="5" t="str">
        <f t="shared" si="206"/>
        <v/>
      </c>
      <c r="AR17" s="5" t="str">
        <f t="shared" si="206"/>
        <v/>
      </c>
      <c r="AS17" s="5" t="str">
        <f t="shared" si="206"/>
        <v/>
      </c>
    </row>
    <row r="18" spans="1:45" s="1" customFormat="1" ht="11.25" x14ac:dyDescent="0.15">
      <c r="A18" s="7">
        <f>SUM(C18:AS18)</f>
        <v>1500</v>
      </c>
      <c r="B18" s="6" t="s">
        <v>16</v>
      </c>
      <c r="C18" s="6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500</v>
      </c>
      <c r="J18" s="5">
        <f t="shared" ref="D18:AN18" si="207">IF(J8="","",J17*J12)</f>
        <v>0</v>
      </c>
      <c r="K18" s="5">
        <f t="shared" si="207"/>
        <v>0</v>
      </c>
      <c r="L18" s="5">
        <f t="shared" si="207"/>
        <v>1000</v>
      </c>
      <c r="M18" s="5" t="str">
        <f t="shared" si="207"/>
        <v/>
      </c>
      <c r="N18" s="5" t="str">
        <f t="shared" si="207"/>
        <v/>
      </c>
      <c r="O18" s="5" t="str">
        <f t="shared" si="207"/>
        <v/>
      </c>
      <c r="P18" s="5" t="str">
        <f t="shared" si="207"/>
        <v/>
      </c>
      <c r="Q18" s="5" t="str">
        <f t="shared" si="207"/>
        <v/>
      </c>
      <c r="R18" s="5" t="str">
        <f t="shared" si="207"/>
        <v/>
      </c>
      <c r="S18" s="5" t="str">
        <f t="shared" si="207"/>
        <v/>
      </c>
      <c r="T18" s="5" t="str">
        <f t="shared" si="207"/>
        <v/>
      </c>
      <c r="U18" s="5" t="str">
        <f t="shared" si="207"/>
        <v/>
      </c>
      <c r="V18" s="5" t="str">
        <f t="shared" si="207"/>
        <v/>
      </c>
      <c r="W18" s="5" t="str">
        <f t="shared" si="207"/>
        <v/>
      </c>
      <c r="X18" s="5" t="str">
        <f t="shared" si="207"/>
        <v/>
      </c>
      <c r="Y18" s="5" t="str">
        <f t="shared" si="207"/>
        <v/>
      </c>
      <c r="Z18" s="5" t="str">
        <f t="shared" si="207"/>
        <v/>
      </c>
      <c r="AA18" s="5" t="str">
        <f t="shared" si="207"/>
        <v/>
      </c>
      <c r="AB18" s="5" t="str">
        <f t="shared" si="207"/>
        <v/>
      </c>
      <c r="AC18" s="5" t="str">
        <f t="shared" si="207"/>
        <v/>
      </c>
      <c r="AD18" s="5" t="str">
        <f t="shared" si="207"/>
        <v/>
      </c>
      <c r="AE18" s="5" t="str">
        <f t="shared" si="207"/>
        <v/>
      </c>
      <c r="AF18" s="5" t="str">
        <f t="shared" si="207"/>
        <v/>
      </c>
      <c r="AG18" s="5" t="str">
        <f t="shared" si="207"/>
        <v/>
      </c>
      <c r="AH18" s="5" t="str">
        <f t="shared" si="207"/>
        <v/>
      </c>
      <c r="AI18" s="5" t="str">
        <f t="shared" si="207"/>
        <v/>
      </c>
      <c r="AJ18" s="5" t="str">
        <f t="shared" si="207"/>
        <v/>
      </c>
      <c r="AK18" s="5" t="str">
        <f t="shared" si="207"/>
        <v/>
      </c>
      <c r="AL18" s="5" t="str">
        <f t="shared" si="207"/>
        <v/>
      </c>
      <c r="AM18" s="5" t="str">
        <f t="shared" si="207"/>
        <v/>
      </c>
      <c r="AN18" s="5" t="str">
        <f t="shared" si="207"/>
        <v/>
      </c>
      <c r="AO18" s="5" t="str">
        <f t="shared" ref="AO18:AS18" si="208">IF(AO8="","",AO17*AO12)</f>
        <v/>
      </c>
      <c r="AP18" s="5" t="str">
        <f t="shared" si="208"/>
        <v/>
      </c>
      <c r="AQ18" s="5" t="str">
        <f t="shared" si="208"/>
        <v/>
      </c>
      <c r="AR18" s="5" t="str">
        <f t="shared" si="208"/>
        <v/>
      </c>
      <c r="AS18" s="5" t="str">
        <f t="shared" si="208"/>
        <v/>
      </c>
    </row>
    <row r="19" spans="1:45" s="1" customFormat="1" ht="12" thickBot="1" x14ac:dyDescent="0.2">
      <c r="A19" s="4">
        <f>IF(A18="","",A18/(A15*100))</f>
        <v>0.11538461538461539</v>
      </c>
      <c r="B19" s="6" t="s">
        <v>18</v>
      </c>
      <c r="C19" s="67" t="s">
        <v>19</v>
      </c>
      <c r="D19" s="18" t="s">
        <v>19</v>
      </c>
      <c r="E19" s="18" t="s">
        <v>19</v>
      </c>
      <c r="F19" s="18" t="s">
        <v>19</v>
      </c>
      <c r="G19" s="18" t="s">
        <v>19</v>
      </c>
      <c r="H19" s="18" t="s">
        <v>19</v>
      </c>
      <c r="I19" s="18">
        <v>0.11627906976744186</v>
      </c>
      <c r="J19" s="18" t="str">
        <f t="shared" ref="D19:AN19" si="209">IF(J18="","",IF(J18=0,"",J18/(J15*100)))</f>
        <v/>
      </c>
      <c r="K19" s="18" t="str">
        <f t="shared" si="209"/>
        <v/>
      </c>
      <c r="L19" s="18">
        <f t="shared" si="209"/>
        <v>0.19230769230769232</v>
      </c>
      <c r="M19" s="18" t="str">
        <f t="shared" si="209"/>
        <v/>
      </c>
      <c r="N19" s="18" t="str">
        <f t="shared" si="209"/>
        <v/>
      </c>
      <c r="O19" s="18" t="str">
        <f t="shared" si="209"/>
        <v/>
      </c>
      <c r="P19" s="18" t="str">
        <f t="shared" si="209"/>
        <v/>
      </c>
      <c r="Q19" s="18" t="str">
        <f t="shared" si="209"/>
        <v/>
      </c>
      <c r="R19" s="18" t="str">
        <f t="shared" si="209"/>
        <v/>
      </c>
      <c r="S19" s="18" t="str">
        <f t="shared" si="209"/>
        <v/>
      </c>
      <c r="T19" s="18" t="str">
        <f t="shared" si="209"/>
        <v/>
      </c>
      <c r="U19" s="18" t="str">
        <f t="shared" si="209"/>
        <v/>
      </c>
      <c r="V19" s="18" t="str">
        <f t="shared" si="209"/>
        <v/>
      </c>
      <c r="W19" s="18" t="str">
        <f t="shared" si="209"/>
        <v/>
      </c>
      <c r="X19" s="18" t="str">
        <f t="shared" si="209"/>
        <v/>
      </c>
      <c r="Y19" s="18" t="str">
        <f t="shared" si="209"/>
        <v/>
      </c>
      <c r="Z19" s="18" t="str">
        <f t="shared" si="209"/>
        <v/>
      </c>
      <c r="AA19" s="18" t="str">
        <f t="shared" si="209"/>
        <v/>
      </c>
      <c r="AB19" s="18" t="str">
        <f t="shared" si="209"/>
        <v/>
      </c>
      <c r="AC19" s="18" t="str">
        <f t="shared" si="209"/>
        <v/>
      </c>
      <c r="AD19" s="18" t="str">
        <f t="shared" si="209"/>
        <v/>
      </c>
      <c r="AE19" s="18" t="str">
        <f t="shared" si="209"/>
        <v/>
      </c>
      <c r="AF19" s="18" t="str">
        <f t="shared" si="209"/>
        <v/>
      </c>
      <c r="AG19" s="18" t="str">
        <f t="shared" si="209"/>
        <v/>
      </c>
      <c r="AH19" s="18" t="str">
        <f t="shared" si="209"/>
        <v/>
      </c>
      <c r="AI19" s="18" t="str">
        <f t="shared" si="209"/>
        <v/>
      </c>
      <c r="AJ19" s="18" t="str">
        <f t="shared" si="209"/>
        <v/>
      </c>
      <c r="AK19" s="18" t="str">
        <f t="shared" si="209"/>
        <v/>
      </c>
      <c r="AL19" s="18" t="str">
        <f t="shared" si="209"/>
        <v/>
      </c>
      <c r="AM19" s="18" t="str">
        <f t="shared" si="209"/>
        <v/>
      </c>
      <c r="AN19" s="18" t="str">
        <f t="shared" si="209"/>
        <v/>
      </c>
      <c r="AO19" s="18" t="str">
        <f t="shared" ref="AO19:AS19" si="210">IF(AO18="","",IF(AO18=0,"",AO18/(AO15*100)))</f>
        <v/>
      </c>
      <c r="AP19" s="18" t="str">
        <f t="shared" si="210"/>
        <v/>
      </c>
      <c r="AQ19" s="18" t="str">
        <f t="shared" si="210"/>
        <v/>
      </c>
      <c r="AR19" s="18" t="str">
        <f t="shared" si="210"/>
        <v/>
      </c>
      <c r="AS19" s="18" t="str">
        <f t="shared" si="210"/>
        <v/>
      </c>
    </row>
    <row r="20" spans="1:45" s="1" customFormat="1" ht="11.25" x14ac:dyDescent="0.15">
      <c r="A20" s="17" t="s">
        <v>46</v>
      </c>
      <c r="B20" s="9" t="s">
        <v>2</v>
      </c>
      <c r="C20" s="65">
        <v>7591</v>
      </c>
      <c r="D20" s="8">
        <v>7591</v>
      </c>
      <c r="E20" s="8">
        <v>7676</v>
      </c>
      <c r="F20" s="8">
        <v>7676</v>
      </c>
      <c r="G20" s="8">
        <v>7676</v>
      </c>
      <c r="H20" s="8">
        <v>7676</v>
      </c>
      <c r="I20" s="8">
        <v>7782</v>
      </c>
      <c r="J20" s="8">
        <f t="shared" ref="J20" si="211">IF(J8="","",I20)</f>
        <v>7782</v>
      </c>
      <c r="K20" s="8">
        <f t="shared" ref="K20" si="212">IF(K8="","",J20)</f>
        <v>7782</v>
      </c>
      <c r="L20" s="8">
        <v>7917</v>
      </c>
      <c r="M20" s="8" t="str">
        <f t="shared" ref="M20" si="213">IF(M8="","",L20)</f>
        <v/>
      </c>
      <c r="N20" s="8" t="str">
        <f t="shared" ref="N20" si="214">IF(N8="","",M20)</f>
        <v/>
      </c>
      <c r="O20" s="8" t="str">
        <f t="shared" ref="O20" si="215">IF(O8="","",N20)</f>
        <v/>
      </c>
      <c r="P20" s="8" t="str">
        <f>IF(P8="","",O20)</f>
        <v/>
      </c>
      <c r="Q20" s="8" t="str">
        <f t="shared" ref="Q20" si="216">IF(Q8="","",P20)</f>
        <v/>
      </c>
      <c r="R20" s="8" t="str">
        <f t="shared" ref="R20" si="217">IF(R8="","",Q20)</f>
        <v/>
      </c>
      <c r="S20" s="8" t="str">
        <f>IF(S8="","",R20)</f>
        <v/>
      </c>
      <c r="T20" s="8" t="str">
        <f t="shared" ref="T20" si="218">IF(T8="","",S20)</f>
        <v/>
      </c>
      <c r="U20" s="8" t="str">
        <f t="shared" ref="U20" si="219">IF(U8="","",T20)</f>
        <v/>
      </c>
      <c r="V20" s="8" t="str">
        <f t="shared" ref="V20" si="220">IF(V8="","",U20)</f>
        <v/>
      </c>
      <c r="W20" s="8" t="str">
        <f>IF(W8="","",V20)</f>
        <v/>
      </c>
      <c r="X20" s="8" t="str">
        <f t="shared" ref="X20" si="221">IF(X8="","",W20)</f>
        <v/>
      </c>
      <c r="Y20" s="8" t="str">
        <f t="shared" ref="Y20" si="222">IF(Y8="","",X20)</f>
        <v/>
      </c>
      <c r="Z20" s="8" t="str">
        <f>IF(Z8="","",Y20)</f>
        <v/>
      </c>
      <c r="AA20" s="8" t="str">
        <f t="shared" ref="AA20" si="223">IF(AA8="","",Z20)</f>
        <v/>
      </c>
      <c r="AB20" s="8" t="str">
        <f t="shared" ref="AB20" si="224">IF(AB8="","",AA20)</f>
        <v/>
      </c>
      <c r="AC20" s="8" t="str">
        <f t="shared" ref="AC20" si="225">IF(AC8="","",AB20)</f>
        <v/>
      </c>
      <c r="AD20" s="8" t="str">
        <f>IF(AD8="","",AC20)</f>
        <v/>
      </c>
      <c r="AE20" s="8" t="str">
        <f t="shared" ref="AE20" si="226">IF(AE8="","",AD20)</f>
        <v/>
      </c>
      <c r="AF20" s="8" t="str">
        <f t="shared" ref="AF20" si="227">IF(AF8="","",AE20)</f>
        <v/>
      </c>
      <c r="AG20" s="8" t="str">
        <f>IF(AG8="","",AF20)</f>
        <v/>
      </c>
      <c r="AH20" s="8" t="str">
        <f t="shared" ref="AH20" si="228">IF(AH8="","",AG20)</f>
        <v/>
      </c>
      <c r="AI20" s="8" t="str">
        <f t="shared" ref="AI20" si="229">IF(AI8="","",AH20)</f>
        <v/>
      </c>
      <c r="AJ20" s="8" t="str">
        <f t="shared" ref="AJ20" si="230">IF(AJ8="","",AI20)</f>
        <v/>
      </c>
      <c r="AK20" s="8" t="str">
        <f>IF(AK8="","",AJ20)</f>
        <v/>
      </c>
      <c r="AL20" s="8" t="str">
        <f t="shared" ref="AL20" si="231">IF(AL8="","",AK20)</f>
        <v/>
      </c>
      <c r="AM20" s="8" t="str">
        <f t="shared" ref="AM20" si="232">IF(AM8="","",AL20)</f>
        <v/>
      </c>
      <c r="AN20" s="8" t="str">
        <f t="shared" ref="AN20" si="233">IF(AN8="","",AM20)</f>
        <v/>
      </c>
      <c r="AO20" s="8" t="str">
        <f t="shared" ref="AO20:AS20" si="234">IF(AO8="","",AN20)</f>
        <v/>
      </c>
      <c r="AP20" s="8" t="str">
        <f t="shared" si="234"/>
        <v/>
      </c>
      <c r="AQ20" s="8" t="str">
        <f t="shared" si="234"/>
        <v/>
      </c>
      <c r="AR20" s="8" t="str">
        <f t="shared" si="234"/>
        <v/>
      </c>
      <c r="AS20" s="8" t="str">
        <f t="shared" si="234"/>
        <v/>
      </c>
    </row>
    <row r="21" spans="1:45" s="1" customFormat="1" ht="11.25" x14ac:dyDescent="0.15">
      <c r="A21" s="16" t="s">
        <v>3</v>
      </c>
      <c r="B21" s="9" t="s">
        <v>4</v>
      </c>
      <c r="C21" s="65">
        <v>102</v>
      </c>
      <c r="D21" s="8">
        <v>102</v>
      </c>
      <c r="E21" s="8">
        <v>104</v>
      </c>
      <c r="F21" s="8">
        <v>104</v>
      </c>
      <c r="G21" s="8">
        <v>104</v>
      </c>
      <c r="H21" s="8">
        <v>104</v>
      </c>
      <c r="I21" s="8">
        <v>106</v>
      </c>
      <c r="J21" s="8">
        <f t="shared" ref="J21" si="235">IF(J8="","",I21)</f>
        <v>106</v>
      </c>
      <c r="K21" s="8">
        <f t="shared" ref="K21" si="236">IF(K8="","",J21)</f>
        <v>106</v>
      </c>
      <c r="L21" s="8">
        <f>IF(L8="","",K21)</f>
        <v>106</v>
      </c>
      <c r="M21" s="8" t="str">
        <f t="shared" ref="M21" si="237">IF(M8="","",L21)</f>
        <v/>
      </c>
      <c r="N21" s="8" t="str">
        <f t="shared" ref="N21" si="238">IF(N8="","",M21)</f>
        <v/>
      </c>
      <c r="O21" s="8" t="str">
        <f t="shared" ref="O21" si="239">IF(O8="","",N21)</f>
        <v/>
      </c>
      <c r="P21" s="8" t="str">
        <f>IF(P8="","",O21)</f>
        <v/>
      </c>
      <c r="Q21" s="8" t="str">
        <f t="shared" ref="Q21" si="240">IF(Q8="","",P21)</f>
        <v/>
      </c>
      <c r="R21" s="8" t="str">
        <f t="shared" ref="R21" si="241">IF(R8="","",Q21)</f>
        <v/>
      </c>
      <c r="S21" s="8" t="str">
        <f>IF(S8="","",R21)</f>
        <v/>
      </c>
      <c r="T21" s="8" t="str">
        <f t="shared" ref="T21" si="242">IF(T8="","",S21)</f>
        <v/>
      </c>
      <c r="U21" s="8" t="str">
        <f t="shared" ref="U21" si="243">IF(U8="","",T21)</f>
        <v/>
      </c>
      <c r="V21" s="8" t="str">
        <f t="shared" ref="V21" si="244">IF(V8="","",U21)</f>
        <v/>
      </c>
      <c r="W21" s="8" t="str">
        <f>IF(W8="","",V21)</f>
        <v/>
      </c>
      <c r="X21" s="8" t="str">
        <f t="shared" ref="X21" si="245">IF(X8="","",W21)</f>
        <v/>
      </c>
      <c r="Y21" s="8" t="str">
        <f t="shared" ref="Y21" si="246">IF(Y8="","",X21)</f>
        <v/>
      </c>
      <c r="Z21" s="8" t="str">
        <f>IF(Z8="","",Y21)</f>
        <v/>
      </c>
      <c r="AA21" s="8" t="str">
        <f t="shared" ref="AA21" si="247">IF(AA8="","",Z21)</f>
        <v/>
      </c>
      <c r="AB21" s="8" t="str">
        <f t="shared" ref="AB21" si="248">IF(AB8="","",AA21)</f>
        <v/>
      </c>
      <c r="AC21" s="8" t="str">
        <f t="shared" ref="AC21" si="249">IF(AC8="","",AB21)</f>
        <v/>
      </c>
      <c r="AD21" s="8" t="str">
        <f>IF(AD8="","",AC21)</f>
        <v/>
      </c>
      <c r="AE21" s="8" t="str">
        <f t="shared" ref="AE21" si="250">IF(AE8="","",AD21)</f>
        <v/>
      </c>
      <c r="AF21" s="8" t="str">
        <f t="shared" ref="AF21" si="251">IF(AF8="","",AE21)</f>
        <v/>
      </c>
      <c r="AG21" s="8" t="str">
        <f>IF(AG8="","",AF21)</f>
        <v/>
      </c>
      <c r="AH21" s="8" t="str">
        <f t="shared" ref="AH21" si="252">IF(AH8="","",AG21)</f>
        <v/>
      </c>
      <c r="AI21" s="8" t="str">
        <f t="shared" ref="AI21" si="253">IF(AI8="","",AH21)</f>
        <v/>
      </c>
      <c r="AJ21" s="8" t="str">
        <f t="shared" ref="AJ21" si="254">IF(AJ8="","",AI21)</f>
        <v/>
      </c>
      <c r="AK21" s="8" t="str">
        <f>IF(AK8="","",AJ21)</f>
        <v/>
      </c>
      <c r="AL21" s="8" t="str">
        <f t="shared" ref="AL21" si="255">IF(AL8="","",AK21)</f>
        <v/>
      </c>
      <c r="AM21" s="8" t="str">
        <f t="shared" ref="AM21" si="256">IF(AM8="","",AL21)</f>
        <v/>
      </c>
      <c r="AN21" s="8" t="str">
        <f t="shared" ref="AN21" si="257">IF(AN8="","",AM21)</f>
        <v/>
      </c>
      <c r="AO21" s="8" t="str">
        <f t="shared" ref="AO21:AS21" si="258">IF(AO8="","",AN21)</f>
        <v/>
      </c>
      <c r="AP21" s="8" t="str">
        <f t="shared" si="258"/>
        <v/>
      </c>
      <c r="AQ21" s="8" t="str">
        <f t="shared" si="258"/>
        <v/>
      </c>
      <c r="AR21" s="8" t="str">
        <f t="shared" si="258"/>
        <v/>
      </c>
      <c r="AS21" s="8" t="str">
        <f t="shared" si="258"/>
        <v/>
      </c>
    </row>
    <row r="22" spans="1:45" s="1" customFormat="1" ht="11.25" x14ac:dyDescent="0.15">
      <c r="A22" s="15">
        <v>2</v>
      </c>
      <c r="B22" s="9" t="s">
        <v>5</v>
      </c>
      <c r="C22" s="65">
        <v>7</v>
      </c>
      <c r="D22" s="8">
        <v>7</v>
      </c>
      <c r="E22" s="8">
        <v>3</v>
      </c>
      <c r="F22" s="8">
        <v>8</v>
      </c>
      <c r="G22" s="8">
        <v>8</v>
      </c>
      <c r="H22" s="8">
        <v>8</v>
      </c>
      <c r="I22" s="8">
        <v>6</v>
      </c>
      <c r="J22" s="8">
        <f t="shared" ref="J22" si="259">IF(J20="","",(I22+I23))</f>
        <v>8</v>
      </c>
      <c r="K22" s="8">
        <f t="shared" ref="K22" si="260">IF(K20="","",(J22+J23))</f>
        <v>8</v>
      </c>
      <c r="L22" s="8">
        <f>IF(L20="","",(K22+K23))</f>
        <v>8</v>
      </c>
      <c r="M22" s="8" t="str">
        <f t="shared" ref="M22" si="261">IF(M20="","",(L22+L23))</f>
        <v/>
      </c>
      <c r="N22" s="8" t="str">
        <f t="shared" ref="N22" si="262">IF(N20="","",(M22+M23))</f>
        <v/>
      </c>
      <c r="O22" s="8" t="str">
        <f t="shared" ref="O22" si="263">IF(O20="","",(N22+N23))</f>
        <v/>
      </c>
      <c r="P22" s="8" t="str">
        <f>IF(P20="","",(O22+O23))</f>
        <v/>
      </c>
      <c r="Q22" s="8" t="str">
        <f t="shared" ref="Q22" si="264">IF(Q20="","",(P22+P23))</f>
        <v/>
      </c>
      <c r="R22" s="8" t="str">
        <f t="shared" ref="R22" si="265">IF(R20="","",(Q22+Q23))</f>
        <v/>
      </c>
      <c r="S22" s="8" t="str">
        <f>IF(S20="","",(R22+R23))</f>
        <v/>
      </c>
      <c r="T22" s="8" t="str">
        <f t="shared" ref="T22" si="266">IF(T20="","",(S22+S23))</f>
        <v/>
      </c>
      <c r="U22" s="8" t="str">
        <f t="shared" ref="U22" si="267">IF(U20="","",(T22+T23))</f>
        <v/>
      </c>
      <c r="V22" s="8" t="str">
        <f t="shared" ref="V22" si="268">IF(V20="","",(U22+U23))</f>
        <v/>
      </c>
      <c r="W22" s="8" t="str">
        <f>IF(W20="","",(V22+V23))</f>
        <v/>
      </c>
      <c r="X22" s="8" t="str">
        <f t="shared" ref="X22" si="269">IF(X20="","",(W22+W23))</f>
        <v/>
      </c>
      <c r="Y22" s="8" t="str">
        <f t="shared" ref="Y22" si="270">IF(Y20="","",(X22+X23))</f>
        <v/>
      </c>
      <c r="Z22" s="8" t="str">
        <f>IF(Z20="","",(Y22+Y23))</f>
        <v/>
      </c>
      <c r="AA22" s="8" t="str">
        <f t="shared" ref="AA22" si="271">IF(AA20="","",(Z22+Z23))</f>
        <v/>
      </c>
      <c r="AB22" s="8" t="str">
        <f t="shared" ref="AB22" si="272">IF(AB20="","",(AA22+AA23))</f>
        <v/>
      </c>
      <c r="AC22" s="8" t="str">
        <f t="shared" ref="AC22" si="273">IF(AC20="","",(AB22+AB23))</f>
        <v/>
      </c>
      <c r="AD22" s="8" t="str">
        <f>IF(AD20="","",(AC22+AC23))</f>
        <v/>
      </c>
      <c r="AE22" s="8" t="str">
        <f t="shared" ref="AE22" si="274">IF(AE20="","",(AD22+AD23))</f>
        <v/>
      </c>
      <c r="AF22" s="8" t="str">
        <f t="shared" ref="AF22" si="275">IF(AF20="","",(AE22+AE23))</f>
        <v/>
      </c>
      <c r="AG22" s="8" t="str">
        <f>IF(AG20="","",(AF22+AF23))</f>
        <v/>
      </c>
      <c r="AH22" s="8" t="str">
        <f t="shared" ref="AH22" si="276">IF(AH20="","",(AG22+AG23))</f>
        <v/>
      </c>
      <c r="AI22" s="8" t="str">
        <f t="shared" ref="AI22" si="277">IF(AI20="","",(AH22+AH23))</f>
        <v/>
      </c>
      <c r="AJ22" s="8" t="str">
        <f t="shared" ref="AJ22" si="278">IF(AJ20="","",(AI22+AI23))</f>
        <v/>
      </c>
      <c r="AK22" s="8" t="str">
        <f>IF(AK20="","",(AJ22+AJ23))</f>
        <v/>
      </c>
      <c r="AL22" s="8" t="str">
        <f t="shared" ref="AL22" si="279">IF(AL20="","",(AK22+AK23))</f>
        <v/>
      </c>
      <c r="AM22" s="8" t="str">
        <f t="shared" ref="AM22" si="280">IF(AM20="","",(AL22+AL23))</f>
        <v/>
      </c>
      <c r="AN22" s="8" t="str">
        <f t="shared" ref="AN22" si="281">IF(AN20="","",(AM22+AM23))</f>
        <v/>
      </c>
      <c r="AO22" s="8" t="str">
        <f t="shared" ref="AO22:AS22" si="282">IF(AO20="","",(AN22+AN23))</f>
        <v/>
      </c>
      <c r="AP22" s="8" t="str">
        <f t="shared" si="282"/>
        <v/>
      </c>
      <c r="AQ22" s="8" t="str">
        <f t="shared" si="282"/>
        <v/>
      </c>
      <c r="AR22" s="8" t="str">
        <f t="shared" si="282"/>
        <v/>
      </c>
      <c r="AS22" s="8" t="str">
        <f t="shared" si="282"/>
        <v/>
      </c>
    </row>
    <row r="23" spans="1:45" s="1" customFormat="1" ht="11.25" x14ac:dyDescent="0.15">
      <c r="A23" s="14"/>
      <c r="B23" s="9" t="s">
        <v>7</v>
      </c>
      <c r="C23" s="65"/>
      <c r="D23" s="8"/>
      <c r="E23" s="8">
        <v>5</v>
      </c>
      <c r="F23" s="8"/>
      <c r="G23" s="8"/>
      <c r="H23" s="8"/>
      <c r="I23" s="8">
        <v>2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</row>
    <row r="24" spans="1:45" s="1" customFormat="1" ht="11.25" x14ac:dyDescent="0.15">
      <c r="A24" s="7"/>
      <c r="B24" s="9" t="s">
        <v>8</v>
      </c>
      <c r="C24" s="65">
        <v>800</v>
      </c>
      <c r="D24" s="8">
        <v>800</v>
      </c>
      <c r="E24" s="8">
        <v>800</v>
      </c>
      <c r="F24" s="8">
        <v>800</v>
      </c>
      <c r="G24" s="8">
        <v>800</v>
      </c>
      <c r="H24" s="8">
        <v>800</v>
      </c>
      <c r="I24" s="8">
        <v>800</v>
      </c>
      <c r="J24" s="8">
        <f t="shared" ref="J24" si="283">IF(J20="","",I24)</f>
        <v>800</v>
      </c>
      <c r="K24" s="8">
        <f t="shared" ref="K24" si="284">IF(K20="","",J24)</f>
        <v>800</v>
      </c>
      <c r="L24" s="8">
        <f t="shared" ref="L24" si="285">IF(L20="","",K24)</f>
        <v>800</v>
      </c>
      <c r="M24" s="8" t="str">
        <f t="shared" ref="M24" si="286">IF(M20="","",L24)</f>
        <v/>
      </c>
      <c r="N24" s="8" t="str">
        <f t="shared" ref="N24" si="287">IF(N20="","",M24)</f>
        <v/>
      </c>
      <c r="O24" s="8" t="str">
        <f t="shared" ref="O24" si="288">IF(O20="","",N24)</f>
        <v/>
      </c>
      <c r="P24" s="8" t="str">
        <f t="shared" ref="P24" si="289">IF(P20="","",O24)</f>
        <v/>
      </c>
      <c r="Q24" s="8" t="str">
        <f t="shared" ref="Q24" si="290">IF(Q20="","",P24)</f>
        <v/>
      </c>
      <c r="R24" s="8" t="str">
        <f t="shared" ref="R24" si="291">IF(R20="","",Q24)</f>
        <v/>
      </c>
      <c r="S24" s="8" t="str">
        <f t="shared" ref="S24" si="292">IF(S20="","",R24)</f>
        <v/>
      </c>
      <c r="T24" s="8" t="str">
        <f t="shared" ref="T24" si="293">IF(T20="","",S24)</f>
        <v/>
      </c>
      <c r="U24" s="8" t="str">
        <f t="shared" ref="U24" si="294">IF(U20="","",T24)</f>
        <v/>
      </c>
      <c r="V24" s="8" t="str">
        <f t="shared" ref="V24" si="295">IF(V20="","",U24)</f>
        <v/>
      </c>
      <c r="W24" s="8" t="str">
        <f t="shared" ref="W24" si="296">IF(W20="","",V24)</f>
        <v/>
      </c>
      <c r="X24" s="8" t="str">
        <f t="shared" ref="X24" si="297">IF(X20="","",W24)</f>
        <v/>
      </c>
      <c r="Y24" s="8" t="str">
        <f t="shared" ref="Y24" si="298">IF(Y20="","",X24)</f>
        <v/>
      </c>
      <c r="Z24" s="8" t="str">
        <f t="shared" ref="Z24" si="299">IF(Z20="","",Y24)</f>
        <v/>
      </c>
      <c r="AA24" s="8" t="str">
        <f t="shared" ref="AA24" si="300">IF(AA20="","",Z24)</f>
        <v/>
      </c>
      <c r="AB24" s="8" t="str">
        <f t="shared" ref="AB24" si="301">IF(AB20="","",AA24)</f>
        <v/>
      </c>
      <c r="AC24" s="8" t="str">
        <f t="shared" ref="AC24" si="302">IF(AC20="","",AB24)</f>
        <v/>
      </c>
      <c r="AD24" s="8" t="str">
        <f t="shared" ref="AD24" si="303">IF(AD20="","",AC24)</f>
        <v/>
      </c>
      <c r="AE24" s="8" t="str">
        <f t="shared" ref="AE24" si="304">IF(AE20="","",AD24)</f>
        <v/>
      </c>
      <c r="AF24" s="8" t="str">
        <f t="shared" ref="AF24" si="305">IF(AF20="","",AE24)</f>
        <v/>
      </c>
      <c r="AG24" s="8" t="str">
        <f t="shared" ref="AG24" si="306">IF(AG20="","",AF24)</f>
        <v/>
      </c>
      <c r="AH24" s="8" t="str">
        <f t="shared" ref="AH24" si="307">IF(AH20="","",AG24)</f>
        <v/>
      </c>
      <c r="AI24" s="8" t="str">
        <f t="shared" ref="AI24" si="308">IF(AI20="","",AH24)</f>
        <v/>
      </c>
      <c r="AJ24" s="8" t="str">
        <f t="shared" ref="AJ24" si="309">IF(AJ20="","",AI24)</f>
        <v/>
      </c>
      <c r="AK24" s="8" t="str">
        <f t="shared" ref="AK24" si="310">IF(AK20="","",AJ24)</f>
        <v/>
      </c>
      <c r="AL24" s="8" t="str">
        <f t="shared" ref="AL24" si="311">IF(AL20="","",AK24)</f>
        <v/>
      </c>
      <c r="AM24" s="8" t="str">
        <f t="shared" ref="AM24" si="312">IF(AM20="","",AL24)</f>
        <v/>
      </c>
      <c r="AN24" s="8" t="str">
        <f t="shared" ref="AN24" si="313">IF(AN20="","",AM24)</f>
        <v/>
      </c>
      <c r="AO24" s="8" t="str">
        <f t="shared" ref="AO24:AS24" si="314">IF(AO20="","",AN24)</f>
        <v/>
      </c>
      <c r="AP24" s="8" t="str">
        <f t="shared" si="314"/>
        <v/>
      </c>
      <c r="AQ24" s="8" t="str">
        <f t="shared" si="314"/>
        <v/>
      </c>
      <c r="AR24" s="8" t="str">
        <f t="shared" si="314"/>
        <v/>
      </c>
      <c r="AS24" s="8" t="str">
        <f t="shared" si="314"/>
        <v/>
      </c>
    </row>
    <row r="25" spans="1:45" s="85" customFormat="1" ht="11.25" x14ac:dyDescent="0.15">
      <c r="A25" s="14" t="s">
        <v>9</v>
      </c>
      <c r="B25" s="13" t="s">
        <v>10</v>
      </c>
      <c r="C25" s="66" t="s">
        <v>353</v>
      </c>
      <c r="D25" s="12" t="s">
        <v>353</v>
      </c>
      <c r="E25" s="12" t="s">
        <v>353</v>
      </c>
      <c r="F25" s="12" t="s">
        <v>353</v>
      </c>
      <c r="G25" s="12" t="s">
        <v>353</v>
      </c>
      <c r="H25" s="12" t="s">
        <v>353</v>
      </c>
      <c r="I25" s="12" t="s">
        <v>353</v>
      </c>
      <c r="J25" s="12" t="str">
        <f t="shared" ref="J25" si="315">IF(J20="","",I25)</f>
        <v>ミニファン</v>
      </c>
      <c r="K25" s="12" t="str">
        <f t="shared" ref="K25" si="316">IF(K20="","",J25)</f>
        <v>ミニファン</v>
      </c>
      <c r="L25" s="12" t="str">
        <f>IF(L20="","",K25)</f>
        <v>ミニファン</v>
      </c>
      <c r="M25" s="12" t="str">
        <f t="shared" ref="M25" si="317">IF(M20="","",L25)</f>
        <v/>
      </c>
      <c r="N25" s="12" t="str">
        <f t="shared" ref="N25" si="318">IF(N20="","",M25)</f>
        <v/>
      </c>
      <c r="O25" s="12" t="str">
        <f t="shared" ref="O25" si="319">IF(O20="","",N25)</f>
        <v/>
      </c>
      <c r="P25" s="12" t="str">
        <f t="shared" ref="P25" si="320">IF(P20="","",O25)</f>
        <v/>
      </c>
      <c r="Q25" s="12" t="str">
        <f t="shared" ref="Q25" si="321">IF(Q20="","",P25)</f>
        <v/>
      </c>
      <c r="R25" s="12" t="str">
        <f t="shared" ref="R25" si="322">IF(R20="","",Q25)</f>
        <v/>
      </c>
      <c r="S25" s="12" t="str">
        <f t="shared" ref="S25" si="323">IF(S20="","",R25)</f>
        <v/>
      </c>
      <c r="T25" s="12" t="str">
        <f t="shared" ref="T25" si="324">IF(T20="","",S25)</f>
        <v/>
      </c>
      <c r="U25" s="12" t="str">
        <f t="shared" ref="U25" si="325">IF(U20="","",T25)</f>
        <v/>
      </c>
      <c r="V25" s="12" t="str">
        <f t="shared" ref="V25" si="326">IF(V20="","",U25)</f>
        <v/>
      </c>
      <c r="W25" s="12" t="str">
        <f t="shared" ref="W25" si="327">IF(W20="","",V25)</f>
        <v/>
      </c>
      <c r="X25" s="12" t="str">
        <f t="shared" ref="X25" si="328">IF(X20="","",W25)</f>
        <v/>
      </c>
      <c r="Y25" s="12" t="str">
        <f t="shared" ref="Y25" si="329">IF(Y20="","",X25)</f>
        <v/>
      </c>
      <c r="Z25" s="12" t="str">
        <f t="shared" ref="Z25" si="330">IF(Z20="","",Y25)</f>
        <v/>
      </c>
      <c r="AA25" s="12" t="str">
        <f t="shared" ref="AA25" si="331">IF(AA20="","",Z25)</f>
        <v/>
      </c>
      <c r="AB25" s="12" t="str">
        <f t="shared" ref="AB25" si="332">IF(AB20="","",AA25)</f>
        <v/>
      </c>
      <c r="AC25" s="12" t="str">
        <f t="shared" ref="AC25" si="333">IF(AC20="","",AB25)</f>
        <v/>
      </c>
      <c r="AD25" s="12" t="str">
        <f t="shared" ref="AD25" si="334">IF(AD20="","",AC25)</f>
        <v/>
      </c>
      <c r="AE25" s="12" t="str">
        <f t="shared" ref="AE25" si="335">IF(AE20="","",AD25)</f>
        <v/>
      </c>
      <c r="AF25" s="12" t="str">
        <f t="shared" ref="AF25" si="336">IF(AF20="","",AE25)</f>
        <v/>
      </c>
      <c r="AG25" s="12" t="str">
        <f t="shared" ref="AG25" si="337">IF(AG20="","",AF25)</f>
        <v/>
      </c>
      <c r="AH25" s="12" t="str">
        <f t="shared" ref="AH25" si="338">IF(AH20="","",AG25)</f>
        <v/>
      </c>
      <c r="AI25" s="12" t="str">
        <f t="shared" ref="AI25" si="339">IF(AI20="","",AH25)</f>
        <v/>
      </c>
      <c r="AJ25" s="12" t="str">
        <f t="shared" ref="AJ25" si="340">IF(AJ20="","",AI25)</f>
        <v/>
      </c>
      <c r="AK25" s="12" t="str">
        <f t="shared" ref="AK25" si="341">IF(AK20="","",AJ25)</f>
        <v/>
      </c>
      <c r="AL25" s="12" t="str">
        <f t="shared" ref="AL25" si="342">IF(AL20="","",AK25)</f>
        <v/>
      </c>
      <c r="AM25" s="12" t="str">
        <f t="shared" ref="AM25" si="343">IF(AM20="","",AL25)</f>
        <v/>
      </c>
      <c r="AN25" s="12" t="str">
        <f t="shared" ref="AN25" si="344">IF(AN20="","",AM25)</f>
        <v/>
      </c>
      <c r="AO25" s="12" t="str">
        <f t="shared" ref="AO25:AS25" si="345">IF(AO20="","",AN25)</f>
        <v/>
      </c>
      <c r="AP25" s="12" t="str">
        <f t="shared" si="345"/>
        <v/>
      </c>
      <c r="AQ25" s="12" t="str">
        <f t="shared" si="345"/>
        <v/>
      </c>
      <c r="AR25" s="12" t="str">
        <f t="shared" si="345"/>
        <v/>
      </c>
      <c r="AS25" s="12" t="str">
        <f t="shared" si="345"/>
        <v/>
      </c>
    </row>
    <row r="26" spans="1:45" s="1" customFormat="1" ht="11.25" x14ac:dyDescent="0.15">
      <c r="A26" s="7">
        <f>AVERAGE(C27:AS27)*30*100</f>
        <v>97800</v>
      </c>
      <c r="B26" s="9" t="s">
        <v>12</v>
      </c>
      <c r="C26" s="6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</row>
    <row r="27" spans="1:45" s="1" customFormat="1" ht="11.25" x14ac:dyDescent="0.15">
      <c r="A27" s="7">
        <f>SUM(C27:AS27)</f>
        <v>326</v>
      </c>
      <c r="B27" s="6" t="s">
        <v>13</v>
      </c>
      <c r="C27" s="65">
        <v>0</v>
      </c>
      <c r="D27" s="5">
        <v>0</v>
      </c>
      <c r="E27" s="5">
        <v>85</v>
      </c>
      <c r="F27" s="5">
        <v>0</v>
      </c>
      <c r="G27" s="5">
        <v>0</v>
      </c>
      <c r="H27" s="5">
        <v>0</v>
      </c>
      <c r="I27" s="5">
        <v>106</v>
      </c>
      <c r="J27" s="5">
        <f t="shared" ref="J27:J28" si="346">IF(J20="","",J20-I20)</f>
        <v>0</v>
      </c>
      <c r="K27" s="5">
        <f t="shared" ref="K27:K28" si="347">IF(K20="","",K20-J20)</f>
        <v>0</v>
      </c>
      <c r="L27" s="5">
        <f t="shared" ref="L27:L28" si="348">IF(L20="","",L20-K20)</f>
        <v>135</v>
      </c>
      <c r="M27" s="5" t="str">
        <f t="shared" ref="M27:M28" si="349">IF(M20="","",M20-L20)</f>
        <v/>
      </c>
      <c r="N27" s="5" t="str">
        <f t="shared" ref="N27:N28" si="350">IF(N20="","",N20-M20)</f>
        <v/>
      </c>
      <c r="O27" s="5" t="str">
        <f t="shared" ref="O27:O28" si="351">IF(O20="","",O20-N20)</f>
        <v/>
      </c>
      <c r="P27" s="5" t="str">
        <f t="shared" ref="P27:P28" si="352">IF(P20="","",P20-O20)</f>
        <v/>
      </c>
      <c r="Q27" s="5" t="str">
        <f t="shared" ref="Q27:Q28" si="353">IF(Q20="","",Q20-P20)</f>
        <v/>
      </c>
      <c r="R27" s="5" t="str">
        <f t="shared" ref="R27:R28" si="354">IF(R20="","",R20-Q20)</f>
        <v/>
      </c>
      <c r="S27" s="5" t="str">
        <f t="shared" ref="S27:S28" si="355">IF(S20="","",S20-R20)</f>
        <v/>
      </c>
      <c r="T27" s="5" t="str">
        <f t="shared" ref="T27:T28" si="356">IF(T20="","",T20-S20)</f>
        <v/>
      </c>
      <c r="U27" s="5" t="str">
        <f t="shared" ref="U27:U28" si="357">IF(U20="","",U20-T20)</f>
        <v/>
      </c>
      <c r="V27" s="5" t="str">
        <f t="shared" ref="V27:V28" si="358">IF(V20="","",V20-U20)</f>
        <v/>
      </c>
      <c r="W27" s="5" t="str">
        <f t="shared" ref="W27:W28" si="359">IF(W20="","",W20-V20)</f>
        <v/>
      </c>
      <c r="X27" s="5" t="str">
        <f t="shared" ref="X27:X28" si="360">IF(X20="","",X20-W20)</f>
        <v/>
      </c>
      <c r="Y27" s="5" t="str">
        <f t="shared" ref="Y27:Y28" si="361">IF(Y20="","",Y20-X20)</f>
        <v/>
      </c>
      <c r="Z27" s="5" t="str">
        <f t="shared" ref="Z27:Z28" si="362">IF(Z20="","",Z20-Y20)</f>
        <v/>
      </c>
      <c r="AA27" s="5" t="str">
        <f t="shared" ref="AA27:AA28" si="363">IF(AA20="","",AA20-Z20)</f>
        <v/>
      </c>
      <c r="AB27" s="5" t="str">
        <f t="shared" ref="AB27:AB28" si="364">IF(AB20="","",AB20-AA20)</f>
        <v/>
      </c>
      <c r="AC27" s="5" t="str">
        <f t="shared" ref="AC27:AC28" si="365">IF(AC20="","",AC20-AB20)</f>
        <v/>
      </c>
      <c r="AD27" s="5" t="str">
        <f t="shared" ref="AD27:AD28" si="366">IF(AD20="","",AD20-AC20)</f>
        <v/>
      </c>
      <c r="AE27" s="5" t="str">
        <f t="shared" ref="AE27:AE28" si="367">IF(AE20="","",AE20-AD20)</f>
        <v/>
      </c>
      <c r="AF27" s="5" t="str">
        <f t="shared" ref="AF27:AF28" si="368">IF(AF20="","",AF20-AE20)</f>
        <v/>
      </c>
      <c r="AG27" s="5" t="str">
        <f t="shared" ref="AG27:AG28" si="369">IF(AG20="","",AG20-AF20)</f>
        <v/>
      </c>
      <c r="AH27" s="5" t="str">
        <f t="shared" ref="AH27:AH28" si="370">IF(AH20="","",AH20-AG20)</f>
        <v/>
      </c>
      <c r="AI27" s="5" t="str">
        <f t="shared" ref="AI27:AI28" si="371">IF(AI20="","",AI20-AH20)</f>
        <v/>
      </c>
      <c r="AJ27" s="5" t="str">
        <f t="shared" ref="AJ27:AJ28" si="372">IF(AJ20="","",AJ20-AI20)</f>
        <v/>
      </c>
      <c r="AK27" s="5" t="str">
        <f t="shared" ref="AK27:AK28" si="373">IF(AK20="","",AK20-AJ20)</f>
        <v/>
      </c>
      <c r="AL27" s="5" t="str">
        <f t="shared" ref="AL27:AL28" si="374">IF(AL20="","",AL20-AK20)</f>
        <v/>
      </c>
      <c r="AM27" s="5" t="str">
        <f t="shared" ref="AM27:AM28" si="375">IF(AM20="","",AM20-AL20)</f>
        <v/>
      </c>
      <c r="AN27" s="5" t="str">
        <f t="shared" ref="AN27:AN28" si="376">IF(AN20="","",AN20-AM20)</f>
        <v/>
      </c>
      <c r="AO27" s="5" t="str">
        <f t="shared" ref="AO27:AS27" si="377">IF(AO20="","",AO20-AN20)</f>
        <v/>
      </c>
      <c r="AP27" s="5" t="str">
        <f t="shared" si="377"/>
        <v/>
      </c>
      <c r="AQ27" s="5" t="str">
        <f t="shared" si="377"/>
        <v/>
      </c>
      <c r="AR27" s="5" t="str">
        <f t="shared" si="377"/>
        <v/>
      </c>
      <c r="AS27" s="5" t="str">
        <f t="shared" si="377"/>
        <v/>
      </c>
    </row>
    <row r="28" spans="1:45" s="1" customFormat="1" ht="11.25" x14ac:dyDescent="0.15">
      <c r="A28" s="7">
        <f>SUM(C28:AS28)</f>
        <v>4</v>
      </c>
      <c r="B28" s="6" t="s">
        <v>14</v>
      </c>
      <c r="C28" s="65">
        <v>0</v>
      </c>
      <c r="D28" s="5">
        <v>0</v>
      </c>
      <c r="E28" s="5">
        <v>2</v>
      </c>
      <c r="F28" s="5">
        <v>0</v>
      </c>
      <c r="G28" s="5">
        <v>0</v>
      </c>
      <c r="H28" s="5">
        <v>0</v>
      </c>
      <c r="I28" s="5">
        <v>2</v>
      </c>
      <c r="J28" s="5">
        <f t="shared" si="346"/>
        <v>0</v>
      </c>
      <c r="K28" s="5">
        <f t="shared" si="347"/>
        <v>0</v>
      </c>
      <c r="L28" s="5">
        <f t="shared" si="348"/>
        <v>0</v>
      </c>
      <c r="M28" s="5" t="str">
        <f t="shared" si="349"/>
        <v/>
      </c>
      <c r="N28" s="5" t="str">
        <f t="shared" si="350"/>
        <v/>
      </c>
      <c r="O28" s="5" t="str">
        <f t="shared" si="351"/>
        <v/>
      </c>
      <c r="P28" s="5" t="str">
        <f t="shared" si="352"/>
        <v/>
      </c>
      <c r="Q28" s="5" t="str">
        <f t="shared" si="353"/>
        <v/>
      </c>
      <c r="R28" s="5" t="str">
        <f t="shared" si="354"/>
        <v/>
      </c>
      <c r="S28" s="5" t="str">
        <f t="shared" si="355"/>
        <v/>
      </c>
      <c r="T28" s="5" t="str">
        <f t="shared" si="356"/>
        <v/>
      </c>
      <c r="U28" s="5" t="str">
        <f t="shared" si="357"/>
        <v/>
      </c>
      <c r="V28" s="5" t="str">
        <f t="shared" si="358"/>
        <v/>
      </c>
      <c r="W28" s="5" t="str">
        <f t="shared" si="359"/>
        <v/>
      </c>
      <c r="X28" s="5" t="str">
        <f t="shared" si="360"/>
        <v/>
      </c>
      <c r="Y28" s="5" t="str">
        <f t="shared" si="361"/>
        <v/>
      </c>
      <c r="Z28" s="5" t="str">
        <f t="shared" si="362"/>
        <v/>
      </c>
      <c r="AA28" s="5" t="str">
        <f t="shared" si="363"/>
        <v/>
      </c>
      <c r="AB28" s="5" t="str">
        <f t="shared" si="364"/>
        <v/>
      </c>
      <c r="AC28" s="5" t="str">
        <f t="shared" si="365"/>
        <v/>
      </c>
      <c r="AD28" s="5" t="str">
        <f t="shared" si="366"/>
        <v/>
      </c>
      <c r="AE28" s="5" t="str">
        <f t="shared" si="367"/>
        <v/>
      </c>
      <c r="AF28" s="5" t="str">
        <f t="shared" si="368"/>
        <v/>
      </c>
      <c r="AG28" s="5" t="str">
        <f t="shared" si="369"/>
        <v/>
      </c>
      <c r="AH28" s="5" t="str">
        <f t="shared" si="370"/>
        <v/>
      </c>
      <c r="AI28" s="5" t="str">
        <f t="shared" si="371"/>
        <v/>
      </c>
      <c r="AJ28" s="5" t="str">
        <f t="shared" si="372"/>
        <v/>
      </c>
      <c r="AK28" s="5" t="str">
        <f t="shared" si="373"/>
        <v/>
      </c>
      <c r="AL28" s="5" t="str">
        <f t="shared" si="374"/>
        <v/>
      </c>
      <c r="AM28" s="5" t="str">
        <f t="shared" si="375"/>
        <v/>
      </c>
      <c r="AN28" s="5" t="str">
        <f t="shared" si="376"/>
        <v/>
      </c>
      <c r="AO28" s="5" t="str">
        <f t="shared" ref="AO28:AS28" si="378">IF(AO21="","",AO21-AN21)</f>
        <v/>
      </c>
      <c r="AP28" s="5" t="str">
        <f t="shared" si="378"/>
        <v/>
      </c>
      <c r="AQ28" s="5" t="str">
        <f t="shared" si="378"/>
        <v/>
      </c>
      <c r="AR28" s="5" t="str">
        <f t="shared" si="378"/>
        <v/>
      </c>
      <c r="AS28" s="5" t="str">
        <f t="shared" si="378"/>
        <v/>
      </c>
    </row>
    <row r="29" spans="1:45" s="1" customFormat="1" ht="11.25" x14ac:dyDescent="0.15">
      <c r="A29" s="7">
        <f>SUM(C29:AS29)</f>
        <v>6</v>
      </c>
      <c r="B29" s="6" t="s">
        <v>15</v>
      </c>
      <c r="C29" s="65">
        <v>0</v>
      </c>
      <c r="D29" s="5">
        <v>0</v>
      </c>
      <c r="E29" s="5">
        <v>4</v>
      </c>
      <c r="F29" s="5">
        <v>0</v>
      </c>
      <c r="G29" s="5">
        <v>0</v>
      </c>
      <c r="H29" s="5">
        <v>0</v>
      </c>
      <c r="I29" s="5">
        <v>2</v>
      </c>
      <c r="J29" s="5">
        <f t="shared" ref="J29" si="379">IF(J22="","",I22+I23-J22)</f>
        <v>0</v>
      </c>
      <c r="K29" s="5">
        <f t="shared" ref="K29" si="380">IF(K22="","",J22+J23-K22)</f>
        <v>0</v>
      </c>
      <c r="L29" s="5">
        <f t="shared" ref="L29" si="381">IF(L22="","",K22+K23-L22)</f>
        <v>0</v>
      </c>
      <c r="M29" s="5" t="str">
        <f t="shared" ref="M29" si="382">IF(M22="","",L22+L23-M22)</f>
        <v/>
      </c>
      <c r="N29" s="5" t="str">
        <f t="shared" ref="N29" si="383">IF(N22="","",M22+M23-N22)</f>
        <v/>
      </c>
      <c r="O29" s="5" t="str">
        <f t="shared" ref="O29" si="384">IF(O22="","",N22+N23-O22)</f>
        <v/>
      </c>
      <c r="P29" s="5" t="str">
        <f t="shared" ref="P29" si="385">IF(P22="","",O22+O23-P22)</f>
        <v/>
      </c>
      <c r="Q29" s="5" t="str">
        <f t="shared" ref="Q29" si="386">IF(Q22="","",P22+P23-Q22)</f>
        <v/>
      </c>
      <c r="R29" s="5" t="str">
        <f t="shared" ref="R29" si="387">IF(R22="","",Q22+Q23-R22)</f>
        <v/>
      </c>
      <c r="S29" s="5" t="str">
        <f t="shared" ref="S29" si="388">IF(S22="","",R22+R23-S22)</f>
        <v/>
      </c>
      <c r="T29" s="5" t="str">
        <f t="shared" ref="T29" si="389">IF(T22="","",S22+S23-T22)</f>
        <v/>
      </c>
      <c r="U29" s="5" t="str">
        <f t="shared" ref="U29" si="390">IF(U22="","",T22+T23-U22)</f>
        <v/>
      </c>
      <c r="V29" s="5" t="str">
        <f t="shared" ref="V29" si="391">IF(V22="","",U22+U23-V22)</f>
        <v/>
      </c>
      <c r="W29" s="5" t="str">
        <f t="shared" ref="W29" si="392">IF(W22="","",V22+V23-W22)</f>
        <v/>
      </c>
      <c r="X29" s="5" t="str">
        <f t="shared" ref="X29" si="393">IF(X22="","",W22+W23-X22)</f>
        <v/>
      </c>
      <c r="Y29" s="5" t="str">
        <f t="shared" ref="Y29" si="394">IF(Y22="","",X22+X23-Y22)</f>
        <v/>
      </c>
      <c r="Z29" s="5" t="str">
        <f t="shared" ref="Z29" si="395">IF(Z22="","",Y22+Y23-Z22)</f>
        <v/>
      </c>
      <c r="AA29" s="5" t="str">
        <f t="shared" ref="AA29" si="396">IF(AA22="","",Z22+Z23-AA22)</f>
        <v/>
      </c>
      <c r="AB29" s="5" t="str">
        <f t="shared" ref="AB29" si="397">IF(AB22="","",AA22+AA23-AB22)</f>
        <v/>
      </c>
      <c r="AC29" s="5" t="str">
        <f t="shared" ref="AC29" si="398">IF(AC22="","",AB22+AB23-AC22)</f>
        <v/>
      </c>
      <c r="AD29" s="5" t="str">
        <f t="shared" ref="AD29" si="399">IF(AD22="","",AC22+AC23-AD22)</f>
        <v/>
      </c>
      <c r="AE29" s="5" t="str">
        <f t="shared" ref="AE29" si="400">IF(AE22="","",AD22+AD23-AE22)</f>
        <v/>
      </c>
      <c r="AF29" s="5" t="str">
        <f t="shared" ref="AF29" si="401">IF(AF22="","",AE22+AE23-AF22)</f>
        <v/>
      </c>
      <c r="AG29" s="5" t="str">
        <f t="shared" ref="AG29" si="402">IF(AG22="","",AF22+AF23-AG22)</f>
        <v/>
      </c>
      <c r="AH29" s="5" t="str">
        <f t="shared" ref="AH29" si="403">IF(AH22="","",AG22+AG23-AH22)</f>
        <v/>
      </c>
      <c r="AI29" s="5" t="str">
        <f t="shared" ref="AI29" si="404">IF(AI22="","",AH22+AH23-AI22)</f>
        <v/>
      </c>
      <c r="AJ29" s="5" t="str">
        <f t="shared" ref="AJ29" si="405">IF(AJ22="","",AI22+AI23-AJ22)</f>
        <v/>
      </c>
      <c r="AK29" s="5" t="str">
        <f t="shared" ref="AK29" si="406">IF(AK22="","",AJ22+AJ23-AK22)</f>
        <v/>
      </c>
      <c r="AL29" s="5" t="str">
        <f t="shared" ref="AL29" si="407">IF(AL22="","",AK22+AK23-AL22)</f>
        <v/>
      </c>
      <c r="AM29" s="5" t="str">
        <f t="shared" ref="AM29" si="408">IF(AM22="","",AL22+AL23-AM22)</f>
        <v/>
      </c>
      <c r="AN29" s="5" t="str">
        <f t="shared" ref="AN29" si="409">IF(AN22="","",AM22+AM23-AN22)</f>
        <v/>
      </c>
      <c r="AO29" s="5" t="str">
        <f t="shared" ref="AO29:AS29" si="410">IF(AO22="","",AN22+AN23-AO22)</f>
        <v/>
      </c>
      <c r="AP29" s="5" t="str">
        <f t="shared" si="410"/>
        <v/>
      </c>
      <c r="AQ29" s="5" t="str">
        <f t="shared" si="410"/>
        <v/>
      </c>
      <c r="AR29" s="5" t="str">
        <f t="shared" si="410"/>
        <v/>
      </c>
      <c r="AS29" s="5" t="str">
        <f t="shared" si="410"/>
        <v/>
      </c>
    </row>
    <row r="30" spans="1:45" s="1" customFormat="1" ht="11.25" x14ac:dyDescent="0.15">
      <c r="A30" s="7">
        <f>SUM(C30:AS30)</f>
        <v>4800</v>
      </c>
      <c r="B30" s="6" t="s">
        <v>16</v>
      </c>
      <c r="C30" s="65">
        <v>0</v>
      </c>
      <c r="D30" s="5">
        <v>0</v>
      </c>
      <c r="E30" s="5">
        <v>3200</v>
      </c>
      <c r="F30" s="5">
        <v>0</v>
      </c>
      <c r="G30" s="5">
        <v>0</v>
      </c>
      <c r="H30" s="5">
        <v>0</v>
      </c>
      <c r="I30" s="5">
        <v>1600</v>
      </c>
      <c r="J30" s="5">
        <f t="shared" ref="D30:AN30" si="411">IF(J20="","",J29*J24)</f>
        <v>0</v>
      </c>
      <c r="K30" s="5">
        <f t="shared" si="411"/>
        <v>0</v>
      </c>
      <c r="L30" s="5">
        <f t="shared" si="411"/>
        <v>0</v>
      </c>
      <c r="M30" s="5" t="str">
        <f t="shared" si="411"/>
        <v/>
      </c>
      <c r="N30" s="5" t="str">
        <f t="shared" si="411"/>
        <v/>
      </c>
      <c r="O30" s="5" t="str">
        <f t="shared" si="411"/>
        <v/>
      </c>
      <c r="P30" s="5" t="str">
        <f t="shared" si="411"/>
        <v/>
      </c>
      <c r="Q30" s="5" t="str">
        <f t="shared" si="411"/>
        <v/>
      </c>
      <c r="R30" s="5" t="str">
        <f t="shared" si="411"/>
        <v/>
      </c>
      <c r="S30" s="5" t="str">
        <f t="shared" si="411"/>
        <v/>
      </c>
      <c r="T30" s="5" t="str">
        <f t="shared" si="411"/>
        <v/>
      </c>
      <c r="U30" s="5" t="str">
        <f t="shared" si="411"/>
        <v/>
      </c>
      <c r="V30" s="5" t="str">
        <f t="shared" si="411"/>
        <v/>
      </c>
      <c r="W30" s="5" t="str">
        <f t="shared" si="411"/>
        <v/>
      </c>
      <c r="X30" s="5" t="str">
        <f t="shared" si="411"/>
        <v/>
      </c>
      <c r="Y30" s="5" t="str">
        <f t="shared" si="411"/>
        <v/>
      </c>
      <c r="Z30" s="5" t="str">
        <f t="shared" si="411"/>
        <v/>
      </c>
      <c r="AA30" s="5" t="str">
        <f t="shared" si="411"/>
        <v/>
      </c>
      <c r="AB30" s="5" t="str">
        <f t="shared" si="411"/>
        <v/>
      </c>
      <c r="AC30" s="5" t="str">
        <f t="shared" si="411"/>
        <v/>
      </c>
      <c r="AD30" s="5" t="str">
        <f t="shared" si="411"/>
        <v/>
      </c>
      <c r="AE30" s="5" t="str">
        <f t="shared" si="411"/>
        <v/>
      </c>
      <c r="AF30" s="5" t="str">
        <f t="shared" si="411"/>
        <v/>
      </c>
      <c r="AG30" s="5" t="str">
        <f t="shared" si="411"/>
        <v/>
      </c>
      <c r="AH30" s="5" t="str">
        <f t="shared" si="411"/>
        <v/>
      </c>
      <c r="AI30" s="5" t="str">
        <f t="shared" si="411"/>
        <v/>
      </c>
      <c r="AJ30" s="5" t="str">
        <f t="shared" si="411"/>
        <v/>
      </c>
      <c r="AK30" s="5" t="str">
        <f t="shared" si="411"/>
        <v/>
      </c>
      <c r="AL30" s="5" t="str">
        <f t="shared" si="411"/>
        <v/>
      </c>
      <c r="AM30" s="5" t="str">
        <f t="shared" si="411"/>
        <v/>
      </c>
      <c r="AN30" s="5" t="str">
        <f t="shared" si="411"/>
        <v/>
      </c>
      <c r="AO30" s="5" t="str">
        <f t="shared" ref="AO30:AS30" si="412">IF(AO20="","",AO29*AO24)</f>
        <v/>
      </c>
      <c r="AP30" s="5" t="str">
        <f t="shared" si="412"/>
        <v/>
      </c>
      <c r="AQ30" s="5" t="str">
        <f t="shared" si="412"/>
        <v/>
      </c>
      <c r="AR30" s="5" t="str">
        <f t="shared" si="412"/>
        <v/>
      </c>
      <c r="AS30" s="5" t="str">
        <f t="shared" si="412"/>
        <v/>
      </c>
    </row>
    <row r="31" spans="1:45" s="1" customFormat="1" ht="12" thickBot="1" x14ac:dyDescent="0.2">
      <c r="A31" s="4">
        <f>IF(A30="","",A30/(A27*100))</f>
        <v>0.14723926380368099</v>
      </c>
      <c r="B31" s="6" t="s">
        <v>18</v>
      </c>
      <c r="C31" s="67" t="s">
        <v>19</v>
      </c>
      <c r="D31" s="18" t="s">
        <v>19</v>
      </c>
      <c r="E31" s="18">
        <v>0.37647058823529411</v>
      </c>
      <c r="F31" s="18" t="s">
        <v>19</v>
      </c>
      <c r="G31" s="18" t="s">
        <v>19</v>
      </c>
      <c r="H31" s="18" t="s">
        <v>19</v>
      </c>
      <c r="I31" s="18">
        <v>0.15094339622641509</v>
      </c>
      <c r="J31" s="18" t="str">
        <f t="shared" ref="D31:AN31" si="413">IF(J30="","",IF(J30=0,"",J30/(J27*100)))</f>
        <v/>
      </c>
      <c r="K31" s="18" t="str">
        <f t="shared" si="413"/>
        <v/>
      </c>
      <c r="L31" s="18" t="str">
        <f t="shared" si="413"/>
        <v/>
      </c>
      <c r="M31" s="18" t="str">
        <f t="shared" si="413"/>
        <v/>
      </c>
      <c r="N31" s="18" t="str">
        <f t="shared" si="413"/>
        <v/>
      </c>
      <c r="O31" s="18" t="str">
        <f t="shared" si="413"/>
        <v/>
      </c>
      <c r="P31" s="18" t="str">
        <f t="shared" si="413"/>
        <v/>
      </c>
      <c r="Q31" s="18" t="str">
        <f t="shared" si="413"/>
        <v/>
      </c>
      <c r="R31" s="18" t="str">
        <f t="shared" si="413"/>
        <v/>
      </c>
      <c r="S31" s="18" t="str">
        <f t="shared" si="413"/>
        <v/>
      </c>
      <c r="T31" s="18" t="str">
        <f t="shared" si="413"/>
        <v/>
      </c>
      <c r="U31" s="18" t="str">
        <f t="shared" si="413"/>
        <v/>
      </c>
      <c r="V31" s="18" t="str">
        <f t="shared" si="413"/>
        <v/>
      </c>
      <c r="W31" s="18" t="str">
        <f t="shared" si="413"/>
        <v/>
      </c>
      <c r="X31" s="18" t="str">
        <f t="shared" si="413"/>
        <v/>
      </c>
      <c r="Y31" s="18" t="str">
        <f t="shared" si="413"/>
        <v/>
      </c>
      <c r="Z31" s="18" t="str">
        <f t="shared" si="413"/>
        <v/>
      </c>
      <c r="AA31" s="18" t="str">
        <f t="shared" si="413"/>
        <v/>
      </c>
      <c r="AB31" s="18" t="str">
        <f t="shared" si="413"/>
        <v/>
      </c>
      <c r="AC31" s="18" t="str">
        <f t="shared" si="413"/>
        <v/>
      </c>
      <c r="AD31" s="18" t="str">
        <f t="shared" si="413"/>
        <v/>
      </c>
      <c r="AE31" s="18" t="str">
        <f t="shared" si="413"/>
        <v/>
      </c>
      <c r="AF31" s="18" t="str">
        <f t="shared" si="413"/>
        <v/>
      </c>
      <c r="AG31" s="18" t="str">
        <f t="shared" si="413"/>
        <v/>
      </c>
      <c r="AH31" s="18" t="str">
        <f t="shared" si="413"/>
        <v/>
      </c>
      <c r="AI31" s="18" t="str">
        <f t="shared" si="413"/>
        <v/>
      </c>
      <c r="AJ31" s="18" t="str">
        <f t="shared" si="413"/>
        <v/>
      </c>
      <c r="AK31" s="18" t="str">
        <f t="shared" si="413"/>
        <v/>
      </c>
      <c r="AL31" s="18" t="str">
        <f t="shared" si="413"/>
        <v/>
      </c>
      <c r="AM31" s="18" t="str">
        <f t="shared" si="413"/>
        <v/>
      </c>
      <c r="AN31" s="18" t="str">
        <f t="shared" si="413"/>
        <v/>
      </c>
      <c r="AO31" s="18" t="str">
        <f t="shared" ref="AO31:AS31" si="414">IF(AO30="","",IF(AO30=0,"",AO30/(AO27*100)))</f>
        <v/>
      </c>
      <c r="AP31" s="18" t="str">
        <f t="shared" si="414"/>
        <v/>
      </c>
      <c r="AQ31" s="18" t="str">
        <f t="shared" si="414"/>
        <v/>
      </c>
      <c r="AR31" s="18" t="str">
        <f t="shared" si="414"/>
        <v/>
      </c>
      <c r="AS31" s="18" t="str">
        <f t="shared" si="414"/>
        <v/>
      </c>
    </row>
    <row r="32" spans="1:45" s="1" customFormat="1" ht="11.25" x14ac:dyDescent="0.15">
      <c r="A32" s="17" t="s">
        <v>46</v>
      </c>
      <c r="B32" s="9" t="s">
        <v>2</v>
      </c>
      <c r="C32" s="65">
        <v>7677</v>
      </c>
      <c r="D32" s="8">
        <v>7677</v>
      </c>
      <c r="E32" s="8">
        <v>7741</v>
      </c>
      <c r="F32" s="8">
        <v>7741</v>
      </c>
      <c r="G32" s="8">
        <v>7741</v>
      </c>
      <c r="H32" s="8">
        <v>7741</v>
      </c>
      <c r="I32" s="8">
        <v>7755</v>
      </c>
      <c r="J32" s="8">
        <f t="shared" ref="J32" si="415">IF(J8="","",I32)</f>
        <v>7755</v>
      </c>
      <c r="K32" s="8">
        <f t="shared" ref="K32" si="416">IF(K8="","",J32)</f>
        <v>7755</v>
      </c>
      <c r="L32" s="8">
        <v>7868</v>
      </c>
      <c r="M32" s="8" t="str">
        <f t="shared" ref="M32" si="417">IF(M8="","",L32)</f>
        <v/>
      </c>
      <c r="N32" s="8" t="str">
        <f t="shared" ref="N32" si="418">IF(N8="","",M32)</f>
        <v/>
      </c>
      <c r="O32" s="8" t="str">
        <f t="shared" ref="O32" si="419">IF(O8="","",N32)</f>
        <v/>
      </c>
      <c r="P32" s="8" t="str">
        <f>IF(P8="","",O32)</f>
        <v/>
      </c>
      <c r="Q32" s="8" t="str">
        <f t="shared" ref="Q32" si="420">IF(Q8="","",P32)</f>
        <v/>
      </c>
      <c r="R32" s="8" t="str">
        <f t="shared" ref="R32" si="421">IF(R8="","",Q32)</f>
        <v/>
      </c>
      <c r="S32" s="8" t="str">
        <f>IF(S8="","",R32)</f>
        <v/>
      </c>
      <c r="T32" s="8" t="str">
        <f t="shared" ref="T32" si="422">IF(T8="","",S32)</f>
        <v/>
      </c>
      <c r="U32" s="8" t="str">
        <f t="shared" ref="U32" si="423">IF(U8="","",T32)</f>
        <v/>
      </c>
      <c r="V32" s="8" t="str">
        <f t="shared" ref="V32" si="424">IF(V8="","",U32)</f>
        <v/>
      </c>
      <c r="W32" s="8" t="str">
        <f>IF(W8="","",V32)</f>
        <v/>
      </c>
      <c r="X32" s="8" t="str">
        <f t="shared" ref="X32" si="425">IF(X8="","",W32)</f>
        <v/>
      </c>
      <c r="Y32" s="8" t="str">
        <f t="shared" ref="Y32" si="426">IF(Y8="","",X32)</f>
        <v/>
      </c>
      <c r="Z32" s="8" t="str">
        <f>IF(Z8="","",Y32)</f>
        <v/>
      </c>
      <c r="AA32" s="8" t="str">
        <f t="shared" ref="AA32" si="427">IF(AA8="","",Z32)</f>
        <v/>
      </c>
      <c r="AB32" s="8" t="str">
        <f t="shared" ref="AB32" si="428">IF(AB8="","",AA32)</f>
        <v/>
      </c>
      <c r="AC32" s="8" t="str">
        <f t="shared" ref="AC32" si="429">IF(AC8="","",AB32)</f>
        <v/>
      </c>
      <c r="AD32" s="8" t="str">
        <f>IF(AD8="","",AC32)</f>
        <v/>
      </c>
      <c r="AE32" s="8" t="str">
        <f t="shared" ref="AE32" si="430">IF(AE8="","",AD32)</f>
        <v/>
      </c>
      <c r="AF32" s="8" t="str">
        <f t="shared" ref="AF32" si="431">IF(AF8="","",AE32)</f>
        <v/>
      </c>
      <c r="AG32" s="8" t="str">
        <f>IF(AG8="","",AF32)</f>
        <v/>
      </c>
      <c r="AH32" s="8" t="str">
        <f t="shared" ref="AH32" si="432">IF(AH8="","",AG32)</f>
        <v/>
      </c>
      <c r="AI32" s="8" t="str">
        <f t="shared" ref="AI32" si="433">IF(AI8="","",AH32)</f>
        <v/>
      </c>
      <c r="AJ32" s="8" t="str">
        <f t="shared" ref="AJ32" si="434">IF(AJ8="","",AI32)</f>
        <v/>
      </c>
      <c r="AK32" s="8" t="str">
        <f>IF(AK8="","",AJ32)</f>
        <v/>
      </c>
      <c r="AL32" s="8" t="str">
        <f t="shared" ref="AL32" si="435">IF(AL8="","",AK32)</f>
        <v/>
      </c>
      <c r="AM32" s="8" t="str">
        <f t="shared" ref="AM32" si="436">IF(AM8="","",AL32)</f>
        <v/>
      </c>
      <c r="AN32" s="8" t="str">
        <f t="shared" ref="AN32" si="437">IF(AN8="","",AM32)</f>
        <v/>
      </c>
      <c r="AO32" s="8" t="str">
        <f t="shared" ref="AO32:AS32" si="438">IF(AO8="","",AN32)</f>
        <v/>
      </c>
      <c r="AP32" s="8" t="str">
        <f t="shared" si="438"/>
        <v/>
      </c>
      <c r="AQ32" s="8" t="str">
        <f t="shared" si="438"/>
        <v/>
      </c>
      <c r="AR32" s="8" t="str">
        <f t="shared" si="438"/>
        <v/>
      </c>
      <c r="AS32" s="8" t="str">
        <f t="shared" si="438"/>
        <v/>
      </c>
    </row>
    <row r="33" spans="1:45" s="1" customFormat="1" ht="11.25" x14ac:dyDescent="0.15">
      <c r="A33" s="16" t="s">
        <v>3</v>
      </c>
      <c r="B33" s="9" t="s">
        <v>4</v>
      </c>
      <c r="C33" s="65">
        <v>252</v>
      </c>
      <c r="D33" s="8">
        <v>252</v>
      </c>
      <c r="E33" s="8">
        <v>252</v>
      </c>
      <c r="F33" s="8">
        <v>252</v>
      </c>
      <c r="G33" s="8">
        <v>252</v>
      </c>
      <c r="H33" s="8">
        <v>252</v>
      </c>
      <c r="I33" s="8">
        <v>253</v>
      </c>
      <c r="J33" s="8">
        <f t="shared" ref="J33" si="439">IF(J8="","",I33)</f>
        <v>253</v>
      </c>
      <c r="K33" s="8">
        <f t="shared" ref="K33" si="440">IF(K8="","",J33)</f>
        <v>253</v>
      </c>
      <c r="L33" s="8">
        <v>258</v>
      </c>
      <c r="M33" s="8" t="str">
        <f t="shared" ref="M33" si="441">IF(M8="","",L33)</f>
        <v/>
      </c>
      <c r="N33" s="8" t="str">
        <f t="shared" ref="N33" si="442">IF(N8="","",M33)</f>
        <v/>
      </c>
      <c r="O33" s="8" t="str">
        <f t="shared" ref="O33" si="443">IF(O8="","",N33)</f>
        <v/>
      </c>
      <c r="P33" s="8" t="str">
        <f>IF(P8="","",O33)</f>
        <v/>
      </c>
      <c r="Q33" s="8" t="str">
        <f t="shared" ref="Q33" si="444">IF(Q8="","",P33)</f>
        <v/>
      </c>
      <c r="R33" s="8" t="str">
        <f t="shared" ref="R33" si="445">IF(R8="","",Q33)</f>
        <v/>
      </c>
      <c r="S33" s="8" t="str">
        <f>IF(S8="","",R33)</f>
        <v/>
      </c>
      <c r="T33" s="8" t="str">
        <f t="shared" ref="T33" si="446">IF(T8="","",S33)</f>
        <v/>
      </c>
      <c r="U33" s="8" t="str">
        <f t="shared" ref="U33" si="447">IF(U8="","",T33)</f>
        <v/>
      </c>
      <c r="V33" s="8" t="str">
        <f t="shared" ref="V33" si="448">IF(V8="","",U33)</f>
        <v/>
      </c>
      <c r="W33" s="8" t="str">
        <f>IF(W8="","",V33)</f>
        <v/>
      </c>
      <c r="X33" s="8" t="str">
        <f t="shared" ref="X33" si="449">IF(X8="","",W33)</f>
        <v/>
      </c>
      <c r="Y33" s="8" t="str">
        <f t="shared" ref="Y33" si="450">IF(Y8="","",X33)</f>
        <v/>
      </c>
      <c r="Z33" s="8" t="str">
        <f>IF(Z8="","",Y33)</f>
        <v/>
      </c>
      <c r="AA33" s="8" t="str">
        <f t="shared" ref="AA33" si="451">IF(AA8="","",Z33)</f>
        <v/>
      </c>
      <c r="AB33" s="8" t="str">
        <f t="shared" ref="AB33" si="452">IF(AB8="","",AA33)</f>
        <v/>
      </c>
      <c r="AC33" s="8" t="str">
        <f t="shared" ref="AC33" si="453">IF(AC8="","",AB33)</f>
        <v/>
      </c>
      <c r="AD33" s="8" t="str">
        <f t="shared" ref="AD33" si="454">IF(AD8="","",AC33)</f>
        <v/>
      </c>
      <c r="AE33" s="8" t="str">
        <f t="shared" ref="AE33" si="455">IF(AE8="","",AD33)</f>
        <v/>
      </c>
      <c r="AF33" s="8" t="str">
        <f t="shared" ref="AF33" si="456">IF(AF8="","",AE33)</f>
        <v/>
      </c>
      <c r="AG33" s="8" t="str">
        <f>IF(AG8="","",AF33)</f>
        <v/>
      </c>
      <c r="AH33" s="8" t="str">
        <f t="shared" ref="AH33" si="457">IF(AH8="","",AG33)</f>
        <v/>
      </c>
      <c r="AI33" s="8" t="str">
        <f t="shared" ref="AI33" si="458">IF(AI8="","",AH33)</f>
        <v/>
      </c>
      <c r="AJ33" s="8" t="str">
        <f t="shared" ref="AJ33" si="459">IF(AJ8="","",AI33)</f>
        <v/>
      </c>
      <c r="AK33" s="8" t="str">
        <f>IF(AK8="","",AJ33)</f>
        <v/>
      </c>
      <c r="AL33" s="8" t="str">
        <f t="shared" ref="AL33" si="460">IF(AL8="","",AK33)</f>
        <v/>
      </c>
      <c r="AM33" s="8" t="str">
        <f t="shared" ref="AM33" si="461">IF(AM8="","",AL33)</f>
        <v/>
      </c>
      <c r="AN33" s="8" t="str">
        <f t="shared" ref="AN33" si="462">IF(AN8="","",AM33)</f>
        <v/>
      </c>
      <c r="AO33" s="8" t="str">
        <f t="shared" ref="AO33:AS33" si="463">IF(AO8="","",AN33)</f>
        <v/>
      </c>
      <c r="AP33" s="8" t="str">
        <f t="shared" si="463"/>
        <v/>
      </c>
      <c r="AQ33" s="8" t="str">
        <f t="shared" si="463"/>
        <v/>
      </c>
      <c r="AR33" s="8" t="str">
        <f t="shared" si="463"/>
        <v/>
      </c>
      <c r="AS33" s="8" t="str">
        <f t="shared" si="463"/>
        <v/>
      </c>
    </row>
    <row r="34" spans="1:45" s="1" customFormat="1" ht="11.25" x14ac:dyDescent="0.15">
      <c r="A34" s="15">
        <v>3</v>
      </c>
      <c r="B34" s="9" t="s">
        <v>5</v>
      </c>
      <c r="C34" s="65">
        <v>6</v>
      </c>
      <c r="D34" s="8">
        <v>6</v>
      </c>
      <c r="E34" s="8">
        <v>6</v>
      </c>
      <c r="F34" s="8">
        <v>6</v>
      </c>
      <c r="G34" s="8">
        <v>6</v>
      </c>
      <c r="H34" s="8">
        <v>6</v>
      </c>
      <c r="I34" s="8">
        <v>10</v>
      </c>
      <c r="J34" s="8">
        <f t="shared" ref="J34" si="464">IF(J32="","",(I34+I35))</f>
        <v>10</v>
      </c>
      <c r="K34" s="8">
        <f t="shared" ref="K34" si="465">IF(K32="","",(J34+J35))</f>
        <v>10</v>
      </c>
      <c r="L34" s="8">
        <v>7</v>
      </c>
      <c r="M34" s="8" t="str">
        <f t="shared" ref="M34" si="466">IF(M32="","",(L34+L35))</f>
        <v/>
      </c>
      <c r="N34" s="8" t="str">
        <f t="shared" ref="N34" si="467">IF(N32="","",(M34+M35))</f>
        <v/>
      </c>
      <c r="O34" s="8" t="str">
        <f t="shared" ref="O34" si="468">IF(O32="","",(N34+N35))</f>
        <v/>
      </c>
      <c r="P34" s="8" t="str">
        <f>IF(P32="","",(O34+O35))</f>
        <v/>
      </c>
      <c r="Q34" s="8" t="str">
        <f t="shared" ref="Q34" si="469">IF(Q32="","",(P34+P35))</f>
        <v/>
      </c>
      <c r="R34" s="8" t="str">
        <f t="shared" ref="R34" si="470">IF(R32="","",(Q34+Q35))</f>
        <v/>
      </c>
      <c r="S34" s="8" t="str">
        <f t="shared" ref="S34" si="471">IF(S32="","",(R34+R35))</f>
        <v/>
      </c>
      <c r="T34" s="8" t="str">
        <f t="shared" ref="T34" si="472">IF(T32="","",(S34+S35))</f>
        <v/>
      </c>
      <c r="U34" s="8" t="str">
        <f t="shared" ref="U34" si="473">IF(U32="","",(T34+T35))</f>
        <v/>
      </c>
      <c r="V34" s="8" t="str">
        <f t="shared" ref="V34" si="474">IF(V32="","",(U34+U35))</f>
        <v/>
      </c>
      <c r="W34" s="8" t="str">
        <f>IF(W32="","",(V34+V35))</f>
        <v/>
      </c>
      <c r="X34" s="8" t="str">
        <f t="shared" ref="X34" si="475">IF(X32="","",(W34+W35))</f>
        <v/>
      </c>
      <c r="Y34" s="8" t="str">
        <f t="shared" ref="Y34" si="476">IF(Y32="","",(X34+X35))</f>
        <v/>
      </c>
      <c r="Z34" s="8" t="str">
        <f t="shared" ref="Z34" si="477">IF(Z32="","",(Y34+Y35))</f>
        <v/>
      </c>
      <c r="AA34" s="8" t="str">
        <f t="shared" ref="AA34" si="478">IF(AA32="","",(Z34+Z35))</f>
        <v/>
      </c>
      <c r="AB34" s="8" t="str">
        <f t="shared" ref="AB34" si="479">IF(AB32="","",(AA34+AA35))</f>
        <v/>
      </c>
      <c r="AC34" s="8" t="str">
        <f t="shared" ref="AC34" si="480">IF(AC32="","",(AB34+AB35))</f>
        <v/>
      </c>
      <c r="AD34" s="8" t="str">
        <f t="shared" ref="AD34" si="481">IF(AD32="","",(AC34+AC35))</f>
        <v/>
      </c>
      <c r="AE34" s="8" t="str">
        <f t="shared" ref="AE34" si="482">IF(AE32="","",(AD34+AD35))</f>
        <v/>
      </c>
      <c r="AF34" s="8" t="str">
        <f t="shared" ref="AF34" si="483">IF(AF32="","",(AE34+AE35))</f>
        <v/>
      </c>
      <c r="AG34" s="8" t="str">
        <f>IF(AG32="","",(AF34+AF35))</f>
        <v/>
      </c>
      <c r="AH34" s="8" t="str">
        <f t="shared" ref="AH34" si="484">IF(AH32="","",(AG34+AG35))</f>
        <v/>
      </c>
      <c r="AI34" s="8" t="str">
        <f t="shared" ref="AI34" si="485">IF(AI32="","",(AH34+AH35))</f>
        <v/>
      </c>
      <c r="AJ34" s="8" t="str">
        <f t="shared" ref="AJ34" si="486">IF(AJ32="","",(AI34+AI35))</f>
        <v/>
      </c>
      <c r="AK34" s="8" t="str">
        <f>IF(AK32="","",(AJ34+AJ35))</f>
        <v/>
      </c>
      <c r="AL34" s="8" t="str">
        <f t="shared" ref="AL34" si="487">IF(AL32="","",(AK34+AK35))</f>
        <v/>
      </c>
      <c r="AM34" s="8" t="str">
        <f t="shared" ref="AM34" si="488">IF(AM32="","",(AL34+AL35))</f>
        <v/>
      </c>
      <c r="AN34" s="8" t="str">
        <f t="shared" ref="AN34" si="489">IF(AN32="","",(AM34+AM35))</f>
        <v/>
      </c>
      <c r="AO34" s="8" t="str">
        <f t="shared" ref="AO34:AS34" si="490">IF(AO32="","",(AN34+AN35))</f>
        <v/>
      </c>
      <c r="AP34" s="8" t="str">
        <f t="shared" si="490"/>
        <v/>
      </c>
      <c r="AQ34" s="8" t="str">
        <f t="shared" si="490"/>
        <v/>
      </c>
      <c r="AR34" s="8" t="str">
        <f t="shared" si="490"/>
        <v/>
      </c>
      <c r="AS34" s="8" t="str">
        <f t="shared" si="490"/>
        <v/>
      </c>
    </row>
    <row r="35" spans="1:45" s="1" customFormat="1" ht="11.25" x14ac:dyDescent="0.15">
      <c r="A35" s="14"/>
      <c r="B35" s="9" t="s">
        <v>7</v>
      </c>
      <c r="C35" s="65"/>
      <c r="D35" s="8"/>
      <c r="E35" s="8"/>
      <c r="F35" s="8"/>
      <c r="G35" s="8"/>
      <c r="H35" s="8">
        <v>4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</row>
    <row r="36" spans="1:45" s="1" customFormat="1" ht="11.25" x14ac:dyDescent="0.15">
      <c r="A36" s="7"/>
      <c r="B36" s="9" t="s">
        <v>8</v>
      </c>
      <c r="C36" s="65">
        <v>175</v>
      </c>
      <c r="D36" s="8">
        <v>175</v>
      </c>
      <c r="E36" s="8">
        <v>175</v>
      </c>
      <c r="F36" s="8">
        <v>175</v>
      </c>
      <c r="G36" s="8">
        <v>175</v>
      </c>
      <c r="H36" s="8">
        <v>175</v>
      </c>
      <c r="I36" s="8">
        <v>175</v>
      </c>
      <c r="J36" s="8">
        <f t="shared" ref="J36" si="491">IF(J32="","",I36)</f>
        <v>175</v>
      </c>
      <c r="K36" s="8">
        <f t="shared" ref="K36" si="492">IF(K32="","",J36)</f>
        <v>175</v>
      </c>
      <c r="L36" s="8">
        <f t="shared" ref="L36" si="493">IF(L32="","",K36)</f>
        <v>175</v>
      </c>
      <c r="M36" s="8" t="str">
        <f t="shared" ref="M36" si="494">IF(M32="","",L36)</f>
        <v/>
      </c>
      <c r="N36" s="8" t="str">
        <f t="shared" ref="N36" si="495">IF(N32="","",M36)</f>
        <v/>
      </c>
      <c r="O36" s="8" t="str">
        <f t="shared" ref="O36" si="496">IF(O32="","",N36)</f>
        <v/>
      </c>
      <c r="P36" s="8" t="str">
        <f t="shared" ref="P36" si="497">IF(P32="","",O36)</f>
        <v/>
      </c>
      <c r="Q36" s="8" t="str">
        <f t="shared" ref="Q36" si="498">IF(Q32="","",P36)</f>
        <v/>
      </c>
      <c r="R36" s="8" t="str">
        <f t="shared" ref="R36" si="499">IF(R32="","",Q36)</f>
        <v/>
      </c>
      <c r="S36" s="8" t="str">
        <f t="shared" ref="S36" si="500">IF(S32="","",R36)</f>
        <v/>
      </c>
      <c r="T36" s="8" t="str">
        <f t="shared" ref="T36" si="501">IF(T32="","",S36)</f>
        <v/>
      </c>
      <c r="U36" s="8" t="str">
        <f t="shared" ref="U36" si="502">IF(U32="","",T36)</f>
        <v/>
      </c>
      <c r="V36" s="8" t="str">
        <f t="shared" ref="V36" si="503">IF(V32="","",U36)</f>
        <v/>
      </c>
      <c r="W36" s="8" t="str">
        <f t="shared" ref="W36" si="504">IF(W32="","",V36)</f>
        <v/>
      </c>
      <c r="X36" s="8" t="str">
        <f t="shared" ref="X36" si="505">IF(X32="","",W36)</f>
        <v/>
      </c>
      <c r="Y36" s="8" t="str">
        <f t="shared" ref="Y36" si="506">IF(Y32="","",X36)</f>
        <v/>
      </c>
      <c r="Z36" s="8" t="str">
        <f t="shared" ref="Z36" si="507">IF(Z32="","",Y36)</f>
        <v/>
      </c>
      <c r="AA36" s="8" t="str">
        <f t="shared" ref="AA36" si="508">IF(AA32="","",Z36)</f>
        <v/>
      </c>
      <c r="AB36" s="8" t="str">
        <f t="shared" ref="AB36" si="509">IF(AB32="","",AA36)</f>
        <v/>
      </c>
      <c r="AC36" s="8" t="str">
        <f t="shared" ref="AC36" si="510">IF(AC32="","",AB36)</f>
        <v/>
      </c>
      <c r="AD36" s="8" t="str">
        <f t="shared" ref="AD36" si="511">IF(AD32="","",AC36)</f>
        <v/>
      </c>
      <c r="AE36" s="8" t="str">
        <f t="shared" ref="AE36" si="512">IF(AE32="","",AD36)</f>
        <v/>
      </c>
      <c r="AF36" s="8" t="str">
        <f t="shared" ref="AF36" si="513">IF(AF32="","",AE36)</f>
        <v/>
      </c>
      <c r="AG36" s="8" t="str">
        <f t="shared" ref="AG36" si="514">IF(AG32="","",AF36)</f>
        <v/>
      </c>
      <c r="AH36" s="8" t="str">
        <f t="shared" ref="AH36" si="515">IF(AH32="","",AG36)</f>
        <v/>
      </c>
      <c r="AI36" s="8" t="str">
        <f t="shared" ref="AI36" si="516">IF(AI32="","",AH36)</f>
        <v/>
      </c>
      <c r="AJ36" s="8" t="str">
        <f t="shared" ref="AJ36" si="517">IF(AJ32="","",AI36)</f>
        <v/>
      </c>
      <c r="AK36" s="8" t="str">
        <f t="shared" ref="AK36" si="518">IF(AK32="","",AJ36)</f>
        <v/>
      </c>
      <c r="AL36" s="8" t="str">
        <f t="shared" ref="AL36" si="519">IF(AL32="","",AK36)</f>
        <v/>
      </c>
      <c r="AM36" s="8" t="str">
        <f t="shared" ref="AM36" si="520">IF(AM32="","",AL36)</f>
        <v/>
      </c>
      <c r="AN36" s="8" t="str">
        <f t="shared" ref="AN36" si="521">IF(AN32="","",AM36)</f>
        <v/>
      </c>
      <c r="AO36" s="8" t="str">
        <f t="shared" ref="AO36:AS36" si="522">IF(AO32="","",AN36)</f>
        <v/>
      </c>
      <c r="AP36" s="8" t="str">
        <f t="shared" si="522"/>
        <v/>
      </c>
      <c r="AQ36" s="8" t="str">
        <f t="shared" si="522"/>
        <v/>
      </c>
      <c r="AR36" s="8" t="str">
        <f t="shared" si="522"/>
        <v/>
      </c>
      <c r="AS36" s="8" t="str">
        <f t="shared" si="522"/>
        <v/>
      </c>
    </row>
    <row r="37" spans="1:45" s="85" customFormat="1" ht="11.25" x14ac:dyDescent="0.15">
      <c r="A37" s="14" t="s">
        <v>9</v>
      </c>
      <c r="B37" s="13" t="s">
        <v>10</v>
      </c>
      <c r="C37" s="66" t="s">
        <v>47</v>
      </c>
      <c r="D37" s="12" t="s">
        <v>47</v>
      </c>
      <c r="E37" s="12" t="s">
        <v>47</v>
      </c>
      <c r="F37" s="12" t="s">
        <v>47</v>
      </c>
      <c r="G37" s="12" t="s">
        <v>47</v>
      </c>
      <c r="H37" s="12" t="s">
        <v>47</v>
      </c>
      <c r="I37" s="12" t="s">
        <v>367</v>
      </c>
      <c r="J37" s="12" t="str">
        <f t="shared" ref="J37" si="523">IF(J32="","",I37)</f>
        <v>クリームタルトスクイーズ</v>
      </c>
      <c r="K37" s="12" t="str">
        <f t="shared" ref="K37" si="524">IF(K32="","",J37)</f>
        <v>クリームタルトスクイーズ</v>
      </c>
      <c r="L37" s="12" t="str">
        <f t="shared" ref="L37" si="525">IF(L32="","",K37)</f>
        <v>クリームタルトスクイーズ</v>
      </c>
      <c r="M37" s="12" t="str">
        <f t="shared" ref="M37" si="526">IF(M32="","",L37)</f>
        <v/>
      </c>
      <c r="N37" s="12" t="str">
        <f t="shared" ref="N37" si="527">IF(N32="","",M37)</f>
        <v/>
      </c>
      <c r="O37" s="12" t="str">
        <f t="shared" ref="O37" si="528">IF(O32="","",N37)</f>
        <v/>
      </c>
      <c r="P37" s="12" t="str">
        <f t="shared" ref="P37" si="529">IF(P32="","",O37)</f>
        <v/>
      </c>
      <c r="Q37" s="12" t="str">
        <f t="shared" ref="Q37" si="530">IF(Q32="","",P37)</f>
        <v/>
      </c>
      <c r="R37" s="12" t="str">
        <f t="shared" ref="R37" si="531">IF(R32="","",Q37)</f>
        <v/>
      </c>
      <c r="S37" s="12" t="str">
        <f t="shared" ref="S37" si="532">IF(S32="","",R37)</f>
        <v/>
      </c>
      <c r="T37" s="12" t="str">
        <f t="shared" ref="T37" si="533">IF(T32="","",S37)</f>
        <v/>
      </c>
      <c r="U37" s="12" t="str">
        <f t="shared" ref="U37" si="534">IF(U32="","",T37)</f>
        <v/>
      </c>
      <c r="V37" s="12" t="str">
        <f t="shared" ref="V37" si="535">IF(V32="","",U37)</f>
        <v/>
      </c>
      <c r="W37" s="12" t="str">
        <f t="shared" ref="W37" si="536">IF(W32="","",V37)</f>
        <v/>
      </c>
      <c r="X37" s="12" t="str">
        <f t="shared" ref="X37" si="537">IF(X32="","",W37)</f>
        <v/>
      </c>
      <c r="Y37" s="12" t="str">
        <f t="shared" ref="Y37" si="538">IF(Y32="","",X37)</f>
        <v/>
      </c>
      <c r="Z37" s="12" t="str">
        <f t="shared" ref="Z37" si="539">IF(Z32="","",Y37)</f>
        <v/>
      </c>
      <c r="AA37" s="12" t="str">
        <f t="shared" ref="AA37" si="540">IF(AA32="","",Z37)</f>
        <v/>
      </c>
      <c r="AB37" s="12" t="str">
        <f t="shared" ref="AB37" si="541">IF(AB32="","",AA37)</f>
        <v/>
      </c>
      <c r="AC37" s="12" t="str">
        <f t="shared" ref="AC37" si="542">IF(AC32="","",AB37)</f>
        <v/>
      </c>
      <c r="AD37" s="12" t="str">
        <f t="shared" ref="AD37" si="543">IF(AD32="","",AC37)</f>
        <v/>
      </c>
      <c r="AE37" s="12" t="str">
        <f t="shared" ref="AE37" si="544">IF(AE32="","",AD37)</f>
        <v/>
      </c>
      <c r="AF37" s="12" t="str">
        <f t="shared" ref="AF37" si="545">IF(AF32="","",AE37)</f>
        <v/>
      </c>
      <c r="AG37" s="12" t="str">
        <f t="shared" ref="AG37" si="546">IF(AG32="","",AF37)</f>
        <v/>
      </c>
      <c r="AH37" s="12" t="str">
        <f t="shared" ref="AH37" si="547">IF(AH32="","",AG37)</f>
        <v/>
      </c>
      <c r="AI37" s="12" t="str">
        <f t="shared" ref="AI37" si="548">IF(AI32="","",AH37)</f>
        <v/>
      </c>
      <c r="AJ37" s="12" t="str">
        <f t="shared" ref="AJ37" si="549">IF(AJ32="","",AI37)</f>
        <v/>
      </c>
      <c r="AK37" s="12" t="str">
        <f>IF(AK32="","",AJ37)</f>
        <v/>
      </c>
      <c r="AL37" s="12" t="str">
        <f t="shared" ref="AL37" si="550">IF(AL32="","",AK37)</f>
        <v/>
      </c>
      <c r="AM37" s="12" t="str">
        <f t="shared" ref="AM37" si="551">IF(AM32="","",AL37)</f>
        <v/>
      </c>
      <c r="AN37" s="12" t="str">
        <f t="shared" ref="AN37" si="552">IF(AN32="","",AM37)</f>
        <v/>
      </c>
      <c r="AO37" s="12" t="str">
        <f t="shared" ref="AO37:AS37" si="553">IF(AO32="","",AN37)</f>
        <v/>
      </c>
      <c r="AP37" s="12" t="str">
        <f t="shared" si="553"/>
        <v/>
      </c>
      <c r="AQ37" s="12" t="str">
        <f t="shared" si="553"/>
        <v/>
      </c>
      <c r="AR37" s="12" t="str">
        <f t="shared" si="553"/>
        <v/>
      </c>
      <c r="AS37" s="12" t="str">
        <f t="shared" si="553"/>
        <v/>
      </c>
    </row>
    <row r="38" spans="1:45" s="1" customFormat="1" ht="11.25" x14ac:dyDescent="0.15">
      <c r="A38" s="7">
        <f>AVERAGE(C39:AS39)*30*100</f>
        <v>57300</v>
      </c>
      <c r="B38" s="9" t="s">
        <v>12</v>
      </c>
      <c r="C38" s="65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1:45" s="1" customFormat="1" ht="11.25" x14ac:dyDescent="0.15">
      <c r="A39" s="7">
        <f>SUM(C39:AS39)</f>
        <v>191</v>
      </c>
      <c r="B39" s="6" t="s">
        <v>13</v>
      </c>
      <c r="C39" s="65">
        <v>0</v>
      </c>
      <c r="D39" s="5">
        <v>0</v>
      </c>
      <c r="E39" s="5">
        <v>64</v>
      </c>
      <c r="F39" s="5">
        <v>0</v>
      </c>
      <c r="G39" s="5">
        <v>0</v>
      </c>
      <c r="H39" s="5">
        <v>0</v>
      </c>
      <c r="I39" s="5">
        <v>14</v>
      </c>
      <c r="J39" s="5">
        <f t="shared" ref="J39:J40" si="554">IF(J32="","",J32-I32)</f>
        <v>0</v>
      </c>
      <c r="K39" s="5">
        <f t="shared" ref="K39:K40" si="555">IF(K32="","",K32-J32)</f>
        <v>0</v>
      </c>
      <c r="L39" s="5">
        <f t="shared" ref="L39:L40" si="556">IF(L32="","",L32-K32)</f>
        <v>113</v>
      </c>
      <c r="M39" s="5" t="str">
        <f t="shared" ref="M39:M40" si="557">IF(M32="","",M32-L32)</f>
        <v/>
      </c>
      <c r="N39" s="5" t="str">
        <f t="shared" ref="N39:N40" si="558">IF(N32="","",N32-M32)</f>
        <v/>
      </c>
      <c r="O39" s="5" t="str">
        <f t="shared" ref="O39:O40" si="559">IF(O32="","",O32-N32)</f>
        <v/>
      </c>
      <c r="P39" s="5" t="str">
        <f t="shared" ref="P39:P40" si="560">IF(P32="","",P32-O32)</f>
        <v/>
      </c>
      <c r="Q39" s="5" t="str">
        <f t="shared" ref="Q39:Q40" si="561">IF(Q32="","",Q32-P32)</f>
        <v/>
      </c>
      <c r="R39" s="5" t="str">
        <f t="shared" ref="R39:R40" si="562">IF(R32="","",R32-Q32)</f>
        <v/>
      </c>
      <c r="S39" s="5" t="str">
        <f t="shared" ref="S39:S40" si="563">IF(S32="","",S32-R32)</f>
        <v/>
      </c>
      <c r="T39" s="5" t="str">
        <f t="shared" ref="T39:T40" si="564">IF(T32="","",T32-S32)</f>
        <v/>
      </c>
      <c r="U39" s="5" t="str">
        <f t="shared" ref="U39:U40" si="565">IF(U32="","",U32-T32)</f>
        <v/>
      </c>
      <c r="V39" s="5" t="str">
        <f t="shared" ref="V39:V40" si="566">IF(V32="","",V32-U32)</f>
        <v/>
      </c>
      <c r="W39" s="5" t="str">
        <f t="shared" ref="W39:W40" si="567">IF(W32="","",W32-V32)</f>
        <v/>
      </c>
      <c r="X39" s="5" t="str">
        <f t="shared" ref="X39:X40" si="568">IF(X32="","",X32-W32)</f>
        <v/>
      </c>
      <c r="Y39" s="5" t="str">
        <f t="shared" ref="Y39:Y40" si="569">IF(Y32="","",Y32-X32)</f>
        <v/>
      </c>
      <c r="Z39" s="5" t="str">
        <f t="shared" ref="Z39:Z40" si="570">IF(Z32="","",Z32-Y32)</f>
        <v/>
      </c>
      <c r="AA39" s="5" t="str">
        <f t="shared" ref="AA39:AA40" si="571">IF(AA32="","",AA32-Z32)</f>
        <v/>
      </c>
      <c r="AB39" s="5" t="str">
        <f t="shared" ref="AB39:AB40" si="572">IF(AB32="","",AB32-AA32)</f>
        <v/>
      </c>
      <c r="AC39" s="5" t="str">
        <f t="shared" ref="AC39:AC40" si="573">IF(AC32="","",AC32-AB32)</f>
        <v/>
      </c>
      <c r="AD39" s="5" t="str">
        <f t="shared" ref="AD39:AD40" si="574">IF(AD32="","",AD32-AC32)</f>
        <v/>
      </c>
      <c r="AE39" s="5" t="str">
        <f t="shared" ref="AE39:AE40" si="575">IF(AE32="","",AE32-AD32)</f>
        <v/>
      </c>
      <c r="AF39" s="5" t="str">
        <f t="shared" ref="AF39:AF40" si="576">IF(AF32="","",AF32-AE32)</f>
        <v/>
      </c>
      <c r="AG39" s="5" t="str">
        <f t="shared" ref="AG39:AG40" si="577">IF(AG32="","",AG32-AF32)</f>
        <v/>
      </c>
      <c r="AH39" s="5" t="str">
        <f t="shared" ref="AH39:AH40" si="578">IF(AH32="","",AH32-AG32)</f>
        <v/>
      </c>
      <c r="AI39" s="5" t="str">
        <f t="shared" ref="AI39:AI40" si="579">IF(AI32="","",AI32-AH32)</f>
        <v/>
      </c>
      <c r="AJ39" s="5" t="str">
        <f t="shared" ref="AJ39:AJ40" si="580">IF(AJ32="","",AJ32-AI32)</f>
        <v/>
      </c>
      <c r="AK39" s="5" t="str">
        <f t="shared" ref="AK39:AK40" si="581">IF(AK32="","",AK32-AJ32)</f>
        <v/>
      </c>
      <c r="AL39" s="5" t="str">
        <f t="shared" ref="AL39:AL40" si="582">IF(AL32="","",AL32-AK32)</f>
        <v/>
      </c>
      <c r="AM39" s="5" t="str">
        <f t="shared" ref="AM39:AM40" si="583">IF(AM32="","",AM32-AL32)</f>
        <v/>
      </c>
      <c r="AN39" s="5" t="str">
        <f t="shared" ref="AN39:AN40" si="584">IF(AN32="","",AN32-AM32)</f>
        <v/>
      </c>
      <c r="AO39" s="5" t="str">
        <f t="shared" ref="AO39:AS39" si="585">IF(AO32="","",AO32-AN32)</f>
        <v/>
      </c>
      <c r="AP39" s="5" t="str">
        <f t="shared" si="585"/>
        <v/>
      </c>
      <c r="AQ39" s="5" t="str">
        <f t="shared" si="585"/>
        <v/>
      </c>
      <c r="AR39" s="5" t="str">
        <f t="shared" si="585"/>
        <v/>
      </c>
      <c r="AS39" s="5" t="str">
        <f t="shared" si="585"/>
        <v/>
      </c>
    </row>
    <row r="40" spans="1:45" s="1" customFormat="1" ht="11.25" x14ac:dyDescent="0.15">
      <c r="A40" s="7">
        <f>SUM(C40:AS40)</f>
        <v>6</v>
      </c>
      <c r="B40" s="6" t="s">
        <v>14</v>
      </c>
      <c r="C40" s="6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1</v>
      </c>
      <c r="J40" s="5">
        <f t="shared" si="554"/>
        <v>0</v>
      </c>
      <c r="K40" s="5">
        <f t="shared" si="555"/>
        <v>0</v>
      </c>
      <c r="L40" s="5">
        <f t="shared" si="556"/>
        <v>5</v>
      </c>
      <c r="M40" s="5" t="str">
        <f t="shared" si="557"/>
        <v/>
      </c>
      <c r="N40" s="5" t="str">
        <f t="shared" si="558"/>
        <v/>
      </c>
      <c r="O40" s="5" t="str">
        <f t="shared" si="559"/>
        <v/>
      </c>
      <c r="P40" s="5" t="str">
        <f t="shared" si="560"/>
        <v/>
      </c>
      <c r="Q40" s="5" t="str">
        <f t="shared" si="561"/>
        <v/>
      </c>
      <c r="R40" s="5" t="str">
        <f t="shared" si="562"/>
        <v/>
      </c>
      <c r="S40" s="5" t="str">
        <f t="shared" si="563"/>
        <v/>
      </c>
      <c r="T40" s="5" t="str">
        <f t="shared" si="564"/>
        <v/>
      </c>
      <c r="U40" s="5" t="str">
        <f t="shared" si="565"/>
        <v/>
      </c>
      <c r="V40" s="5" t="str">
        <f t="shared" si="566"/>
        <v/>
      </c>
      <c r="W40" s="5" t="str">
        <f t="shared" si="567"/>
        <v/>
      </c>
      <c r="X40" s="5" t="str">
        <f t="shared" si="568"/>
        <v/>
      </c>
      <c r="Y40" s="5" t="str">
        <f t="shared" si="569"/>
        <v/>
      </c>
      <c r="Z40" s="5" t="str">
        <f t="shared" si="570"/>
        <v/>
      </c>
      <c r="AA40" s="5" t="str">
        <f t="shared" si="571"/>
        <v/>
      </c>
      <c r="AB40" s="5" t="str">
        <f t="shared" si="572"/>
        <v/>
      </c>
      <c r="AC40" s="5" t="str">
        <f t="shared" si="573"/>
        <v/>
      </c>
      <c r="AD40" s="5" t="str">
        <f t="shared" si="574"/>
        <v/>
      </c>
      <c r="AE40" s="5" t="str">
        <f t="shared" si="575"/>
        <v/>
      </c>
      <c r="AF40" s="5" t="str">
        <f t="shared" si="576"/>
        <v/>
      </c>
      <c r="AG40" s="5" t="str">
        <f t="shared" si="577"/>
        <v/>
      </c>
      <c r="AH40" s="5" t="str">
        <f t="shared" si="578"/>
        <v/>
      </c>
      <c r="AI40" s="5" t="str">
        <f t="shared" si="579"/>
        <v/>
      </c>
      <c r="AJ40" s="5" t="str">
        <f t="shared" si="580"/>
        <v/>
      </c>
      <c r="AK40" s="5" t="str">
        <f t="shared" si="581"/>
        <v/>
      </c>
      <c r="AL40" s="5" t="str">
        <f t="shared" si="582"/>
        <v/>
      </c>
      <c r="AM40" s="5" t="str">
        <f t="shared" si="583"/>
        <v/>
      </c>
      <c r="AN40" s="5" t="str">
        <f t="shared" si="584"/>
        <v/>
      </c>
      <c r="AO40" s="5" t="str">
        <f t="shared" ref="AO40:AS40" si="586">IF(AO33="","",AO33-AN33)</f>
        <v/>
      </c>
      <c r="AP40" s="5" t="str">
        <f t="shared" si="586"/>
        <v/>
      </c>
      <c r="AQ40" s="5" t="str">
        <f t="shared" si="586"/>
        <v/>
      </c>
      <c r="AR40" s="5" t="str">
        <f t="shared" si="586"/>
        <v/>
      </c>
      <c r="AS40" s="5" t="str">
        <f t="shared" si="586"/>
        <v/>
      </c>
    </row>
    <row r="41" spans="1:45" s="1" customFormat="1" ht="11.25" x14ac:dyDescent="0.15">
      <c r="A41" s="7">
        <f>SUM(C41:AS41)</f>
        <v>3</v>
      </c>
      <c r="B41" s="6" t="s">
        <v>15</v>
      </c>
      <c r="C41" s="6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f t="shared" ref="J41" si="587">IF(J34="","",I34+I35-J34)</f>
        <v>0</v>
      </c>
      <c r="K41" s="5">
        <f t="shared" ref="K41" si="588">IF(K34="","",J34+J35-K34)</f>
        <v>0</v>
      </c>
      <c r="L41" s="5">
        <f t="shared" ref="L41" si="589">IF(L34="","",K34+K35-L34)</f>
        <v>3</v>
      </c>
      <c r="M41" s="5" t="str">
        <f t="shared" ref="M41" si="590">IF(M34="","",L34+L35-M34)</f>
        <v/>
      </c>
      <c r="N41" s="5" t="str">
        <f t="shared" ref="N41" si="591">IF(N34="","",M34+M35-N34)</f>
        <v/>
      </c>
      <c r="O41" s="5" t="str">
        <f t="shared" ref="O41" si="592">IF(O34="","",N34+N35-O34)</f>
        <v/>
      </c>
      <c r="P41" s="5" t="str">
        <f t="shared" ref="P41" si="593">IF(P34="","",O34+O35-P34)</f>
        <v/>
      </c>
      <c r="Q41" s="5" t="str">
        <f t="shared" ref="Q41" si="594">IF(Q34="","",P34+P35-Q34)</f>
        <v/>
      </c>
      <c r="R41" s="5" t="str">
        <f t="shared" ref="R41" si="595">IF(R34="","",Q34+Q35-R34)</f>
        <v/>
      </c>
      <c r="S41" s="5" t="str">
        <f t="shared" ref="S41" si="596">IF(S34="","",R34+R35-S34)</f>
        <v/>
      </c>
      <c r="T41" s="5" t="str">
        <f t="shared" ref="T41" si="597">IF(T34="","",S34+S35-T34)</f>
        <v/>
      </c>
      <c r="U41" s="5" t="str">
        <f t="shared" ref="U41" si="598">IF(U34="","",T34+T35-U34)</f>
        <v/>
      </c>
      <c r="V41" s="5" t="str">
        <f t="shared" ref="V41" si="599">IF(V34="","",U34+U35-V34)</f>
        <v/>
      </c>
      <c r="W41" s="5" t="str">
        <f t="shared" ref="W41" si="600">IF(W34="","",V34+V35-W34)</f>
        <v/>
      </c>
      <c r="X41" s="5" t="str">
        <f t="shared" ref="X41" si="601">IF(X34="","",W34+W35-X34)</f>
        <v/>
      </c>
      <c r="Y41" s="5" t="str">
        <f t="shared" ref="Y41" si="602">IF(Y34="","",X34+X35-Y34)</f>
        <v/>
      </c>
      <c r="Z41" s="5" t="str">
        <f t="shared" ref="Z41" si="603">IF(Z34="","",Y34+Y35-Z34)</f>
        <v/>
      </c>
      <c r="AA41" s="5" t="str">
        <f t="shared" ref="AA41" si="604">IF(AA34="","",Z34+Z35-AA34)</f>
        <v/>
      </c>
      <c r="AB41" s="5" t="str">
        <f t="shared" ref="AB41" si="605">IF(AB34="","",AA34+AA35-AB34)</f>
        <v/>
      </c>
      <c r="AC41" s="5" t="str">
        <f t="shared" ref="AC41" si="606">IF(AC34="","",AB34+AB35-AC34)</f>
        <v/>
      </c>
      <c r="AD41" s="5" t="str">
        <f t="shared" ref="AD41" si="607">IF(AD34="","",AC34+AC35-AD34)</f>
        <v/>
      </c>
      <c r="AE41" s="5" t="str">
        <f t="shared" ref="AE41" si="608">IF(AE34="","",AD34+AD35-AE34)</f>
        <v/>
      </c>
      <c r="AF41" s="5" t="str">
        <f t="shared" ref="AF41" si="609">IF(AF34="","",AE34+AE35-AF34)</f>
        <v/>
      </c>
      <c r="AG41" s="5" t="str">
        <f t="shared" ref="AG41" si="610">IF(AG34="","",AF34+AF35-AG34)</f>
        <v/>
      </c>
      <c r="AH41" s="5" t="str">
        <f t="shared" ref="AH41" si="611">IF(AH34="","",AG34+AG35-AH34)</f>
        <v/>
      </c>
      <c r="AI41" s="5" t="str">
        <f t="shared" ref="AI41" si="612">IF(AI34="","",AH34+AH35-AI34)</f>
        <v/>
      </c>
      <c r="AJ41" s="5" t="str">
        <f t="shared" ref="AJ41" si="613">IF(AJ34="","",AI34+AI35-AJ34)</f>
        <v/>
      </c>
      <c r="AK41" s="5" t="str">
        <f t="shared" ref="AK41" si="614">IF(AK34="","",AJ34+AJ35-AK34)</f>
        <v/>
      </c>
      <c r="AL41" s="5" t="str">
        <f t="shared" ref="AL41" si="615">IF(AL34="","",AK34+AK35-AL34)</f>
        <v/>
      </c>
      <c r="AM41" s="5" t="str">
        <f t="shared" ref="AM41" si="616">IF(AM34="","",AL34+AL35-AM34)</f>
        <v/>
      </c>
      <c r="AN41" s="5" t="str">
        <f t="shared" ref="AN41" si="617">IF(AN34="","",AM34+AM35-AN34)</f>
        <v/>
      </c>
      <c r="AO41" s="5" t="str">
        <f t="shared" ref="AO41:AS41" si="618">IF(AO34="","",AN34+AN35-AO34)</f>
        <v/>
      </c>
      <c r="AP41" s="5" t="str">
        <f t="shared" si="618"/>
        <v/>
      </c>
      <c r="AQ41" s="5" t="str">
        <f t="shared" si="618"/>
        <v/>
      </c>
      <c r="AR41" s="5" t="str">
        <f t="shared" si="618"/>
        <v/>
      </c>
      <c r="AS41" s="5" t="str">
        <f t="shared" si="618"/>
        <v/>
      </c>
    </row>
    <row r="42" spans="1:45" s="1" customFormat="1" ht="11.25" x14ac:dyDescent="0.15">
      <c r="A42" s="7">
        <f>SUM(C42:AS42)</f>
        <v>525</v>
      </c>
      <c r="B42" s="6" t="s">
        <v>16</v>
      </c>
      <c r="C42" s="6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f t="shared" ref="D42:AN42" si="619">IF(J32="","",J41*J36)</f>
        <v>0</v>
      </c>
      <c r="K42" s="5">
        <f t="shared" si="619"/>
        <v>0</v>
      </c>
      <c r="L42" s="5">
        <f t="shared" si="619"/>
        <v>525</v>
      </c>
      <c r="M42" s="5" t="str">
        <f t="shared" si="619"/>
        <v/>
      </c>
      <c r="N42" s="5" t="str">
        <f t="shared" si="619"/>
        <v/>
      </c>
      <c r="O42" s="5" t="str">
        <f t="shared" si="619"/>
        <v/>
      </c>
      <c r="P42" s="5" t="str">
        <f t="shared" si="619"/>
        <v/>
      </c>
      <c r="Q42" s="5" t="str">
        <f t="shared" si="619"/>
        <v/>
      </c>
      <c r="R42" s="5" t="str">
        <f t="shared" si="619"/>
        <v/>
      </c>
      <c r="S42" s="5" t="str">
        <f t="shared" si="619"/>
        <v/>
      </c>
      <c r="T42" s="5" t="str">
        <f t="shared" si="619"/>
        <v/>
      </c>
      <c r="U42" s="5" t="str">
        <f t="shared" si="619"/>
        <v/>
      </c>
      <c r="V42" s="5" t="str">
        <f t="shared" si="619"/>
        <v/>
      </c>
      <c r="W42" s="5" t="str">
        <f t="shared" si="619"/>
        <v/>
      </c>
      <c r="X42" s="5" t="str">
        <f t="shared" si="619"/>
        <v/>
      </c>
      <c r="Y42" s="5" t="str">
        <f t="shared" si="619"/>
        <v/>
      </c>
      <c r="Z42" s="5" t="str">
        <f t="shared" si="619"/>
        <v/>
      </c>
      <c r="AA42" s="5" t="str">
        <f t="shared" si="619"/>
        <v/>
      </c>
      <c r="AB42" s="5" t="str">
        <f t="shared" si="619"/>
        <v/>
      </c>
      <c r="AC42" s="5" t="str">
        <f t="shared" si="619"/>
        <v/>
      </c>
      <c r="AD42" s="5" t="str">
        <f t="shared" si="619"/>
        <v/>
      </c>
      <c r="AE42" s="5" t="str">
        <f t="shared" si="619"/>
        <v/>
      </c>
      <c r="AF42" s="5" t="str">
        <f t="shared" si="619"/>
        <v/>
      </c>
      <c r="AG42" s="5" t="str">
        <f t="shared" si="619"/>
        <v/>
      </c>
      <c r="AH42" s="5" t="str">
        <f t="shared" si="619"/>
        <v/>
      </c>
      <c r="AI42" s="5" t="str">
        <f t="shared" si="619"/>
        <v/>
      </c>
      <c r="AJ42" s="5" t="str">
        <f t="shared" si="619"/>
        <v/>
      </c>
      <c r="AK42" s="5" t="str">
        <f t="shared" si="619"/>
        <v/>
      </c>
      <c r="AL42" s="5" t="str">
        <f t="shared" si="619"/>
        <v/>
      </c>
      <c r="AM42" s="5" t="str">
        <f t="shared" si="619"/>
        <v/>
      </c>
      <c r="AN42" s="5" t="str">
        <f t="shared" si="619"/>
        <v/>
      </c>
      <c r="AO42" s="5" t="str">
        <f t="shared" ref="AO42:AS42" si="620">IF(AO32="","",AO41*AO36)</f>
        <v/>
      </c>
      <c r="AP42" s="5" t="str">
        <f t="shared" si="620"/>
        <v/>
      </c>
      <c r="AQ42" s="5" t="str">
        <f t="shared" si="620"/>
        <v/>
      </c>
      <c r="AR42" s="5" t="str">
        <f t="shared" si="620"/>
        <v/>
      </c>
      <c r="AS42" s="5" t="str">
        <f t="shared" si="620"/>
        <v/>
      </c>
    </row>
    <row r="43" spans="1:45" s="1" customFormat="1" ht="12" thickBot="1" x14ac:dyDescent="0.2">
      <c r="A43" s="4">
        <f>IF(A42="","",A42/(A39*100))</f>
        <v>2.7486910994764399E-2</v>
      </c>
      <c r="B43" s="6" t="s">
        <v>18</v>
      </c>
      <c r="C43" s="67" t="s">
        <v>19</v>
      </c>
      <c r="D43" s="18" t="s">
        <v>19</v>
      </c>
      <c r="E43" s="18" t="s">
        <v>19</v>
      </c>
      <c r="F43" s="18" t="s">
        <v>19</v>
      </c>
      <c r="G43" s="18" t="s">
        <v>19</v>
      </c>
      <c r="H43" s="18" t="s">
        <v>19</v>
      </c>
      <c r="I43" s="18" t="s">
        <v>19</v>
      </c>
      <c r="J43" s="18" t="str">
        <f t="shared" ref="D43:AN43" si="621">IF(J42="","",IF(J42=0,"",J42/(J39*100)))</f>
        <v/>
      </c>
      <c r="K43" s="18" t="str">
        <f t="shared" si="621"/>
        <v/>
      </c>
      <c r="L43" s="18">
        <f t="shared" si="621"/>
        <v>4.6460176991150445E-2</v>
      </c>
      <c r="M43" s="18" t="str">
        <f t="shared" si="621"/>
        <v/>
      </c>
      <c r="N43" s="18" t="str">
        <f t="shared" si="621"/>
        <v/>
      </c>
      <c r="O43" s="18" t="str">
        <f t="shared" si="621"/>
        <v/>
      </c>
      <c r="P43" s="18" t="str">
        <f t="shared" si="621"/>
        <v/>
      </c>
      <c r="Q43" s="18" t="str">
        <f t="shared" si="621"/>
        <v/>
      </c>
      <c r="R43" s="18" t="str">
        <f t="shared" si="621"/>
        <v/>
      </c>
      <c r="S43" s="18" t="str">
        <f t="shared" si="621"/>
        <v/>
      </c>
      <c r="T43" s="18" t="str">
        <f t="shared" si="621"/>
        <v/>
      </c>
      <c r="U43" s="18" t="str">
        <f t="shared" si="621"/>
        <v/>
      </c>
      <c r="V43" s="18" t="str">
        <f t="shared" si="621"/>
        <v/>
      </c>
      <c r="W43" s="18" t="str">
        <f t="shared" si="621"/>
        <v/>
      </c>
      <c r="X43" s="18" t="str">
        <f t="shared" si="621"/>
        <v/>
      </c>
      <c r="Y43" s="18" t="str">
        <f t="shared" si="621"/>
        <v/>
      </c>
      <c r="Z43" s="18" t="str">
        <f t="shared" si="621"/>
        <v/>
      </c>
      <c r="AA43" s="18" t="str">
        <f t="shared" si="621"/>
        <v/>
      </c>
      <c r="AB43" s="18" t="str">
        <f t="shared" si="621"/>
        <v/>
      </c>
      <c r="AC43" s="18" t="str">
        <f t="shared" si="621"/>
        <v/>
      </c>
      <c r="AD43" s="18" t="str">
        <f t="shared" si="621"/>
        <v/>
      </c>
      <c r="AE43" s="18" t="str">
        <f t="shared" si="621"/>
        <v/>
      </c>
      <c r="AF43" s="18" t="str">
        <f t="shared" si="621"/>
        <v/>
      </c>
      <c r="AG43" s="18" t="str">
        <f t="shared" si="621"/>
        <v/>
      </c>
      <c r="AH43" s="18" t="str">
        <f t="shared" si="621"/>
        <v/>
      </c>
      <c r="AI43" s="18" t="str">
        <f t="shared" si="621"/>
        <v/>
      </c>
      <c r="AJ43" s="18" t="str">
        <f t="shared" si="621"/>
        <v/>
      </c>
      <c r="AK43" s="18" t="str">
        <f t="shared" si="621"/>
        <v/>
      </c>
      <c r="AL43" s="18" t="str">
        <f t="shared" si="621"/>
        <v/>
      </c>
      <c r="AM43" s="18" t="str">
        <f t="shared" si="621"/>
        <v/>
      </c>
      <c r="AN43" s="18" t="str">
        <f t="shared" si="621"/>
        <v/>
      </c>
      <c r="AO43" s="18" t="str">
        <f t="shared" ref="AO43:AS43" si="622">IF(AO42="","",IF(AO42=0,"",AO42/(AO39*100)))</f>
        <v/>
      </c>
      <c r="AP43" s="18" t="str">
        <f t="shared" si="622"/>
        <v/>
      </c>
      <c r="AQ43" s="18" t="str">
        <f t="shared" si="622"/>
        <v/>
      </c>
      <c r="AR43" s="18" t="str">
        <f t="shared" si="622"/>
        <v/>
      </c>
      <c r="AS43" s="18" t="str">
        <f t="shared" si="622"/>
        <v/>
      </c>
    </row>
    <row r="44" spans="1:45" s="1" customFormat="1" ht="11.25" x14ac:dyDescent="0.15">
      <c r="A44" s="17" t="s">
        <v>46</v>
      </c>
      <c r="B44" s="9" t="s">
        <v>2</v>
      </c>
      <c r="C44" s="65">
        <v>4964</v>
      </c>
      <c r="D44" s="8">
        <v>4964</v>
      </c>
      <c r="E44" s="8">
        <v>5124</v>
      </c>
      <c r="F44" s="8">
        <v>5124</v>
      </c>
      <c r="G44" s="8">
        <v>5124</v>
      </c>
      <c r="H44" s="8">
        <v>5124</v>
      </c>
      <c r="I44" s="8">
        <v>5153</v>
      </c>
      <c r="J44" s="8">
        <f t="shared" ref="J44" si="623">IF(J8="","",I44)</f>
        <v>5153</v>
      </c>
      <c r="K44" s="8">
        <f t="shared" ref="K44" si="624">IF(K8="","",J44)</f>
        <v>5153</v>
      </c>
      <c r="L44" s="8">
        <v>5244</v>
      </c>
      <c r="M44" s="8" t="str">
        <f t="shared" ref="M44" si="625">IF(M8="","",L44)</f>
        <v/>
      </c>
      <c r="N44" s="8" t="str">
        <f t="shared" ref="N44" si="626">IF(N8="","",M44)</f>
        <v/>
      </c>
      <c r="O44" s="8" t="str">
        <f t="shared" ref="O44" si="627">IF(O8="","",N44)</f>
        <v/>
      </c>
      <c r="P44" s="8" t="str">
        <f>IF(P8="","",O44)</f>
        <v/>
      </c>
      <c r="Q44" s="8" t="str">
        <f t="shared" ref="Q44" si="628">IF(Q8="","",P44)</f>
        <v/>
      </c>
      <c r="R44" s="8" t="str">
        <f t="shared" ref="R44" si="629">IF(R8="","",Q44)</f>
        <v/>
      </c>
      <c r="S44" s="8" t="str">
        <f>IF(S8="","",R44)</f>
        <v/>
      </c>
      <c r="T44" s="8" t="str">
        <f t="shared" ref="T44" si="630">IF(T8="","",S44)</f>
        <v/>
      </c>
      <c r="U44" s="8" t="str">
        <f t="shared" ref="U44" si="631">IF(U8="","",T44)</f>
        <v/>
      </c>
      <c r="V44" s="8" t="str">
        <f t="shared" ref="V44" si="632">IF(V8="","",U44)</f>
        <v/>
      </c>
      <c r="W44" s="8" t="str">
        <f>IF(W8="","",V44)</f>
        <v/>
      </c>
      <c r="X44" s="8" t="str">
        <f t="shared" ref="X44" si="633">IF(X8="","",W44)</f>
        <v/>
      </c>
      <c r="Y44" s="8" t="str">
        <f t="shared" ref="Y44" si="634">IF(Y8="","",X44)</f>
        <v/>
      </c>
      <c r="Z44" s="8" t="str">
        <f>IF(Z8="","",Y44)</f>
        <v/>
      </c>
      <c r="AA44" s="8" t="str">
        <f t="shared" ref="AA44" si="635">IF(AA8="","",Z44)</f>
        <v/>
      </c>
      <c r="AB44" s="8" t="str">
        <f t="shared" ref="AB44" si="636">IF(AB8="","",AA44)</f>
        <v/>
      </c>
      <c r="AC44" s="8" t="str">
        <f t="shared" ref="AC44" si="637">IF(AC8="","",AB44)</f>
        <v/>
      </c>
      <c r="AD44" s="8" t="str">
        <f>IF(AD8="","",AC44)</f>
        <v/>
      </c>
      <c r="AE44" s="8" t="str">
        <f t="shared" ref="AE44" si="638">IF(AE8="","",AD44)</f>
        <v/>
      </c>
      <c r="AF44" s="8" t="str">
        <f t="shared" ref="AF44" si="639">IF(AF8="","",AE44)</f>
        <v/>
      </c>
      <c r="AG44" s="8" t="str">
        <f>IF(AG8="","",AF44)</f>
        <v/>
      </c>
      <c r="AH44" s="8" t="str">
        <f t="shared" ref="AH44" si="640">IF(AH8="","",AG44)</f>
        <v/>
      </c>
      <c r="AI44" s="8" t="str">
        <f t="shared" ref="AI44" si="641">IF(AI8="","",AH44)</f>
        <v/>
      </c>
      <c r="AJ44" s="8" t="str">
        <f t="shared" ref="AJ44" si="642">IF(AJ8="","",AI44)</f>
        <v/>
      </c>
      <c r="AK44" s="8" t="str">
        <f>IF(AK8="","",AJ44)</f>
        <v/>
      </c>
      <c r="AL44" s="8" t="str">
        <f t="shared" ref="AL44" si="643">IF(AL8="","",AK44)</f>
        <v/>
      </c>
      <c r="AM44" s="8" t="str">
        <f t="shared" ref="AM44" si="644">IF(AM8="","",AL44)</f>
        <v/>
      </c>
      <c r="AN44" s="8" t="str">
        <f t="shared" ref="AN44" si="645">IF(AN8="","",AM44)</f>
        <v/>
      </c>
      <c r="AO44" s="8" t="str">
        <f t="shared" ref="AO44:AS44" si="646">IF(AO8="","",AN44)</f>
        <v/>
      </c>
      <c r="AP44" s="8" t="str">
        <f t="shared" si="646"/>
        <v/>
      </c>
      <c r="AQ44" s="8" t="str">
        <f t="shared" si="646"/>
        <v/>
      </c>
      <c r="AR44" s="8" t="str">
        <f t="shared" si="646"/>
        <v/>
      </c>
      <c r="AS44" s="8" t="str">
        <f t="shared" si="646"/>
        <v/>
      </c>
    </row>
    <row r="45" spans="1:45" s="1" customFormat="1" ht="11.25" x14ac:dyDescent="0.15">
      <c r="A45" s="16" t="s">
        <v>3</v>
      </c>
      <c r="B45" s="9" t="s">
        <v>4</v>
      </c>
      <c r="C45" s="65">
        <v>146</v>
      </c>
      <c r="D45" s="8">
        <v>146</v>
      </c>
      <c r="E45" s="8">
        <v>155</v>
      </c>
      <c r="F45" s="8">
        <v>155</v>
      </c>
      <c r="G45" s="8">
        <v>155</v>
      </c>
      <c r="H45" s="8">
        <v>155</v>
      </c>
      <c r="I45" s="8">
        <v>155</v>
      </c>
      <c r="J45" s="8">
        <f t="shared" ref="J45" si="647">IF(J8="","",I45)</f>
        <v>155</v>
      </c>
      <c r="K45" s="8">
        <f t="shared" ref="K45" si="648">IF(K8="","",J45)</f>
        <v>155</v>
      </c>
      <c r="L45" s="8">
        <v>158</v>
      </c>
      <c r="M45" s="8" t="str">
        <f t="shared" ref="M45" si="649">IF(M8="","",L45)</f>
        <v/>
      </c>
      <c r="N45" s="8" t="str">
        <f t="shared" ref="N45" si="650">IF(N8="","",M45)</f>
        <v/>
      </c>
      <c r="O45" s="8" t="str">
        <f t="shared" ref="O45" si="651">IF(O8="","",N45)</f>
        <v/>
      </c>
      <c r="P45" s="8" t="str">
        <f>IF(P8="","",O45)</f>
        <v/>
      </c>
      <c r="Q45" s="8" t="str">
        <f t="shared" ref="Q45" si="652">IF(Q8="","",P45)</f>
        <v/>
      </c>
      <c r="R45" s="8" t="str">
        <f t="shared" ref="R45" si="653">IF(R8="","",Q45)</f>
        <v/>
      </c>
      <c r="S45" s="8" t="str">
        <f>IF(S8="","",R45)</f>
        <v/>
      </c>
      <c r="T45" s="8" t="str">
        <f t="shared" ref="T45" si="654">IF(T8="","",S45)</f>
        <v/>
      </c>
      <c r="U45" s="8" t="str">
        <f t="shared" ref="U45" si="655">IF(U8="","",T45)</f>
        <v/>
      </c>
      <c r="V45" s="8" t="str">
        <f t="shared" ref="V45" si="656">IF(V8="","",U45)</f>
        <v/>
      </c>
      <c r="W45" s="8" t="str">
        <f>IF(W8="","",V45)</f>
        <v/>
      </c>
      <c r="X45" s="8" t="str">
        <f t="shared" ref="X45" si="657">IF(X8="","",W45)</f>
        <v/>
      </c>
      <c r="Y45" s="8" t="str">
        <f t="shared" ref="Y45" si="658">IF(Y8="","",X45)</f>
        <v/>
      </c>
      <c r="Z45" s="8" t="str">
        <f>IF(Z8="","",Y45)</f>
        <v/>
      </c>
      <c r="AA45" s="8" t="str">
        <f t="shared" ref="AA45" si="659">IF(AA8="","",Z45)</f>
        <v/>
      </c>
      <c r="AB45" s="8" t="str">
        <f t="shared" ref="AB45" si="660">IF(AB8="","",AA45)</f>
        <v/>
      </c>
      <c r="AC45" s="8" t="str">
        <f t="shared" ref="AC45" si="661">IF(AC8="","",AB45)</f>
        <v/>
      </c>
      <c r="AD45" s="8" t="str">
        <f>IF(AD8="","",AC45)</f>
        <v/>
      </c>
      <c r="AE45" s="8" t="str">
        <f t="shared" ref="AE45" si="662">IF(AE8="","",AD45)</f>
        <v/>
      </c>
      <c r="AF45" s="8" t="str">
        <f t="shared" ref="AF45" si="663">IF(AF8="","",AE45)</f>
        <v/>
      </c>
      <c r="AG45" s="8" t="str">
        <f>IF(AG8="","",AF45)</f>
        <v/>
      </c>
      <c r="AH45" s="8" t="str">
        <f t="shared" ref="AH45" si="664">IF(AH8="","",AG45)</f>
        <v/>
      </c>
      <c r="AI45" s="8" t="str">
        <f t="shared" ref="AI45" si="665">IF(AI8="","",AH45)</f>
        <v/>
      </c>
      <c r="AJ45" s="8" t="str">
        <f t="shared" ref="AJ45" si="666">IF(AJ8="","",AI45)</f>
        <v/>
      </c>
      <c r="AK45" s="8" t="str">
        <f>IF(AK8="","",AJ45)</f>
        <v/>
      </c>
      <c r="AL45" s="8" t="str">
        <f t="shared" ref="AL45" si="667">IF(AL8="","",AK45)</f>
        <v/>
      </c>
      <c r="AM45" s="8" t="str">
        <f t="shared" ref="AM45" si="668">IF(AM8="","",AL45)</f>
        <v/>
      </c>
      <c r="AN45" s="8" t="str">
        <f t="shared" ref="AN45" si="669">IF(AN8="","",AM45)</f>
        <v/>
      </c>
      <c r="AO45" s="8" t="str">
        <f t="shared" ref="AO45:AS45" si="670">IF(AO8="","",AN45)</f>
        <v/>
      </c>
      <c r="AP45" s="8" t="str">
        <f t="shared" si="670"/>
        <v/>
      </c>
      <c r="AQ45" s="8" t="str">
        <f t="shared" si="670"/>
        <v/>
      </c>
      <c r="AR45" s="8" t="str">
        <f t="shared" si="670"/>
        <v/>
      </c>
      <c r="AS45" s="8" t="str">
        <f t="shared" si="670"/>
        <v/>
      </c>
    </row>
    <row r="46" spans="1:45" s="1" customFormat="1" ht="11.25" x14ac:dyDescent="0.15">
      <c r="A46" s="15">
        <v>4</v>
      </c>
      <c r="B46" s="9" t="s">
        <v>5</v>
      </c>
      <c r="C46" s="65">
        <v>55</v>
      </c>
      <c r="D46" s="8">
        <v>55</v>
      </c>
      <c r="E46" s="8">
        <v>46</v>
      </c>
      <c r="F46" s="8">
        <v>46</v>
      </c>
      <c r="G46" s="8">
        <v>46</v>
      </c>
      <c r="H46" s="8">
        <v>46</v>
      </c>
      <c r="I46" s="8">
        <v>46</v>
      </c>
      <c r="J46" s="8">
        <f t="shared" ref="J46" si="671">IF(J44="","",(I46+I47))</f>
        <v>46</v>
      </c>
      <c r="K46" s="8">
        <f t="shared" ref="K46" si="672">IF(K44="","",(J46+J47))</f>
        <v>46</v>
      </c>
      <c r="L46" s="8">
        <v>43</v>
      </c>
      <c r="M46" s="8" t="str">
        <f t="shared" ref="M46" si="673">IF(M44="","",(L46+L47))</f>
        <v/>
      </c>
      <c r="N46" s="8" t="str">
        <f t="shared" ref="N46" si="674">IF(N44="","",(M46+M47))</f>
        <v/>
      </c>
      <c r="O46" s="8" t="str">
        <f t="shared" ref="O46" si="675">IF(O44="","",(N46+N47))</f>
        <v/>
      </c>
      <c r="P46" s="8" t="str">
        <f>IF(P44="","",(O46+O47))</f>
        <v/>
      </c>
      <c r="Q46" s="8" t="str">
        <f t="shared" ref="Q46" si="676">IF(Q44="","",(P46+P47))</f>
        <v/>
      </c>
      <c r="R46" s="8" t="str">
        <f t="shared" ref="R46" si="677">IF(R44="","",(Q46+Q47))</f>
        <v/>
      </c>
      <c r="S46" s="8" t="str">
        <f>IF(S44="","",(R46+R47))</f>
        <v/>
      </c>
      <c r="T46" s="8" t="str">
        <f t="shared" ref="T46" si="678">IF(T44="","",(S46+S47))</f>
        <v/>
      </c>
      <c r="U46" s="8" t="str">
        <f t="shared" ref="U46" si="679">IF(U44="","",(T46+T47))</f>
        <v/>
      </c>
      <c r="V46" s="8" t="str">
        <f t="shared" ref="V46" si="680">IF(V44="","",(U46+U47))</f>
        <v/>
      </c>
      <c r="W46" s="8" t="str">
        <f>IF(W44="","",(V46+V47))</f>
        <v/>
      </c>
      <c r="X46" s="8" t="str">
        <f t="shared" ref="X46" si="681">IF(X44="","",(W46+W47))</f>
        <v/>
      </c>
      <c r="Y46" s="8" t="str">
        <f t="shared" ref="Y46" si="682">IF(Y44="","",(X46+X47))</f>
        <v/>
      </c>
      <c r="Z46" s="8" t="str">
        <f>IF(Z44="","",(Y46+Y47))</f>
        <v/>
      </c>
      <c r="AA46" s="8" t="str">
        <f t="shared" ref="AA46" si="683">IF(AA44="","",(Z46+Z47))</f>
        <v/>
      </c>
      <c r="AB46" s="8" t="str">
        <f t="shared" ref="AB46" si="684">IF(AB44="","",(AA46+AA47))</f>
        <v/>
      </c>
      <c r="AC46" s="8" t="str">
        <f t="shared" ref="AC46" si="685">IF(AC44="","",(AB46+AB47))</f>
        <v/>
      </c>
      <c r="AD46" s="8" t="str">
        <f>IF(AD44="","",(AC46+AC47))</f>
        <v/>
      </c>
      <c r="AE46" s="8" t="str">
        <f t="shared" ref="AE46" si="686">IF(AE44="","",(AD46+AD47))</f>
        <v/>
      </c>
      <c r="AF46" s="8" t="str">
        <f t="shared" ref="AF46" si="687">IF(AF44="","",(AE46+AE47))</f>
        <v/>
      </c>
      <c r="AG46" s="8" t="str">
        <f>IF(AG44="","",(AF46+AF47))</f>
        <v/>
      </c>
      <c r="AH46" s="8" t="str">
        <f t="shared" ref="AH46" si="688">IF(AH44="","",(AG46+AG47))</f>
        <v/>
      </c>
      <c r="AI46" s="8" t="str">
        <f t="shared" ref="AI46" si="689">IF(AI44="","",(AH46+AH47))</f>
        <v/>
      </c>
      <c r="AJ46" s="8" t="str">
        <f t="shared" ref="AJ46" si="690">IF(AJ44="","",(AI46+AI47))</f>
        <v/>
      </c>
      <c r="AK46" s="8" t="str">
        <f>IF(AK44="","",(AJ46+AJ47))</f>
        <v/>
      </c>
      <c r="AL46" s="8" t="str">
        <f t="shared" ref="AL46" si="691">IF(AL44="","",(AK46+AK47))</f>
        <v/>
      </c>
      <c r="AM46" s="8" t="str">
        <f t="shared" ref="AM46" si="692">IF(AM44="","",(AL46+AL47))</f>
        <v/>
      </c>
      <c r="AN46" s="8" t="str">
        <f t="shared" ref="AN46" si="693">IF(AN44="","",(AM46+AM47))</f>
        <v/>
      </c>
      <c r="AO46" s="8" t="str">
        <f t="shared" ref="AO46:AS46" si="694">IF(AO44="","",(AN46+AN47))</f>
        <v/>
      </c>
      <c r="AP46" s="8" t="str">
        <f t="shared" si="694"/>
        <v/>
      </c>
      <c r="AQ46" s="8" t="str">
        <f t="shared" si="694"/>
        <v/>
      </c>
      <c r="AR46" s="8" t="str">
        <f t="shared" si="694"/>
        <v/>
      </c>
      <c r="AS46" s="8" t="str">
        <f t="shared" si="694"/>
        <v/>
      </c>
    </row>
    <row r="47" spans="1:45" s="1" customFormat="1" ht="11.25" x14ac:dyDescent="0.15">
      <c r="A47" s="14"/>
      <c r="B47" s="9" t="s">
        <v>7</v>
      </c>
      <c r="C47" s="65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</row>
    <row r="48" spans="1:45" s="1" customFormat="1" ht="11.25" x14ac:dyDescent="0.15">
      <c r="A48" s="7"/>
      <c r="B48" s="9" t="s">
        <v>8</v>
      </c>
      <c r="C48" s="65">
        <v>100</v>
      </c>
      <c r="D48" s="8">
        <v>100</v>
      </c>
      <c r="E48" s="8">
        <v>100</v>
      </c>
      <c r="F48" s="8">
        <v>100</v>
      </c>
      <c r="G48" s="8">
        <v>100</v>
      </c>
      <c r="H48" s="8">
        <v>100</v>
      </c>
      <c r="I48" s="8">
        <v>100</v>
      </c>
      <c r="J48" s="8">
        <f t="shared" ref="J48" si="695">IF(J44="","",I48)</f>
        <v>100</v>
      </c>
      <c r="K48" s="8">
        <f t="shared" ref="K48" si="696">IF(K44="","",J48)</f>
        <v>100</v>
      </c>
      <c r="L48" s="8">
        <f t="shared" ref="L48" si="697">IF(L44="","",K48)</f>
        <v>100</v>
      </c>
      <c r="M48" s="8" t="str">
        <f t="shared" ref="M48" si="698">IF(M44="","",L48)</f>
        <v/>
      </c>
      <c r="N48" s="8" t="str">
        <f t="shared" ref="N48" si="699">IF(N44="","",M48)</f>
        <v/>
      </c>
      <c r="O48" s="8" t="str">
        <f t="shared" ref="O48" si="700">IF(O44="","",N48)</f>
        <v/>
      </c>
      <c r="P48" s="8" t="str">
        <f t="shared" ref="P48" si="701">IF(P44="","",O48)</f>
        <v/>
      </c>
      <c r="Q48" s="8" t="str">
        <f t="shared" ref="Q48" si="702">IF(Q44="","",P48)</f>
        <v/>
      </c>
      <c r="R48" s="8" t="str">
        <f t="shared" ref="R48" si="703">IF(R44="","",Q48)</f>
        <v/>
      </c>
      <c r="S48" s="8" t="str">
        <f t="shared" ref="S48" si="704">IF(S44="","",R48)</f>
        <v/>
      </c>
      <c r="T48" s="8" t="str">
        <f t="shared" ref="T48" si="705">IF(T44="","",S48)</f>
        <v/>
      </c>
      <c r="U48" s="8" t="str">
        <f t="shared" ref="U48" si="706">IF(U44="","",T48)</f>
        <v/>
      </c>
      <c r="V48" s="8" t="str">
        <f t="shared" ref="V48" si="707">IF(V44="","",U48)</f>
        <v/>
      </c>
      <c r="W48" s="8" t="str">
        <f t="shared" ref="W48" si="708">IF(W44="","",V48)</f>
        <v/>
      </c>
      <c r="X48" s="8" t="str">
        <f t="shared" ref="X48" si="709">IF(X44="","",W48)</f>
        <v/>
      </c>
      <c r="Y48" s="8" t="str">
        <f t="shared" ref="Y48" si="710">IF(Y44="","",X48)</f>
        <v/>
      </c>
      <c r="Z48" s="8" t="str">
        <f t="shared" ref="Z48" si="711">IF(Z44="","",Y48)</f>
        <v/>
      </c>
      <c r="AA48" s="8" t="str">
        <f t="shared" ref="AA48" si="712">IF(AA44="","",Z48)</f>
        <v/>
      </c>
      <c r="AB48" s="8" t="str">
        <f t="shared" ref="AB48" si="713">IF(AB44="","",AA48)</f>
        <v/>
      </c>
      <c r="AC48" s="8" t="str">
        <f t="shared" ref="AC48" si="714">IF(AC44="","",AB48)</f>
        <v/>
      </c>
      <c r="AD48" s="8" t="str">
        <f t="shared" ref="AD48" si="715">IF(AD44="","",AC48)</f>
        <v/>
      </c>
      <c r="AE48" s="8" t="str">
        <f t="shared" ref="AE48" si="716">IF(AE44="","",AD48)</f>
        <v/>
      </c>
      <c r="AF48" s="8" t="str">
        <f t="shared" ref="AF48" si="717">IF(AF44="","",AE48)</f>
        <v/>
      </c>
      <c r="AG48" s="8" t="str">
        <f t="shared" ref="AG48" si="718">IF(AG44="","",AF48)</f>
        <v/>
      </c>
      <c r="AH48" s="8" t="str">
        <f t="shared" ref="AH48" si="719">IF(AH44="","",AG48)</f>
        <v/>
      </c>
      <c r="AI48" s="8" t="str">
        <f t="shared" ref="AI48" si="720">IF(AI44="","",AH48)</f>
        <v/>
      </c>
      <c r="AJ48" s="8" t="str">
        <f t="shared" ref="AJ48" si="721">IF(AJ44="","",AI48)</f>
        <v/>
      </c>
      <c r="AK48" s="8" t="str">
        <f t="shared" ref="AK48" si="722">IF(AK44="","",AJ48)</f>
        <v/>
      </c>
      <c r="AL48" s="8" t="str">
        <f t="shared" ref="AL48" si="723">IF(AL44="","",AK48)</f>
        <v/>
      </c>
      <c r="AM48" s="8" t="str">
        <f t="shared" ref="AM48" si="724">IF(AM44="","",AL48)</f>
        <v/>
      </c>
      <c r="AN48" s="8" t="str">
        <f t="shared" ref="AN48" si="725">IF(AN44="","",AM48)</f>
        <v/>
      </c>
      <c r="AO48" s="8" t="str">
        <f t="shared" ref="AO48:AS48" si="726">IF(AO44="","",AN48)</f>
        <v/>
      </c>
      <c r="AP48" s="8" t="str">
        <f t="shared" si="726"/>
        <v/>
      </c>
      <c r="AQ48" s="8" t="str">
        <f t="shared" si="726"/>
        <v/>
      </c>
      <c r="AR48" s="8" t="str">
        <f t="shared" si="726"/>
        <v/>
      </c>
      <c r="AS48" s="8" t="str">
        <f t="shared" si="726"/>
        <v/>
      </c>
    </row>
    <row r="49" spans="1:45" s="85" customFormat="1" ht="11.25" x14ac:dyDescent="0.15">
      <c r="A49" s="14" t="s">
        <v>9</v>
      </c>
      <c r="B49" s="13" t="s">
        <v>10</v>
      </c>
      <c r="C49" s="66" t="s">
        <v>348</v>
      </c>
      <c r="D49" s="12" t="s">
        <v>348</v>
      </c>
      <c r="E49" s="12" t="s">
        <v>348</v>
      </c>
      <c r="F49" s="12" t="s">
        <v>348</v>
      </c>
      <c r="G49" s="12" t="s">
        <v>348</v>
      </c>
      <c r="H49" s="12" t="s">
        <v>348</v>
      </c>
      <c r="I49" s="12" t="s">
        <v>348</v>
      </c>
      <c r="J49" s="12" t="str">
        <f t="shared" ref="J49" si="727">IF(J44="","",I49)</f>
        <v>ベーカリースクイーズ</v>
      </c>
      <c r="K49" s="12" t="str">
        <f t="shared" ref="K49" si="728">IF(K44="","",J49)</f>
        <v>ベーカリースクイーズ</v>
      </c>
      <c r="L49" s="12" t="str">
        <f t="shared" ref="L49" si="729">IF(L44="","",K49)</f>
        <v>ベーカリースクイーズ</v>
      </c>
      <c r="M49" s="12" t="str">
        <f t="shared" ref="M49" si="730">IF(M44="","",L49)</f>
        <v/>
      </c>
      <c r="N49" s="12" t="str">
        <f t="shared" ref="N49" si="731">IF(N44="","",M49)</f>
        <v/>
      </c>
      <c r="O49" s="12" t="str">
        <f t="shared" ref="O49" si="732">IF(O44="","",N49)</f>
        <v/>
      </c>
      <c r="P49" s="12" t="str">
        <f t="shared" ref="P49" si="733">IF(P44="","",O49)</f>
        <v/>
      </c>
      <c r="Q49" s="12" t="str">
        <f t="shared" ref="Q49" si="734">IF(Q44="","",P49)</f>
        <v/>
      </c>
      <c r="R49" s="12" t="str">
        <f t="shared" ref="R49" si="735">IF(R44="","",Q49)</f>
        <v/>
      </c>
      <c r="S49" s="12" t="str">
        <f t="shared" ref="S49" si="736">IF(S44="","",R49)</f>
        <v/>
      </c>
      <c r="T49" s="12" t="str">
        <f t="shared" ref="T49" si="737">IF(T44="","",S49)</f>
        <v/>
      </c>
      <c r="U49" s="12" t="str">
        <f t="shared" ref="U49" si="738">IF(U44="","",T49)</f>
        <v/>
      </c>
      <c r="V49" s="12" t="str">
        <f t="shared" ref="V49" si="739">IF(V44="","",U49)</f>
        <v/>
      </c>
      <c r="W49" s="12" t="str">
        <f t="shared" ref="W49" si="740">IF(W44="","",V49)</f>
        <v/>
      </c>
      <c r="X49" s="12" t="str">
        <f t="shared" ref="X49" si="741">IF(X44="","",W49)</f>
        <v/>
      </c>
      <c r="Y49" s="12" t="str">
        <f t="shared" ref="Y49" si="742">IF(Y44="","",X49)</f>
        <v/>
      </c>
      <c r="Z49" s="12" t="str">
        <f t="shared" ref="Z49" si="743">IF(Z44="","",Y49)</f>
        <v/>
      </c>
      <c r="AA49" s="12" t="str">
        <f t="shared" ref="AA49" si="744">IF(AA44="","",Z49)</f>
        <v/>
      </c>
      <c r="AB49" s="12" t="str">
        <f t="shared" ref="AB49" si="745">IF(AB44="","",AA49)</f>
        <v/>
      </c>
      <c r="AC49" s="12" t="str">
        <f t="shared" ref="AC49" si="746">IF(AC44="","",AB49)</f>
        <v/>
      </c>
      <c r="AD49" s="12" t="str">
        <f t="shared" ref="AD49" si="747">IF(AD44="","",AC49)</f>
        <v/>
      </c>
      <c r="AE49" s="12" t="str">
        <f t="shared" ref="AE49" si="748">IF(AE44="","",AD49)</f>
        <v/>
      </c>
      <c r="AF49" s="12" t="str">
        <f t="shared" ref="AF49" si="749">IF(AF44="","",AE49)</f>
        <v/>
      </c>
      <c r="AG49" s="12" t="str">
        <f>IF(AG44="","",AF49)</f>
        <v/>
      </c>
      <c r="AH49" s="12" t="str">
        <f t="shared" ref="AH49" si="750">IF(AH44="","",AG49)</f>
        <v/>
      </c>
      <c r="AI49" s="12" t="str">
        <f t="shared" ref="AI49" si="751">IF(AI44="","",AH49)</f>
        <v/>
      </c>
      <c r="AJ49" s="12" t="str">
        <f t="shared" ref="AJ49" si="752">IF(AJ44="","",AI49)</f>
        <v/>
      </c>
      <c r="AK49" s="12" t="str">
        <f t="shared" ref="AK49" si="753">IF(AK44="","",AJ49)</f>
        <v/>
      </c>
      <c r="AL49" s="12" t="str">
        <f t="shared" ref="AL49" si="754">IF(AL44="","",AK49)</f>
        <v/>
      </c>
      <c r="AM49" s="12" t="str">
        <f t="shared" ref="AM49" si="755">IF(AM44="","",AL49)</f>
        <v/>
      </c>
      <c r="AN49" s="12" t="str">
        <f t="shared" ref="AN49" si="756">IF(AN44="","",AM49)</f>
        <v/>
      </c>
      <c r="AO49" s="12" t="str">
        <f t="shared" ref="AO49:AS49" si="757">IF(AO44="","",AN49)</f>
        <v/>
      </c>
      <c r="AP49" s="12" t="str">
        <f t="shared" si="757"/>
        <v/>
      </c>
      <c r="AQ49" s="12" t="str">
        <f t="shared" si="757"/>
        <v/>
      </c>
      <c r="AR49" s="12" t="str">
        <f t="shared" si="757"/>
        <v/>
      </c>
      <c r="AS49" s="12" t="str">
        <f t="shared" si="757"/>
        <v/>
      </c>
    </row>
    <row r="50" spans="1:45" s="1" customFormat="1" ht="11.25" x14ac:dyDescent="0.15">
      <c r="A50" s="7">
        <f>AVERAGE(C51:AS51)*30*100</f>
        <v>84000</v>
      </c>
      <c r="B50" s="9" t="s">
        <v>12</v>
      </c>
      <c r="C50" s="65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1:45" s="1" customFormat="1" ht="11.25" x14ac:dyDescent="0.15">
      <c r="A51" s="7">
        <f>SUM(C51:AS51)</f>
        <v>280</v>
      </c>
      <c r="B51" s="6" t="s">
        <v>13</v>
      </c>
      <c r="C51" s="65">
        <v>0</v>
      </c>
      <c r="D51" s="5">
        <v>0</v>
      </c>
      <c r="E51" s="5">
        <v>160</v>
      </c>
      <c r="F51" s="5">
        <v>0</v>
      </c>
      <c r="G51" s="5">
        <v>0</v>
      </c>
      <c r="H51" s="5">
        <v>0</v>
      </c>
      <c r="I51" s="5">
        <v>29</v>
      </c>
      <c r="J51" s="5">
        <f t="shared" ref="J51:J52" si="758">IF(J44="","",J44-I44)</f>
        <v>0</v>
      </c>
      <c r="K51" s="5">
        <f t="shared" ref="K51:K52" si="759">IF(K44="","",K44-J44)</f>
        <v>0</v>
      </c>
      <c r="L51" s="5">
        <f t="shared" ref="L51:L52" si="760">IF(L44="","",L44-K44)</f>
        <v>91</v>
      </c>
      <c r="M51" s="5" t="str">
        <f t="shared" ref="M51:M52" si="761">IF(M44="","",M44-L44)</f>
        <v/>
      </c>
      <c r="N51" s="5" t="str">
        <f t="shared" ref="N51:N52" si="762">IF(N44="","",N44-M44)</f>
        <v/>
      </c>
      <c r="O51" s="5" t="str">
        <f t="shared" ref="O51:O52" si="763">IF(O44="","",O44-N44)</f>
        <v/>
      </c>
      <c r="P51" s="5" t="str">
        <f t="shared" ref="P51:P52" si="764">IF(P44="","",P44-O44)</f>
        <v/>
      </c>
      <c r="Q51" s="5" t="str">
        <f t="shared" ref="Q51:Q52" si="765">IF(Q44="","",Q44-P44)</f>
        <v/>
      </c>
      <c r="R51" s="5" t="str">
        <f t="shared" ref="R51:R52" si="766">IF(R44="","",R44-Q44)</f>
        <v/>
      </c>
      <c r="S51" s="5" t="str">
        <f t="shared" ref="S51:S52" si="767">IF(S44="","",S44-R44)</f>
        <v/>
      </c>
      <c r="T51" s="5" t="str">
        <f t="shared" ref="T51:T52" si="768">IF(T44="","",T44-S44)</f>
        <v/>
      </c>
      <c r="U51" s="5" t="str">
        <f t="shared" ref="U51:U52" si="769">IF(U44="","",U44-T44)</f>
        <v/>
      </c>
      <c r="V51" s="5" t="str">
        <f t="shared" ref="V51:V52" si="770">IF(V44="","",V44-U44)</f>
        <v/>
      </c>
      <c r="W51" s="5" t="str">
        <f t="shared" ref="W51:W52" si="771">IF(W44="","",W44-V44)</f>
        <v/>
      </c>
      <c r="X51" s="5" t="str">
        <f t="shared" ref="X51:X52" si="772">IF(X44="","",X44-W44)</f>
        <v/>
      </c>
      <c r="Y51" s="5" t="str">
        <f t="shared" ref="Y51:Y52" si="773">IF(Y44="","",Y44-X44)</f>
        <v/>
      </c>
      <c r="Z51" s="5" t="str">
        <f t="shared" ref="Z51:Z52" si="774">IF(Z44="","",Z44-Y44)</f>
        <v/>
      </c>
      <c r="AA51" s="5" t="str">
        <f t="shared" ref="AA51:AA52" si="775">IF(AA44="","",AA44-Z44)</f>
        <v/>
      </c>
      <c r="AB51" s="5" t="str">
        <f t="shared" ref="AB51:AB52" si="776">IF(AB44="","",AB44-AA44)</f>
        <v/>
      </c>
      <c r="AC51" s="5" t="str">
        <f t="shared" ref="AC51:AC52" si="777">IF(AC44="","",AC44-AB44)</f>
        <v/>
      </c>
      <c r="AD51" s="5" t="str">
        <f t="shared" ref="AD51:AD52" si="778">IF(AD44="","",AD44-AC44)</f>
        <v/>
      </c>
      <c r="AE51" s="5" t="str">
        <f t="shared" ref="AE51:AE52" si="779">IF(AE44="","",AE44-AD44)</f>
        <v/>
      </c>
      <c r="AF51" s="5" t="str">
        <f t="shared" ref="AF51:AF52" si="780">IF(AF44="","",AF44-AE44)</f>
        <v/>
      </c>
      <c r="AG51" s="5" t="str">
        <f t="shared" ref="AG51:AG52" si="781">IF(AG44="","",AG44-AF44)</f>
        <v/>
      </c>
      <c r="AH51" s="5" t="str">
        <f t="shared" ref="AH51:AH52" si="782">IF(AH44="","",AH44-AG44)</f>
        <v/>
      </c>
      <c r="AI51" s="5" t="str">
        <f t="shared" ref="AI51:AI52" si="783">IF(AI44="","",AI44-AH44)</f>
        <v/>
      </c>
      <c r="AJ51" s="5" t="str">
        <f t="shared" ref="AJ51:AJ52" si="784">IF(AJ44="","",AJ44-AI44)</f>
        <v/>
      </c>
      <c r="AK51" s="5" t="str">
        <f t="shared" ref="AK51:AK52" si="785">IF(AK44="","",AK44-AJ44)</f>
        <v/>
      </c>
      <c r="AL51" s="5" t="str">
        <f t="shared" ref="AL51:AL52" si="786">IF(AL44="","",AL44-AK44)</f>
        <v/>
      </c>
      <c r="AM51" s="5" t="str">
        <f t="shared" ref="AM51:AM52" si="787">IF(AM44="","",AM44-AL44)</f>
        <v/>
      </c>
      <c r="AN51" s="5" t="str">
        <f t="shared" ref="AN51:AN52" si="788">IF(AN44="","",AN44-AM44)</f>
        <v/>
      </c>
      <c r="AO51" s="5" t="str">
        <f t="shared" ref="AO51:AS51" si="789">IF(AO44="","",AO44-AN44)</f>
        <v/>
      </c>
      <c r="AP51" s="5" t="str">
        <f t="shared" si="789"/>
        <v/>
      </c>
      <c r="AQ51" s="5" t="str">
        <f t="shared" si="789"/>
        <v/>
      </c>
      <c r="AR51" s="5" t="str">
        <f t="shared" si="789"/>
        <v/>
      </c>
      <c r="AS51" s="5" t="str">
        <f t="shared" si="789"/>
        <v/>
      </c>
    </row>
    <row r="52" spans="1:45" s="1" customFormat="1" ht="11.25" x14ac:dyDescent="0.15">
      <c r="A52" s="7">
        <f>SUM(C52:AS52)</f>
        <v>12</v>
      </c>
      <c r="B52" s="6" t="s">
        <v>14</v>
      </c>
      <c r="C52" s="65">
        <v>0</v>
      </c>
      <c r="D52" s="5">
        <v>0</v>
      </c>
      <c r="E52" s="5">
        <v>9</v>
      </c>
      <c r="F52" s="5">
        <v>0</v>
      </c>
      <c r="G52" s="5">
        <v>0</v>
      </c>
      <c r="H52" s="5">
        <v>0</v>
      </c>
      <c r="I52" s="5">
        <v>0</v>
      </c>
      <c r="J52" s="5">
        <f t="shared" si="758"/>
        <v>0</v>
      </c>
      <c r="K52" s="5">
        <f t="shared" si="759"/>
        <v>0</v>
      </c>
      <c r="L52" s="5">
        <f t="shared" si="760"/>
        <v>3</v>
      </c>
      <c r="M52" s="5" t="str">
        <f t="shared" si="761"/>
        <v/>
      </c>
      <c r="N52" s="5" t="str">
        <f t="shared" si="762"/>
        <v/>
      </c>
      <c r="O52" s="5" t="str">
        <f t="shared" si="763"/>
        <v/>
      </c>
      <c r="P52" s="5" t="str">
        <f t="shared" si="764"/>
        <v/>
      </c>
      <c r="Q52" s="5" t="str">
        <f t="shared" si="765"/>
        <v/>
      </c>
      <c r="R52" s="5" t="str">
        <f t="shared" si="766"/>
        <v/>
      </c>
      <c r="S52" s="5" t="str">
        <f t="shared" si="767"/>
        <v/>
      </c>
      <c r="T52" s="5" t="str">
        <f t="shared" si="768"/>
        <v/>
      </c>
      <c r="U52" s="5" t="str">
        <f t="shared" si="769"/>
        <v/>
      </c>
      <c r="V52" s="5" t="str">
        <f t="shared" si="770"/>
        <v/>
      </c>
      <c r="W52" s="5" t="str">
        <f t="shared" si="771"/>
        <v/>
      </c>
      <c r="X52" s="5" t="str">
        <f t="shared" si="772"/>
        <v/>
      </c>
      <c r="Y52" s="5" t="str">
        <f t="shared" si="773"/>
        <v/>
      </c>
      <c r="Z52" s="5" t="str">
        <f t="shared" si="774"/>
        <v/>
      </c>
      <c r="AA52" s="5" t="str">
        <f t="shared" si="775"/>
        <v/>
      </c>
      <c r="AB52" s="5" t="str">
        <f t="shared" si="776"/>
        <v/>
      </c>
      <c r="AC52" s="5" t="str">
        <f t="shared" si="777"/>
        <v/>
      </c>
      <c r="AD52" s="5" t="str">
        <f t="shared" si="778"/>
        <v/>
      </c>
      <c r="AE52" s="5" t="str">
        <f t="shared" si="779"/>
        <v/>
      </c>
      <c r="AF52" s="5" t="str">
        <f t="shared" si="780"/>
        <v/>
      </c>
      <c r="AG52" s="5" t="str">
        <f t="shared" si="781"/>
        <v/>
      </c>
      <c r="AH52" s="5" t="str">
        <f t="shared" si="782"/>
        <v/>
      </c>
      <c r="AI52" s="5" t="str">
        <f t="shared" si="783"/>
        <v/>
      </c>
      <c r="AJ52" s="5" t="str">
        <f t="shared" si="784"/>
        <v/>
      </c>
      <c r="AK52" s="5" t="str">
        <f t="shared" si="785"/>
        <v/>
      </c>
      <c r="AL52" s="5" t="str">
        <f t="shared" si="786"/>
        <v/>
      </c>
      <c r="AM52" s="5" t="str">
        <f t="shared" si="787"/>
        <v/>
      </c>
      <c r="AN52" s="5" t="str">
        <f t="shared" si="788"/>
        <v/>
      </c>
      <c r="AO52" s="5" t="str">
        <f t="shared" ref="AO52:AS52" si="790">IF(AO45="","",AO45-AN45)</f>
        <v/>
      </c>
      <c r="AP52" s="5" t="str">
        <f t="shared" si="790"/>
        <v/>
      </c>
      <c r="AQ52" s="5" t="str">
        <f t="shared" si="790"/>
        <v/>
      </c>
      <c r="AR52" s="5" t="str">
        <f t="shared" si="790"/>
        <v/>
      </c>
      <c r="AS52" s="5" t="str">
        <f t="shared" si="790"/>
        <v/>
      </c>
    </row>
    <row r="53" spans="1:45" s="1" customFormat="1" ht="11.25" x14ac:dyDescent="0.15">
      <c r="A53" s="7">
        <f>SUM(C53:AS53)</f>
        <v>12</v>
      </c>
      <c r="B53" s="6" t="s">
        <v>15</v>
      </c>
      <c r="C53" s="65">
        <v>0</v>
      </c>
      <c r="D53" s="5">
        <v>0</v>
      </c>
      <c r="E53" s="5">
        <v>9</v>
      </c>
      <c r="F53" s="5">
        <v>0</v>
      </c>
      <c r="G53" s="5">
        <v>0</v>
      </c>
      <c r="H53" s="5">
        <v>0</v>
      </c>
      <c r="I53" s="5">
        <v>0</v>
      </c>
      <c r="J53" s="5">
        <f t="shared" ref="J53" si="791">IF(J46="","",I46+I47-J46)</f>
        <v>0</v>
      </c>
      <c r="K53" s="5">
        <f t="shared" ref="K53" si="792">IF(K46="","",J46+J47-K46)</f>
        <v>0</v>
      </c>
      <c r="L53" s="5">
        <f t="shared" ref="L53" si="793">IF(L46="","",K46+K47-L46)</f>
        <v>3</v>
      </c>
      <c r="M53" s="5" t="str">
        <f t="shared" ref="M53" si="794">IF(M46="","",L46+L47-M46)</f>
        <v/>
      </c>
      <c r="N53" s="5" t="str">
        <f t="shared" ref="N53" si="795">IF(N46="","",M46+M47-N46)</f>
        <v/>
      </c>
      <c r="O53" s="5" t="str">
        <f t="shared" ref="O53" si="796">IF(O46="","",N46+N47-O46)</f>
        <v/>
      </c>
      <c r="P53" s="5" t="str">
        <f t="shared" ref="P53" si="797">IF(P46="","",O46+O47-P46)</f>
        <v/>
      </c>
      <c r="Q53" s="5" t="str">
        <f t="shared" ref="Q53" si="798">IF(Q46="","",P46+P47-Q46)</f>
        <v/>
      </c>
      <c r="R53" s="5" t="str">
        <f t="shared" ref="R53" si="799">IF(R46="","",Q46+Q47-R46)</f>
        <v/>
      </c>
      <c r="S53" s="5" t="str">
        <f t="shared" ref="S53" si="800">IF(S46="","",R46+R47-S46)</f>
        <v/>
      </c>
      <c r="T53" s="5" t="str">
        <f t="shared" ref="T53" si="801">IF(T46="","",S46+S47-T46)</f>
        <v/>
      </c>
      <c r="U53" s="5" t="str">
        <f t="shared" ref="U53" si="802">IF(U46="","",T46+T47-U46)</f>
        <v/>
      </c>
      <c r="V53" s="5" t="str">
        <f t="shared" ref="V53" si="803">IF(V46="","",U46+U47-V46)</f>
        <v/>
      </c>
      <c r="W53" s="5" t="str">
        <f t="shared" ref="W53" si="804">IF(W46="","",V46+V47-W46)</f>
        <v/>
      </c>
      <c r="X53" s="5" t="str">
        <f t="shared" ref="X53" si="805">IF(X46="","",W46+W47-X46)</f>
        <v/>
      </c>
      <c r="Y53" s="5" t="str">
        <f t="shared" ref="Y53" si="806">IF(Y46="","",X46+X47-Y46)</f>
        <v/>
      </c>
      <c r="Z53" s="5" t="str">
        <f t="shared" ref="Z53" si="807">IF(Z46="","",Y46+Y47-Z46)</f>
        <v/>
      </c>
      <c r="AA53" s="5" t="str">
        <f t="shared" ref="AA53" si="808">IF(AA46="","",Z46+Z47-AA46)</f>
        <v/>
      </c>
      <c r="AB53" s="5" t="str">
        <f t="shared" ref="AB53" si="809">IF(AB46="","",AA46+AA47-AB46)</f>
        <v/>
      </c>
      <c r="AC53" s="5" t="str">
        <f t="shared" ref="AC53" si="810">IF(AC46="","",AB46+AB47-AC46)</f>
        <v/>
      </c>
      <c r="AD53" s="5" t="str">
        <f t="shared" ref="AD53" si="811">IF(AD46="","",AC46+AC47-AD46)</f>
        <v/>
      </c>
      <c r="AE53" s="5" t="str">
        <f t="shared" ref="AE53" si="812">IF(AE46="","",AD46+AD47-AE46)</f>
        <v/>
      </c>
      <c r="AF53" s="5" t="str">
        <f t="shared" ref="AF53" si="813">IF(AF46="","",AE46+AE47-AF46)</f>
        <v/>
      </c>
      <c r="AG53" s="5" t="str">
        <f t="shared" ref="AG53" si="814">IF(AG46="","",AF46+AF47-AG46)</f>
        <v/>
      </c>
      <c r="AH53" s="5" t="str">
        <f t="shared" ref="AH53" si="815">IF(AH46="","",AG46+AG47-AH46)</f>
        <v/>
      </c>
      <c r="AI53" s="5" t="str">
        <f t="shared" ref="AI53" si="816">IF(AI46="","",AH46+AH47-AI46)</f>
        <v/>
      </c>
      <c r="AJ53" s="5" t="str">
        <f t="shared" ref="AJ53" si="817">IF(AJ46="","",AI46+AI47-AJ46)</f>
        <v/>
      </c>
      <c r="AK53" s="5" t="str">
        <f t="shared" ref="AK53" si="818">IF(AK46="","",AJ46+AJ47-AK46)</f>
        <v/>
      </c>
      <c r="AL53" s="5" t="str">
        <f t="shared" ref="AL53" si="819">IF(AL46="","",AK46+AK47-AL46)</f>
        <v/>
      </c>
      <c r="AM53" s="5" t="str">
        <f t="shared" ref="AM53" si="820">IF(AM46="","",AL46+AL47-AM46)</f>
        <v/>
      </c>
      <c r="AN53" s="5" t="str">
        <f t="shared" ref="AN53" si="821">IF(AN46="","",AM46+AM47-AN46)</f>
        <v/>
      </c>
      <c r="AO53" s="5" t="str">
        <f t="shared" ref="AO53:AS53" si="822">IF(AO46="","",AN46+AN47-AO46)</f>
        <v/>
      </c>
      <c r="AP53" s="5" t="str">
        <f t="shared" si="822"/>
        <v/>
      </c>
      <c r="AQ53" s="5" t="str">
        <f t="shared" si="822"/>
        <v/>
      </c>
      <c r="AR53" s="5" t="str">
        <f t="shared" si="822"/>
        <v/>
      </c>
      <c r="AS53" s="5" t="str">
        <f t="shared" si="822"/>
        <v/>
      </c>
    </row>
    <row r="54" spans="1:45" s="1" customFormat="1" ht="11.25" x14ac:dyDescent="0.15">
      <c r="A54" s="7">
        <f>SUM(C54:AS54)</f>
        <v>1200</v>
      </c>
      <c r="B54" s="6" t="s">
        <v>16</v>
      </c>
      <c r="C54" s="65">
        <v>0</v>
      </c>
      <c r="D54" s="5">
        <v>0</v>
      </c>
      <c r="E54" s="5">
        <v>900</v>
      </c>
      <c r="F54" s="5">
        <v>0</v>
      </c>
      <c r="G54" s="5">
        <v>0</v>
      </c>
      <c r="H54" s="5">
        <v>0</v>
      </c>
      <c r="I54" s="5">
        <v>0</v>
      </c>
      <c r="J54" s="5">
        <f t="shared" ref="D54:AN54" si="823">IF(J44="","",J53*J48)</f>
        <v>0</v>
      </c>
      <c r="K54" s="5">
        <f t="shared" si="823"/>
        <v>0</v>
      </c>
      <c r="L54" s="5">
        <f>IF(L44="","",L53*L48)</f>
        <v>300</v>
      </c>
      <c r="M54" s="5" t="str">
        <f t="shared" si="823"/>
        <v/>
      </c>
      <c r="N54" s="5" t="str">
        <f t="shared" si="823"/>
        <v/>
      </c>
      <c r="O54" s="5" t="str">
        <f t="shared" si="823"/>
        <v/>
      </c>
      <c r="P54" s="5" t="str">
        <f t="shared" si="823"/>
        <v/>
      </c>
      <c r="Q54" s="5" t="str">
        <f t="shared" si="823"/>
        <v/>
      </c>
      <c r="R54" s="5" t="str">
        <f t="shared" si="823"/>
        <v/>
      </c>
      <c r="S54" s="5" t="str">
        <f t="shared" si="823"/>
        <v/>
      </c>
      <c r="T54" s="5" t="str">
        <f t="shared" si="823"/>
        <v/>
      </c>
      <c r="U54" s="5" t="str">
        <f t="shared" si="823"/>
        <v/>
      </c>
      <c r="V54" s="5" t="str">
        <f t="shared" si="823"/>
        <v/>
      </c>
      <c r="W54" s="5" t="str">
        <f t="shared" si="823"/>
        <v/>
      </c>
      <c r="X54" s="5" t="str">
        <f t="shared" si="823"/>
        <v/>
      </c>
      <c r="Y54" s="5" t="str">
        <f t="shared" si="823"/>
        <v/>
      </c>
      <c r="Z54" s="5" t="str">
        <f t="shared" si="823"/>
        <v/>
      </c>
      <c r="AA54" s="5" t="str">
        <f t="shared" si="823"/>
        <v/>
      </c>
      <c r="AB54" s="5" t="str">
        <f t="shared" si="823"/>
        <v/>
      </c>
      <c r="AC54" s="5" t="str">
        <f t="shared" si="823"/>
        <v/>
      </c>
      <c r="AD54" s="5" t="str">
        <f t="shared" si="823"/>
        <v/>
      </c>
      <c r="AE54" s="5" t="str">
        <f t="shared" si="823"/>
        <v/>
      </c>
      <c r="AF54" s="5" t="str">
        <f t="shared" si="823"/>
        <v/>
      </c>
      <c r="AG54" s="5" t="str">
        <f t="shared" si="823"/>
        <v/>
      </c>
      <c r="AH54" s="5" t="str">
        <f t="shared" si="823"/>
        <v/>
      </c>
      <c r="AI54" s="5" t="str">
        <f t="shared" si="823"/>
        <v/>
      </c>
      <c r="AJ54" s="5" t="str">
        <f t="shared" si="823"/>
        <v/>
      </c>
      <c r="AK54" s="5" t="str">
        <f t="shared" si="823"/>
        <v/>
      </c>
      <c r="AL54" s="5" t="str">
        <f t="shared" si="823"/>
        <v/>
      </c>
      <c r="AM54" s="5" t="str">
        <f t="shared" si="823"/>
        <v/>
      </c>
      <c r="AN54" s="5" t="str">
        <f t="shared" si="823"/>
        <v/>
      </c>
      <c r="AO54" s="5" t="str">
        <f t="shared" ref="AO54:AS54" si="824">IF(AO44="","",AO53*AO48)</f>
        <v/>
      </c>
      <c r="AP54" s="5" t="str">
        <f t="shared" si="824"/>
        <v/>
      </c>
      <c r="AQ54" s="5" t="str">
        <f t="shared" si="824"/>
        <v/>
      </c>
      <c r="AR54" s="5" t="str">
        <f t="shared" si="824"/>
        <v/>
      </c>
      <c r="AS54" s="5" t="str">
        <f t="shared" si="824"/>
        <v/>
      </c>
    </row>
    <row r="55" spans="1:45" s="1" customFormat="1" ht="12" thickBot="1" x14ac:dyDescent="0.2">
      <c r="A55" s="4">
        <f>IF(A54="","",A54/(A51*100))</f>
        <v>4.2857142857142858E-2</v>
      </c>
      <c r="B55" s="3" t="s">
        <v>18</v>
      </c>
      <c r="C55" s="68" t="s">
        <v>19</v>
      </c>
      <c r="D55" s="2" t="s">
        <v>19</v>
      </c>
      <c r="E55" s="2">
        <v>5.6250000000000001E-2</v>
      </c>
      <c r="F55" s="2" t="s">
        <v>19</v>
      </c>
      <c r="G55" s="2" t="s">
        <v>19</v>
      </c>
      <c r="H55" s="2" t="s">
        <v>19</v>
      </c>
      <c r="I55" s="2" t="s">
        <v>19</v>
      </c>
      <c r="J55" s="2" t="str">
        <f t="shared" ref="D55:AN55" si="825">IF(J54="","",IF(J54=0,"",J54/(J51*100)))</f>
        <v/>
      </c>
      <c r="K55" s="2" t="str">
        <f t="shared" si="825"/>
        <v/>
      </c>
      <c r="L55" s="2">
        <f t="shared" si="825"/>
        <v>3.2967032967032968E-2</v>
      </c>
      <c r="M55" s="2" t="str">
        <f t="shared" si="825"/>
        <v/>
      </c>
      <c r="N55" s="2" t="str">
        <f t="shared" si="825"/>
        <v/>
      </c>
      <c r="O55" s="2" t="str">
        <f t="shared" si="825"/>
        <v/>
      </c>
      <c r="P55" s="2" t="str">
        <f t="shared" si="825"/>
        <v/>
      </c>
      <c r="Q55" s="2" t="str">
        <f t="shared" si="825"/>
        <v/>
      </c>
      <c r="R55" s="2" t="str">
        <f t="shared" si="825"/>
        <v/>
      </c>
      <c r="S55" s="2" t="str">
        <f t="shared" si="825"/>
        <v/>
      </c>
      <c r="T55" s="2" t="str">
        <f t="shared" si="825"/>
        <v/>
      </c>
      <c r="U55" s="2" t="str">
        <f t="shared" si="825"/>
        <v/>
      </c>
      <c r="V55" s="2" t="str">
        <f t="shared" si="825"/>
        <v/>
      </c>
      <c r="W55" s="2" t="str">
        <f t="shared" si="825"/>
        <v/>
      </c>
      <c r="X55" s="2" t="str">
        <f t="shared" si="825"/>
        <v/>
      </c>
      <c r="Y55" s="2" t="str">
        <f t="shared" si="825"/>
        <v/>
      </c>
      <c r="Z55" s="2" t="str">
        <f t="shared" si="825"/>
        <v/>
      </c>
      <c r="AA55" s="2" t="str">
        <f t="shared" si="825"/>
        <v/>
      </c>
      <c r="AB55" s="2" t="str">
        <f t="shared" si="825"/>
        <v/>
      </c>
      <c r="AC55" s="2" t="str">
        <f t="shared" si="825"/>
        <v/>
      </c>
      <c r="AD55" s="2" t="str">
        <f t="shared" si="825"/>
        <v/>
      </c>
      <c r="AE55" s="2" t="str">
        <f t="shared" si="825"/>
        <v/>
      </c>
      <c r="AF55" s="2" t="str">
        <f t="shared" si="825"/>
        <v/>
      </c>
      <c r="AG55" s="2" t="str">
        <f t="shared" si="825"/>
        <v/>
      </c>
      <c r="AH55" s="2" t="str">
        <f t="shared" si="825"/>
        <v/>
      </c>
      <c r="AI55" s="2" t="str">
        <f t="shared" si="825"/>
        <v/>
      </c>
      <c r="AJ55" s="2" t="str">
        <f t="shared" si="825"/>
        <v/>
      </c>
      <c r="AK55" s="2" t="str">
        <f t="shared" si="825"/>
        <v/>
      </c>
      <c r="AL55" s="2" t="str">
        <f t="shared" si="825"/>
        <v/>
      </c>
      <c r="AM55" s="2" t="str">
        <f t="shared" si="825"/>
        <v/>
      </c>
      <c r="AN55" s="2" t="str">
        <f t="shared" si="825"/>
        <v/>
      </c>
      <c r="AO55" s="2" t="str">
        <f t="shared" ref="AO55:AS55" si="826">IF(AO54="","",IF(AO54=0,"",AO54/(AO51*100)))</f>
        <v/>
      </c>
      <c r="AP55" s="2" t="str">
        <f t="shared" si="826"/>
        <v/>
      </c>
      <c r="AQ55" s="2" t="str">
        <f t="shared" si="826"/>
        <v/>
      </c>
      <c r="AR55" s="2" t="str">
        <f t="shared" si="826"/>
        <v/>
      </c>
      <c r="AS55" s="2" t="str">
        <f t="shared" si="826"/>
        <v/>
      </c>
    </row>
    <row r="56" spans="1:45" s="1" customFormat="1" ht="11.25" x14ac:dyDescent="0.15">
      <c r="A56" s="22" t="s">
        <v>46</v>
      </c>
      <c r="B56" s="21" t="s">
        <v>2</v>
      </c>
      <c r="C56" s="64">
        <v>4233</v>
      </c>
      <c r="D56" s="20">
        <v>4233</v>
      </c>
      <c r="E56" s="20">
        <v>4257</v>
      </c>
      <c r="F56" s="20">
        <v>4257</v>
      </c>
      <c r="G56" s="20">
        <v>4257</v>
      </c>
      <c r="H56" s="20">
        <v>4257</v>
      </c>
      <c r="I56" s="20">
        <v>4285</v>
      </c>
      <c r="J56" s="20">
        <f t="shared" ref="J56:J57" si="827">IF(J$8="","",I56)</f>
        <v>4285</v>
      </c>
      <c r="K56" s="20">
        <f t="shared" ref="K56:K57" si="828">IF(K$8="","",J56)</f>
        <v>4285</v>
      </c>
      <c r="L56" s="20">
        <v>4354</v>
      </c>
      <c r="M56" s="20" t="str">
        <f t="shared" ref="M56:M57" si="829">IF(M$8="","",L56)</f>
        <v/>
      </c>
      <c r="N56" s="20" t="str">
        <f t="shared" ref="N56:N57" si="830">IF(N$8="","",M56)</f>
        <v/>
      </c>
      <c r="O56" s="20" t="str">
        <f t="shared" ref="O56:O57" si="831">IF(O$8="","",N56)</f>
        <v/>
      </c>
      <c r="P56" s="20" t="str">
        <f>IF(P$8="","",O56)</f>
        <v/>
      </c>
      <c r="Q56" s="20" t="str">
        <f t="shared" ref="Q56:Q57" si="832">IF(Q$8="","",P56)</f>
        <v/>
      </c>
      <c r="R56" s="20" t="str">
        <f t="shared" ref="R56:R57" si="833">IF(R$8="","",Q56)</f>
        <v/>
      </c>
      <c r="S56" s="20" t="str">
        <f>IF(S$8="","",R56)</f>
        <v/>
      </c>
      <c r="T56" s="20" t="str">
        <f t="shared" ref="T56:T57" si="834">IF(T$8="","",S56)</f>
        <v/>
      </c>
      <c r="U56" s="20" t="str">
        <f t="shared" ref="U56:U57" si="835">IF(U$8="","",T56)</f>
        <v/>
      </c>
      <c r="V56" s="20" t="str">
        <f t="shared" ref="V56:V57" si="836">IF(V$8="","",U56)</f>
        <v/>
      </c>
      <c r="W56" s="20" t="str">
        <f>IF(W$8="","",V56)</f>
        <v/>
      </c>
      <c r="X56" s="20" t="str">
        <f t="shared" ref="X56:X57" si="837">IF(X$8="","",W56)</f>
        <v/>
      </c>
      <c r="Y56" s="20" t="str">
        <f t="shared" ref="Y56:Y57" si="838">IF(Y$8="","",X56)</f>
        <v/>
      </c>
      <c r="Z56" s="20" t="str">
        <f>IF(Z$8="","",Y56)</f>
        <v/>
      </c>
      <c r="AA56" s="20" t="str">
        <f t="shared" ref="AA56:AA57" si="839">IF(AA$8="","",Z56)</f>
        <v/>
      </c>
      <c r="AB56" s="20" t="str">
        <f t="shared" ref="AB56:AB57" si="840">IF(AB$8="","",AA56)</f>
        <v/>
      </c>
      <c r="AC56" s="20" t="str">
        <f t="shared" ref="AC56:AC57" si="841">IF(AC$8="","",AB56)</f>
        <v/>
      </c>
      <c r="AD56" s="20" t="str">
        <f>IF(AD$8="","",AC56)</f>
        <v/>
      </c>
      <c r="AE56" s="20" t="str">
        <f t="shared" ref="AE56:AE57" si="842">IF(AE$8="","",AD56)</f>
        <v/>
      </c>
      <c r="AF56" s="20" t="str">
        <f t="shared" ref="AF56:AF57" si="843">IF(AF$8="","",AE56)</f>
        <v/>
      </c>
      <c r="AG56" s="20" t="str">
        <f>IF(AG$8="","",AF56)</f>
        <v/>
      </c>
      <c r="AH56" s="20" t="str">
        <f t="shared" ref="AH56:AH57" si="844">IF(AH$8="","",AG56)</f>
        <v/>
      </c>
      <c r="AI56" s="20" t="str">
        <f t="shared" ref="AI56:AI57" si="845">IF(AI$8="","",AH56)</f>
        <v/>
      </c>
      <c r="AJ56" s="20" t="str">
        <f t="shared" ref="AJ56:AJ57" si="846">IF(AJ$8="","",AI56)</f>
        <v/>
      </c>
      <c r="AK56" s="20" t="str">
        <f>IF(AK$8="","",AJ56)</f>
        <v/>
      </c>
      <c r="AL56" s="20" t="str">
        <f t="shared" ref="AL56:AL57" si="847">IF(AL$8="","",AK56)</f>
        <v/>
      </c>
      <c r="AM56" s="20" t="str">
        <f t="shared" ref="AM56:AM57" si="848">IF(AM$8="","",AL56)</f>
        <v/>
      </c>
      <c r="AN56" s="20" t="str">
        <f t="shared" ref="AN56:AN57" si="849">IF(AN$8="","",AM56)</f>
        <v/>
      </c>
      <c r="AO56" s="20" t="str">
        <f t="shared" ref="AO56:AS56" si="850">IF(AO$8="","",AN56)</f>
        <v/>
      </c>
      <c r="AP56" s="20" t="str">
        <f t="shared" si="850"/>
        <v/>
      </c>
      <c r="AQ56" s="20" t="str">
        <f t="shared" si="850"/>
        <v/>
      </c>
      <c r="AR56" s="20" t="str">
        <f t="shared" si="850"/>
        <v/>
      </c>
      <c r="AS56" s="20" t="str">
        <f t="shared" si="850"/>
        <v/>
      </c>
    </row>
    <row r="57" spans="1:45" s="1" customFormat="1" ht="11.25" x14ac:dyDescent="0.15">
      <c r="A57" s="16" t="s">
        <v>24</v>
      </c>
      <c r="B57" s="9" t="s">
        <v>4</v>
      </c>
      <c r="C57" s="65">
        <v>141</v>
      </c>
      <c r="D57" s="8">
        <v>141</v>
      </c>
      <c r="E57" s="8">
        <v>142</v>
      </c>
      <c r="F57" s="8">
        <v>142</v>
      </c>
      <c r="G57" s="8">
        <v>142</v>
      </c>
      <c r="H57" s="8">
        <v>142</v>
      </c>
      <c r="I57" s="8">
        <v>143</v>
      </c>
      <c r="J57" s="8">
        <f t="shared" si="827"/>
        <v>143</v>
      </c>
      <c r="K57" s="8">
        <f t="shared" si="828"/>
        <v>143</v>
      </c>
      <c r="L57" s="8">
        <v>147</v>
      </c>
      <c r="M57" s="8" t="str">
        <f t="shared" si="829"/>
        <v/>
      </c>
      <c r="N57" s="8" t="str">
        <f t="shared" si="830"/>
        <v/>
      </c>
      <c r="O57" s="8" t="str">
        <f t="shared" si="831"/>
        <v/>
      </c>
      <c r="P57" s="8" t="str">
        <f>IF(P$8="","",O57)</f>
        <v/>
      </c>
      <c r="Q57" s="8" t="str">
        <f t="shared" si="832"/>
        <v/>
      </c>
      <c r="R57" s="8" t="str">
        <f t="shared" si="833"/>
        <v/>
      </c>
      <c r="S57" s="8" t="str">
        <f>IF(S$8="","",R57)</f>
        <v/>
      </c>
      <c r="T57" s="8" t="str">
        <f t="shared" si="834"/>
        <v/>
      </c>
      <c r="U57" s="8" t="str">
        <f t="shared" si="835"/>
        <v/>
      </c>
      <c r="V57" s="8" t="str">
        <f t="shared" si="836"/>
        <v/>
      </c>
      <c r="W57" s="8" t="str">
        <f>IF(W$8="","",V57)</f>
        <v/>
      </c>
      <c r="X57" s="8" t="str">
        <f t="shared" si="837"/>
        <v/>
      </c>
      <c r="Y57" s="8" t="str">
        <f t="shared" si="838"/>
        <v/>
      </c>
      <c r="Z57" s="8" t="str">
        <f>IF(Z$8="","",Y57)</f>
        <v/>
      </c>
      <c r="AA57" s="8" t="str">
        <f t="shared" si="839"/>
        <v/>
      </c>
      <c r="AB57" s="8" t="str">
        <f t="shared" si="840"/>
        <v/>
      </c>
      <c r="AC57" s="8" t="str">
        <f t="shared" si="841"/>
        <v/>
      </c>
      <c r="AD57" s="8" t="str">
        <f>IF(AD$8="","",AC57)</f>
        <v/>
      </c>
      <c r="AE57" s="8" t="str">
        <f t="shared" si="842"/>
        <v/>
      </c>
      <c r="AF57" s="8" t="str">
        <f t="shared" si="843"/>
        <v/>
      </c>
      <c r="AG57" s="8" t="str">
        <f>IF(AG$8="","",AF57)</f>
        <v/>
      </c>
      <c r="AH57" s="8" t="str">
        <f t="shared" si="844"/>
        <v/>
      </c>
      <c r="AI57" s="8" t="str">
        <f t="shared" si="845"/>
        <v/>
      </c>
      <c r="AJ57" s="8" t="str">
        <f t="shared" si="846"/>
        <v/>
      </c>
      <c r="AK57" s="8" t="str">
        <f>IF(AK$8="","",AJ57)</f>
        <v/>
      </c>
      <c r="AL57" s="8" t="str">
        <f t="shared" si="847"/>
        <v/>
      </c>
      <c r="AM57" s="8" t="str">
        <f t="shared" si="848"/>
        <v/>
      </c>
      <c r="AN57" s="8" t="str">
        <f t="shared" si="849"/>
        <v/>
      </c>
      <c r="AO57" s="8" t="str">
        <f t="shared" ref="AO57:AS57" si="851">IF(AO$8="","",AN57)</f>
        <v/>
      </c>
      <c r="AP57" s="8" t="str">
        <f t="shared" si="851"/>
        <v/>
      </c>
      <c r="AQ57" s="8" t="str">
        <f t="shared" si="851"/>
        <v/>
      </c>
      <c r="AR57" s="8" t="str">
        <f t="shared" si="851"/>
        <v/>
      </c>
      <c r="AS57" s="8" t="str">
        <f t="shared" si="851"/>
        <v/>
      </c>
    </row>
    <row r="58" spans="1:45" s="1" customFormat="1" ht="11.25" x14ac:dyDescent="0.15">
      <c r="A58" s="15">
        <v>1</v>
      </c>
      <c r="B58" s="9" t="s">
        <v>5</v>
      </c>
      <c r="C58" s="65">
        <v>33</v>
      </c>
      <c r="D58" s="8">
        <v>33</v>
      </c>
      <c r="E58" s="8">
        <v>33</v>
      </c>
      <c r="F58" s="8">
        <v>33</v>
      </c>
      <c r="G58" s="8">
        <v>33</v>
      </c>
      <c r="H58" s="8">
        <v>33</v>
      </c>
      <c r="I58" s="8">
        <v>32</v>
      </c>
      <c r="J58" s="8">
        <f t="shared" ref="J58" si="852">IF(J$8="","",(I58+I59))</f>
        <v>32</v>
      </c>
      <c r="K58" s="8">
        <f t="shared" ref="K58" si="853">IF(K$8="","",(J58+J59))</f>
        <v>32</v>
      </c>
      <c r="L58" s="8">
        <v>28</v>
      </c>
      <c r="M58" s="8" t="str">
        <f t="shared" ref="M58" si="854">IF(M$8="","",(L58+L59))</f>
        <v/>
      </c>
      <c r="N58" s="8" t="str">
        <f t="shared" ref="N58" si="855">IF(N$8="","",(M58+M59))</f>
        <v/>
      </c>
      <c r="O58" s="8" t="str">
        <f t="shared" ref="O58" si="856">IF(O$8="","",(N58+N59))</f>
        <v/>
      </c>
      <c r="P58" s="8" t="str">
        <f>IF(P$8="","",(O58+O59))</f>
        <v/>
      </c>
      <c r="Q58" s="8" t="str">
        <f t="shared" ref="Q58" si="857">IF(Q$8="","",(P58+P59))</f>
        <v/>
      </c>
      <c r="R58" s="8" t="str">
        <f t="shared" ref="R58" si="858">IF(R$8="","",(Q58+Q59))</f>
        <v/>
      </c>
      <c r="S58" s="8" t="str">
        <f>IF(S$8="","",(R58+R59))</f>
        <v/>
      </c>
      <c r="T58" s="8" t="str">
        <f t="shared" ref="T58" si="859">IF(T$8="","",(S58+S59))</f>
        <v/>
      </c>
      <c r="U58" s="8" t="str">
        <f t="shared" ref="U58" si="860">IF(U$8="","",(T58+T59))</f>
        <v/>
      </c>
      <c r="V58" s="8" t="str">
        <f t="shared" ref="V58" si="861">IF(V$8="","",(U58+U59))</f>
        <v/>
      </c>
      <c r="W58" s="8" t="str">
        <f>IF(W$8="","",(V58+V59))</f>
        <v/>
      </c>
      <c r="X58" s="8" t="str">
        <f t="shared" ref="X58" si="862">IF(X$8="","",(W58+W59))</f>
        <v/>
      </c>
      <c r="Y58" s="8" t="str">
        <f t="shared" ref="Y58" si="863">IF(Y$8="","",(X58+X59))</f>
        <v/>
      </c>
      <c r="Z58" s="8" t="str">
        <f>IF(Z$8="","",(Y58+Y59))</f>
        <v/>
      </c>
      <c r="AA58" s="8" t="str">
        <f t="shared" ref="AA58" si="864">IF(AA$8="","",(Z58+Z59))</f>
        <v/>
      </c>
      <c r="AB58" s="8" t="str">
        <f t="shared" ref="AB58" si="865">IF(AB$8="","",(AA58+AA59))</f>
        <v/>
      </c>
      <c r="AC58" s="8" t="str">
        <f t="shared" ref="AC58" si="866">IF(AC$8="","",(AB58+AB59))</f>
        <v/>
      </c>
      <c r="AD58" s="8" t="str">
        <f>IF(AD$8="","",(AC58+AC59))</f>
        <v/>
      </c>
      <c r="AE58" s="8" t="str">
        <f t="shared" ref="AE58" si="867">IF(AE$8="","",(AD58+AD59))</f>
        <v/>
      </c>
      <c r="AF58" s="8" t="str">
        <f t="shared" ref="AF58" si="868">IF(AF$8="","",(AE58+AE59))</f>
        <v/>
      </c>
      <c r="AG58" s="8" t="str">
        <f>IF(AG$8="","",(AF58+AF59))</f>
        <v/>
      </c>
      <c r="AH58" s="8" t="str">
        <f t="shared" ref="AH58" si="869">IF(AH$8="","",(AG58+AG59))</f>
        <v/>
      </c>
      <c r="AI58" s="8" t="str">
        <f t="shared" ref="AI58" si="870">IF(AI$8="","",(AH58+AH59))</f>
        <v/>
      </c>
      <c r="AJ58" s="8" t="str">
        <f t="shared" ref="AJ58" si="871">IF(AJ$8="","",(AI58+AI59))</f>
        <v/>
      </c>
      <c r="AK58" s="8" t="str">
        <f>IF(AK$8="","",(AJ58+AJ59))</f>
        <v/>
      </c>
      <c r="AL58" s="8" t="str">
        <f t="shared" ref="AL58" si="872">IF(AL$8="","",(AK58+AK59))</f>
        <v/>
      </c>
      <c r="AM58" s="8" t="str">
        <f t="shared" ref="AM58" si="873">IF(AM$8="","",(AL58+AL59))</f>
        <v/>
      </c>
      <c r="AN58" s="8" t="str">
        <f t="shared" ref="AN58" si="874">IF(AN$8="","",(AM58+AM59))</f>
        <v/>
      </c>
      <c r="AO58" s="8" t="str">
        <f t="shared" ref="AO58:AS58" si="875">IF(AO$8="","",(AN58+AN59))</f>
        <v/>
      </c>
      <c r="AP58" s="8" t="str">
        <f t="shared" si="875"/>
        <v/>
      </c>
      <c r="AQ58" s="8" t="str">
        <f t="shared" si="875"/>
        <v/>
      </c>
      <c r="AR58" s="8" t="str">
        <f t="shared" si="875"/>
        <v/>
      </c>
      <c r="AS58" s="8" t="str">
        <f t="shared" si="875"/>
        <v/>
      </c>
    </row>
    <row r="59" spans="1:45" s="1" customFormat="1" ht="11.25" x14ac:dyDescent="0.15">
      <c r="A59" s="92" t="s">
        <v>6</v>
      </c>
      <c r="B59" s="9" t="s">
        <v>7</v>
      </c>
      <c r="C59" s="65"/>
      <c r="D59" s="8"/>
      <c r="E59" s="8"/>
      <c r="F59" s="8"/>
      <c r="G59" s="8"/>
      <c r="H59" s="8"/>
      <c r="I59" s="8"/>
      <c r="J59" s="8"/>
      <c r="K59" s="8"/>
      <c r="L59" s="8">
        <v>10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1:45" s="1" customFormat="1" ht="11.25" x14ac:dyDescent="0.15">
      <c r="A60" s="93">
        <f>+(A63+A75+A87+A99)*100</f>
        <v>48800</v>
      </c>
      <c r="B60" s="9" t="s">
        <v>8</v>
      </c>
      <c r="C60" s="65">
        <v>250</v>
      </c>
      <c r="D60" s="8">
        <v>250</v>
      </c>
      <c r="E60" s="8">
        <v>250</v>
      </c>
      <c r="F60" s="8">
        <v>250</v>
      </c>
      <c r="G60" s="8">
        <v>250</v>
      </c>
      <c r="H60" s="8">
        <v>250</v>
      </c>
      <c r="I60" s="8">
        <v>250</v>
      </c>
      <c r="J60" s="8">
        <f t="shared" ref="J60:J61" si="876">IF(J$8="","",I60)</f>
        <v>250</v>
      </c>
      <c r="K60" s="8">
        <f t="shared" ref="K60:K61" si="877">IF(K$8="","",J60)</f>
        <v>250</v>
      </c>
      <c r="L60" s="8">
        <f t="shared" ref="L60:L61" si="878">IF(L$8="","",K60)</f>
        <v>250</v>
      </c>
      <c r="M60" s="8" t="str">
        <f t="shared" ref="M60:M61" si="879">IF(M$8="","",L60)</f>
        <v/>
      </c>
      <c r="N60" s="8" t="str">
        <f t="shared" ref="N60:N61" si="880">IF(N$8="","",M60)</f>
        <v/>
      </c>
      <c r="O60" s="8" t="str">
        <f t="shared" ref="O60:O61" si="881">IF(O$8="","",N60)</f>
        <v/>
      </c>
      <c r="P60" s="8" t="str">
        <f t="shared" ref="P60:P61" si="882">IF(P$8="","",O60)</f>
        <v/>
      </c>
      <c r="Q60" s="8" t="str">
        <f t="shared" ref="Q60:Q61" si="883">IF(Q$8="","",P60)</f>
        <v/>
      </c>
      <c r="R60" s="8" t="str">
        <f t="shared" ref="R60:R61" si="884">IF(R$8="","",Q60)</f>
        <v/>
      </c>
      <c r="S60" s="8" t="str">
        <f t="shared" ref="S60:S61" si="885">IF(S$8="","",R60)</f>
        <v/>
      </c>
      <c r="T60" s="8" t="str">
        <f t="shared" ref="T60:T61" si="886">IF(T$8="","",S60)</f>
        <v/>
      </c>
      <c r="U60" s="8" t="str">
        <f t="shared" ref="U60:U61" si="887">IF(U$8="","",T60)</f>
        <v/>
      </c>
      <c r="V60" s="8" t="str">
        <f t="shared" ref="V60:V61" si="888">IF(V$8="","",U60)</f>
        <v/>
      </c>
      <c r="W60" s="8" t="str">
        <f t="shared" ref="W60:W61" si="889">IF(W$8="","",V60)</f>
        <v/>
      </c>
      <c r="X60" s="8" t="str">
        <f t="shared" ref="X60:X61" si="890">IF(X$8="","",W60)</f>
        <v/>
      </c>
      <c r="Y60" s="8" t="str">
        <f t="shared" ref="Y60:Y61" si="891">IF(Y$8="","",X60)</f>
        <v/>
      </c>
      <c r="Z60" s="8" t="str">
        <f t="shared" ref="Z60:Z61" si="892">IF(Z$8="","",Y60)</f>
        <v/>
      </c>
      <c r="AA60" s="8" t="str">
        <f t="shared" ref="AA60:AA61" si="893">IF(AA$8="","",Z60)</f>
        <v/>
      </c>
      <c r="AB60" s="8" t="str">
        <f t="shared" ref="AB60:AB61" si="894">IF(AB$8="","",AA60)</f>
        <v/>
      </c>
      <c r="AC60" s="8" t="str">
        <f t="shared" ref="AC60:AC61" si="895">IF(AC$8="","",AB60)</f>
        <v/>
      </c>
      <c r="AD60" s="8" t="str">
        <f t="shared" ref="AD60:AD61" si="896">IF(AD$8="","",AC60)</f>
        <v/>
      </c>
      <c r="AE60" s="8" t="str">
        <f t="shared" ref="AE60:AE61" si="897">IF(AE$8="","",AD60)</f>
        <v/>
      </c>
      <c r="AF60" s="8" t="str">
        <f t="shared" ref="AF60:AF61" si="898">IF(AF$8="","",AE60)</f>
        <v/>
      </c>
      <c r="AG60" s="8" t="str">
        <f t="shared" ref="AG60:AG61" si="899">IF(AG$8="","",AF60)</f>
        <v/>
      </c>
      <c r="AH60" s="8" t="str">
        <f t="shared" ref="AH60:AH61" si="900">IF(AH$8="","",AG60)</f>
        <v/>
      </c>
      <c r="AI60" s="8" t="str">
        <f t="shared" ref="AI60:AI61" si="901">IF(AI$8="","",AH60)</f>
        <v/>
      </c>
      <c r="AJ60" s="8" t="str">
        <f t="shared" ref="AJ60:AJ61" si="902">IF(AJ$8="","",AI60)</f>
        <v/>
      </c>
      <c r="AK60" s="8" t="str">
        <f t="shared" ref="AK60:AK61" si="903">IF(AK$8="","",AJ60)</f>
        <v/>
      </c>
      <c r="AL60" s="8" t="str">
        <f t="shared" ref="AL60:AL61" si="904">IF(AL$8="","",AK60)</f>
        <v/>
      </c>
      <c r="AM60" s="8" t="str">
        <f t="shared" ref="AM60:AM61" si="905">IF(AM$8="","",AL60)</f>
        <v/>
      </c>
      <c r="AN60" s="8" t="str">
        <f t="shared" ref="AN60:AN61" si="906">IF(AN$8="","",AM60)</f>
        <v/>
      </c>
      <c r="AO60" s="8" t="str">
        <f t="shared" ref="AO60:AS60" si="907">IF(AO$8="","",AN60)</f>
        <v/>
      </c>
      <c r="AP60" s="8" t="str">
        <f t="shared" si="907"/>
        <v/>
      </c>
      <c r="AQ60" s="8" t="str">
        <f t="shared" si="907"/>
        <v/>
      </c>
      <c r="AR60" s="8" t="str">
        <f t="shared" si="907"/>
        <v/>
      </c>
      <c r="AS60" s="8" t="str">
        <f t="shared" si="907"/>
        <v/>
      </c>
    </row>
    <row r="61" spans="1:45" s="85" customFormat="1" ht="11.25" x14ac:dyDescent="0.15">
      <c r="A61" s="14" t="s">
        <v>9</v>
      </c>
      <c r="B61" s="13" t="s">
        <v>10</v>
      </c>
      <c r="C61" s="66" t="s">
        <v>11</v>
      </c>
      <c r="D61" s="12" t="s">
        <v>11</v>
      </c>
      <c r="E61" s="12" t="s">
        <v>11</v>
      </c>
      <c r="F61" s="12" t="s">
        <v>11</v>
      </c>
      <c r="G61" s="12" t="s">
        <v>11</v>
      </c>
      <c r="H61" s="12" t="s">
        <v>11</v>
      </c>
      <c r="I61" s="12" t="s">
        <v>11</v>
      </c>
      <c r="J61" s="12" t="str">
        <f t="shared" si="876"/>
        <v>電ブル</v>
      </c>
      <c r="K61" s="12" t="str">
        <f t="shared" si="877"/>
        <v>電ブル</v>
      </c>
      <c r="L61" s="12" t="str">
        <f t="shared" si="878"/>
        <v>電ブル</v>
      </c>
      <c r="M61" s="12" t="str">
        <f t="shared" si="879"/>
        <v/>
      </c>
      <c r="N61" s="12" t="str">
        <f t="shared" si="880"/>
        <v/>
      </c>
      <c r="O61" s="12" t="str">
        <f t="shared" si="881"/>
        <v/>
      </c>
      <c r="P61" s="12" t="str">
        <f t="shared" si="882"/>
        <v/>
      </c>
      <c r="Q61" s="12" t="str">
        <f t="shared" si="883"/>
        <v/>
      </c>
      <c r="R61" s="12" t="str">
        <f t="shared" si="884"/>
        <v/>
      </c>
      <c r="S61" s="12" t="str">
        <f t="shared" si="885"/>
        <v/>
      </c>
      <c r="T61" s="12" t="str">
        <f t="shared" si="886"/>
        <v/>
      </c>
      <c r="U61" s="12" t="str">
        <f t="shared" si="887"/>
        <v/>
      </c>
      <c r="V61" s="12" t="str">
        <f t="shared" si="888"/>
        <v/>
      </c>
      <c r="W61" s="12" t="str">
        <f t="shared" si="889"/>
        <v/>
      </c>
      <c r="X61" s="12" t="str">
        <f t="shared" si="890"/>
        <v/>
      </c>
      <c r="Y61" s="12" t="str">
        <f t="shared" si="891"/>
        <v/>
      </c>
      <c r="Z61" s="12" t="str">
        <f t="shared" si="892"/>
        <v/>
      </c>
      <c r="AA61" s="12" t="str">
        <f t="shared" si="893"/>
        <v/>
      </c>
      <c r="AB61" s="12" t="str">
        <f t="shared" si="894"/>
        <v/>
      </c>
      <c r="AC61" s="12" t="str">
        <f t="shared" si="895"/>
        <v/>
      </c>
      <c r="AD61" s="12" t="str">
        <f t="shared" si="896"/>
        <v/>
      </c>
      <c r="AE61" s="12" t="str">
        <f t="shared" si="897"/>
        <v/>
      </c>
      <c r="AF61" s="12" t="str">
        <f t="shared" si="898"/>
        <v/>
      </c>
      <c r="AG61" s="12" t="str">
        <f t="shared" si="899"/>
        <v/>
      </c>
      <c r="AH61" s="12" t="str">
        <f t="shared" si="900"/>
        <v/>
      </c>
      <c r="AI61" s="12" t="str">
        <f t="shared" si="901"/>
        <v/>
      </c>
      <c r="AJ61" s="12" t="str">
        <f t="shared" si="902"/>
        <v/>
      </c>
      <c r="AK61" s="12" t="str">
        <f t="shared" si="903"/>
        <v/>
      </c>
      <c r="AL61" s="12" t="str">
        <f t="shared" si="904"/>
        <v/>
      </c>
      <c r="AM61" s="12" t="str">
        <f t="shared" si="905"/>
        <v/>
      </c>
      <c r="AN61" s="12" t="str">
        <f t="shared" si="906"/>
        <v/>
      </c>
      <c r="AO61" s="12" t="str">
        <f t="shared" ref="AO61:AS61" si="908">IF(AO$8="","",AN61)</f>
        <v/>
      </c>
      <c r="AP61" s="12" t="str">
        <f t="shared" si="908"/>
        <v/>
      </c>
      <c r="AQ61" s="12" t="str">
        <f t="shared" si="908"/>
        <v/>
      </c>
      <c r="AR61" s="12" t="str">
        <f t="shared" si="908"/>
        <v/>
      </c>
      <c r="AS61" s="12" t="str">
        <f t="shared" si="908"/>
        <v/>
      </c>
    </row>
    <row r="62" spans="1:45" s="1" customFormat="1" ht="11.25" x14ac:dyDescent="0.15">
      <c r="A62" s="7">
        <f>AVERAGE(C63:AS63)*30*100</f>
        <v>36300</v>
      </c>
      <c r="B62" s="9" t="s">
        <v>12</v>
      </c>
      <c r="C62" s="65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</row>
    <row r="63" spans="1:45" s="1" customFormat="1" ht="11.25" x14ac:dyDescent="0.15">
      <c r="A63" s="7">
        <f>SUM(C63:AS63)</f>
        <v>121</v>
      </c>
      <c r="B63" s="6" t="s">
        <v>13</v>
      </c>
      <c r="C63" s="65">
        <v>0</v>
      </c>
      <c r="D63" s="5">
        <v>0</v>
      </c>
      <c r="E63" s="5">
        <v>24</v>
      </c>
      <c r="F63" s="5">
        <v>0</v>
      </c>
      <c r="G63" s="5">
        <v>0</v>
      </c>
      <c r="H63" s="5">
        <v>0</v>
      </c>
      <c r="I63" s="5">
        <v>28</v>
      </c>
      <c r="J63" s="5">
        <f t="shared" ref="J63:J64" si="909">IF(J$8="","",J56-I56)</f>
        <v>0</v>
      </c>
      <c r="K63" s="5">
        <f t="shared" ref="K63:K64" si="910">IF(K$8="","",K56-J56)</f>
        <v>0</v>
      </c>
      <c r="L63" s="5">
        <f t="shared" ref="L63:L64" si="911">IF(L$8="","",L56-K56)</f>
        <v>69</v>
      </c>
      <c r="M63" s="5" t="str">
        <f t="shared" ref="M63:M64" si="912">IF(M$8="","",M56-L56)</f>
        <v/>
      </c>
      <c r="N63" s="5" t="str">
        <f t="shared" ref="N63:N64" si="913">IF(N$8="","",N56-M56)</f>
        <v/>
      </c>
      <c r="O63" s="5" t="str">
        <f t="shared" ref="O63:O64" si="914">IF(O$8="","",O56-N56)</f>
        <v/>
      </c>
      <c r="P63" s="5" t="str">
        <f t="shared" ref="P63:P64" si="915">IF(P$8="","",P56-O56)</f>
        <v/>
      </c>
      <c r="Q63" s="5" t="str">
        <f t="shared" ref="Q63:Q64" si="916">IF(Q$8="","",Q56-P56)</f>
        <v/>
      </c>
      <c r="R63" s="5" t="str">
        <f t="shared" ref="R63:R64" si="917">IF(R$8="","",R56-Q56)</f>
        <v/>
      </c>
      <c r="S63" s="5" t="str">
        <f t="shared" ref="S63:S64" si="918">IF(S$8="","",S56-R56)</f>
        <v/>
      </c>
      <c r="T63" s="5" t="str">
        <f t="shared" ref="T63:T64" si="919">IF(T$8="","",T56-S56)</f>
        <v/>
      </c>
      <c r="U63" s="5" t="str">
        <f t="shared" ref="U63:U64" si="920">IF(U$8="","",U56-T56)</f>
        <v/>
      </c>
      <c r="V63" s="5" t="str">
        <f t="shared" ref="V63:V64" si="921">IF(V$8="","",V56-U56)</f>
        <v/>
      </c>
      <c r="W63" s="5" t="str">
        <f t="shared" ref="W63:W64" si="922">IF(W$8="","",W56-V56)</f>
        <v/>
      </c>
      <c r="X63" s="5" t="str">
        <f t="shared" ref="X63:X64" si="923">IF(X$8="","",X56-W56)</f>
        <v/>
      </c>
      <c r="Y63" s="5" t="str">
        <f t="shared" ref="Y63:Y64" si="924">IF(Y$8="","",Y56-X56)</f>
        <v/>
      </c>
      <c r="Z63" s="5" t="str">
        <f t="shared" ref="Z63:Z64" si="925">IF(Z$8="","",Z56-Y56)</f>
        <v/>
      </c>
      <c r="AA63" s="5" t="str">
        <f t="shared" ref="AA63:AA64" si="926">IF(AA$8="","",AA56-Z56)</f>
        <v/>
      </c>
      <c r="AB63" s="5" t="str">
        <f t="shared" ref="AB63:AB64" si="927">IF(AB$8="","",AB56-AA56)</f>
        <v/>
      </c>
      <c r="AC63" s="5" t="str">
        <f t="shared" ref="AC63:AC64" si="928">IF(AC$8="","",AC56-AB56)</f>
        <v/>
      </c>
      <c r="AD63" s="5" t="str">
        <f t="shared" ref="AD63:AD64" si="929">IF(AD$8="","",AD56-AC56)</f>
        <v/>
      </c>
      <c r="AE63" s="5" t="str">
        <f t="shared" ref="AE63:AE64" si="930">IF(AE$8="","",AE56-AD56)</f>
        <v/>
      </c>
      <c r="AF63" s="5" t="str">
        <f t="shared" ref="AF63:AF64" si="931">IF(AF$8="","",AF56-AE56)</f>
        <v/>
      </c>
      <c r="AG63" s="5" t="str">
        <f t="shared" ref="AG63:AG64" si="932">IF(AG$8="","",AG56-AF56)</f>
        <v/>
      </c>
      <c r="AH63" s="5" t="str">
        <f t="shared" ref="AH63:AH64" si="933">IF(AH$8="","",AH56-AG56)</f>
        <v/>
      </c>
      <c r="AI63" s="5" t="str">
        <f t="shared" ref="AI63:AI64" si="934">IF(AI$8="","",AI56-AH56)</f>
        <v/>
      </c>
      <c r="AJ63" s="5" t="str">
        <f t="shared" ref="AJ63:AJ64" si="935">IF(AJ$8="","",AJ56-AI56)</f>
        <v/>
      </c>
      <c r="AK63" s="5" t="str">
        <f t="shared" ref="AK63:AK64" si="936">IF(AK$8="","",AK56-AJ56)</f>
        <v/>
      </c>
      <c r="AL63" s="5" t="str">
        <f t="shared" ref="AL63:AL64" si="937">IF(AL$8="","",AL56-AK56)</f>
        <v/>
      </c>
      <c r="AM63" s="5" t="str">
        <f t="shared" ref="AM63:AM64" si="938">IF(AM$8="","",AM56-AL56)</f>
        <v/>
      </c>
      <c r="AN63" s="5" t="str">
        <f t="shared" ref="AN63:AN64" si="939">IF(AN$8="","",AN56-AM56)</f>
        <v/>
      </c>
      <c r="AO63" s="5" t="str">
        <f t="shared" ref="AO63:AS63" si="940">IF(AO$8="","",AO56-AN56)</f>
        <v/>
      </c>
      <c r="AP63" s="5" t="str">
        <f t="shared" si="940"/>
        <v/>
      </c>
      <c r="AQ63" s="5" t="str">
        <f t="shared" si="940"/>
        <v/>
      </c>
      <c r="AR63" s="5" t="str">
        <f t="shared" si="940"/>
        <v/>
      </c>
      <c r="AS63" s="5" t="str">
        <f t="shared" si="940"/>
        <v/>
      </c>
    </row>
    <row r="64" spans="1:45" s="1" customFormat="1" ht="11.25" x14ac:dyDescent="0.15">
      <c r="A64" s="7">
        <f>SUM(C64:AS64)</f>
        <v>6</v>
      </c>
      <c r="B64" s="6" t="s">
        <v>14</v>
      </c>
      <c r="C64" s="65">
        <v>0</v>
      </c>
      <c r="D64" s="5">
        <v>0</v>
      </c>
      <c r="E64" s="5">
        <v>1</v>
      </c>
      <c r="F64" s="5">
        <v>0</v>
      </c>
      <c r="G64" s="5">
        <v>0</v>
      </c>
      <c r="H64" s="5">
        <v>0</v>
      </c>
      <c r="I64" s="5">
        <v>1</v>
      </c>
      <c r="J64" s="5">
        <f t="shared" si="909"/>
        <v>0</v>
      </c>
      <c r="K64" s="5">
        <f t="shared" si="910"/>
        <v>0</v>
      </c>
      <c r="L64" s="5">
        <f t="shared" si="911"/>
        <v>4</v>
      </c>
      <c r="M64" s="5" t="str">
        <f t="shared" si="912"/>
        <v/>
      </c>
      <c r="N64" s="5" t="str">
        <f t="shared" si="913"/>
        <v/>
      </c>
      <c r="O64" s="5" t="str">
        <f t="shared" si="914"/>
        <v/>
      </c>
      <c r="P64" s="5" t="str">
        <f t="shared" si="915"/>
        <v/>
      </c>
      <c r="Q64" s="5" t="str">
        <f t="shared" si="916"/>
        <v/>
      </c>
      <c r="R64" s="5" t="str">
        <f t="shared" si="917"/>
        <v/>
      </c>
      <c r="S64" s="5" t="str">
        <f t="shared" si="918"/>
        <v/>
      </c>
      <c r="T64" s="5" t="str">
        <f t="shared" si="919"/>
        <v/>
      </c>
      <c r="U64" s="5" t="str">
        <f t="shared" si="920"/>
        <v/>
      </c>
      <c r="V64" s="5" t="str">
        <f t="shared" si="921"/>
        <v/>
      </c>
      <c r="W64" s="5" t="str">
        <f t="shared" si="922"/>
        <v/>
      </c>
      <c r="X64" s="5" t="str">
        <f t="shared" si="923"/>
        <v/>
      </c>
      <c r="Y64" s="5" t="str">
        <f t="shared" si="924"/>
        <v/>
      </c>
      <c r="Z64" s="5" t="str">
        <f t="shared" si="925"/>
        <v/>
      </c>
      <c r="AA64" s="5" t="str">
        <f t="shared" si="926"/>
        <v/>
      </c>
      <c r="AB64" s="5" t="str">
        <f t="shared" si="927"/>
        <v/>
      </c>
      <c r="AC64" s="5" t="str">
        <f t="shared" si="928"/>
        <v/>
      </c>
      <c r="AD64" s="5" t="str">
        <f t="shared" si="929"/>
        <v/>
      </c>
      <c r="AE64" s="5" t="str">
        <f t="shared" si="930"/>
        <v/>
      </c>
      <c r="AF64" s="5" t="str">
        <f t="shared" si="931"/>
        <v/>
      </c>
      <c r="AG64" s="5" t="str">
        <f t="shared" si="932"/>
        <v/>
      </c>
      <c r="AH64" s="5" t="str">
        <f t="shared" si="933"/>
        <v/>
      </c>
      <c r="AI64" s="5" t="str">
        <f t="shared" si="934"/>
        <v/>
      </c>
      <c r="AJ64" s="5" t="str">
        <f t="shared" si="935"/>
        <v/>
      </c>
      <c r="AK64" s="5" t="str">
        <f t="shared" si="936"/>
        <v/>
      </c>
      <c r="AL64" s="5" t="str">
        <f t="shared" si="937"/>
        <v/>
      </c>
      <c r="AM64" s="5" t="str">
        <f t="shared" si="938"/>
        <v/>
      </c>
      <c r="AN64" s="5" t="str">
        <f t="shared" si="939"/>
        <v/>
      </c>
      <c r="AO64" s="5" t="str">
        <f t="shared" ref="AO64:AS64" si="941">IF(AO$8="","",AO57-AN57)</f>
        <v/>
      </c>
      <c r="AP64" s="5" t="str">
        <f t="shared" si="941"/>
        <v/>
      </c>
      <c r="AQ64" s="5" t="str">
        <f t="shared" si="941"/>
        <v/>
      </c>
      <c r="AR64" s="5" t="str">
        <f t="shared" si="941"/>
        <v/>
      </c>
      <c r="AS64" s="5" t="str">
        <f t="shared" si="941"/>
        <v/>
      </c>
    </row>
    <row r="65" spans="1:45" s="1" customFormat="1" ht="11.25" x14ac:dyDescent="0.15">
      <c r="A65" s="7">
        <f>SUM(C65:AS65)</f>
        <v>5</v>
      </c>
      <c r="B65" s="6" t="s">
        <v>15</v>
      </c>
      <c r="C65" s="6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1</v>
      </c>
      <c r="J65" s="5">
        <f t="shared" ref="J65" si="942">IF(J$8="","",I58+I59-J58)</f>
        <v>0</v>
      </c>
      <c r="K65" s="5">
        <f t="shared" ref="K65" si="943">IF(K$8="","",J58+J59-K58)</f>
        <v>0</v>
      </c>
      <c r="L65" s="5">
        <f t="shared" ref="L65" si="944">IF(L$8="","",K58+K59-L58)</f>
        <v>4</v>
      </c>
      <c r="M65" s="5" t="str">
        <f t="shared" ref="M65" si="945">IF(M$8="","",L58+L59-M58)</f>
        <v/>
      </c>
      <c r="N65" s="5" t="str">
        <f t="shared" ref="N65" si="946">IF(N$8="","",M58+M59-N58)</f>
        <v/>
      </c>
      <c r="O65" s="5" t="str">
        <f t="shared" ref="O65" si="947">IF(O$8="","",N58+N59-O58)</f>
        <v/>
      </c>
      <c r="P65" s="5" t="str">
        <f t="shared" ref="P65" si="948">IF(P$8="","",O58+O59-P58)</f>
        <v/>
      </c>
      <c r="Q65" s="5" t="str">
        <f t="shared" ref="Q65" si="949">IF(Q$8="","",P58+P59-Q58)</f>
        <v/>
      </c>
      <c r="R65" s="5" t="str">
        <f t="shared" ref="R65" si="950">IF(R$8="","",Q58+Q59-R58)</f>
        <v/>
      </c>
      <c r="S65" s="5" t="str">
        <f t="shared" ref="S65" si="951">IF(S$8="","",R58+R59-S58)</f>
        <v/>
      </c>
      <c r="T65" s="5" t="str">
        <f t="shared" ref="T65" si="952">IF(T$8="","",S58+S59-T58)</f>
        <v/>
      </c>
      <c r="U65" s="5" t="str">
        <f t="shared" ref="U65" si="953">IF(U$8="","",T58+T59-U58)</f>
        <v/>
      </c>
      <c r="V65" s="5" t="str">
        <f t="shared" ref="V65" si="954">IF(V$8="","",U58+U59-V58)</f>
        <v/>
      </c>
      <c r="W65" s="5" t="str">
        <f t="shared" ref="W65" si="955">IF(W$8="","",V58+V59-W58)</f>
        <v/>
      </c>
      <c r="X65" s="5" t="str">
        <f t="shared" ref="X65" si="956">IF(X$8="","",W58+W59-X58)</f>
        <v/>
      </c>
      <c r="Y65" s="5" t="str">
        <f t="shared" ref="Y65" si="957">IF(Y$8="","",X58+X59-Y58)</f>
        <v/>
      </c>
      <c r="Z65" s="5" t="str">
        <f t="shared" ref="Z65" si="958">IF(Z$8="","",Y58+Y59-Z58)</f>
        <v/>
      </c>
      <c r="AA65" s="5" t="str">
        <f t="shared" ref="AA65" si="959">IF(AA$8="","",Z58+Z59-AA58)</f>
        <v/>
      </c>
      <c r="AB65" s="5" t="str">
        <f t="shared" ref="AB65" si="960">IF(AB$8="","",AA58+AA59-AB58)</f>
        <v/>
      </c>
      <c r="AC65" s="5" t="str">
        <f t="shared" ref="AC65" si="961">IF(AC$8="","",AB58+AB59-AC58)</f>
        <v/>
      </c>
      <c r="AD65" s="5" t="str">
        <f t="shared" ref="AD65" si="962">IF(AD$8="","",AC58+AC59-AD58)</f>
        <v/>
      </c>
      <c r="AE65" s="5" t="str">
        <f t="shared" ref="AE65" si="963">IF(AE$8="","",AD58+AD59-AE58)</f>
        <v/>
      </c>
      <c r="AF65" s="5" t="str">
        <f t="shared" ref="AF65" si="964">IF(AF$8="","",AE58+AE59-AF58)</f>
        <v/>
      </c>
      <c r="AG65" s="5" t="str">
        <f t="shared" ref="AG65" si="965">IF(AG$8="","",AF58+AF59-AG58)</f>
        <v/>
      </c>
      <c r="AH65" s="5" t="str">
        <f t="shared" ref="AH65" si="966">IF(AH$8="","",AG58+AG59-AH58)</f>
        <v/>
      </c>
      <c r="AI65" s="5" t="str">
        <f t="shared" ref="AI65" si="967">IF(AI$8="","",AH58+AH59-AI58)</f>
        <v/>
      </c>
      <c r="AJ65" s="5" t="str">
        <f t="shared" ref="AJ65" si="968">IF(AJ$8="","",AI58+AI59-AJ58)</f>
        <v/>
      </c>
      <c r="AK65" s="5" t="str">
        <f t="shared" ref="AK65" si="969">IF(AK$8="","",AJ58+AJ59-AK58)</f>
        <v/>
      </c>
      <c r="AL65" s="5" t="str">
        <f t="shared" ref="AL65" si="970">IF(AL$8="","",AK58+AK59-AL58)</f>
        <v/>
      </c>
      <c r="AM65" s="5" t="str">
        <f t="shared" ref="AM65" si="971">IF(AM$8="","",AL58+AL59-AM58)</f>
        <v/>
      </c>
      <c r="AN65" s="5" t="str">
        <f t="shared" ref="AN65" si="972">IF(AN$8="","",AM58+AM59-AN58)</f>
        <v/>
      </c>
      <c r="AO65" s="5" t="str">
        <f t="shared" ref="AO65:AS65" si="973">IF(AO$8="","",AN58+AN59-AO58)</f>
        <v/>
      </c>
      <c r="AP65" s="5" t="str">
        <f t="shared" si="973"/>
        <v/>
      </c>
      <c r="AQ65" s="5" t="str">
        <f t="shared" si="973"/>
        <v/>
      </c>
      <c r="AR65" s="5" t="str">
        <f t="shared" si="973"/>
        <v/>
      </c>
      <c r="AS65" s="5" t="str">
        <f t="shared" si="973"/>
        <v/>
      </c>
    </row>
    <row r="66" spans="1:45" s="1" customFormat="1" ht="11.25" x14ac:dyDescent="0.15">
      <c r="A66" s="7">
        <f>SUM(C66:AS66)</f>
        <v>1250</v>
      </c>
      <c r="B66" s="6" t="s">
        <v>16</v>
      </c>
      <c r="C66" s="6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250</v>
      </c>
      <c r="J66" s="5">
        <f t="shared" ref="D66:AN66" si="974">IF(J$8="","",J65*J60)</f>
        <v>0</v>
      </c>
      <c r="K66" s="5">
        <f t="shared" si="974"/>
        <v>0</v>
      </c>
      <c r="L66" s="5">
        <f t="shared" si="974"/>
        <v>1000</v>
      </c>
      <c r="M66" s="5" t="str">
        <f t="shared" si="974"/>
        <v/>
      </c>
      <c r="N66" s="5" t="str">
        <f t="shared" si="974"/>
        <v/>
      </c>
      <c r="O66" s="5" t="str">
        <f t="shared" si="974"/>
        <v/>
      </c>
      <c r="P66" s="5" t="str">
        <f t="shared" si="974"/>
        <v/>
      </c>
      <c r="Q66" s="5" t="str">
        <f t="shared" si="974"/>
        <v/>
      </c>
      <c r="R66" s="5" t="str">
        <f t="shared" si="974"/>
        <v/>
      </c>
      <c r="S66" s="5" t="str">
        <f t="shared" si="974"/>
        <v/>
      </c>
      <c r="T66" s="5" t="str">
        <f t="shared" si="974"/>
        <v/>
      </c>
      <c r="U66" s="5" t="str">
        <f t="shared" si="974"/>
        <v/>
      </c>
      <c r="V66" s="5" t="str">
        <f t="shared" si="974"/>
        <v/>
      </c>
      <c r="W66" s="5" t="str">
        <f t="shared" si="974"/>
        <v/>
      </c>
      <c r="X66" s="5" t="str">
        <f t="shared" si="974"/>
        <v/>
      </c>
      <c r="Y66" s="5" t="str">
        <f t="shared" si="974"/>
        <v/>
      </c>
      <c r="Z66" s="5" t="str">
        <f t="shared" si="974"/>
        <v/>
      </c>
      <c r="AA66" s="5" t="str">
        <f t="shared" si="974"/>
        <v/>
      </c>
      <c r="AB66" s="5" t="str">
        <f t="shared" si="974"/>
        <v/>
      </c>
      <c r="AC66" s="5" t="str">
        <f t="shared" si="974"/>
        <v/>
      </c>
      <c r="AD66" s="5" t="str">
        <f t="shared" si="974"/>
        <v/>
      </c>
      <c r="AE66" s="5" t="str">
        <f t="shared" si="974"/>
        <v/>
      </c>
      <c r="AF66" s="5" t="str">
        <f t="shared" si="974"/>
        <v/>
      </c>
      <c r="AG66" s="5" t="str">
        <f t="shared" si="974"/>
        <v/>
      </c>
      <c r="AH66" s="5" t="str">
        <f t="shared" si="974"/>
        <v/>
      </c>
      <c r="AI66" s="5" t="str">
        <f t="shared" si="974"/>
        <v/>
      </c>
      <c r="AJ66" s="5" t="str">
        <f t="shared" si="974"/>
        <v/>
      </c>
      <c r="AK66" s="5" t="str">
        <f t="shared" si="974"/>
        <v/>
      </c>
      <c r="AL66" s="5" t="str">
        <f t="shared" si="974"/>
        <v/>
      </c>
      <c r="AM66" s="5" t="str">
        <f t="shared" si="974"/>
        <v/>
      </c>
      <c r="AN66" s="5" t="str">
        <f t="shared" si="974"/>
        <v/>
      </c>
      <c r="AO66" s="5" t="str">
        <f t="shared" ref="AO66:AS66" si="975">IF(AO$8="","",AO65*AO60)</f>
        <v/>
      </c>
      <c r="AP66" s="5" t="str">
        <f t="shared" si="975"/>
        <v/>
      </c>
      <c r="AQ66" s="5" t="str">
        <f t="shared" si="975"/>
        <v/>
      </c>
      <c r="AR66" s="5" t="str">
        <f t="shared" si="975"/>
        <v/>
      </c>
      <c r="AS66" s="5" t="str">
        <f t="shared" si="975"/>
        <v/>
      </c>
    </row>
    <row r="67" spans="1:45" s="1" customFormat="1" ht="12" thickBot="1" x14ac:dyDescent="0.2">
      <c r="A67" s="4">
        <f>IF(A66="","",A66/(A63*100))</f>
        <v>0.10330578512396695</v>
      </c>
      <c r="B67" s="6" t="s">
        <v>18</v>
      </c>
      <c r="C67" s="67" t="s">
        <v>19</v>
      </c>
      <c r="D67" s="18" t="s">
        <v>19</v>
      </c>
      <c r="E67" s="18" t="s">
        <v>19</v>
      </c>
      <c r="F67" s="18" t="s">
        <v>19</v>
      </c>
      <c r="G67" s="18" t="s">
        <v>19</v>
      </c>
      <c r="H67" s="18" t="s">
        <v>19</v>
      </c>
      <c r="I67" s="18">
        <v>8.9285714285714288E-2</v>
      </c>
      <c r="J67" s="18" t="str">
        <f t="shared" ref="D67:AN67" si="976">IF(J$8="","",IF(J66=0,"",J66/(J63*100)))</f>
        <v/>
      </c>
      <c r="K67" s="18" t="str">
        <f t="shared" si="976"/>
        <v/>
      </c>
      <c r="L67" s="18">
        <f t="shared" si="976"/>
        <v>0.14492753623188406</v>
      </c>
      <c r="M67" s="18" t="str">
        <f t="shared" si="976"/>
        <v/>
      </c>
      <c r="N67" s="18" t="str">
        <f t="shared" si="976"/>
        <v/>
      </c>
      <c r="O67" s="18" t="str">
        <f t="shared" si="976"/>
        <v/>
      </c>
      <c r="P67" s="18" t="str">
        <f t="shared" si="976"/>
        <v/>
      </c>
      <c r="Q67" s="18" t="str">
        <f t="shared" si="976"/>
        <v/>
      </c>
      <c r="R67" s="18" t="str">
        <f t="shared" si="976"/>
        <v/>
      </c>
      <c r="S67" s="18" t="str">
        <f t="shared" si="976"/>
        <v/>
      </c>
      <c r="T67" s="18" t="str">
        <f t="shared" si="976"/>
        <v/>
      </c>
      <c r="U67" s="18" t="str">
        <f t="shared" si="976"/>
        <v/>
      </c>
      <c r="V67" s="18" t="str">
        <f t="shared" si="976"/>
        <v/>
      </c>
      <c r="W67" s="18" t="str">
        <f t="shared" si="976"/>
        <v/>
      </c>
      <c r="X67" s="18" t="str">
        <f t="shared" si="976"/>
        <v/>
      </c>
      <c r="Y67" s="18" t="str">
        <f t="shared" si="976"/>
        <v/>
      </c>
      <c r="Z67" s="18" t="str">
        <f t="shared" si="976"/>
        <v/>
      </c>
      <c r="AA67" s="18" t="str">
        <f t="shared" si="976"/>
        <v/>
      </c>
      <c r="AB67" s="18" t="str">
        <f t="shared" si="976"/>
        <v/>
      </c>
      <c r="AC67" s="18" t="str">
        <f t="shared" si="976"/>
        <v/>
      </c>
      <c r="AD67" s="18" t="str">
        <f t="shared" si="976"/>
        <v/>
      </c>
      <c r="AE67" s="18" t="str">
        <f t="shared" si="976"/>
        <v/>
      </c>
      <c r="AF67" s="18" t="str">
        <f t="shared" si="976"/>
        <v/>
      </c>
      <c r="AG67" s="18" t="str">
        <f t="shared" si="976"/>
        <v/>
      </c>
      <c r="AH67" s="18" t="str">
        <f t="shared" si="976"/>
        <v/>
      </c>
      <c r="AI67" s="18" t="str">
        <f t="shared" si="976"/>
        <v/>
      </c>
      <c r="AJ67" s="18" t="str">
        <f t="shared" si="976"/>
        <v/>
      </c>
      <c r="AK67" s="18" t="str">
        <f t="shared" si="976"/>
        <v/>
      </c>
      <c r="AL67" s="18" t="str">
        <f t="shared" si="976"/>
        <v/>
      </c>
      <c r="AM67" s="18" t="str">
        <f t="shared" si="976"/>
        <v/>
      </c>
      <c r="AN67" s="18" t="str">
        <f t="shared" si="976"/>
        <v/>
      </c>
      <c r="AO67" s="18" t="str">
        <f t="shared" ref="AO67:AS67" si="977">IF(AO$8="","",IF(AO66=0,"",AO66/(AO63*100)))</f>
        <v/>
      </c>
      <c r="AP67" s="18" t="str">
        <f t="shared" si="977"/>
        <v/>
      </c>
      <c r="AQ67" s="18" t="str">
        <f t="shared" si="977"/>
        <v/>
      </c>
      <c r="AR67" s="18" t="str">
        <f t="shared" si="977"/>
        <v/>
      </c>
      <c r="AS67" s="18" t="str">
        <f t="shared" si="977"/>
        <v/>
      </c>
    </row>
    <row r="68" spans="1:45" s="1" customFormat="1" ht="11.25" x14ac:dyDescent="0.15">
      <c r="A68" s="17" t="s">
        <v>46</v>
      </c>
      <c r="B68" s="9" t="s">
        <v>2</v>
      </c>
      <c r="C68" s="65">
        <v>3643</v>
      </c>
      <c r="D68" s="8">
        <v>3643</v>
      </c>
      <c r="E68" s="8">
        <v>3689</v>
      </c>
      <c r="F68" s="8">
        <v>3689</v>
      </c>
      <c r="G68" s="8">
        <v>3689</v>
      </c>
      <c r="H68" s="8">
        <v>3689</v>
      </c>
      <c r="I68" s="8">
        <v>3733</v>
      </c>
      <c r="J68" s="8">
        <f t="shared" ref="J68:J69" si="978">IF(J$8="","",I68)</f>
        <v>3733</v>
      </c>
      <c r="K68" s="8">
        <f t="shared" ref="K68:K69" si="979">IF(K$8="","",J68)</f>
        <v>3733</v>
      </c>
      <c r="L68" s="8">
        <v>3750</v>
      </c>
      <c r="M68" s="8" t="str">
        <f t="shared" ref="M68:M69" si="980">IF(M$8="","",L68)</f>
        <v/>
      </c>
      <c r="N68" s="8" t="str">
        <f t="shared" ref="N68:N69" si="981">IF(N$8="","",M68)</f>
        <v/>
      </c>
      <c r="O68" s="8" t="str">
        <f t="shared" ref="O68:O69" si="982">IF(O$8="","",N68)</f>
        <v/>
      </c>
      <c r="P68" s="8" t="str">
        <f>IF(P$8="","",O68)</f>
        <v/>
      </c>
      <c r="Q68" s="8" t="str">
        <f t="shared" ref="Q68:Q69" si="983">IF(Q$8="","",P68)</f>
        <v/>
      </c>
      <c r="R68" s="8" t="str">
        <f t="shared" ref="R68:R69" si="984">IF(R$8="","",Q68)</f>
        <v/>
      </c>
      <c r="S68" s="8" t="str">
        <f>IF(S$8="","",R68)</f>
        <v/>
      </c>
      <c r="T68" s="8" t="str">
        <f t="shared" ref="T68:T69" si="985">IF(T$8="","",S68)</f>
        <v/>
      </c>
      <c r="U68" s="8" t="str">
        <f t="shared" ref="U68:U69" si="986">IF(U$8="","",T68)</f>
        <v/>
      </c>
      <c r="V68" s="8" t="str">
        <f t="shared" ref="V68:V69" si="987">IF(V$8="","",U68)</f>
        <v/>
      </c>
      <c r="W68" s="8" t="str">
        <f>IF(W$8="","",V68)</f>
        <v/>
      </c>
      <c r="X68" s="8" t="str">
        <f t="shared" ref="X68:X69" si="988">IF(X$8="","",W68)</f>
        <v/>
      </c>
      <c r="Y68" s="8" t="str">
        <f t="shared" ref="Y68:Y69" si="989">IF(Y$8="","",X68)</f>
        <v/>
      </c>
      <c r="Z68" s="8" t="str">
        <f>IF(Z$8="","",Y68)</f>
        <v/>
      </c>
      <c r="AA68" s="8" t="str">
        <f t="shared" ref="AA68:AA69" si="990">IF(AA$8="","",Z68)</f>
        <v/>
      </c>
      <c r="AB68" s="8" t="str">
        <f t="shared" ref="AB68:AB69" si="991">IF(AB$8="","",AA68)</f>
        <v/>
      </c>
      <c r="AC68" s="8" t="str">
        <f t="shared" ref="AC68:AC69" si="992">IF(AC$8="","",AB68)</f>
        <v/>
      </c>
      <c r="AD68" s="8" t="str">
        <f>IF(AD$8="","",AC68)</f>
        <v/>
      </c>
      <c r="AE68" s="8" t="str">
        <f t="shared" ref="AE68:AE69" si="993">IF(AE$8="","",AD68)</f>
        <v/>
      </c>
      <c r="AF68" s="8" t="str">
        <f t="shared" ref="AF68:AF69" si="994">IF(AF$8="","",AE68)</f>
        <v/>
      </c>
      <c r="AG68" s="8" t="str">
        <f>IF(AG$8="","",AF68)</f>
        <v/>
      </c>
      <c r="AH68" s="8" t="str">
        <f t="shared" ref="AH68:AH69" si="995">IF(AH$8="","",AG68)</f>
        <v/>
      </c>
      <c r="AI68" s="8" t="str">
        <f t="shared" ref="AI68:AI69" si="996">IF(AI$8="","",AH68)</f>
        <v/>
      </c>
      <c r="AJ68" s="8" t="str">
        <f t="shared" ref="AJ68:AJ69" si="997">IF(AJ$8="","",AI68)</f>
        <v/>
      </c>
      <c r="AK68" s="8" t="str">
        <f>IF(AK$8="","",AJ68)</f>
        <v/>
      </c>
      <c r="AL68" s="8" t="str">
        <f t="shared" ref="AL68:AL69" si="998">IF(AL$8="","",AK68)</f>
        <v/>
      </c>
      <c r="AM68" s="8" t="str">
        <f t="shared" ref="AM68:AM69" si="999">IF(AM$8="","",AL68)</f>
        <v/>
      </c>
      <c r="AN68" s="8" t="str">
        <f t="shared" ref="AN68:AN69" si="1000">IF(AN$8="","",AM68)</f>
        <v/>
      </c>
      <c r="AO68" s="8" t="str">
        <f t="shared" ref="AO68:AS68" si="1001">IF(AO$8="","",AN68)</f>
        <v/>
      </c>
      <c r="AP68" s="8" t="str">
        <f t="shared" si="1001"/>
        <v/>
      </c>
      <c r="AQ68" s="8" t="str">
        <f t="shared" si="1001"/>
        <v/>
      </c>
      <c r="AR68" s="8" t="str">
        <f t="shared" si="1001"/>
        <v/>
      </c>
      <c r="AS68" s="8" t="str">
        <f t="shared" si="1001"/>
        <v/>
      </c>
    </row>
    <row r="69" spans="1:45" s="1" customFormat="1" ht="11.25" x14ac:dyDescent="0.15">
      <c r="A69" s="16" t="s">
        <v>24</v>
      </c>
      <c r="B69" s="9" t="s">
        <v>4</v>
      </c>
      <c r="C69" s="65">
        <v>72</v>
      </c>
      <c r="D69" s="8">
        <v>72</v>
      </c>
      <c r="E69" s="8">
        <v>72</v>
      </c>
      <c r="F69" s="8">
        <v>72</v>
      </c>
      <c r="G69" s="8">
        <v>72</v>
      </c>
      <c r="H69" s="8">
        <v>72</v>
      </c>
      <c r="I69" s="8">
        <v>72</v>
      </c>
      <c r="J69" s="8">
        <f t="shared" si="978"/>
        <v>72</v>
      </c>
      <c r="K69" s="8">
        <f t="shared" si="979"/>
        <v>72</v>
      </c>
      <c r="L69" s="8">
        <v>73</v>
      </c>
      <c r="M69" s="8" t="str">
        <f t="shared" si="980"/>
        <v/>
      </c>
      <c r="N69" s="8" t="str">
        <f t="shared" si="981"/>
        <v/>
      </c>
      <c r="O69" s="8" t="str">
        <f t="shared" si="982"/>
        <v/>
      </c>
      <c r="P69" s="8" t="str">
        <f t="shared" ref="P69" si="1002">IF(P$8="","",O69)</f>
        <v/>
      </c>
      <c r="Q69" s="8" t="str">
        <f t="shared" si="983"/>
        <v/>
      </c>
      <c r="R69" s="8" t="str">
        <f t="shared" si="984"/>
        <v/>
      </c>
      <c r="S69" s="8" t="str">
        <f>IF(S$8="","",R69)</f>
        <v/>
      </c>
      <c r="T69" s="8" t="str">
        <f t="shared" si="985"/>
        <v/>
      </c>
      <c r="U69" s="8" t="str">
        <f t="shared" si="986"/>
        <v/>
      </c>
      <c r="V69" s="8" t="str">
        <f t="shared" si="987"/>
        <v/>
      </c>
      <c r="W69" s="8" t="str">
        <f>IF(W$8="","",V69)</f>
        <v/>
      </c>
      <c r="X69" s="8" t="str">
        <f t="shared" si="988"/>
        <v/>
      </c>
      <c r="Y69" s="8" t="str">
        <f t="shared" si="989"/>
        <v/>
      </c>
      <c r="Z69" s="8" t="str">
        <f t="shared" ref="Z69" si="1003">IF(Z$8="","",Y69)</f>
        <v/>
      </c>
      <c r="AA69" s="8" t="str">
        <f t="shared" si="990"/>
        <v/>
      </c>
      <c r="AB69" s="8" t="str">
        <f t="shared" si="991"/>
        <v/>
      </c>
      <c r="AC69" s="8" t="str">
        <f t="shared" si="992"/>
        <v/>
      </c>
      <c r="AD69" s="8" t="str">
        <f>IF(AD$8="","",AC69)</f>
        <v/>
      </c>
      <c r="AE69" s="8" t="str">
        <f t="shared" si="993"/>
        <v/>
      </c>
      <c r="AF69" s="8" t="str">
        <f t="shared" si="994"/>
        <v/>
      </c>
      <c r="AG69" s="8" t="str">
        <f t="shared" ref="AG69" si="1004">IF(AG$8="","",AF69)</f>
        <v/>
      </c>
      <c r="AH69" s="8" t="str">
        <f t="shared" si="995"/>
        <v/>
      </c>
      <c r="AI69" s="8" t="str">
        <f t="shared" si="996"/>
        <v/>
      </c>
      <c r="AJ69" s="8" t="str">
        <f t="shared" si="997"/>
        <v/>
      </c>
      <c r="AK69" s="8" t="str">
        <f>IF(AK$8="","",AJ69)</f>
        <v/>
      </c>
      <c r="AL69" s="8" t="str">
        <f t="shared" si="998"/>
        <v/>
      </c>
      <c r="AM69" s="8" t="str">
        <f t="shared" si="999"/>
        <v/>
      </c>
      <c r="AN69" s="8" t="str">
        <f t="shared" si="1000"/>
        <v/>
      </c>
      <c r="AO69" s="8" t="str">
        <f t="shared" ref="AO69:AS69" si="1005">IF(AO$8="","",AN69)</f>
        <v/>
      </c>
      <c r="AP69" s="8" t="str">
        <f t="shared" si="1005"/>
        <v/>
      </c>
      <c r="AQ69" s="8" t="str">
        <f t="shared" si="1005"/>
        <v/>
      </c>
      <c r="AR69" s="8" t="str">
        <f t="shared" si="1005"/>
        <v/>
      </c>
      <c r="AS69" s="8" t="str">
        <f t="shared" si="1005"/>
        <v/>
      </c>
    </row>
    <row r="70" spans="1:45" s="1" customFormat="1" ht="11.25" x14ac:dyDescent="0.15">
      <c r="A70" s="15">
        <v>2</v>
      </c>
      <c r="B70" s="9" t="s">
        <v>5</v>
      </c>
      <c r="C70" s="65">
        <v>11</v>
      </c>
      <c r="D70" s="8">
        <v>11</v>
      </c>
      <c r="E70" s="8">
        <v>11</v>
      </c>
      <c r="F70" s="8">
        <v>11</v>
      </c>
      <c r="G70" s="8">
        <v>11</v>
      </c>
      <c r="H70" s="8">
        <v>11</v>
      </c>
      <c r="I70" s="8">
        <v>11</v>
      </c>
      <c r="J70" s="8">
        <f t="shared" ref="J70" si="1006">IF(J$8="","",(I70+I71))</f>
        <v>11</v>
      </c>
      <c r="K70" s="8">
        <f t="shared" ref="K70" si="1007">IF(K$8="","",(J70+J71))</f>
        <v>11</v>
      </c>
      <c r="L70" s="8">
        <v>10</v>
      </c>
      <c r="M70" s="8" t="str">
        <f t="shared" ref="M70" si="1008">IF(M$8="","",(L70+L71))</f>
        <v/>
      </c>
      <c r="N70" s="8" t="str">
        <f t="shared" ref="N70" si="1009">IF(N$8="","",(M70+M71))</f>
        <v/>
      </c>
      <c r="O70" s="8" t="str">
        <f t="shared" ref="O70" si="1010">IF(O$8="","",(N70+N71))</f>
        <v/>
      </c>
      <c r="P70" s="8" t="str">
        <f>IF(P$8="","",(O70+O71))</f>
        <v/>
      </c>
      <c r="Q70" s="8" t="str">
        <f t="shared" ref="Q70" si="1011">IF(Q$8="","",(P70+P71))</f>
        <v/>
      </c>
      <c r="R70" s="8" t="str">
        <f t="shared" ref="R70" si="1012">IF(R$8="","",(Q70+Q71))</f>
        <v/>
      </c>
      <c r="S70" s="8" t="str">
        <f>IF(S$8="","",(R70+R71))</f>
        <v/>
      </c>
      <c r="T70" s="8" t="str">
        <f t="shared" ref="T70" si="1013">IF(T$8="","",(S70+S71))</f>
        <v/>
      </c>
      <c r="U70" s="8" t="str">
        <f t="shared" ref="U70" si="1014">IF(U$8="","",(T70+T71))</f>
        <v/>
      </c>
      <c r="V70" s="8" t="str">
        <f t="shared" ref="V70" si="1015">IF(V$8="","",(U70+U71))</f>
        <v/>
      </c>
      <c r="W70" s="8" t="str">
        <f t="shared" ref="W70" si="1016">IF(W$8="","",(V70+V71))</f>
        <v/>
      </c>
      <c r="X70" s="8" t="str">
        <f t="shared" ref="X70" si="1017">IF(X$8="","",(W70+W71))</f>
        <v/>
      </c>
      <c r="Y70" s="8" t="str">
        <f t="shared" ref="Y70" si="1018">IF(Y$8="","",(X70+X71))</f>
        <v/>
      </c>
      <c r="Z70" s="8" t="str">
        <f t="shared" ref="Z70" si="1019">IF(Z$8="","",(Y70+Y71))</f>
        <v/>
      </c>
      <c r="AA70" s="8" t="str">
        <f t="shared" ref="AA70" si="1020">IF(AA$8="","",(Z70+Z71))</f>
        <v/>
      </c>
      <c r="AB70" s="8" t="str">
        <f t="shared" ref="AB70" si="1021">IF(AB$8="","",(AA70+AA71))</f>
        <v/>
      </c>
      <c r="AC70" s="8" t="str">
        <f t="shared" ref="AC70" si="1022">IF(AC$8="","",(AB70+AB71))</f>
        <v/>
      </c>
      <c r="AD70" s="8" t="str">
        <f t="shared" ref="AD70" si="1023">IF(AD$8="","",(AC70+AC71))</f>
        <v/>
      </c>
      <c r="AE70" s="8" t="str">
        <f t="shared" ref="AE70" si="1024">IF(AE$8="","",(AD70+AD71))</f>
        <v/>
      </c>
      <c r="AF70" s="8" t="str">
        <f t="shared" ref="AF70" si="1025">IF(AF$8="","",(AE70+AE71))</f>
        <v/>
      </c>
      <c r="AG70" s="8" t="str">
        <f t="shared" ref="AG70" si="1026">IF(AG$8="","",(AF70+AF71))</f>
        <v/>
      </c>
      <c r="AH70" s="8" t="str">
        <f t="shared" ref="AH70" si="1027">IF(AH$8="","",(AG70+AG71))</f>
        <v/>
      </c>
      <c r="AI70" s="8" t="str">
        <f t="shared" ref="AI70" si="1028">IF(AI$8="","",(AH70+AH71))</f>
        <v/>
      </c>
      <c r="AJ70" s="8" t="str">
        <f t="shared" ref="AJ70" si="1029">IF(AJ$8="","",(AI70+AI71))</f>
        <v/>
      </c>
      <c r="AK70" s="8" t="str">
        <f t="shared" ref="AK70" si="1030">IF(AK$8="","",(AJ70+AJ71))</f>
        <v/>
      </c>
      <c r="AL70" s="8" t="str">
        <f t="shared" ref="AL70" si="1031">IF(AL$8="","",(AK70+AK71))</f>
        <v/>
      </c>
      <c r="AM70" s="8" t="str">
        <f t="shared" ref="AM70" si="1032">IF(AM$8="","",(AL70+AL71))</f>
        <v/>
      </c>
      <c r="AN70" s="8" t="str">
        <f t="shared" ref="AN70" si="1033">IF(AN$8="","",(AM70+AM71))</f>
        <v/>
      </c>
      <c r="AO70" s="8" t="str">
        <f t="shared" ref="AO70:AS70" si="1034">IF(AO$8="","",(AN70+AN71))</f>
        <v/>
      </c>
      <c r="AP70" s="8" t="str">
        <f t="shared" si="1034"/>
        <v/>
      </c>
      <c r="AQ70" s="8" t="str">
        <f t="shared" si="1034"/>
        <v/>
      </c>
      <c r="AR70" s="8" t="str">
        <f t="shared" si="1034"/>
        <v/>
      </c>
      <c r="AS70" s="8" t="str">
        <f t="shared" si="1034"/>
        <v/>
      </c>
    </row>
    <row r="71" spans="1:45" s="1" customFormat="1" ht="11.25" x14ac:dyDescent="0.15">
      <c r="A71" s="14"/>
      <c r="B71" s="9" t="s">
        <v>7</v>
      </c>
      <c r="C71" s="6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</row>
    <row r="72" spans="1:45" s="1" customFormat="1" ht="11.25" x14ac:dyDescent="0.15">
      <c r="A72" s="7"/>
      <c r="B72" s="9" t="s">
        <v>8</v>
      </c>
      <c r="C72" s="65">
        <v>750</v>
      </c>
      <c r="D72" s="8">
        <v>750</v>
      </c>
      <c r="E72" s="8">
        <v>750</v>
      </c>
      <c r="F72" s="8">
        <v>750</v>
      </c>
      <c r="G72" s="8">
        <v>750</v>
      </c>
      <c r="H72" s="8">
        <v>750</v>
      </c>
      <c r="I72" s="8">
        <v>750</v>
      </c>
      <c r="J72" s="8">
        <f t="shared" ref="J72:J73" si="1035">IF(J$8="","",I72)</f>
        <v>750</v>
      </c>
      <c r="K72" s="8">
        <f t="shared" ref="K72:K73" si="1036">IF(K$8="","",J72)</f>
        <v>750</v>
      </c>
      <c r="L72" s="8">
        <f t="shared" ref="L72:L73" si="1037">IF(L$8="","",K72)</f>
        <v>750</v>
      </c>
      <c r="M72" s="8" t="str">
        <f t="shared" ref="M72:M73" si="1038">IF(M$8="","",L72)</f>
        <v/>
      </c>
      <c r="N72" s="8" t="str">
        <f t="shared" ref="N72:N73" si="1039">IF(N$8="","",M72)</f>
        <v/>
      </c>
      <c r="O72" s="8" t="str">
        <f t="shared" ref="O72:O73" si="1040">IF(O$8="","",N72)</f>
        <v/>
      </c>
      <c r="P72" s="8" t="str">
        <f t="shared" ref="P72:P73" si="1041">IF(P$8="","",O72)</f>
        <v/>
      </c>
      <c r="Q72" s="8" t="str">
        <f t="shared" ref="Q72:Q73" si="1042">IF(Q$8="","",P72)</f>
        <v/>
      </c>
      <c r="R72" s="8" t="str">
        <f t="shared" ref="R72:R73" si="1043">IF(R$8="","",Q72)</f>
        <v/>
      </c>
      <c r="S72" s="8" t="str">
        <f t="shared" ref="S72:S73" si="1044">IF(S$8="","",R72)</f>
        <v/>
      </c>
      <c r="T72" s="8" t="str">
        <f t="shared" ref="T72:T73" si="1045">IF(T$8="","",S72)</f>
        <v/>
      </c>
      <c r="U72" s="8" t="str">
        <f t="shared" ref="U72:U73" si="1046">IF(U$8="","",T72)</f>
        <v/>
      </c>
      <c r="V72" s="8" t="str">
        <f t="shared" ref="V72:V73" si="1047">IF(V$8="","",U72)</f>
        <v/>
      </c>
      <c r="W72" s="8" t="str">
        <f t="shared" ref="W72:W73" si="1048">IF(W$8="","",V72)</f>
        <v/>
      </c>
      <c r="X72" s="8" t="str">
        <f t="shared" ref="X72:X73" si="1049">IF(X$8="","",W72)</f>
        <v/>
      </c>
      <c r="Y72" s="8" t="str">
        <f t="shared" ref="Y72:Y73" si="1050">IF(Y$8="","",X72)</f>
        <v/>
      </c>
      <c r="Z72" s="8" t="str">
        <f t="shared" ref="Z72:Z73" si="1051">IF(Z$8="","",Y72)</f>
        <v/>
      </c>
      <c r="AA72" s="8" t="str">
        <f t="shared" ref="AA72:AA73" si="1052">IF(AA$8="","",Z72)</f>
        <v/>
      </c>
      <c r="AB72" s="8" t="str">
        <f t="shared" ref="AB72:AB73" si="1053">IF(AB$8="","",AA72)</f>
        <v/>
      </c>
      <c r="AC72" s="8" t="str">
        <f t="shared" ref="AC72:AC73" si="1054">IF(AC$8="","",AB72)</f>
        <v/>
      </c>
      <c r="AD72" s="8" t="str">
        <f t="shared" ref="AD72:AD73" si="1055">IF(AD$8="","",AC72)</f>
        <v/>
      </c>
      <c r="AE72" s="8" t="str">
        <f t="shared" ref="AE72:AE73" si="1056">IF(AE$8="","",AD72)</f>
        <v/>
      </c>
      <c r="AF72" s="8" t="str">
        <f t="shared" ref="AF72:AF73" si="1057">IF(AF$8="","",AE72)</f>
        <v/>
      </c>
      <c r="AG72" s="8" t="str">
        <f t="shared" ref="AG72:AG73" si="1058">IF(AG$8="","",AF72)</f>
        <v/>
      </c>
      <c r="AH72" s="8" t="str">
        <f t="shared" ref="AH72:AH73" si="1059">IF(AH$8="","",AG72)</f>
        <v/>
      </c>
      <c r="AI72" s="8" t="str">
        <f t="shared" ref="AI72:AI73" si="1060">IF(AI$8="","",AH72)</f>
        <v/>
      </c>
      <c r="AJ72" s="8" t="str">
        <f t="shared" ref="AJ72:AJ73" si="1061">IF(AJ$8="","",AI72)</f>
        <v/>
      </c>
      <c r="AK72" s="8" t="str">
        <f t="shared" ref="AK72:AK73" si="1062">IF(AK$8="","",AJ72)</f>
        <v/>
      </c>
      <c r="AL72" s="8" t="str">
        <f t="shared" ref="AL72:AL73" si="1063">IF(AL$8="","",AK72)</f>
        <v/>
      </c>
      <c r="AM72" s="8" t="str">
        <f t="shared" ref="AM72:AM73" si="1064">IF(AM$8="","",AL72)</f>
        <v/>
      </c>
      <c r="AN72" s="8" t="str">
        <f t="shared" ref="AN72:AN73" si="1065">IF(AN$8="","",AM72)</f>
        <v/>
      </c>
      <c r="AO72" s="8" t="str">
        <f t="shared" ref="AO72:AS72" si="1066">IF(AO$8="","",AN72)</f>
        <v/>
      </c>
      <c r="AP72" s="8" t="str">
        <f t="shared" si="1066"/>
        <v/>
      </c>
      <c r="AQ72" s="8" t="str">
        <f t="shared" si="1066"/>
        <v/>
      </c>
      <c r="AR72" s="8" t="str">
        <f t="shared" si="1066"/>
        <v/>
      </c>
      <c r="AS72" s="8" t="str">
        <f t="shared" si="1066"/>
        <v/>
      </c>
    </row>
    <row r="73" spans="1:45" s="85" customFormat="1" ht="11.25" x14ac:dyDescent="0.15">
      <c r="A73" s="14" t="s">
        <v>9</v>
      </c>
      <c r="B73" s="13" t="s">
        <v>10</v>
      </c>
      <c r="C73" s="66" t="s">
        <v>48</v>
      </c>
      <c r="D73" s="12" t="s">
        <v>48</v>
      </c>
      <c r="E73" s="12" t="s">
        <v>48</v>
      </c>
      <c r="F73" s="12" t="s">
        <v>48</v>
      </c>
      <c r="G73" s="12" t="s">
        <v>48</v>
      </c>
      <c r="H73" s="12" t="s">
        <v>48</v>
      </c>
      <c r="I73" s="12" t="s">
        <v>48</v>
      </c>
      <c r="J73" s="12" t="str">
        <f t="shared" si="1035"/>
        <v>サンリオヒョウ柄キーケース</v>
      </c>
      <c r="K73" s="12" t="str">
        <f t="shared" si="1036"/>
        <v>サンリオヒョウ柄キーケース</v>
      </c>
      <c r="L73" s="12" t="str">
        <f t="shared" si="1037"/>
        <v>サンリオヒョウ柄キーケース</v>
      </c>
      <c r="M73" s="12" t="str">
        <f t="shared" si="1038"/>
        <v/>
      </c>
      <c r="N73" s="12" t="str">
        <f t="shared" si="1039"/>
        <v/>
      </c>
      <c r="O73" s="12" t="str">
        <f t="shared" si="1040"/>
        <v/>
      </c>
      <c r="P73" s="12" t="str">
        <f>IF(P$8="","",O73)</f>
        <v/>
      </c>
      <c r="Q73" s="12" t="str">
        <f t="shared" si="1042"/>
        <v/>
      </c>
      <c r="R73" s="12" t="str">
        <f t="shared" si="1043"/>
        <v/>
      </c>
      <c r="S73" s="12" t="str">
        <f t="shared" si="1044"/>
        <v/>
      </c>
      <c r="T73" s="12" t="str">
        <f t="shared" si="1045"/>
        <v/>
      </c>
      <c r="U73" s="12" t="str">
        <f t="shared" si="1046"/>
        <v/>
      </c>
      <c r="V73" s="12" t="str">
        <f t="shared" si="1047"/>
        <v/>
      </c>
      <c r="W73" s="12" t="str">
        <f t="shared" si="1048"/>
        <v/>
      </c>
      <c r="X73" s="12" t="str">
        <f t="shared" si="1049"/>
        <v/>
      </c>
      <c r="Y73" s="12" t="str">
        <f t="shared" si="1050"/>
        <v/>
      </c>
      <c r="Z73" s="12" t="str">
        <f t="shared" si="1051"/>
        <v/>
      </c>
      <c r="AA73" s="12" t="str">
        <f t="shared" si="1052"/>
        <v/>
      </c>
      <c r="AB73" s="12" t="str">
        <f t="shared" si="1053"/>
        <v/>
      </c>
      <c r="AC73" s="12" t="str">
        <f t="shared" si="1054"/>
        <v/>
      </c>
      <c r="AD73" s="12" t="str">
        <f t="shared" si="1055"/>
        <v/>
      </c>
      <c r="AE73" s="12" t="str">
        <f t="shared" si="1056"/>
        <v/>
      </c>
      <c r="AF73" s="12" t="str">
        <f t="shared" si="1057"/>
        <v/>
      </c>
      <c r="AG73" s="12" t="str">
        <f t="shared" si="1058"/>
        <v/>
      </c>
      <c r="AH73" s="12" t="str">
        <f t="shared" si="1059"/>
        <v/>
      </c>
      <c r="AI73" s="12" t="str">
        <f t="shared" si="1060"/>
        <v/>
      </c>
      <c r="AJ73" s="12" t="str">
        <f t="shared" si="1061"/>
        <v/>
      </c>
      <c r="AK73" s="12" t="str">
        <f t="shared" si="1062"/>
        <v/>
      </c>
      <c r="AL73" s="12" t="str">
        <f t="shared" si="1063"/>
        <v/>
      </c>
      <c r="AM73" s="12" t="str">
        <f t="shared" si="1064"/>
        <v/>
      </c>
      <c r="AN73" s="12" t="str">
        <f t="shared" si="1065"/>
        <v/>
      </c>
      <c r="AO73" s="12" t="str">
        <f t="shared" ref="AO73:AS73" si="1067">IF(AO$8="","",AN73)</f>
        <v/>
      </c>
      <c r="AP73" s="12" t="str">
        <f t="shared" si="1067"/>
        <v/>
      </c>
      <c r="AQ73" s="12" t="str">
        <f t="shared" si="1067"/>
        <v/>
      </c>
      <c r="AR73" s="12" t="str">
        <f t="shared" si="1067"/>
        <v/>
      </c>
      <c r="AS73" s="12" t="str">
        <f t="shared" si="1067"/>
        <v/>
      </c>
    </row>
    <row r="74" spans="1:45" s="1" customFormat="1" ht="11.25" x14ac:dyDescent="0.15">
      <c r="A74" s="7">
        <f>AVERAGE(C75:AS75)*30*100</f>
        <v>32100</v>
      </c>
      <c r="B74" s="9" t="s">
        <v>12</v>
      </c>
      <c r="C74" s="6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</row>
    <row r="75" spans="1:45" s="1" customFormat="1" ht="11.25" x14ac:dyDescent="0.15">
      <c r="A75" s="7">
        <f>SUM(C75:AS75)</f>
        <v>107</v>
      </c>
      <c r="B75" s="6" t="s">
        <v>13</v>
      </c>
      <c r="C75" s="65">
        <v>0</v>
      </c>
      <c r="D75" s="5">
        <v>0</v>
      </c>
      <c r="E75" s="5">
        <v>46</v>
      </c>
      <c r="F75" s="5">
        <v>0</v>
      </c>
      <c r="G75" s="5">
        <v>0</v>
      </c>
      <c r="H75" s="5">
        <v>0</v>
      </c>
      <c r="I75" s="5">
        <v>44</v>
      </c>
      <c r="J75" s="5">
        <f t="shared" ref="J75:J76" si="1068">IF(J$8="","",J68-I68)</f>
        <v>0</v>
      </c>
      <c r="K75" s="5">
        <f t="shared" ref="K75:K76" si="1069">IF(K$8="","",K68-J68)</f>
        <v>0</v>
      </c>
      <c r="L75" s="5">
        <f t="shared" ref="L75:L76" si="1070">IF(L$8="","",L68-K68)</f>
        <v>17</v>
      </c>
      <c r="M75" s="5" t="str">
        <f t="shared" ref="M75:M76" si="1071">IF(M$8="","",M68-L68)</f>
        <v/>
      </c>
      <c r="N75" s="5" t="str">
        <f t="shared" ref="N75:N76" si="1072">IF(N$8="","",N68-M68)</f>
        <v/>
      </c>
      <c r="O75" s="5" t="str">
        <f t="shared" ref="O75:O76" si="1073">IF(O$8="","",O68-N68)</f>
        <v/>
      </c>
      <c r="P75" s="5" t="str">
        <f t="shared" ref="P75:P76" si="1074">IF(P$8="","",P68-O68)</f>
        <v/>
      </c>
      <c r="Q75" s="5" t="str">
        <f t="shared" ref="Q75:Q76" si="1075">IF(Q$8="","",Q68-P68)</f>
        <v/>
      </c>
      <c r="R75" s="5" t="str">
        <f t="shared" ref="R75:R76" si="1076">IF(R$8="","",R68-Q68)</f>
        <v/>
      </c>
      <c r="S75" s="5" t="str">
        <f t="shared" ref="S75:S76" si="1077">IF(S$8="","",S68-R68)</f>
        <v/>
      </c>
      <c r="T75" s="5" t="str">
        <f t="shared" ref="T75:T76" si="1078">IF(T$8="","",T68-S68)</f>
        <v/>
      </c>
      <c r="U75" s="5" t="str">
        <f t="shared" ref="U75:U76" si="1079">IF(U$8="","",U68-T68)</f>
        <v/>
      </c>
      <c r="V75" s="5" t="str">
        <f t="shared" ref="V75:V76" si="1080">IF(V$8="","",V68-U68)</f>
        <v/>
      </c>
      <c r="W75" s="5" t="str">
        <f t="shared" ref="W75:W76" si="1081">IF(W$8="","",W68-V68)</f>
        <v/>
      </c>
      <c r="X75" s="5" t="str">
        <f t="shared" ref="X75:X76" si="1082">IF(X$8="","",X68-W68)</f>
        <v/>
      </c>
      <c r="Y75" s="5" t="str">
        <f t="shared" ref="Y75:Y76" si="1083">IF(Y$8="","",Y68-X68)</f>
        <v/>
      </c>
      <c r="Z75" s="5" t="str">
        <f t="shared" ref="Z75:Z76" si="1084">IF(Z$8="","",Z68-Y68)</f>
        <v/>
      </c>
      <c r="AA75" s="5" t="str">
        <f t="shared" ref="AA75:AA76" si="1085">IF(AA$8="","",AA68-Z68)</f>
        <v/>
      </c>
      <c r="AB75" s="5" t="str">
        <f t="shared" ref="AB75:AB76" si="1086">IF(AB$8="","",AB68-AA68)</f>
        <v/>
      </c>
      <c r="AC75" s="5" t="str">
        <f t="shared" ref="AC75:AC76" si="1087">IF(AC$8="","",AC68-AB68)</f>
        <v/>
      </c>
      <c r="AD75" s="5" t="str">
        <f t="shared" ref="AD75:AD76" si="1088">IF(AD$8="","",AD68-AC68)</f>
        <v/>
      </c>
      <c r="AE75" s="5" t="str">
        <f t="shared" ref="AE75:AE76" si="1089">IF(AE$8="","",AE68-AD68)</f>
        <v/>
      </c>
      <c r="AF75" s="5" t="str">
        <f t="shared" ref="AF75:AF76" si="1090">IF(AF$8="","",AF68-AE68)</f>
        <v/>
      </c>
      <c r="AG75" s="5" t="str">
        <f t="shared" ref="AG75:AG76" si="1091">IF(AG$8="","",AG68-AF68)</f>
        <v/>
      </c>
      <c r="AH75" s="5" t="str">
        <f t="shared" ref="AH75:AH76" si="1092">IF(AH$8="","",AH68-AG68)</f>
        <v/>
      </c>
      <c r="AI75" s="5" t="str">
        <f t="shared" ref="AI75:AI76" si="1093">IF(AI$8="","",AI68-AH68)</f>
        <v/>
      </c>
      <c r="AJ75" s="5" t="str">
        <f t="shared" ref="AJ75:AJ76" si="1094">IF(AJ$8="","",AJ68-AI68)</f>
        <v/>
      </c>
      <c r="AK75" s="5" t="str">
        <f t="shared" ref="AK75:AK76" si="1095">IF(AK$8="","",AK68-AJ68)</f>
        <v/>
      </c>
      <c r="AL75" s="5" t="str">
        <f t="shared" ref="AL75:AL76" si="1096">IF(AL$8="","",AL68-AK68)</f>
        <v/>
      </c>
      <c r="AM75" s="5" t="str">
        <f t="shared" ref="AM75:AM76" si="1097">IF(AM$8="","",AM68-AL68)</f>
        <v/>
      </c>
      <c r="AN75" s="5" t="str">
        <f t="shared" ref="AN75:AN76" si="1098">IF(AN$8="","",AN68-AM68)</f>
        <v/>
      </c>
      <c r="AO75" s="5" t="str">
        <f t="shared" ref="AO75:AS75" si="1099">IF(AO$8="","",AO68-AN68)</f>
        <v/>
      </c>
      <c r="AP75" s="5" t="str">
        <f t="shared" si="1099"/>
        <v/>
      </c>
      <c r="AQ75" s="5" t="str">
        <f t="shared" si="1099"/>
        <v/>
      </c>
      <c r="AR75" s="5" t="str">
        <f t="shared" si="1099"/>
        <v/>
      </c>
      <c r="AS75" s="5" t="str">
        <f t="shared" si="1099"/>
        <v/>
      </c>
    </row>
    <row r="76" spans="1:45" s="1" customFormat="1" ht="11.25" x14ac:dyDescent="0.15">
      <c r="A76" s="7">
        <f>SUM(C76:AS76)</f>
        <v>1</v>
      </c>
      <c r="B76" s="6" t="s">
        <v>14</v>
      </c>
      <c r="C76" s="6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f t="shared" si="1068"/>
        <v>0</v>
      </c>
      <c r="K76" s="5">
        <f t="shared" si="1069"/>
        <v>0</v>
      </c>
      <c r="L76" s="5">
        <f t="shared" si="1070"/>
        <v>1</v>
      </c>
      <c r="M76" s="5" t="str">
        <f t="shared" si="1071"/>
        <v/>
      </c>
      <c r="N76" s="5" t="str">
        <f t="shared" si="1072"/>
        <v/>
      </c>
      <c r="O76" s="5" t="str">
        <f t="shared" si="1073"/>
        <v/>
      </c>
      <c r="P76" s="5" t="str">
        <f t="shared" si="1074"/>
        <v/>
      </c>
      <c r="Q76" s="5" t="str">
        <f t="shared" si="1075"/>
        <v/>
      </c>
      <c r="R76" s="5" t="str">
        <f t="shared" si="1076"/>
        <v/>
      </c>
      <c r="S76" s="5" t="str">
        <f t="shared" si="1077"/>
        <v/>
      </c>
      <c r="T76" s="5" t="str">
        <f t="shared" si="1078"/>
        <v/>
      </c>
      <c r="U76" s="5" t="str">
        <f t="shared" si="1079"/>
        <v/>
      </c>
      <c r="V76" s="5" t="str">
        <f t="shared" si="1080"/>
        <v/>
      </c>
      <c r="W76" s="5" t="str">
        <f t="shared" si="1081"/>
        <v/>
      </c>
      <c r="X76" s="5" t="str">
        <f t="shared" si="1082"/>
        <v/>
      </c>
      <c r="Y76" s="5" t="str">
        <f t="shared" si="1083"/>
        <v/>
      </c>
      <c r="Z76" s="5" t="str">
        <f t="shared" si="1084"/>
        <v/>
      </c>
      <c r="AA76" s="5" t="str">
        <f t="shared" si="1085"/>
        <v/>
      </c>
      <c r="AB76" s="5" t="str">
        <f t="shared" si="1086"/>
        <v/>
      </c>
      <c r="AC76" s="5" t="str">
        <f t="shared" si="1087"/>
        <v/>
      </c>
      <c r="AD76" s="5" t="str">
        <f t="shared" si="1088"/>
        <v/>
      </c>
      <c r="AE76" s="5" t="str">
        <f t="shared" si="1089"/>
        <v/>
      </c>
      <c r="AF76" s="5" t="str">
        <f t="shared" si="1090"/>
        <v/>
      </c>
      <c r="AG76" s="5" t="str">
        <f t="shared" si="1091"/>
        <v/>
      </c>
      <c r="AH76" s="5" t="str">
        <f t="shared" si="1092"/>
        <v/>
      </c>
      <c r="AI76" s="5" t="str">
        <f t="shared" si="1093"/>
        <v/>
      </c>
      <c r="AJ76" s="5" t="str">
        <f t="shared" si="1094"/>
        <v/>
      </c>
      <c r="AK76" s="5" t="str">
        <f t="shared" si="1095"/>
        <v/>
      </c>
      <c r="AL76" s="5" t="str">
        <f t="shared" si="1096"/>
        <v/>
      </c>
      <c r="AM76" s="5" t="str">
        <f t="shared" si="1097"/>
        <v/>
      </c>
      <c r="AN76" s="5" t="str">
        <f t="shared" si="1098"/>
        <v/>
      </c>
      <c r="AO76" s="5" t="str">
        <f t="shared" ref="AO76:AS76" si="1100">IF(AO$8="","",AO69-AN69)</f>
        <v/>
      </c>
      <c r="AP76" s="5" t="str">
        <f t="shared" si="1100"/>
        <v/>
      </c>
      <c r="AQ76" s="5" t="str">
        <f t="shared" si="1100"/>
        <v/>
      </c>
      <c r="AR76" s="5" t="str">
        <f t="shared" si="1100"/>
        <v/>
      </c>
      <c r="AS76" s="5" t="str">
        <f t="shared" si="1100"/>
        <v/>
      </c>
    </row>
    <row r="77" spans="1:45" s="1" customFormat="1" ht="11.25" x14ac:dyDescent="0.15">
      <c r="A77" s="7">
        <f>SUM(C77:AS77)</f>
        <v>1</v>
      </c>
      <c r="B77" s="6" t="s">
        <v>15</v>
      </c>
      <c r="C77" s="6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f t="shared" ref="J77" si="1101">IF(J$8="","",I70+I71-J70)</f>
        <v>0</v>
      </c>
      <c r="K77" s="5">
        <f t="shared" ref="K77" si="1102">IF(K$8="","",J70+J71-K70)</f>
        <v>0</v>
      </c>
      <c r="L77" s="5">
        <f t="shared" ref="L77" si="1103">IF(L$8="","",K70+K71-L70)</f>
        <v>1</v>
      </c>
      <c r="M77" s="5" t="str">
        <f t="shared" ref="M77" si="1104">IF(M$8="","",L70+L71-M70)</f>
        <v/>
      </c>
      <c r="N77" s="5" t="str">
        <f t="shared" ref="N77" si="1105">IF(N$8="","",M70+M71-N70)</f>
        <v/>
      </c>
      <c r="O77" s="5" t="str">
        <f t="shared" ref="O77" si="1106">IF(O$8="","",N70+N71-O70)</f>
        <v/>
      </c>
      <c r="P77" s="5" t="str">
        <f t="shared" ref="P77" si="1107">IF(P$8="","",O70+O71-P70)</f>
        <v/>
      </c>
      <c r="Q77" s="5" t="str">
        <f t="shared" ref="Q77" si="1108">IF(Q$8="","",P70+P71-Q70)</f>
        <v/>
      </c>
      <c r="R77" s="5" t="str">
        <f t="shared" ref="R77" si="1109">IF(R$8="","",Q70+Q71-R70)</f>
        <v/>
      </c>
      <c r="S77" s="5" t="str">
        <f t="shared" ref="S77" si="1110">IF(S$8="","",R70+R71-S70)</f>
        <v/>
      </c>
      <c r="T77" s="5" t="str">
        <f t="shared" ref="T77" si="1111">IF(T$8="","",S70+S71-T70)</f>
        <v/>
      </c>
      <c r="U77" s="5" t="str">
        <f t="shared" ref="U77" si="1112">IF(U$8="","",T70+T71-U70)</f>
        <v/>
      </c>
      <c r="V77" s="5" t="str">
        <f t="shared" ref="V77" si="1113">IF(V$8="","",U70+U71-V70)</f>
        <v/>
      </c>
      <c r="W77" s="5" t="str">
        <f t="shared" ref="W77" si="1114">IF(W$8="","",V70+V71-W70)</f>
        <v/>
      </c>
      <c r="X77" s="5" t="str">
        <f t="shared" ref="X77" si="1115">IF(X$8="","",W70+W71-X70)</f>
        <v/>
      </c>
      <c r="Y77" s="5" t="str">
        <f t="shared" ref="Y77" si="1116">IF(Y$8="","",X70+X71-Y70)</f>
        <v/>
      </c>
      <c r="Z77" s="5" t="str">
        <f t="shared" ref="Z77" si="1117">IF(Z$8="","",Y70+Y71-Z70)</f>
        <v/>
      </c>
      <c r="AA77" s="5" t="str">
        <f t="shared" ref="AA77" si="1118">IF(AA$8="","",Z70+Z71-AA70)</f>
        <v/>
      </c>
      <c r="AB77" s="5" t="str">
        <f t="shared" ref="AB77" si="1119">IF(AB$8="","",AA70+AA71-AB70)</f>
        <v/>
      </c>
      <c r="AC77" s="5" t="str">
        <f t="shared" ref="AC77" si="1120">IF(AC$8="","",AB70+AB71-AC70)</f>
        <v/>
      </c>
      <c r="AD77" s="5" t="str">
        <f t="shared" ref="AD77" si="1121">IF(AD$8="","",AC70+AC71-AD70)</f>
        <v/>
      </c>
      <c r="AE77" s="5" t="str">
        <f t="shared" ref="AE77" si="1122">IF(AE$8="","",AD70+AD71-AE70)</f>
        <v/>
      </c>
      <c r="AF77" s="5" t="str">
        <f t="shared" ref="AF77" si="1123">IF(AF$8="","",AE70+AE71-AF70)</f>
        <v/>
      </c>
      <c r="AG77" s="5" t="str">
        <f t="shared" ref="AG77" si="1124">IF(AG$8="","",AF70+AF71-AG70)</f>
        <v/>
      </c>
      <c r="AH77" s="5" t="str">
        <f t="shared" ref="AH77" si="1125">IF(AH$8="","",AG70+AG71-AH70)</f>
        <v/>
      </c>
      <c r="AI77" s="5" t="str">
        <f t="shared" ref="AI77" si="1126">IF(AI$8="","",AH70+AH71-AI70)</f>
        <v/>
      </c>
      <c r="AJ77" s="5" t="str">
        <f t="shared" ref="AJ77" si="1127">IF(AJ$8="","",AI70+AI71-AJ70)</f>
        <v/>
      </c>
      <c r="AK77" s="5" t="str">
        <f t="shared" ref="AK77" si="1128">IF(AK$8="","",AJ70+AJ71-AK70)</f>
        <v/>
      </c>
      <c r="AL77" s="5" t="str">
        <f t="shared" ref="AL77" si="1129">IF(AL$8="","",AK70+AK71-AL70)</f>
        <v/>
      </c>
      <c r="AM77" s="5" t="str">
        <f t="shared" ref="AM77" si="1130">IF(AM$8="","",AL70+AL71-AM70)</f>
        <v/>
      </c>
      <c r="AN77" s="5" t="str">
        <f t="shared" ref="AN77" si="1131">IF(AN$8="","",AM70+AM71-AN70)</f>
        <v/>
      </c>
      <c r="AO77" s="5" t="str">
        <f t="shared" ref="AO77:AS77" si="1132">IF(AO$8="","",AN70+AN71-AO70)</f>
        <v/>
      </c>
      <c r="AP77" s="5" t="str">
        <f t="shared" si="1132"/>
        <v/>
      </c>
      <c r="AQ77" s="5" t="str">
        <f t="shared" si="1132"/>
        <v/>
      </c>
      <c r="AR77" s="5" t="str">
        <f t="shared" si="1132"/>
        <v/>
      </c>
      <c r="AS77" s="5" t="str">
        <f t="shared" si="1132"/>
        <v/>
      </c>
    </row>
    <row r="78" spans="1:45" s="1" customFormat="1" ht="11.25" x14ac:dyDescent="0.15">
      <c r="A78" s="7">
        <f>SUM(C78:AS78)</f>
        <v>750</v>
      </c>
      <c r="B78" s="6" t="s">
        <v>16</v>
      </c>
      <c r="C78" s="6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f t="shared" ref="D78:AN78" si="1133">IF(J$8="","",J77*J72)</f>
        <v>0</v>
      </c>
      <c r="K78" s="5">
        <f t="shared" si="1133"/>
        <v>0</v>
      </c>
      <c r="L78" s="5">
        <f t="shared" si="1133"/>
        <v>750</v>
      </c>
      <c r="M78" s="5" t="str">
        <f t="shared" si="1133"/>
        <v/>
      </c>
      <c r="N78" s="5" t="str">
        <f t="shared" si="1133"/>
        <v/>
      </c>
      <c r="O78" s="5" t="str">
        <f t="shared" si="1133"/>
        <v/>
      </c>
      <c r="P78" s="5" t="str">
        <f t="shared" si="1133"/>
        <v/>
      </c>
      <c r="Q78" s="5" t="str">
        <f t="shared" si="1133"/>
        <v/>
      </c>
      <c r="R78" s="5" t="str">
        <f t="shared" si="1133"/>
        <v/>
      </c>
      <c r="S78" s="5" t="str">
        <f t="shared" si="1133"/>
        <v/>
      </c>
      <c r="T78" s="5" t="str">
        <f t="shared" si="1133"/>
        <v/>
      </c>
      <c r="U78" s="5" t="str">
        <f t="shared" si="1133"/>
        <v/>
      </c>
      <c r="V78" s="5" t="str">
        <f t="shared" si="1133"/>
        <v/>
      </c>
      <c r="W78" s="5" t="str">
        <f t="shared" si="1133"/>
        <v/>
      </c>
      <c r="X78" s="5" t="str">
        <f t="shared" si="1133"/>
        <v/>
      </c>
      <c r="Y78" s="5" t="str">
        <f t="shared" si="1133"/>
        <v/>
      </c>
      <c r="Z78" s="5" t="str">
        <f t="shared" si="1133"/>
        <v/>
      </c>
      <c r="AA78" s="5" t="str">
        <f t="shared" si="1133"/>
        <v/>
      </c>
      <c r="AB78" s="5" t="str">
        <f t="shared" si="1133"/>
        <v/>
      </c>
      <c r="AC78" s="5" t="str">
        <f t="shared" si="1133"/>
        <v/>
      </c>
      <c r="AD78" s="5" t="str">
        <f t="shared" si="1133"/>
        <v/>
      </c>
      <c r="AE78" s="5" t="str">
        <f t="shared" si="1133"/>
        <v/>
      </c>
      <c r="AF78" s="5" t="str">
        <f t="shared" si="1133"/>
        <v/>
      </c>
      <c r="AG78" s="5" t="str">
        <f t="shared" si="1133"/>
        <v/>
      </c>
      <c r="AH78" s="5" t="str">
        <f t="shared" si="1133"/>
        <v/>
      </c>
      <c r="AI78" s="5" t="str">
        <f t="shared" si="1133"/>
        <v/>
      </c>
      <c r="AJ78" s="5" t="str">
        <f t="shared" si="1133"/>
        <v/>
      </c>
      <c r="AK78" s="5" t="str">
        <f t="shared" si="1133"/>
        <v/>
      </c>
      <c r="AL78" s="5" t="str">
        <f t="shared" si="1133"/>
        <v/>
      </c>
      <c r="AM78" s="5" t="str">
        <f t="shared" si="1133"/>
        <v/>
      </c>
      <c r="AN78" s="5" t="str">
        <f t="shared" si="1133"/>
        <v/>
      </c>
      <c r="AO78" s="5" t="str">
        <f t="shared" ref="AO78:AS78" si="1134">IF(AO$8="","",AO77*AO72)</f>
        <v/>
      </c>
      <c r="AP78" s="5" t="str">
        <f t="shared" si="1134"/>
        <v/>
      </c>
      <c r="AQ78" s="5" t="str">
        <f t="shared" si="1134"/>
        <v/>
      </c>
      <c r="AR78" s="5" t="str">
        <f t="shared" si="1134"/>
        <v/>
      </c>
      <c r="AS78" s="5" t="str">
        <f t="shared" si="1134"/>
        <v/>
      </c>
    </row>
    <row r="79" spans="1:45" s="1" customFormat="1" ht="12" thickBot="1" x14ac:dyDescent="0.2">
      <c r="A79" s="4">
        <f>IF(A78="","",A78/(A75*100))</f>
        <v>7.0093457943925228E-2</v>
      </c>
      <c r="B79" s="6" t="s">
        <v>18</v>
      </c>
      <c r="C79" s="67" t="s">
        <v>19</v>
      </c>
      <c r="D79" s="18" t="s">
        <v>19</v>
      </c>
      <c r="E79" s="18" t="s">
        <v>19</v>
      </c>
      <c r="F79" s="18" t="s">
        <v>19</v>
      </c>
      <c r="G79" s="18" t="s">
        <v>19</v>
      </c>
      <c r="H79" s="18" t="s">
        <v>19</v>
      </c>
      <c r="I79" s="18" t="s">
        <v>19</v>
      </c>
      <c r="J79" s="18" t="str">
        <f t="shared" ref="D79:AN79" si="1135">IF(J$8="","",IF(J78=0,"",J78/(J75*100)))</f>
        <v/>
      </c>
      <c r="K79" s="18" t="str">
        <f t="shared" si="1135"/>
        <v/>
      </c>
      <c r="L79" s="18">
        <f t="shared" si="1135"/>
        <v>0.44117647058823528</v>
      </c>
      <c r="M79" s="18" t="str">
        <f t="shared" si="1135"/>
        <v/>
      </c>
      <c r="N79" s="18" t="str">
        <f t="shared" si="1135"/>
        <v/>
      </c>
      <c r="O79" s="18" t="str">
        <f t="shared" si="1135"/>
        <v/>
      </c>
      <c r="P79" s="18" t="str">
        <f t="shared" si="1135"/>
        <v/>
      </c>
      <c r="Q79" s="18" t="str">
        <f t="shared" si="1135"/>
        <v/>
      </c>
      <c r="R79" s="18" t="str">
        <f t="shared" si="1135"/>
        <v/>
      </c>
      <c r="S79" s="18" t="str">
        <f t="shared" si="1135"/>
        <v/>
      </c>
      <c r="T79" s="18" t="str">
        <f t="shared" si="1135"/>
        <v/>
      </c>
      <c r="U79" s="18" t="str">
        <f t="shared" si="1135"/>
        <v/>
      </c>
      <c r="V79" s="18" t="str">
        <f t="shared" si="1135"/>
        <v/>
      </c>
      <c r="W79" s="18" t="str">
        <f t="shared" si="1135"/>
        <v/>
      </c>
      <c r="X79" s="18" t="str">
        <f t="shared" si="1135"/>
        <v/>
      </c>
      <c r="Y79" s="18" t="str">
        <f t="shared" si="1135"/>
        <v/>
      </c>
      <c r="Z79" s="18" t="str">
        <f t="shared" si="1135"/>
        <v/>
      </c>
      <c r="AA79" s="18" t="str">
        <f t="shared" si="1135"/>
        <v/>
      </c>
      <c r="AB79" s="18" t="str">
        <f t="shared" si="1135"/>
        <v/>
      </c>
      <c r="AC79" s="18" t="str">
        <f t="shared" si="1135"/>
        <v/>
      </c>
      <c r="AD79" s="18" t="str">
        <f t="shared" si="1135"/>
        <v/>
      </c>
      <c r="AE79" s="18" t="str">
        <f t="shared" si="1135"/>
        <v/>
      </c>
      <c r="AF79" s="18" t="str">
        <f t="shared" si="1135"/>
        <v/>
      </c>
      <c r="AG79" s="18" t="str">
        <f t="shared" si="1135"/>
        <v/>
      </c>
      <c r="AH79" s="18" t="str">
        <f t="shared" si="1135"/>
        <v/>
      </c>
      <c r="AI79" s="18" t="str">
        <f t="shared" si="1135"/>
        <v/>
      </c>
      <c r="AJ79" s="18" t="str">
        <f t="shared" si="1135"/>
        <v/>
      </c>
      <c r="AK79" s="18" t="str">
        <f t="shared" si="1135"/>
        <v/>
      </c>
      <c r="AL79" s="18" t="str">
        <f t="shared" si="1135"/>
        <v/>
      </c>
      <c r="AM79" s="18" t="str">
        <f t="shared" si="1135"/>
        <v/>
      </c>
      <c r="AN79" s="18" t="str">
        <f t="shared" si="1135"/>
        <v/>
      </c>
      <c r="AO79" s="18" t="str">
        <f t="shared" ref="AO79:AS79" si="1136">IF(AO$8="","",IF(AO78=0,"",AO78/(AO75*100)))</f>
        <v/>
      </c>
      <c r="AP79" s="18" t="str">
        <f t="shared" si="1136"/>
        <v/>
      </c>
      <c r="AQ79" s="18" t="str">
        <f t="shared" si="1136"/>
        <v/>
      </c>
      <c r="AR79" s="18" t="str">
        <f t="shared" si="1136"/>
        <v/>
      </c>
      <c r="AS79" s="18" t="str">
        <f t="shared" si="1136"/>
        <v/>
      </c>
    </row>
    <row r="80" spans="1:45" s="1" customFormat="1" ht="11.25" x14ac:dyDescent="0.15">
      <c r="A80" s="17" t="s">
        <v>46</v>
      </c>
      <c r="B80" s="9" t="s">
        <v>2</v>
      </c>
      <c r="C80" s="65">
        <v>5180</v>
      </c>
      <c r="D80" s="8">
        <v>5180</v>
      </c>
      <c r="E80" s="8">
        <v>5245</v>
      </c>
      <c r="F80" s="8">
        <v>5245</v>
      </c>
      <c r="G80" s="8">
        <v>5245</v>
      </c>
      <c r="H80" s="8">
        <v>5245</v>
      </c>
      <c r="I80" s="8">
        <v>5265</v>
      </c>
      <c r="J80" s="8">
        <f t="shared" ref="J80:J81" si="1137">IF(J$8="","",I80)</f>
        <v>5265</v>
      </c>
      <c r="K80" s="8">
        <f t="shared" ref="K80:K81" si="1138">IF(K$8="","",J80)</f>
        <v>5265</v>
      </c>
      <c r="L80" s="8">
        <v>5286</v>
      </c>
      <c r="M80" s="8" t="str">
        <f t="shared" ref="M80:M81" si="1139">IF(M$8="","",L80)</f>
        <v/>
      </c>
      <c r="N80" s="8" t="str">
        <f t="shared" ref="N80:N81" si="1140">IF(N$8="","",M80)</f>
        <v/>
      </c>
      <c r="O80" s="8" t="str">
        <f t="shared" ref="O80:O81" si="1141">IF(O$8="","",N80)</f>
        <v/>
      </c>
      <c r="P80" s="8" t="str">
        <f>IF(P$8="","",O80)</f>
        <v/>
      </c>
      <c r="Q80" s="8" t="str">
        <f t="shared" ref="Q80:Q81" si="1142">IF(Q$8="","",P80)</f>
        <v/>
      </c>
      <c r="R80" s="8" t="str">
        <f t="shared" ref="R80:R81" si="1143">IF(R$8="","",Q80)</f>
        <v/>
      </c>
      <c r="S80" s="8" t="str">
        <f>IF(S$8="","",R80)</f>
        <v/>
      </c>
      <c r="T80" s="8" t="str">
        <f t="shared" ref="T80:T81" si="1144">IF(T$8="","",S80)</f>
        <v/>
      </c>
      <c r="U80" s="8" t="str">
        <f t="shared" ref="U80:U81" si="1145">IF(U$8="","",T80)</f>
        <v/>
      </c>
      <c r="V80" s="8" t="str">
        <f t="shared" ref="V80:V81" si="1146">IF(V$8="","",U80)</f>
        <v/>
      </c>
      <c r="W80" s="8" t="str">
        <f>IF(W$8="","",V80)</f>
        <v/>
      </c>
      <c r="X80" s="8" t="str">
        <f t="shared" ref="X80:X81" si="1147">IF(X$8="","",W80)</f>
        <v/>
      </c>
      <c r="Y80" s="8" t="str">
        <f t="shared" ref="Y80:Y81" si="1148">IF(Y$8="","",X80)</f>
        <v/>
      </c>
      <c r="Z80" s="8" t="str">
        <f>IF(Z$8="","",Y80)</f>
        <v/>
      </c>
      <c r="AA80" s="8" t="str">
        <f t="shared" ref="AA80:AA81" si="1149">IF(AA$8="","",Z80)</f>
        <v/>
      </c>
      <c r="AB80" s="8" t="str">
        <f t="shared" ref="AB80:AB81" si="1150">IF(AB$8="","",AA80)</f>
        <v/>
      </c>
      <c r="AC80" s="8" t="str">
        <f t="shared" ref="AC80:AC81" si="1151">IF(AC$8="","",AB80)</f>
        <v/>
      </c>
      <c r="AD80" s="8" t="str">
        <f>IF(AD$8="","",AC80)</f>
        <v/>
      </c>
      <c r="AE80" s="8" t="str">
        <f t="shared" ref="AE80:AE81" si="1152">IF(AE$8="","",AD80)</f>
        <v/>
      </c>
      <c r="AF80" s="8" t="str">
        <f t="shared" ref="AF80:AF81" si="1153">IF(AF$8="","",AE80)</f>
        <v/>
      </c>
      <c r="AG80" s="8" t="str">
        <f>IF(AG$8="","",AF80)</f>
        <v/>
      </c>
      <c r="AH80" s="8" t="str">
        <f t="shared" ref="AH80:AH81" si="1154">IF(AH$8="","",AG80)</f>
        <v/>
      </c>
      <c r="AI80" s="8" t="str">
        <f t="shared" ref="AI80:AI81" si="1155">IF(AI$8="","",AH80)</f>
        <v/>
      </c>
      <c r="AJ80" s="8" t="str">
        <f t="shared" ref="AJ80:AJ81" si="1156">IF(AJ$8="","",AI80)</f>
        <v/>
      </c>
      <c r="AK80" s="8" t="str">
        <f>IF(AK$8="","",AJ80)</f>
        <v/>
      </c>
      <c r="AL80" s="8" t="str">
        <f t="shared" ref="AL80:AL81" si="1157">IF(AL$8="","",AK80)</f>
        <v/>
      </c>
      <c r="AM80" s="8" t="str">
        <f t="shared" ref="AM80:AM81" si="1158">IF(AM$8="","",AL80)</f>
        <v/>
      </c>
      <c r="AN80" s="8" t="str">
        <f t="shared" ref="AN80:AN81" si="1159">IF(AN$8="","",AM80)</f>
        <v/>
      </c>
      <c r="AO80" s="8" t="str">
        <f t="shared" ref="AO80:AS80" si="1160">IF(AO$8="","",AN80)</f>
        <v/>
      </c>
      <c r="AP80" s="8" t="str">
        <f t="shared" si="1160"/>
        <v/>
      </c>
      <c r="AQ80" s="8" t="str">
        <f t="shared" si="1160"/>
        <v/>
      </c>
      <c r="AR80" s="8" t="str">
        <f t="shared" si="1160"/>
        <v/>
      </c>
      <c r="AS80" s="8" t="str">
        <f t="shared" si="1160"/>
        <v/>
      </c>
    </row>
    <row r="81" spans="1:45" s="1" customFormat="1" ht="11.25" x14ac:dyDescent="0.15">
      <c r="A81" s="16" t="s">
        <v>24</v>
      </c>
      <c r="B81" s="9" t="s">
        <v>4</v>
      </c>
      <c r="C81" s="65">
        <v>205</v>
      </c>
      <c r="D81" s="8">
        <v>205</v>
      </c>
      <c r="E81" s="8">
        <v>207</v>
      </c>
      <c r="F81" s="8">
        <v>207</v>
      </c>
      <c r="G81" s="8">
        <v>207</v>
      </c>
      <c r="H81" s="8">
        <v>207</v>
      </c>
      <c r="I81" s="8">
        <v>210</v>
      </c>
      <c r="J81" s="8">
        <f t="shared" si="1137"/>
        <v>210</v>
      </c>
      <c r="K81" s="8">
        <f t="shared" si="1138"/>
        <v>210</v>
      </c>
      <c r="L81" s="8">
        <f>IF(L$8="","",K81)</f>
        <v>210</v>
      </c>
      <c r="M81" s="8" t="str">
        <f t="shared" si="1139"/>
        <v/>
      </c>
      <c r="N81" s="8" t="str">
        <f t="shared" si="1140"/>
        <v/>
      </c>
      <c r="O81" s="8" t="str">
        <f t="shared" si="1141"/>
        <v/>
      </c>
      <c r="P81" s="8" t="str">
        <f>IF(P$8="","",O81)</f>
        <v/>
      </c>
      <c r="Q81" s="8" t="str">
        <f t="shared" si="1142"/>
        <v/>
      </c>
      <c r="R81" s="8" t="str">
        <f t="shared" si="1143"/>
        <v/>
      </c>
      <c r="S81" s="8" t="str">
        <f>IF(S$8="","",R81)</f>
        <v/>
      </c>
      <c r="T81" s="8" t="str">
        <f t="shared" si="1144"/>
        <v/>
      </c>
      <c r="U81" s="8" t="str">
        <f t="shared" si="1145"/>
        <v/>
      </c>
      <c r="V81" s="8" t="str">
        <f t="shared" si="1146"/>
        <v/>
      </c>
      <c r="W81" s="8" t="str">
        <f>IF(W$8="","",V81)</f>
        <v/>
      </c>
      <c r="X81" s="8" t="str">
        <f t="shared" si="1147"/>
        <v/>
      </c>
      <c r="Y81" s="8" t="str">
        <f t="shared" si="1148"/>
        <v/>
      </c>
      <c r="Z81" s="8" t="str">
        <f>IF(Z$8="","",Y81)</f>
        <v/>
      </c>
      <c r="AA81" s="8" t="str">
        <f t="shared" si="1149"/>
        <v/>
      </c>
      <c r="AB81" s="8" t="str">
        <f t="shared" si="1150"/>
        <v/>
      </c>
      <c r="AC81" s="8" t="str">
        <f t="shared" si="1151"/>
        <v/>
      </c>
      <c r="AD81" s="8" t="str">
        <f>IF(AD$8="","",AC81)</f>
        <v/>
      </c>
      <c r="AE81" s="8" t="str">
        <f t="shared" si="1152"/>
        <v/>
      </c>
      <c r="AF81" s="8" t="str">
        <f t="shared" si="1153"/>
        <v/>
      </c>
      <c r="AG81" s="8" t="str">
        <f>IF(AG$8="","",AF81)</f>
        <v/>
      </c>
      <c r="AH81" s="8" t="str">
        <f t="shared" si="1154"/>
        <v/>
      </c>
      <c r="AI81" s="8" t="str">
        <f t="shared" si="1155"/>
        <v/>
      </c>
      <c r="AJ81" s="8" t="str">
        <f t="shared" si="1156"/>
        <v/>
      </c>
      <c r="AK81" s="8" t="str">
        <f>IF(AK$8="","",AJ81)</f>
        <v/>
      </c>
      <c r="AL81" s="8" t="str">
        <f t="shared" si="1157"/>
        <v/>
      </c>
      <c r="AM81" s="8" t="str">
        <f t="shared" si="1158"/>
        <v/>
      </c>
      <c r="AN81" s="8" t="str">
        <f t="shared" si="1159"/>
        <v/>
      </c>
      <c r="AO81" s="8" t="str">
        <f t="shared" ref="AO81:AS81" si="1161">IF(AO$8="","",AN81)</f>
        <v/>
      </c>
      <c r="AP81" s="8" t="str">
        <f t="shared" si="1161"/>
        <v/>
      </c>
      <c r="AQ81" s="8" t="str">
        <f t="shared" si="1161"/>
        <v/>
      </c>
      <c r="AR81" s="8" t="str">
        <f t="shared" si="1161"/>
        <v/>
      </c>
      <c r="AS81" s="8" t="str">
        <f t="shared" si="1161"/>
        <v/>
      </c>
    </row>
    <row r="82" spans="1:45" s="1" customFormat="1" ht="11.25" x14ac:dyDescent="0.15">
      <c r="A82" s="15">
        <v>3</v>
      </c>
      <c r="B82" s="9" t="s">
        <v>5</v>
      </c>
      <c r="C82" s="65">
        <v>13</v>
      </c>
      <c r="D82" s="8">
        <v>13</v>
      </c>
      <c r="E82" s="8">
        <v>12</v>
      </c>
      <c r="F82" s="8">
        <v>12</v>
      </c>
      <c r="G82" s="8">
        <v>12</v>
      </c>
      <c r="H82" s="8">
        <v>12</v>
      </c>
      <c r="I82" s="8">
        <v>9</v>
      </c>
      <c r="J82" s="8">
        <f t="shared" ref="J82" si="1162">IF(J$8="","",(I82+I83))</f>
        <v>14</v>
      </c>
      <c r="K82" s="8">
        <f t="shared" ref="K82" si="1163">IF(K$8="","",(J82+J83))</f>
        <v>14</v>
      </c>
      <c r="L82" s="8">
        <f>IF(L$8="","",(K82+K83))</f>
        <v>14</v>
      </c>
      <c r="M82" s="8" t="str">
        <f t="shared" ref="M82" si="1164">IF(M$8="","",(L82+L83))</f>
        <v/>
      </c>
      <c r="N82" s="8" t="str">
        <f t="shared" ref="N82" si="1165">IF(N$8="","",(M82+M83))</f>
        <v/>
      </c>
      <c r="O82" s="8" t="str">
        <f t="shared" ref="O82" si="1166">IF(O$8="","",(N82+N83))</f>
        <v/>
      </c>
      <c r="P82" s="8" t="str">
        <f>IF(P$8="","",(O82+O83))</f>
        <v/>
      </c>
      <c r="Q82" s="8" t="str">
        <f t="shared" ref="Q82" si="1167">IF(Q$8="","",(P82+P83))</f>
        <v/>
      </c>
      <c r="R82" s="8" t="str">
        <f t="shared" ref="R82" si="1168">IF(R$8="","",(Q82+Q83))</f>
        <v/>
      </c>
      <c r="S82" s="8" t="str">
        <f>IF(S$8="","",(R82+R83))</f>
        <v/>
      </c>
      <c r="T82" s="8" t="str">
        <f t="shared" ref="T82" si="1169">IF(T$8="","",(S82+S83))</f>
        <v/>
      </c>
      <c r="U82" s="8" t="str">
        <f t="shared" ref="U82" si="1170">IF(U$8="","",(T82+T83))</f>
        <v/>
      </c>
      <c r="V82" s="8" t="str">
        <f t="shared" ref="V82" si="1171">IF(V$8="","",(U82+U83))</f>
        <v/>
      </c>
      <c r="W82" s="8" t="str">
        <f>IF(W$8="","",(V82+V83))</f>
        <v/>
      </c>
      <c r="X82" s="8" t="str">
        <f t="shared" ref="X82" si="1172">IF(X$8="","",(W82+W83))</f>
        <v/>
      </c>
      <c r="Y82" s="8" t="str">
        <f t="shared" ref="Y82" si="1173">IF(Y$8="","",(X82+X83))</f>
        <v/>
      </c>
      <c r="Z82" s="8" t="str">
        <f>IF(Z$8="","",(Y82+Y83))</f>
        <v/>
      </c>
      <c r="AA82" s="8" t="str">
        <f t="shared" ref="AA82" si="1174">IF(AA$8="","",(Z82+Z83))</f>
        <v/>
      </c>
      <c r="AB82" s="8" t="str">
        <f t="shared" ref="AB82" si="1175">IF(AB$8="","",(AA82+AA83))</f>
        <v/>
      </c>
      <c r="AC82" s="8" t="str">
        <f t="shared" ref="AC82" si="1176">IF(AC$8="","",(AB82+AB83))</f>
        <v/>
      </c>
      <c r="AD82" s="8" t="str">
        <f>IF(AD$8="","",(AC82+AC83))</f>
        <v/>
      </c>
      <c r="AE82" s="8" t="str">
        <f t="shared" ref="AE82" si="1177">IF(AE$8="","",(AD82+AD83))</f>
        <v/>
      </c>
      <c r="AF82" s="8" t="str">
        <f t="shared" ref="AF82" si="1178">IF(AF$8="","",(AE82+AE83))</f>
        <v/>
      </c>
      <c r="AG82" s="8" t="str">
        <f>IF(AG$8="","",(AF82+AF83))</f>
        <v/>
      </c>
      <c r="AH82" s="8" t="str">
        <f t="shared" ref="AH82" si="1179">IF(AH$8="","",(AG82+AG83))</f>
        <v/>
      </c>
      <c r="AI82" s="8" t="str">
        <f t="shared" ref="AI82" si="1180">IF(AI$8="","",(AH82+AH83))</f>
        <v/>
      </c>
      <c r="AJ82" s="8" t="str">
        <f t="shared" ref="AJ82" si="1181">IF(AJ$8="","",(AI82+AI83))</f>
        <v/>
      </c>
      <c r="AK82" s="8" t="str">
        <f>IF(AK$8="","",(AJ82+AJ83))</f>
        <v/>
      </c>
      <c r="AL82" s="8" t="str">
        <f t="shared" ref="AL82" si="1182">IF(AL$8="","",(AK82+AK83))</f>
        <v/>
      </c>
      <c r="AM82" s="8" t="str">
        <f t="shared" ref="AM82" si="1183">IF(AM$8="","",(AL82+AL83))</f>
        <v/>
      </c>
      <c r="AN82" s="8" t="str">
        <f t="shared" ref="AN82" si="1184">IF(AN$8="","",(AM82+AM83))</f>
        <v/>
      </c>
      <c r="AO82" s="8" t="str">
        <f t="shared" ref="AO82:AS82" si="1185">IF(AO$8="","",(AN82+AN83))</f>
        <v/>
      </c>
      <c r="AP82" s="8" t="str">
        <f t="shared" si="1185"/>
        <v/>
      </c>
      <c r="AQ82" s="8" t="str">
        <f t="shared" si="1185"/>
        <v/>
      </c>
      <c r="AR82" s="8" t="str">
        <f t="shared" si="1185"/>
        <v/>
      </c>
      <c r="AS82" s="8" t="str">
        <f t="shared" si="1185"/>
        <v/>
      </c>
    </row>
    <row r="83" spans="1:45" s="1" customFormat="1" ht="11.25" x14ac:dyDescent="0.15">
      <c r="A83" s="14"/>
      <c r="B83" s="9" t="s">
        <v>7</v>
      </c>
      <c r="C83" s="65"/>
      <c r="D83" s="8"/>
      <c r="E83" s="8"/>
      <c r="F83" s="8"/>
      <c r="G83" s="8"/>
      <c r="H83" s="8"/>
      <c r="I83" s="8">
        <v>5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</row>
    <row r="84" spans="1:45" s="1" customFormat="1" ht="11.25" x14ac:dyDescent="0.15">
      <c r="A84" s="7"/>
      <c r="B84" s="9" t="s">
        <v>8</v>
      </c>
      <c r="C84" s="65">
        <v>400</v>
      </c>
      <c r="D84" s="8">
        <v>400</v>
      </c>
      <c r="E84" s="8">
        <v>400</v>
      </c>
      <c r="F84" s="8">
        <v>400</v>
      </c>
      <c r="G84" s="8">
        <v>400</v>
      </c>
      <c r="H84" s="8">
        <v>400</v>
      </c>
      <c r="I84" s="8">
        <v>400</v>
      </c>
      <c r="J84" s="8">
        <f t="shared" ref="J84:J85" si="1186">IF(J$8="","",I84)</f>
        <v>400</v>
      </c>
      <c r="K84" s="8">
        <f t="shared" ref="K84:K85" si="1187">IF(K$8="","",J84)</f>
        <v>400</v>
      </c>
      <c r="L84" s="8">
        <f t="shared" ref="L84:L85" si="1188">IF(L$8="","",K84)</f>
        <v>400</v>
      </c>
      <c r="M84" s="8" t="str">
        <f t="shared" ref="M84:M85" si="1189">IF(M$8="","",L84)</f>
        <v/>
      </c>
      <c r="N84" s="8" t="str">
        <f t="shared" ref="N84:N85" si="1190">IF(N$8="","",M84)</f>
        <v/>
      </c>
      <c r="O84" s="8" t="str">
        <f t="shared" ref="O84:O85" si="1191">IF(O$8="","",N84)</f>
        <v/>
      </c>
      <c r="P84" s="8" t="str">
        <f t="shared" ref="P84:P85" si="1192">IF(P$8="","",O84)</f>
        <v/>
      </c>
      <c r="Q84" s="8" t="str">
        <f t="shared" ref="Q84:Q85" si="1193">IF(Q$8="","",P84)</f>
        <v/>
      </c>
      <c r="R84" s="8" t="str">
        <f t="shared" ref="R84:R85" si="1194">IF(R$8="","",Q84)</f>
        <v/>
      </c>
      <c r="S84" s="8" t="str">
        <f t="shared" ref="S84:S85" si="1195">IF(S$8="","",R84)</f>
        <v/>
      </c>
      <c r="T84" s="8" t="str">
        <f t="shared" ref="T84:T85" si="1196">IF(T$8="","",S84)</f>
        <v/>
      </c>
      <c r="U84" s="8" t="str">
        <f t="shared" ref="U84:U85" si="1197">IF(U$8="","",T84)</f>
        <v/>
      </c>
      <c r="V84" s="8" t="str">
        <f t="shared" ref="V84:V85" si="1198">IF(V$8="","",U84)</f>
        <v/>
      </c>
      <c r="W84" s="8" t="str">
        <f t="shared" ref="W84:W85" si="1199">IF(W$8="","",V84)</f>
        <v/>
      </c>
      <c r="X84" s="8" t="str">
        <f t="shared" ref="X84:X85" si="1200">IF(X$8="","",W84)</f>
        <v/>
      </c>
      <c r="Y84" s="8" t="str">
        <f t="shared" ref="Y84:Y85" si="1201">IF(Y$8="","",X84)</f>
        <v/>
      </c>
      <c r="Z84" s="8" t="str">
        <f t="shared" ref="Z84:Z85" si="1202">IF(Z$8="","",Y84)</f>
        <v/>
      </c>
      <c r="AA84" s="8" t="str">
        <f t="shared" ref="AA84:AA85" si="1203">IF(AA$8="","",Z84)</f>
        <v/>
      </c>
      <c r="AB84" s="8" t="str">
        <f t="shared" ref="AB84:AB85" si="1204">IF(AB$8="","",AA84)</f>
        <v/>
      </c>
      <c r="AC84" s="8" t="str">
        <f t="shared" ref="AC84:AC85" si="1205">IF(AC$8="","",AB84)</f>
        <v/>
      </c>
      <c r="AD84" s="8" t="str">
        <f t="shared" ref="AD84:AD85" si="1206">IF(AD$8="","",AC84)</f>
        <v/>
      </c>
      <c r="AE84" s="8" t="str">
        <f t="shared" ref="AE84:AE85" si="1207">IF(AE$8="","",AD84)</f>
        <v/>
      </c>
      <c r="AF84" s="8" t="str">
        <f t="shared" ref="AF84:AF85" si="1208">IF(AF$8="","",AE84)</f>
        <v/>
      </c>
      <c r="AG84" s="8" t="str">
        <f t="shared" ref="AG84:AG85" si="1209">IF(AG$8="","",AF84)</f>
        <v/>
      </c>
      <c r="AH84" s="8" t="str">
        <f t="shared" ref="AH84:AH85" si="1210">IF(AH$8="","",AG84)</f>
        <v/>
      </c>
      <c r="AI84" s="8" t="str">
        <f t="shared" ref="AI84:AI85" si="1211">IF(AI$8="","",AH84)</f>
        <v/>
      </c>
      <c r="AJ84" s="8" t="str">
        <f t="shared" ref="AJ84:AJ85" si="1212">IF(AJ$8="","",AI84)</f>
        <v/>
      </c>
      <c r="AK84" s="8" t="str">
        <f t="shared" ref="AK84:AK85" si="1213">IF(AK$8="","",AJ84)</f>
        <v/>
      </c>
      <c r="AL84" s="8" t="str">
        <f t="shared" ref="AL84:AL85" si="1214">IF(AL$8="","",AK84)</f>
        <v/>
      </c>
      <c r="AM84" s="8" t="str">
        <f t="shared" ref="AM84:AM85" si="1215">IF(AM$8="","",AL84)</f>
        <v/>
      </c>
      <c r="AN84" s="8" t="str">
        <f t="shared" ref="AN84:AN85" si="1216">IF(AN$8="","",AM84)</f>
        <v/>
      </c>
      <c r="AO84" s="8" t="str">
        <f t="shared" ref="AO84:AS84" si="1217">IF(AO$8="","",AN84)</f>
        <v/>
      </c>
      <c r="AP84" s="8" t="str">
        <f t="shared" si="1217"/>
        <v/>
      </c>
      <c r="AQ84" s="8" t="str">
        <f t="shared" si="1217"/>
        <v/>
      </c>
      <c r="AR84" s="8" t="str">
        <f t="shared" si="1217"/>
        <v/>
      </c>
      <c r="AS84" s="8" t="str">
        <f t="shared" si="1217"/>
        <v/>
      </c>
    </row>
    <row r="85" spans="1:45" s="85" customFormat="1" ht="11.25" x14ac:dyDescent="0.15">
      <c r="A85" s="14" t="s">
        <v>9</v>
      </c>
      <c r="B85" s="13" t="s">
        <v>10</v>
      </c>
      <c r="C85" s="66" t="s">
        <v>69</v>
      </c>
      <c r="D85" s="12" t="s">
        <v>69</v>
      </c>
      <c r="E85" s="12" t="s">
        <v>69</v>
      </c>
      <c r="F85" s="12" t="s">
        <v>69</v>
      </c>
      <c r="G85" s="12" t="s">
        <v>69</v>
      </c>
      <c r="H85" s="12" t="s">
        <v>69</v>
      </c>
      <c r="I85" s="12" t="s">
        <v>69</v>
      </c>
      <c r="J85" s="12" t="str">
        <f t="shared" si="1186"/>
        <v>バタースクイーズ</v>
      </c>
      <c r="K85" s="12" t="str">
        <f t="shared" si="1187"/>
        <v>バタースクイーズ</v>
      </c>
      <c r="L85" s="12" t="str">
        <f t="shared" si="1188"/>
        <v>バタースクイーズ</v>
      </c>
      <c r="M85" s="12" t="str">
        <f t="shared" si="1189"/>
        <v/>
      </c>
      <c r="N85" s="12" t="str">
        <f t="shared" si="1190"/>
        <v/>
      </c>
      <c r="O85" s="12" t="str">
        <f t="shared" si="1191"/>
        <v/>
      </c>
      <c r="P85" s="12" t="str">
        <f t="shared" si="1192"/>
        <v/>
      </c>
      <c r="Q85" s="12" t="str">
        <f t="shared" si="1193"/>
        <v/>
      </c>
      <c r="R85" s="12" t="str">
        <f t="shared" si="1194"/>
        <v/>
      </c>
      <c r="S85" s="12" t="str">
        <f t="shared" si="1195"/>
        <v/>
      </c>
      <c r="T85" s="12" t="str">
        <f t="shared" si="1196"/>
        <v/>
      </c>
      <c r="U85" s="12" t="str">
        <f t="shared" si="1197"/>
        <v/>
      </c>
      <c r="V85" s="12" t="str">
        <f t="shared" si="1198"/>
        <v/>
      </c>
      <c r="W85" s="12" t="str">
        <f t="shared" si="1199"/>
        <v/>
      </c>
      <c r="X85" s="12" t="str">
        <f t="shared" si="1200"/>
        <v/>
      </c>
      <c r="Y85" s="12" t="str">
        <f t="shared" si="1201"/>
        <v/>
      </c>
      <c r="Z85" s="12" t="str">
        <f t="shared" si="1202"/>
        <v/>
      </c>
      <c r="AA85" s="12" t="str">
        <f t="shared" si="1203"/>
        <v/>
      </c>
      <c r="AB85" s="12" t="str">
        <f t="shared" si="1204"/>
        <v/>
      </c>
      <c r="AC85" s="12" t="str">
        <f t="shared" si="1205"/>
        <v/>
      </c>
      <c r="AD85" s="12" t="str">
        <f t="shared" si="1206"/>
        <v/>
      </c>
      <c r="AE85" s="12" t="str">
        <f t="shared" si="1207"/>
        <v/>
      </c>
      <c r="AF85" s="12" t="str">
        <f t="shared" si="1208"/>
        <v/>
      </c>
      <c r="AG85" s="12" t="str">
        <f t="shared" si="1209"/>
        <v/>
      </c>
      <c r="AH85" s="12" t="str">
        <f t="shared" si="1210"/>
        <v/>
      </c>
      <c r="AI85" s="12" t="str">
        <f t="shared" si="1211"/>
        <v/>
      </c>
      <c r="AJ85" s="12" t="str">
        <f t="shared" si="1212"/>
        <v/>
      </c>
      <c r="AK85" s="12" t="str">
        <f t="shared" si="1213"/>
        <v/>
      </c>
      <c r="AL85" s="12" t="str">
        <f t="shared" si="1214"/>
        <v/>
      </c>
      <c r="AM85" s="12" t="str">
        <f t="shared" si="1215"/>
        <v/>
      </c>
      <c r="AN85" s="12" t="str">
        <f t="shared" si="1216"/>
        <v/>
      </c>
      <c r="AO85" s="12" t="str">
        <f t="shared" ref="AO85:AS85" si="1218">IF(AO$8="","",AN85)</f>
        <v/>
      </c>
      <c r="AP85" s="12" t="str">
        <f t="shared" si="1218"/>
        <v/>
      </c>
      <c r="AQ85" s="12" t="str">
        <f t="shared" si="1218"/>
        <v/>
      </c>
      <c r="AR85" s="12" t="str">
        <f t="shared" si="1218"/>
        <v/>
      </c>
      <c r="AS85" s="12" t="str">
        <f t="shared" si="1218"/>
        <v/>
      </c>
    </row>
    <row r="86" spans="1:45" s="1" customFormat="1" ht="11.25" x14ac:dyDescent="0.15">
      <c r="A86" s="7">
        <f>AVERAGE(C87:AS87)*30*100</f>
        <v>31800</v>
      </c>
      <c r="B86" s="9" t="s">
        <v>12</v>
      </c>
      <c r="C86" s="6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</row>
    <row r="87" spans="1:45" s="1" customFormat="1" ht="11.25" x14ac:dyDescent="0.15">
      <c r="A87" s="7">
        <f>SUM(C87:AS87)</f>
        <v>106</v>
      </c>
      <c r="B87" s="6" t="s">
        <v>13</v>
      </c>
      <c r="C87" s="65">
        <v>0</v>
      </c>
      <c r="D87" s="5">
        <v>0</v>
      </c>
      <c r="E87" s="5">
        <v>65</v>
      </c>
      <c r="F87" s="5">
        <v>0</v>
      </c>
      <c r="G87" s="5">
        <v>0</v>
      </c>
      <c r="H87" s="5">
        <v>0</v>
      </c>
      <c r="I87" s="5">
        <v>20</v>
      </c>
      <c r="J87" s="5">
        <f t="shared" ref="J87:J88" si="1219">IF(J$8="","",J80-I80)</f>
        <v>0</v>
      </c>
      <c r="K87" s="5">
        <f t="shared" ref="K87:K88" si="1220">IF(K$8="","",K80-J80)</f>
        <v>0</v>
      </c>
      <c r="L87" s="5">
        <f t="shared" ref="L87:L88" si="1221">IF(L$8="","",L80-K80)</f>
        <v>21</v>
      </c>
      <c r="M87" s="5" t="str">
        <f t="shared" ref="M87:M88" si="1222">IF(M$8="","",M80-L80)</f>
        <v/>
      </c>
      <c r="N87" s="5" t="str">
        <f t="shared" ref="N87:N88" si="1223">IF(N$8="","",N80-M80)</f>
        <v/>
      </c>
      <c r="O87" s="5" t="str">
        <f t="shared" ref="O87:O88" si="1224">IF(O$8="","",O80-N80)</f>
        <v/>
      </c>
      <c r="P87" s="5" t="str">
        <f t="shared" ref="P87:P88" si="1225">IF(P$8="","",P80-O80)</f>
        <v/>
      </c>
      <c r="Q87" s="5" t="str">
        <f t="shared" ref="Q87:Q88" si="1226">IF(Q$8="","",Q80-P80)</f>
        <v/>
      </c>
      <c r="R87" s="5" t="str">
        <f t="shared" ref="R87:R88" si="1227">IF(R$8="","",R80-Q80)</f>
        <v/>
      </c>
      <c r="S87" s="5" t="str">
        <f t="shared" ref="S87:S88" si="1228">IF(S$8="","",S80-R80)</f>
        <v/>
      </c>
      <c r="T87" s="5" t="str">
        <f t="shared" ref="T87:T88" si="1229">IF(T$8="","",T80-S80)</f>
        <v/>
      </c>
      <c r="U87" s="5" t="str">
        <f t="shared" ref="U87:U88" si="1230">IF(U$8="","",U80-T80)</f>
        <v/>
      </c>
      <c r="V87" s="5" t="str">
        <f t="shared" ref="V87:V88" si="1231">IF(V$8="","",V80-U80)</f>
        <v/>
      </c>
      <c r="W87" s="5" t="str">
        <f t="shared" ref="W87:W88" si="1232">IF(W$8="","",W80-V80)</f>
        <v/>
      </c>
      <c r="X87" s="5" t="str">
        <f t="shared" ref="X87:X88" si="1233">IF(X$8="","",X80-W80)</f>
        <v/>
      </c>
      <c r="Y87" s="5" t="str">
        <f t="shared" ref="Y87:Y88" si="1234">IF(Y$8="","",Y80-X80)</f>
        <v/>
      </c>
      <c r="Z87" s="5" t="str">
        <f t="shared" ref="Z87:Z88" si="1235">IF(Z$8="","",Z80-Y80)</f>
        <v/>
      </c>
      <c r="AA87" s="5" t="str">
        <f t="shared" ref="AA87:AA88" si="1236">IF(AA$8="","",AA80-Z80)</f>
        <v/>
      </c>
      <c r="AB87" s="5" t="str">
        <f t="shared" ref="AB87:AB88" si="1237">IF(AB$8="","",AB80-AA80)</f>
        <v/>
      </c>
      <c r="AC87" s="5" t="str">
        <f t="shared" ref="AC87:AC88" si="1238">IF(AC$8="","",AC80-AB80)</f>
        <v/>
      </c>
      <c r="AD87" s="5" t="str">
        <f t="shared" ref="AD87:AD88" si="1239">IF(AD$8="","",AD80-AC80)</f>
        <v/>
      </c>
      <c r="AE87" s="5" t="str">
        <f t="shared" ref="AE87:AE88" si="1240">IF(AE$8="","",AE80-AD80)</f>
        <v/>
      </c>
      <c r="AF87" s="5" t="str">
        <f t="shared" ref="AF87:AF88" si="1241">IF(AF$8="","",AF80-AE80)</f>
        <v/>
      </c>
      <c r="AG87" s="5" t="str">
        <f t="shared" ref="AG87:AG88" si="1242">IF(AG$8="","",AG80-AF80)</f>
        <v/>
      </c>
      <c r="AH87" s="5" t="str">
        <f t="shared" ref="AH87:AH88" si="1243">IF(AH$8="","",AH80-AG80)</f>
        <v/>
      </c>
      <c r="AI87" s="5" t="str">
        <f t="shared" ref="AI87:AI88" si="1244">IF(AI$8="","",AI80-AH80)</f>
        <v/>
      </c>
      <c r="AJ87" s="5" t="str">
        <f t="shared" ref="AJ87:AJ88" si="1245">IF(AJ$8="","",AJ80-AI80)</f>
        <v/>
      </c>
      <c r="AK87" s="5" t="str">
        <f t="shared" ref="AK87:AK88" si="1246">IF(AK$8="","",AK80-AJ80)</f>
        <v/>
      </c>
      <c r="AL87" s="5" t="str">
        <f t="shared" ref="AL87:AL88" si="1247">IF(AL$8="","",AL80-AK80)</f>
        <v/>
      </c>
      <c r="AM87" s="5" t="str">
        <f t="shared" ref="AM87:AM88" si="1248">IF(AM$8="","",AM80-AL80)</f>
        <v/>
      </c>
      <c r="AN87" s="5" t="str">
        <f t="shared" ref="AN87:AN88" si="1249">IF(AN$8="","",AN80-AM80)</f>
        <v/>
      </c>
      <c r="AO87" s="5" t="str">
        <f t="shared" ref="AO87:AS87" si="1250">IF(AO$8="","",AO80-AN80)</f>
        <v/>
      </c>
      <c r="AP87" s="5" t="str">
        <f t="shared" si="1250"/>
        <v/>
      </c>
      <c r="AQ87" s="5" t="str">
        <f t="shared" si="1250"/>
        <v/>
      </c>
      <c r="AR87" s="5" t="str">
        <f t="shared" si="1250"/>
        <v/>
      </c>
      <c r="AS87" s="5" t="str">
        <f t="shared" si="1250"/>
        <v/>
      </c>
    </row>
    <row r="88" spans="1:45" s="1" customFormat="1" ht="11.25" x14ac:dyDescent="0.15">
      <c r="A88" s="7">
        <f>SUM(C88:AS88)</f>
        <v>5</v>
      </c>
      <c r="B88" s="6" t="s">
        <v>14</v>
      </c>
      <c r="C88" s="65">
        <v>0</v>
      </c>
      <c r="D88" s="5">
        <v>0</v>
      </c>
      <c r="E88" s="5">
        <v>2</v>
      </c>
      <c r="F88" s="5">
        <v>0</v>
      </c>
      <c r="G88" s="5">
        <v>0</v>
      </c>
      <c r="H88" s="5">
        <v>0</v>
      </c>
      <c r="I88" s="5">
        <v>3</v>
      </c>
      <c r="J88" s="5">
        <f t="shared" si="1219"/>
        <v>0</v>
      </c>
      <c r="K88" s="5">
        <f t="shared" si="1220"/>
        <v>0</v>
      </c>
      <c r="L88" s="5">
        <f t="shared" si="1221"/>
        <v>0</v>
      </c>
      <c r="M88" s="5" t="str">
        <f t="shared" si="1222"/>
        <v/>
      </c>
      <c r="N88" s="5" t="str">
        <f t="shared" si="1223"/>
        <v/>
      </c>
      <c r="O88" s="5" t="str">
        <f t="shared" si="1224"/>
        <v/>
      </c>
      <c r="P88" s="5" t="str">
        <f t="shared" si="1225"/>
        <v/>
      </c>
      <c r="Q88" s="5" t="str">
        <f t="shared" si="1226"/>
        <v/>
      </c>
      <c r="R88" s="5" t="str">
        <f t="shared" si="1227"/>
        <v/>
      </c>
      <c r="S88" s="5" t="str">
        <f t="shared" si="1228"/>
        <v/>
      </c>
      <c r="T88" s="5" t="str">
        <f t="shared" si="1229"/>
        <v/>
      </c>
      <c r="U88" s="5" t="str">
        <f t="shared" si="1230"/>
        <v/>
      </c>
      <c r="V88" s="5" t="str">
        <f t="shared" si="1231"/>
        <v/>
      </c>
      <c r="W88" s="5" t="str">
        <f t="shared" si="1232"/>
        <v/>
      </c>
      <c r="X88" s="5" t="str">
        <f t="shared" si="1233"/>
        <v/>
      </c>
      <c r="Y88" s="5" t="str">
        <f t="shared" si="1234"/>
        <v/>
      </c>
      <c r="Z88" s="5" t="str">
        <f t="shared" si="1235"/>
        <v/>
      </c>
      <c r="AA88" s="5" t="str">
        <f t="shared" si="1236"/>
        <v/>
      </c>
      <c r="AB88" s="5" t="str">
        <f t="shared" si="1237"/>
        <v/>
      </c>
      <c r="AC88" s="5" t="str">
        <f t="shared" si="1238"/>
        <v/>
      </c>
      <c r="AD88" s="5" t="str">
        <f t="shared" si="1239"/>
        <v/>
      </c>
      <c r="AE88" s="5" t="str">
        <f t="shared" si="1240"/>
        <v/>
      </c>
      <c r="AF88" s="5" t="str">
        <f t="shared" si="1241"/>
        <v/>
      </c>
      <c r="AG88" s="5" t="str">
        <f t="shared" si="1242"/>
        <v/>
      </c>
      <c r="AH88" s="5" t="str">
        <f t="shared" si="1243"/>
        <v/>
      </c>
      <c r="AI88" s="5" t="str">
        <f t="shared" si="1244"/>
        <v/>
      </c>
      <c r="AJ88" s="5" t="str">
        <f t="shared" si="1245"/>
        <v/>
      </c>
      <c r="AK88" s="5" t="str">
        <f t="shared" si="1246"/>
        <v/>
      </c>
      <c r="AL88" s="5" t="str">
        <f t="shared" si="1247"/>
        <v/>
      </c>
      <c r="AM88" s="5" t="str">
        <f t="shared" si="1248"/>
        <v/>
      </c>
      <c r="AN88" s="5" t="str">
        <f t="shared" si="1249"/>
        <v/>
      </c>
      <c r="AO88" s="5" t="str">
        <f t="shared" ref="AO88:AS88" si="1251">IF(AO$8="","",AO81-AN81)</f>
        <v/>
      </c>
      <c r="AP88" s="5" t="str">
        <f t="shared" si="1251"/>
        <v/>
      </c>
      <c r="AQ88" s="5" t="str">
        <f t="shared" si="1251"/>
        <v/>
      </c>
      <c r="AR88" s="5" t="str">
        <f t="shared" si="1251"/>
        <v/>
      </c>
      <c r="AS88" s="5" t="str">
        <f t="shared" si="1251"/>
        <v/>
      </c>
    </row>
    <row r="89" spans="1:45" s="1" customFormat="1" ht="11.25" x14ac:dyDescent="0.15">
      <c r="A89" s="7">
        <f>SUM(C89:AS89)</f>
        <v>4</v>
      </c>
      <c r="B89" s="6" t="s">
        <v>15</v>
      </c>
      <c r="C89" s="65">
        <v>0</v>
      </c>
      <c r="D89" s="5">
        <v>0</v>
      </c>
      <c r="E89" s="5">
        <v>1</v>
      </c>
      <c r="F89" s="5">
        <v>0</v>
      </c>
      <c r="G89" s="5">
        <v>0</v>
      </c>
      <c r="H89" s="5">
        <v>0</v>
      </c>
      <c r="I89" s="5">
        <v>3</v>
      </c>
      <c r="J89" s="5">
        <f t="shared" ref="J89" si="1252">IF(J$8="","",I82+I83-J82)</f>
        <v>0</v>
      </c>
      <c r="K89" s="5">
        <f t="shared" ref="K89" si="1253">IF(K$8="","",J82+J83-K82)</f>
        <v>0</v>
      </c>
      <c r="L89" s="5">
        <f t="shared" ref="L89" si="1254">IF(L$8="","",K82+K83-L82)</f>
        <v>0</v>
      </c>
      <c r="M89" s="5" t="str">
        <f t="shared" ref="M89" si="1255">IF(M$8="","",L82+L83-M82)</f>
        <v/>
      </c>
      <c r="N89" s="5" t="str">
        <f t="shared" ref="N89" si="1256">IF(N$8="","",M82+M83-N82)</f>
        <v/>
      </c>
      <c r="O89" s="5" t="str">
        <f t="shared" ref="O89" si="1257">IF(O$8="","",N82+N83-O82)</f>
        <v/>
      </c>
      <c r="P89" s="5" t="str">
        <f t="shared" ref="P89" si="1258">IF(P$8="","",O82+O83-P82)</f>
        <v/>
      </c>
      <c r="Q89" s="5" t="str">
        <f t="shared" ref="Q89" si="1259">IF(Q$8="","",P82+P83-Q82)</f>
        <v/>
      </c>
      <c r="R89" s="5" t="str">
        <f t="shared" ref="R89" si="1260">IF(R$8="","",Q82+Q83-R82)</f>
        <v/>
      </c>
      <c r="S89" s="5" t="str">
        <f t="shared" ref="S89" si="1261">IF(S$8="","",R82+R83-S82)</f>
        <v/>
      </c>
      <c r="T89" s="5" t="str">
        <f t="shared" ref="T89" si="1262">IF(T$8="","",S82+S83-T82)</f>
        <v/>
      </c>
      <c r="U89" s="5" t="str">
        <f t="shared" ref="U89" si="1263">IF(U$8="","",T82+T83-U82)</f>
        <v/>
      </c>
      <c r="V89" s="5" t="str">
        <f t="shared" ref="V89" si="1264">IF(V$8="","",U82+U83-V82)</f>
        <v/>
      </c>
      <c r="W89" s="5" t="str">
        <f t="shared" ref="W89" si="1265">IF(W$8="","",V82+V83-W82)</f>
        <v/>
      </c>
      <c r="X89" s="5" t="str">
        <f t="shared" ref="X89" si="1266">IF(X$8="","",W82+W83-X82)</f>
        <v/>
      </c>
      <c r="Y89" s="5" t="str">
        <f t="shared" ref="Y89" si="1267">IF(Y$8="","",X82+X83-Y82)</f>
        <v/>
      </c>
      <c r="Z89" s="5" t="str">
        <f t="shared" ref="Z89" si="1268">IF(Z$8="","",Y82+Y83-Z82)</f>
        <v/>
      </c>
      <c r="AA89" s="5" t="str">
        <f t="shared" ref="AA89" si="1269">IF(AA$8="","",Z82+Z83-AA82)</f>
        <v/>
      </c>
      <c r="AB89" s="5" t="str">
        <f t="shared" ref="AB89" si="1270">IF(AB$8="","",AA82+AA83-AB82)</f>
        <v/>
      </c>
      <c r="AC89" s="5" t="str">
        <f t="shared" ref="AC89" si="1271">IF(AC$8="","",AB82+AB83-AC82)</f>
        <v/>
      </c>
      <c r="AD89" s="5" t="str">
        <f t="shared" ref="AD89" si="1272">IF(AD$8="","",AC82+AC83-AD82)</f>
        <v/>
      </c>
      <c r="AE89" s="5" t="str">
        <f t="shared" ref="AE89" si="1273">IF(AE$8="","",AD82+AD83-AE82)</f>
        <v/>
      </c>
      <c r="AF89" s="5" t="str">
        <f t="shared" ref="AF89" si="1274">IF(AF$8="","",AE82+AE83-AF82)</f>
        <v/>
      </c>
      <c r="AG89" s="5" t="str">
        <f t="shared" ref="AG89" si="1275">IF(AG$8="","",AF82+AF83-AG82)</f>
        <v/>
      </c>
      <c r="AH89" s="5" t="str">
        <f t="shared" ref="AH89" si="1276">IF(AH$8="","",AG82+AG83-AH82)</f>
        <v/>
      </c>
      <c r="AI89" s="5" t="str">
        <f t="shared" ref="AI89" si="1277">IF(AI$8="","",AH82+AH83-AI82)</f>
        <v/>
      </c>
      <c r="AJ89" s="5" t="str">
        <f t="shared" ref="AJ89" si="1278">IF(AJ$8="","",AI82+AI83-AJ82)</f>
        <v/>
      </c>
      <c r="AK89" s="5" t="str">
        <f t="shared" ref="AK89" si="1279">IF(AK$8="","",AJ82+AJ83-AK82)</f>
        <v/>
      </c>
      <c r="AL89" s="5" t="str">
        <f t="shared" ref="AL89" si="1280">IF(AL$8="","",AK82+AK83-AL82)</f>
        <v/>
      </c>
      <c r="AM89" s="5" t="str">
        <f t="shared" ref="AM89" si="1281">IF(AM$8="","",AL82+AL83-AM82)</f>
        <v/>
      </c>
      <c r="AN89" s="5" t="str">
        <f t="shared" ref="AN89" si="1282">IF(AN$8="","",AM82+AM83-AN82)</f>
        <v/>
      </c>
      <c r="AO89" s="5" t="str">
        <f t="shared" ref="AO89:AS89" si="1283">IF(AO$8="","",AN82+AN83-AO82)</f>
        <v/>
      </c>
      <c r="AP89" s="5" t="str">
        <f t="shared" si="1283"/>
        <v/>
      </c>
      <c r="AQ89" s="5" t="str">
        <f t="shared" si="1283"/>
        <v/>
      </c>
      <c r="AR89" s="5" t="str">
        <f t="shared" si="1283"/>
        <v/>
      </c>
      <c r="AS89" s="5" t="str">
        <f t="shared" si="1283"/>
        <v/>
      </c>
    </row>
    <row r="90" spans="1:45" s="1" customFormat="1" ht="11.25" x14ac:dyDescent="0.15">
      <c r="A90" s="7">
        <f>SUM(C90:AS90)</f>
        <v>1600</v>
      </c>
      <c r="B90" s="6" t="s">
        <v>16</v>
      </c>
      <c r="C90" s="65">
        <v>0</v>
      </c>
      <c r="D90" s="5">
        <v>0</v>
      </c>
      <c r="E90" s="5">
        <v>400</v>
      </c>
      <c r="F90" s="5">
        <v>0</v>
      </c>
      <c r="G90" s="5">
        <v>0</v>
      </c>
      <c r="H90" s="5">
        <v>0</v>
      </c>
      <c r="I90" s="5">
        <v>1200</v>
      </c>
      <c r="J90" s="5">
        <f t="shared" ref="D90:AN90" si="1284">IF(J$8="","",J89*J84)</f>
        <v>0</v>
      </c>
      <c r="K90" s="5">
        <f t="shared" si="1284"/>
        <v>0</v>
      </c>
      <c r="L90" s="5">
        <f t="shared" si="1284"/>
        <v>0</v>
      </c>
      <c r="M90" s="5" t="str">
        <f t="shared" si="1284"/>
        <v/>
      </c>
      <c r="N90" s="5" t="str">
        <f t="shared" si="1284"/>
        <v/>
      </c>
      <c r="O90" s="5" t="str">
        <f t="shared" si="1284"/>
        <v/>
      </c>
      <c r="P90" s="5" t="str">
        <f t="shared" si="1284"/>
        <v/>
      </c>
      <c r="Q90" s="5" t="str">
        <f t="shared" si="1284"/>
        <v/>
      </c>
      <c r="R90" s="5" t="str">
        <f t="shared" si="1284"/>
        <v/>
      </c>
      <c r="S90" s="5" t="str">
        <f t="shared" si="1284"/>
        <v/>
      </c>
      <c r="T90" s="5" t="str">
        <f t="shared" si="1284"/>
        <v/>
      </c>
      <c r="U90" s="5" t="str">
        <f t="shared" si="1284"/>
        <v/>
      </c>
      <c r="V90" s="5" t="str">
        <f t="shared" si="1284"/>
        <v/>
      </c>
      <c r="W90" s="5" t="str">
        <f t="shared" si="1284"/>
        <v/>
      </c>
      <c r="X90" s="5" t="str">
        <f t="shared" si="1284"/>
        <v/>
      </c>
      <c r="Y90" s="5" t="str">
        <f t="shared" si="1284"/>
        <v/>
      </c>
      <c r="Z90" s="5" t="str">
        <f t="shared" si="1284"/>
        <v/>
      </c>
      <c r="AA90" s="5" t="str">
        <f t="shared" si="1284"/>
        <v/>
      </c>
      <c r="AB90" s="5" t="str">
        <f t="shared" si="1284"/>
        <v/>
      </c>
      <c r="AC90" s="5" t="str">
        <f t="shared" si="1284"/>
        <v/>
      </c>
      <c r="AD90" s="5" t="str">
        <f t="shared" si="1284"/>
        <v/>
      </c>
      <c r="AE90" s="5" t="str">
        <f t="shared" si="1284"/>
        <v/>
      </c>
      <c r="AF90" s="5" t="str">
        <f t="shared" si="1284"/>
        <v/>
      </c>
      <c r="AG90" s="5" t="str">
        <f t="shared" si="1284"/>
        <v/>
      </c>
      <c r="AH90" s="5" t="str">
        <f t="shared" si="1284"/>
        <v/>
      </c>
      <c r="AI90" s="5" t="str">
        <f t="shared" si="1284"/>
        <v/>
      </c>
      <c r="AJ90" s="5" t="str">
        <f t="shared" si="1284"/>
        <v/>
      </c>
      <c r="AK90" s="5" t="str">
        <f t="shared" si="1284"/>
        <v/>
      </c>
      <c r="AL90" s="5" t="str">
        <f t="shared" si="1284"/>
        <v/>
      </c>
      <c r="AM90" s="5" t="str">
        <f t="shared" si="1284"/>
        <v/>
      </c>
      <c r="AN90" s="5" t="str">
        <f t="shared" si="1284"/>
        <v/>
      </c>
      <c r="AO90" s="5" t="str">
        <f t="shared" ref="AO90:AS90" si="1285">IF(AO$8="","",AO89*AO84)</f>
        <v/>
      </c>
      <c r="AP90" s="5" t="str">
        <f t="shared" si="1285"/>
        <v/>
      </c>
      <c r="AQ90" s="5" t="str">
        <f t="shared" si="1285"/>
        <v/>
      </c>
      <c r="AR90" s="5" t="str">
        <f t="shared" si="1285"/>
        <v/>
      </c>
      <c r="AS90" s="5" t="str">
        <f t="shared" si="1285"/>
        <v/>
      </c>
    </row>
    <row r="91" spans="1:45" s="1" customFormat="1" ht="12" thickBot="1" x14ac:dyDescent="0.2">
      <c r="A91" s="4">
        <f>IF(A90="","",A90/(A87*100))</f>
        <v>0.15094339622641509</v>
      </c>
      <c r="B91" s="6" t="s">
        <v>18</v>
      </c>
      <c r="C91" s="67" t="s">
        <v>19</v>
      </c>
      <c r="D91" s="18" t="s">
        <v>19</v>
      </c>
      <c r="E91" s="18">
        <v>6.1538461538461542E-2</v>
      </c>
      <c r="F91" s="18" t="s">
        <v>19</v>
      </c>
      <c r="G91" s="18" t="s">
        <v>19</v>
      </c>
      <c r="H91" s="18" t="s">
        <v>19</v>
      </c>
      <c r="I91" s="18">
        <v>0.6</v>
      </c>
      <c r="J91" s="18" t="str">
        <f t="shared" ref="D91:AN91" si="1286">IF(J$8="","",IF(J90=0,"",J90/(J87*100)))</f>
        <v/>
      </c>
      <c r="K91" s="18" t="str">
        <f t="shared" si="1286"/>
        <v/>
      </c>
      <c r="L91" s="18" t="str">
        <f t="shared" si="1286"/>
        <v/>
      </c>
      <c r="M91" s="18" t="str">
        <f t="shared" si="1286"/>
        <v/>
      </c>
      <c r="N91" s="18" t="str">
        <f t="shared" si="1286"/>
        <v/>
      </c>
      <c r="O91" s="18" t="str">
        <f t="shared" si="1286"/>
        <v/>
      </c>
      <c r="P91" s="18" t="str">
        <f t="shared" si="1286"/>
        <v/>
      </c>
      <c r="Q91" s="18" t="str">
        <f t="shared" si="1286"/>
        <v/>
      </c>
      <c r="R91" s="18" t="str">
        <f t="shared" si="1286"/>
        <v/>
      </c>
      <c r="S91" s="18" t="str">
        <f t="shared" si="1286"/>
        <v/>
      </c>
      <c r="T91" s="18" t="str">
        <f t="shared" si="1286"/>
        <v/>
      </c>
      <c r="U91" s="18" t="str">
        <f t="shared" si="1286"/>
        <v/>
      </c>
      <c r="V91" s="18" t="str">
        <f t="shared" si="1286"/>
        <v/>
      </c>
      <c r="W91" s="18" t="str">
        <f t="shared" si="1286"/>
        <v/>
      </c>
      <c r="X91" s="18" t="str">
        <f t="shared" si="1286"/>
        <v/>
      </c>
      <c r="Y91" s="18" t="str">
        <f t="shared" si="1286"/>
        <v/>
      </c>
      <c r="Z91" s="18" t="str">
        <f t="shared" si="1286"/>
        <v/>
      </c>
      <c r="AA91" s="18" t="str">
        <f t="shared" si="1286"/>
        <v/>
      </c>
      <c r="AB91" s="18" t="str">
        <f t="shared" si="1286"/>
        <v/>
      </c>
      <c r="AC91" s="18" t="str">
        <f t="shared" si="1286"/>
        <v/>
      </c>
      <c r="AD91" s="18" t="str">
        <f t="shared" si="1286"/>
        <v/>
      </c>
      <c r="AE91" s="18" t="str">
        <f t="shared" si="1286"/>
        <v/>
      </c>
      <c r="AF91" s="18" t="str">
        <f t="shared" si="1286"/>
        <v/>
      </c>
      <c r="AG91" s="18" t="str">
        <f t="shared" si="1286"/>
        <v/>
      </c>
      <c r="AH91" s="18" t="str">
        <f t="shared" si="1286"/>
        <v/>
      </c>
      <c r="AI91" s="18" t="str">
        <f t="shared" si="1286"/>
        <v/>
      </c>
      <c r="AJ91" s="18" t="str">
        <f t="shared" si="1286"/>
        <v/>
      </c>
      <c r="AK91" s="18" t="str">
        <f t="shared" si="1286"/>
        <v/>
      </c>
      <c r="AL91" s="18" t="str">
        <f t="shared" si="1286"/>
        <v/>
      </c>
      <c r="AM91" s="18" t="str">
        <f t="shared" si="1286"/>
        <v/>
      </c>
      <c r="AN91" s="18" t="str">
        <f t="shared" si="1286"/>
        <v/>
      </c>
      <c r="AO91" s="18" t="str">
        <f t="shared" ref="AO91:AS91" si="1287">IF(AO$8="","",IF(AO90=0,"",AO90/(AO87*100)))</f>
        <v/>
      </c>
      <c r="AP91" s="18" t="str">
        <f t="shared" si="1287"/>
        <v/>
      </c>
      <c r="AQ91" s="18" t="str">
        <f t="shared" si="1287"/>
        <v/>
      </c>
      <c r="AR91" s="18" t="str">
        <f t="shared" si="1287"/>
        <v/>
      </c>
      <c r="AS91" s="18" t="str">
        <f t="shared" si="1287"/>
        <v/>
      </c>
    </row>
    <row r="92" spans="1:45" s="1" customFormat="1" ht="11.25" x14ac:dyDescent="0.15">
      <c r="A92" s="17" t="s">
        <v>46</v>
      </c>
      <c r="B92" s="9" t="s">
        <v>2</v>
      </c>
      <c r="C92" s="65">
        <v>3729</v>
      </c>
      <c r="D92" s="8">
        <v>3729</v>
      </c>
      <c r="E92" s="8">
        <v>3775</v>
      </c>
      <c r="F92" s="8">
        <v>3775</v>
      </c>
      <c r="G92" s="8">
        <v>3775</v>
      </c>
      <c r="H92" s="8">
        <v>3775</v>
      </c>
      <c r="I92" s="8">
        <v>3834</v>
      </c>
      <c r="J92" s="8">
        <f t="shared" ref="J92:J93" si="1288">IF(J$8="","",I92)</f>
        <v>3834</v>
      </c>
      <c r="K92" s="8">
        <f t="shared" ref="K92:K93" si="1289">IF(K$8="","",J92)</f>
        <v>3834</v>
      </c>
      <c r="L92" s="8">
        <v>3883</v>
      </c>
      <c r="M92" s="8" t="str">
        <f t="shared" ref="M92:M93" si="1290">IF(M$8="","",L92)</f>
        <v/>
      </c>
      <c r="N92" s="8" t="str">
        <f t="shared" ref="N92:N93" si="1291">IF(N$8="","",M92)</f>
        <v/>
      </c>
      <c r="O92" s="8" t="str">
        <f t="shared" ref="O92:O93" si="1292">IF(O$8="","",N92)</f>
        <v/>
      </c>
      <c r="P92" s="8" t="str">
        <f>IF(P$8="","",O92)</f>
        <v/>
      </c>
      <c r="Q92" s="8" t="str">
        <f t="shared" ref="Q92:Q93" si="1293">IF(Q$8="","",P92)</f>
        <v/>
      </c>
      <c r="R92" s="8" t="str">
        <f t="shared" ref="R92:R93" si="1294">IF(R$8="","",Q92)</f>
        <v/>
      </c>
      <c r="S92" s="8" t="str">
        <f>IF(S$8="","",R92)</f>
        <v/>
      </c>
      <c r="T92" s="8" t="str">
        <f t="shared" ref="T92:T93" si="1295">IF(T$8="","",S92)</f>
        <v/>
      </c>
      <c r="U92" s="8" t="str">
        <f t="shared" ref="U92:U93" si="1296">IF(U$8="","",T92)</f>
        <v/>
      </c>
      <c r="V92" s="8" t="str">
        <f t="shared" ref="V92:V93" si="1297">IF(V$8="","",U92)</f>
        <v/>
      </c>
      <c r="W92" s="8" t="str">
        <f>IF(W$8="","",V92)</f>
        <v/>
      </c>
      <c r="X92" s="8" t="str">
        <f t="shared" ref="X92:X93" si="1298">IF(X$8="","",W92)</f>
        <v/>
      </c>
      <c r="Y92" s="8" t="str">
        <f t="shared" ref="Y92:Y93" si="1299">IF(Y$8="","",X92)</f>
        <v/>
      </c>
      <c r="Z92" s="8" t="str">
        <f>IF(Z$8="","",Y92)</f>
        <v/>
      </c>
      <c r="AA92" s="8" t="str">
        <f t="shared" ref="AA92:AA93" si="1300">IF(AA$8="","",Z92)</f>
        <v/>
      </c>
      <c r="AB92" s="8" t="str">
        <f t="shared" ref="AB92:AB93" si="1301">IF(AB$8="","",AA92)</f>
        <v/>
      </c>
      <c r="AC92" s="8" t="str">
        <f t="shared" ref="AC92:AC93" si="1302">IF(AC$8="","",AB92)</f>
        <v/>
      </c>
      <c r="AD92" s="8" t="str">
        <f>IF(AD$8="","",AC92)</f>
        <v/>
      </c>
      <c r="AE92" s="8" t="str">
        <f t="shared" ref="AE92:AE93" si="1303">IF(AE$8="","",AD92)</f>
        <v/>
      </c>
      <c r="AF92" s="8" t="str">
        <f t="shared" ref="AF92:AF93" si="1304">IF(AF$8="","",AE92)</f>
        <v/>
      </c>
      <c r="AG92" s="8" t="str">
        <f>IF(AG$8="","",AF92)</f>
        <v/>
      </c>
      <c r="AH92" s="8" t="str">
        <f t="shared" ref="AH92:AH93" si="1305">IF(AH$8="","",AG92)</f>
        <v/>
      </c>
      <c r="AI92" s="8" t="str">
        <f t="shared" ref="AI92:AI93" si="1306">IF(AI$8="","",AH92)</f>
        <v/>
      </c>
      <c r="AJ92" s="8" t="str">
        <f t="shared" ref="AJ92:AJ93" si="1307">IF(AJ$8="","",AI92)</f>
        <v/>
      </c>
      <c r="AK92" s="8" t="str">
        <f>IF(AK$8="","",AJ92)</f>
        <v/>
      </c>
      <c r="AL92" s="8" t="str">
        <f t="shared" ref="AL92:AL93" si="1308">IF(AL$8="","",AK92)</f>
        <v/>
      </c>
      <c r="AM92" s="8" t="str">
        <f t="shared" ref="AM92:AM93" si="1309">IF(AM$8="","",AL92)</f>
        <v/>
      </c>
      <c r="AN92" s="8" t="str">
        <f t="shared" ref="AN92:AN93" si="1310">IF(AN$8="","",AM92)</f>
        <v/>
      </c>
      <c r="AO92" s="8" t="str">
        <f t="shared" ref="AO92:AS92" si="1311">IF(AO$8="","",AN92)</f>
        <v/>
      </c>
      <c r="AP92" s="8" t="str">
        <f t="shared" si="1311"/>
        <v/>
      </c>
      <c r="AQ92" s="8" t="str">
        <f t="shared" si="1311"/>
        <v/>
      </c>
      <c r="AR92" s="8" t="str">
        <f t="shared" si="1311"/>
        <v/>
      </c>
      <c r="AS92" s="8" t="str">
        <f t="shared" si="1311"/>
        <v/>
      </c>
    </row>
    <row r="93" spans="1:45" s="1" customFormat="1" ht="11.25" x14ac:dyDescent="0.15">
      <c r="A93" s="16" t="s">
        <v>22</v>
      </c>
      <c r="B93" s="9" t="s">
        <v>4</v>
      </c>
      <c r="C93" s="65">
        <v>132</v>
      </c>
      <c r="D93" s="8">
        <v>132</v>
      </c>
      <c r="E93" s="8">
        <v>135</v>
      </c>
      <c r="F93" s="8">
        <v>135</v>
      </c>
      <c r="G93" s="8">
        <v>135</v>
      </c>
      <c r="H93" s="8">
        <v>135</v>
      </c>
      <c r="I93" s="8">
        <v>135</v>
      </c>
      <c r="J93" s="8">
        <f t="shared" si="1288"/>
        <v>135</v>
      </c>
      <c r="K93" s="8">
        <f t="shared" si="1289"/>
        <v>135</v>
      </c>
      <c r="L93" s="8">
        <f>IF(L$8="","",K93)</f>
        <v>135</v>
      </c>
      <c r="M93" s="8" t="str">
        <f t="shared" si="1290"/>
        <v/>
      </c>
      <c r="N93" s="8" t="str">
        <f t="shared" si="1291"/>
        <v/>
      </c>
      <c r="O93" s="8" t="str">
        <f t="shared" si="1292"/>
        <v/>
      </c>
      <c r="P93" s="8" t="str">
        <f>IF(P$8="","",O93)</f>
        <v/>
      </c>
      <c r="Q93" s="8" t="str">
        <f t="shared" si="1293"/>
        <v/>
      </c>
      <c r="R93" s="8" t="str">
        <f t="shared" si="1294"/>
        <v/>
      </c>
      <c r="S93" s="8" t="str">
        <f>IF(S$8="","",R93)</f>
        <v/>
      </c>
      <c r="T93" s="8" t="str">
        <f t="shared" si="1295"/>
        <v/>
      </c>
      <c r="U93" s="8" t="str">
        <f t="shared" si="1296"/>
        <v/>
      </c>
      <c r="V93" s="8" t="str">
        <f t="shared" si="1297"/>
        <v/>
      </c>
      <c r="W93" s="8" t="str">
        <f>IF(W$8="","",V93)</f>
        <v/>
      </c>
      <c r="X93" s="8" t="str">
        <f t="shared" si="1298"/>
        <v/>
      </c>
      <c r="Y93" s="8" t="str">
        <f t="shared" si="1299"/>
        <v/>
      </c>
      <c r="Z93" s="8" t="str">
        <f>IF(Z$8="","",Y93)</f>
        <v/>
      </c>
      <c r="AA93" s="8" t="str">
        <f t="shared" si="1300"/>
        <v/>
      </c>
      <c r="AB93" s="8" t="str">
        <f t="shared" si="1301"/>
        <v/>
      </c>
      <c r="AC93" s="8" t="str">
        <f t="shared" si="1302"/>
        <v/>
      </c>
      <c r="AD93" s="8" t="str">
        <f>IF(AD$8="","",AC93)</f>
        <v/>
      </c>
      <c r="AE93" s="8" t="str">
        <f t="shared" si="1303"/>
        <v/>
      </c>
      <c r="AF93" s="8" t="str">
        <f t="shared" si="1304"/>
        <v/>
      </c>
      <c r="AG93" s="8" t="str">
        <f>IF(AG$8="","",AF93)</f>
        <v/>
      </c>
      <c r="AH93" s="8" t="str">
        <f t="shared" si="1305"/>
        <v/>
      </c>
      <c r="AI93" s="8" t="str">
        <f t="shared" si="1306"/>
        <v/>
      </c>
      <c r="AJ93" s="8" t="str">
        <f t="shared" si="1307"/>
        <v/>
      </c>
      <c r="AK93" s="8" t="str">
        <f>IF(AK$8="","",AJ93)</f>
        <v/>
      </c>
      <c r="AL93" s="8" t="str">
        <f t="shared" si="1308"/>
        <v/>
      </c>
      <c r="AM93" s="8" t="str">
        <f t="shared" si="1309"/>
        <v/>
      </c>
      <c r="AN93" s="8" t="str">
        <f t="shared" si="1310"/>
        <v/>
      </c>
      <c r="AO93" s="8" t="str">
        <f t="shared" ref="AO93:AS93" si="1312">IF(AO$8="","",AN93)</f>
        <v/>
      </c>
      <c r="AP93" s="8" t="str">
        <f t="shared" si="1312"/>
        <v/>
      </c>
      <c r="AQ93" s="8" t="str">
        <f t="shared" si="1312"/>
        <v/>
      </c>
      <c r="AR93" s="8" t="str">
        <f t="shared" si="1312"/>
        <v/>
      </c>
      <c r="AS93" s="8" t="str">
        <f t="shared" si="1312"/>
        <v/>
      </c>
    </row>
    <row r="94" spans="1:45" s="1" customFormat="1" ht="11.25" x14ac:dyDescent="0.15">
      <c r="A94" s="15">
        <v>4</v>
      </c>
      <c r="B94" s="9" t="s">
        <v>5</v>
      </c>
      <c r="C94" s="65">
        <v>10</v>
      </c>
      <c r="D94" s="8">
        <v>10</v>
      </c>
      <c r="E94" s="8">
        <v>7</v>
      </c>
      <c r="F94" s="8">
        <v>7</v>
      </c>
      <c r="G94" s="8">
        <v>7</v>
      </c>
      <c r="H94" s="8">
        <v>7</v>
      </c>
      <c r="I94" s="8">
        <v>7</v>
      </c>
      <c r="J94" s="8">
        <f t="shared" ref="J94" si="1313">IF(J$8="","",(I94+I95))</f>
        <v>7</v>
      </c>
      <c r="K94" s="8">
        <f t="shared" ref="K94" si="1314">IF(K$8="","",(J94+J95))</f>
        <v>7</v>
      </c>
      <c r="L94" s="8">
        <f>IF(L$8="","",(K94+K95))</f>
        <v>7</v>
      </c>
      <c r="M94" s="8" t="str">
        <f t="shared" ref="M94" si="1315">IF(M$8="","",(L94+L95))</f>
        <v/>
      </c>
      <c r="N94" s="8" t="str">
        <f t="shared" ref="N94" si="1316">IF(N$8="","",(M94+M95))</f>
        <v/>
      </c>
      <c r="O94" s="8" t="str">
        <f t="shared" ref="O94" si="1317">IF(O$8="","",(N94+N95))</f>
        <v/>
      </c>
      <c r="P94" s="8" t="str">
        <f>IF(P$8="","",(O94+O95))</f>
        <v/>
      </c>
      <c r="Q94" s="8" t="str">
        <f t="shared" ref="Q94" si="1318">IF(Q$8="","",(P94+P95))</f>
        <v/>
      </c>
      <c r="R94" s="8" t="str">
        <f t="shared" ref="R94" si="1319">IF(R$8="","",(Q94+Q95))</f>
        <v/>
      </c>
      <c r="S94" s="8" t="str">
        <f>IF(S$8="","",(R94+R95))</f>
        <v/>
      </c>
      <c r="T94" s="8" t="str">
        <f t="shared" ref="T94" si="1320">IF(T$8="","",(S94+S95))</f>
        <v/>
      </c>
      <c r="U94" s="8" t="str">
        <f t="shared" ref="U94" si="1321">IF(U$8="","",(T94+T95))</f>
        <v/>
      </c>
      <c r="V94" s="8" t="str">
        <f t="shared" ref="V94" si="1322">IF(V$8="","",(U94+U95))</f>
        <v/>
      </c>
      <c r="W94" s="8" t="str">
        <f>IF(W$8="","",(V94+V95))</f>
        <v/>
      </c>
      <c r="X94" s="8" t="str">
        <f t="shared" ref="X94" si="1323">IF(X$8="","",(W94+W95))</f>
        <v/>
      </c>
      <c r="Y94" s="8" t="str">
        <f t="shared" ref="Y94" si="1324">IF(Y$8="","",(X94+X95))</f>
        <v/>
      </c>
      <c r="Z94" s="8" t="str">
        <f>IF(Z$8="","",(Y94+Y95))</f>
        <v/>
      </c>
      <c r="AA94" s="8" t="str">
        <f t="shared" ref="AA94" si="1325">IF(AA$8="","",(Z94+Z95))</f>
        <v/>
      </c>
      <c r="AB94" s="8" t="str">
        <f t="shared" ref="AB94" si="1326">IF(AB$8="","",(AA94+AA95))</f>
        <v/>
      </c>
      <c r="AC94" s="8" t="str">
        <f t="shared" ref="AC94" si="1327">IF(AC$8="","",(AB94+AB95))</f>
        <v/>
      </c>
      <c r="AD94" s="8" t="str">
        <f>IF(AD$8="","",(AC94+AC95))</f>
        <v/>
      </c>
      <c r="AE94" s="8" t="str">
        <f t="shared" ref="AE94" si="1328">IF(AE$8="","",(AD94+AD95))</f>
        <v/>
      </c>
      <c r="AF94" s="8" t="str">
        <f t="shared" ref="AF94" si="1329">IF(AF$8="","",(AE94+AE95))</f>
        <v/>
      </c>
      <c r="AG94" s="8" t="str">
        <f>IF(AG$8="","",(AF94+AF95))</f>
        <v/>
      </c>
      <c r="AH94" s="8" t="str">
        <f t="shared" ref="AH94" si="1330">IF(AH$8="","",(AG94+AG95))</f>
        <v/>
      </c>
      <c r="AI94" s="8" t="str">
        <f t="shared" ref="AI94" si="1331">IF(AI$8="","",(AH94+AH95))</f>
        <v/>
      </c>
      <c r="AJ94" s="8" t="str">
        <f t="shared" ref="AJ94" si="1332">IF(AJ$8="","",(AI94+AI95))</f>
        <v/>
      </c>
      <c r="AK94" s="8" t="str">
        <f t="shared" ref="AK94" si="1333">IF(AK$8="","",(AJ94+AJ95))</f>
        <v/>
      </c>
      <c r="AL94" s="8" t="str">
        <f t="shared" ref="AL94" si="1334">IF(AL$8="","",(AK94+AK95))</f>
        <v/>
      </c>
      <c r="AM94" s="8" t="str">
        <f t="shared" ref="AM94" si="1335">IF(AM$8="","",(AL94+AL95))</f>
        <v/>
      </c>
      <c r="AN94" s="8" t="str">
        <f t="shared" ref="AN94" si="1336">IF(AN$8="","",(AM94+AM95))</f>
        <v/>
      </c>
      <c r="AO94" s="8" t="str">
        <f t="shared" ref="AO94:AS94" si="1337">IF(AO$8="","",(AN94+AN95))</f>
        <v/>
      </c>
      <c r="AP94" s="8" t="str">
        <f t="shared" si="1337"/>
        <v/>
      </c>
      <c r="AQ94" s="8" t="str">
        <f t="shared" si="1337"/>
        <v/>
      </c>
      <c r="AR94" s="8" t="str">
        <f t="shared" si="1337"/>
        <v/>
      </c>
      <c r="AS94" s="8" t="str">
        <f t="shared" si="1337"/>
        <v/>
      </c>
    </row>
    <row r="95" spans="1:45" s="1" customFormat="1" ht="11.25" x14ac:dyDescent="0.15">
      <c r="A95" s="14"/>
      <c r="B95" s="9" t="s">
        <v>7</v>
      </c>
      <c r="C95" s="65"/>
      <c r="D95" s="8"/>
      <c r="E95" s="8"/>
      <c r="F95" s="8"/>
      <c r="G95" s="8"/>
      <c r="H95" s="8"/>
      <c r="I95" s="8"/>
      <c r="J95" s="8"/>
      <c r="K95" s="8"/>
      <c r="L95" s="8">
        <v>5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</row>
    <row r="96" spans="1:45" s="1" customFormat="1" ht="11.25" x14ac:dyDescent="0.15">
      <c r="A96" s="7"/>
      <c r="B96" s="9" t="s">
        <v>8</v>
      </c>
      <c r="C96" s="65">
        <v>750</v>
      </c>
      <c r="D96" s="8">
        <v>750</v>
      </c>
      <c r="E96" s="8">
        <v>750</v>
      </c>
      <c r="F96" s="8">
        <v>750</v>
      </c>
      <c r="G96" s="8">
        <v>750</v>
      </c>
      <c r="H96" s="8">
        <v>750</v>
      </c>
      <c r="I96" s="8">
        <v>750</v>
      </c>
      <c r="J96" s="8">
        <f t="shared" ref="J96:J97" si="1338">IF(J$8="","",I96)</f>
        <v>750</v>
      </c>
      <c r="K96" s="8">
        <f t="shared" ref="K96:K97" si="1339">IF(K$8="","",J96)</f>
        <v>750</v>
      </c>
      <c r="L96" s="8">
        <f t="shared" ref="L96:L97" si="1340">IF(L$8="","",K96)</f>
        <v>750</v>
      </c>
      <c r="M96" s="8" t="str">
        <f t="shared" ref="M96:M97" si="1341">IF(M$8="","",L96)</f>
        <v/>
      </c>
      <c r="N96" s="8" t="str">
        <f t="shared" ref="N96:N97" si="1342">IF(N$8="","",M96)</f>
        <v/>
      </c>
      <c r="O96" s="8" t="str">
        <f t="shared" ref="O96:O97" si="1343">IF(O$8="","",N96)</f>
        <v/>
      </c>
      <c r="P96" s="8" t="str">
        <f t="shared" ref="P96:P97" si="1344">IF(P$8="","",O96)</f>
        <v/>
      </c>
      <c r="Q96" s="8" t="str">
        <f t="shared" ref="Q96:Q97" si="1345">IF(Q$8="","",P96)</f>
        <v/>
      </c>
      <c r="R96" s="8" t="str">
        <f t="shared" ref="R96:R97" si="1346">IF(R$8="","",Q96)</f>
        <v/>
      </c>
      <c r="S96" s="8" t="str">
        <f t="shared" ref="S96:S97" si="1347">IF(S$8="","",R96)</f>
        <v/>
      </c>
      <c r="T96" s="8" t="str">
        <f t="shared" ref="T96:T97" si="1348">IF(T$8="","",S96)</f>
        <v/>
      </c>
      <c r="U96" s="8" t="str">
        <f t="shared" ref="U96:U97" si="1349">IF(U$8="","",T96)</f>
        <v/>
      </c>
      <c r="V96" s="8" t="str">
        <f t="shared" ref="V96:V97" si="1350">IF(V$8="","",U96)</f>
        <v/>
      </c>
      <c r="W96" s="8" t="str">
        <f t="shared" ref="W96:W97" si="1351">IF(W$8="","",V96)</f>
        <v/>
      </c>
      <c r="X96" s="8" t="str">
        <f t="shared" ref="X96:X97" si="1352">IF(X$8="","",W96)</f>
        <v/>
      </c>
      <c r="Y96" s="8" t="str">
        <f t="shared" ref="Y96:Y97" si="1353">IF(Y$8="","",X96)</f>
        <v/>
      </c>
      <c r="Z96" s="8" t="str">
        <f t="shared" ref="Z96:Z97" si="1354">IF(Z$8="","",Y96)</f>
        <v/>
      </c>
      <c r="AA96" s="8" t="str">
        <f t="shared" ref="AA96:AA97" si="1355">IF(AA$8="","",Z96)</f>
        <v/>
      </c>
      <c r="AB96" s="8" t="str">
        <f t="shared" ref="AB96:AB97" si="1356">IF(AB$8="","",AA96)</f>
        <v/>
      </c>
      <c r="AC96" s="8" t="str">
        <f t="shared" ref="AC96:AC97" si="1357">IF(AC$8="","",AB96)</f>
        <v/>
      </c>
      <c r="AD96" s="8" t="str">
        <f t="shared" ref="AD96:AD97" si="1358">IF(AD$8="","",AC96)</f>
        <v/>
      </c>
      <c r="AE96" s="8" t="str">
        <f t="shared" ref="AE96:AE97" si="1359">IF(AE$8="","",AD96)</f>
        <v/>
      </c>
      <c r="AF96" s="8" t="str">
        <f t="shared" ref="AF96:AF97" si="1360">IF(AF$8="","",AE96)</f>
        <v/>
      </c>
      <c r="AG96" s="8" t="str">
        <f t="shared" ref="AG96:AG97" si="1361">IF(AG$8="","",AF96)</f>
        <v/>
      </c>
      <c r="AH96" s="8" t="str">
        <f t="shared" ref="AH96:AH97" si="1362">IF(AH$8="","",AG96)</f>
        <v/>
      </c>
      <c r="AI96" s="8" t="str">
        <f t="shared" ref="AI96:AI97" si="1363">IF(AI$8="","",AH96)</f>
        <v/>
      </c>
      <c r="AJ96" s="8" t="str">
        <f t="shared" ref="AJ96:AJ97" si="1364">IF(AJ$8="","",AI96)</f>
        <v/>
      </c>
      <c r="AK96" s="8" t="str">
        <f t="shared" ref="AK96:AK97" si="1365">IF(AK$8="","",AJ96)</f>
        <v/>
      </c>
      <c r="AL96" s="8" t="str">
        <f t="shared" ref="AL96:AL97" si="1366">IF(AL$8="","",AK96)</f>
        <v/>
      </c>
      <c r="AM96" s="8" t="str">
        <f t="shared" ref="AM96:AM97" si="1367">IF(AM$8="","",AL96)</f>
        <v/>
      </c>
      <c r="AN96" s="8" t="str">
        <f t="shared" ref="AN96:AN97" si="1368">IF(AN$8="","",AM96)</f>
        <v/>
      </c>
      <c r="AO96" s="8" t="str">
        <f t="shared" ref="AO96:AS96" si="1369">IF(AO$8="","",AN96)</f>
        <v/>
      </c>
      <c r="AP96" s="8" t="str">
        <f t="shared" si="1369"/>
        <v/>
      </c>
      <c r="AQ96" s="8" t="str">
        <f t="shared" si="1369"/>
        <v/>
      </c>
      <c r="AR96" s="8" t="str">
        <f t="shared" si="1369"/>
        <v/>
      </c>
      <c r="AS96" s="8" t="str">
        <f t="shared" si="1369"/>
        <v/>
      </c>
    </row>
    <row r="97" spans="1:45" s="85" customFormat="1" ht="11.25" x14ac:dyDescent="0.15">
      <c r="A97" s="14" t="s">
        <v>9</v>
      </c>
      <c r="B97" s="13" t="s">
        <v>10</v>
      </c>
      <c r="C97" s="66" t="s">
        <v>357</v>
      </c>
      <c r="D97" s="12" t="s">
        <v>357</v>
      </c>
      <c r="E97" s="12" t="s">
        <v>357</v>
      </c>
      <c r="F97" s="12" t="s">
        <v>357</v>
      </c>
      <c r="G97" s="12" t="s">
        <v>357</v>
      </c>
      <c r="H97" s="12" t="s">
        <v>357</v>
      </c>
      <c r="I97" s="12" t="s">
        <v>357</v>
      </c>
      <c r="J97" s="12" t="str">
        <f t="shared" si="1338"/>
        <v>たまごっちミニポシェット</v>
      </c>
      <c r="K97" s="12" t="str">
        <f t="shared" si="1339"/>
        <v>たまごっちミニポシェット</v>
      </c>
      <c r="L97" s="12" t="str">
        <f t="shared" si="1340"/>
        <v>たまごっちミニポシェット</v>
      </c>
      <c r="M97" s="12" t="str">
        <f t="shared" si="1341"/>
        <v/>
      </c>
      <c r="N97" s="12" t="str">
        <f t="shared" si="1342"/>
        <v/>
      </c>
      <c r="O97" s="12" t="str">
        <f t="shared" si="1343"/>
        <v/>
      </c>
      <c r="P97" s="12" t="str">
        <f>IF(P$8="","",O97)</f>
        <v/>
      </c>
      <c r="Q97" s="12" t="str">
        <f t="shared" si="1345"/>
        <v/>
      </c>
      <c r="R97" s="12" t="str">
        <f t="shared" si="1346"/>
        <v/>
      </c>
      <c r="S97" s="12" t="str">
        <f t="shared" si="1347"/>
        <v/>
      </c>
      <c r="T97" s="12" t="str">
        <f t="shared" si="1348"/>
        <v/>
      </c>
      <c r="U97" s="12" t="str">
        <f t="shared" si="1349"/>
        <v/>
      </c>
      <c r="V97" s="12" t="str">
        <f t="shared" si="1350"/>
        <v/>
      </c>
      <c r="W97" s="12" t="str">
        <f t="shared" si="1351"/>
        <v/>
      </c>
      <c r="X97" s="12" t="str">
        <f t="shared" si="1352"/>
        <v/>
      </c>
      <c r="Y97" s="12" t="str">
        <f t="shared" si="1353"/>
        <v/>
      </c>
      <c r="Z97" s="12" t="str">
        <f t="shared" si="1354"/>
        <v/>
      </c>
      <c r="AA97" s="12" t="str">
        <f t="shared" si="1355"/>
        <v/>
      </c>
      <c r="AB97" s="12" t="str">
        <f t="shared" si="1356"/>
        <v/>
      </c>
      <c r="AC97" s="12" t="str">
        <f t="shared" si="1357"/>
        <v/>
      </c>
      <c r="AD97" s="12" t="str">
        <f t="shared" si="1358"/>
        <v/>
      </c>
      <c r="AE97" s="12" t="str">
        <f t="shared" si="1359"/>
        <v/>
      </c>
      <c r="AF97" s="12" t="str">
        <f t="shared" si="1360"/>
        <v/>
      </c>
      <c r="AG97" s="12" t="str">
        <f t="shared" si="1361"/>
        <v/>
      </c>
      <c r="AH97" s="12" t="str">
        <f t="shared" si="1362"/>
        <v/>
      </c>
      <c r="AI97" s="12" t="str">
        <f t="shared" si="1363"/>
        <v/>
      </c>
      <c r="AJ97" s="12" t="str">
        <f t="shared" si="1364"/>
        <v/>
      </c>
      <c r="AK97" s="12" t="str">
        <f t="shared" si="1365"/>
        <v/>
      </c>
      <c r="AL97" s="12" t="str">
        <f t="shared" si="1366"/>
        <v/>
      </c>
      <c r="AM97" s="12" t="str">
        <f t="shared" si="1367"/>
        <v/>
      </c>
      <c r="AN97" s="12" t="str">
        <f t="shared" si="1368"/>
        <v/>
      </c>
      <c r="AO97" s="12" t="str">
        <f t="shared" ref="AO97:AS97" si="1370">IF(AO$8="","",AN97)</f>
        <v/>
      </c>
      <c r="AP97" s="12" t="str">
        <f t="shared" si="1370"/>
        <v/>
      </c>
      <c r="AQ97" s="12" t="str">
        <f t="shared" si="1370"/>
        <v/>
      </c>
      <c r="AR97" s="12" t="str">
        <f t="shared" si="1370"/>
        <v/>
      </c>
      <c r="AS97" s="12" t="str">
        <f t="shared" si="1370"/>
        <v/>
      </c>
    </row>
    <row r="98" spans="1:45" s="1" customFormat="1" ht="11.25" x14ac:dyDescent="0.15">
      <c r="A98" s="7">
        <f>AVERAGE(C99:AS99)*30*100</f>
        <v>46200</v>
      </c>
      <c r="B98" s="9" t="s">
        <v>12</v>
      </c>
      <c r="C98" s="6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</row>
    <row r="99" spans="1:45" s="1" customFormat="1" ht="11.25" x14ac:dyDescent="0.15">
      <c r="A99" s="7">
        <f>SUM(C99:AS99)</f>
        <v>154</v>
      </c>
      <c r="B99" s="6" t="s">
        <v>13</v>
      </c>
      <c r="C99" s="65">
        <v>0</v>
      </c>
      <c r="D99" s="5">
        <v>0</v>
      </c>
      <c r="E99" s="5">
        <v>46</v>
      </c>
      <c r="F99" s="5">
        <v>0</v>
      </c>
      <c r="G99" s="5">
        <v>0</v>
      </c>
      <c r="H99" s="5">
        <v>0</v>
      </c>
      <c r="I99" s="5">
        <v>59</v>
      </c>
      <c r="J99" s="5">
        <f t="shared" ref="J99:J100" si="1371">IF(J$8="","",J92-I92)</f>
        <v>0</v>
      </c>
      <c r="K99" s="5">
        <f t="shared" ref="K99:K100" si="1372">IF(K$8="","",K92-J92)</f>
        <v>0</v>
      </c>
      <c r="L99" s="5">
        <f t="shared" ref="L99:L100" si="1373">IF(L$8="","",L92-K92)</f>
        <v>49</v>
      </c>
      <c r="M99" s="5" t="str">
        <f t="shared" ref="M99:M100" si="1374">IF(M$8="","",M92-L92)</f>
        <v/>
      </c>
      <c r="N99" s="5" t="str">
        <f t="shared" ref="N99:N100" si="1375">IF(N$8="","",N92-M92)</f>
        <v/>
      </c>
      <c r="O99" s="5" t="str">
        <f t="shared" ref="O99:O100" si="1376">IF(O$8="","",O92-N92)</f>
        <v/>
      </c>
      <c r="P99" s="5" t="str">
        <f t="shared" ref="P99:P100" si="1377">IF(P$8="","",P92-O92)</f>
        <v/>
      </c>
      <c r="Q99" s="5" t="str">
        <f t="shared" ref="Q99:Q100" si="1378">IF(Q$8="","",Q92-P92)</f>
        <v/>
      </c>
      <c r="R99" s="5" t="str">
        <f t="shared" ref="R99:R100" si="1379">IF(R$8="","",R92-Q92)</f>
        <v/>
      </c>
      <c r="S99" s="5" t="str">
        <f t="shared" ref="S99:S100" si="1380">IF(S$8="","",S92-R92)</f>
        <v/>
      </c>
      <c r="T99" s="5" t="str">
        <f t="shared" ref="T99:T100" si="1381">IF(T$8="","",T92-S92)</f>
        <v/>
      </c>
      <c r="U99" s="5" t="str">
        <f t="shared" ref="U99:U100" si="1382">IF(U$8="","",U92-T92)</f>
        <v/>
      </c>
      <c r="V99" s="5" t="str">
        <f t="shared" ref="V99:V100" si="1383">IF(V$8="","",V92-U92)</f>
        <v/>
      </c>
      <c r="W99" s="5" t="str">
        <f t="shared" ref="W99:W100" si="1384">IF(W$8="","",W92-V92)</f>
        <v/>
      </c>
      <c r="X99" s="5" t="str">
        <f t="shared" ref="X99:X100" si="1385">IF(X$8="","",X92-W92)</f>
        <v/>
      </c>
      <c r="Y99" s="5" t="str">
        <f t="shared" ref="Y99:Y100" si="1386">IF(Y$8="","",Y92-X92)</f>
        <v/>
      </c>
      <c r="Z99" s="5" t="str">
        <f t="shared" ref="Z99:Z100" si="1387">IF(Z$8="","",Z92-Y92)</f>
        <v/>
      </c>
      <c r="AA99" s="5" t="str">
        <f t="shared" ref="AA99:AA100" si="1388">IF(AA$8="","",AA92-Z92)</f>
        <v/>
      </c>
      <c r="AB99" s="5" t="str">
        <f t="shared" ref="AB99:AB100" si="1389">IF(AB$8="","",AB92-AA92)</f>
        <v/>
      </c>
      <c r="AC99" s="5" t="str">
        <f t="shared" ref="AC99:AC100" si="1390">IF(AC$8="","",AC92-AB92)</f>
        <v/>
      </c>
      <c r="AD99" s="5" t="str">
        <f t="shared" ref="AD99:AD100" si="1391">IF(AD$8="","",AD92-AC92)</f>
        <v/>
      </c>
      <c r="AE99" s="5" t="str">
        <f t="shared" ref="AE99:AE100" si="1392">IF(AE$8="","",AE92-AD92)</f>
        <v/>
      </c>
      <c r="AF99" s="5" t="str">
        <f t="shared" ref="AF99:AF100" si="1393">IF(AF$8="","",AF92-AE92)</f>
        <v/>
      </c>
      <c r="AG99" s="5" t="str">
        <f t="shared" ref="AG99:AG100" si="1394">IF(AG$8="","",AG92-AF92)</f>
        <v/>
      </c>
      <c r="AH99" s="5" t="str">
        <f t="shared" ref="AH99:AH100" si="1395">IF(AH$8="","",AH92-AG92)</f>
        <v/>
      </c>
      <c r="AI99" s="5" t="str">
        <f t="shared" ref="AI99:AI100" si="1396">IF(AI$8="","",AI92-AH92)</f>
        <v/>
      </c>
      <c r="AJ99" s="5" t="str">
        <f t="shared" ref="AJ99:AJ100" si="1397">IF(AJ$8="","",AJ92-AI92)</f>
        <v/>
      </c>
      <c r="AK99" s="5" t="str">
        <f t="shared" ref="AK99:AK100" si="1398">IF(AK$8="","",AK92-AJ92)</f>
        <v/>
      </c>
      <c r="AL99" s="5" t="str">
        <f t="shared" ref="AL99:AL100" si="1399">IF(AL$8="","",AL92-AK92)</f>
        <v/>
      </c>
      <c r="AM99" s="5" t="str">
        <f t="shared" ref="AM99:AM100" si="1400">IF(AM$8="","",AM92-AL92)</f>
        <v/>
      </c>
      <c r="AN99" s="5" t="str">
        <f t="shared" ref="AN99:AN100" si="1401">IF(AN$8="","",AN92-AM92)</f>
        <v/>
      </c>
      <c r="AO99" s="5" t="str">
        <f t="shared" ref="AO99:AS99" si="1402">IF(AO$8="","",AO92-AN92)</f>
        <v/>
      </c>
      <c r="AP99" s="5" t="str">
        <f t="shared" si="1402"/>
        <v/>
      </c>
      <c r="AQ99" s="5" t="str">
        <f t="shared" si="1402"/>
        <v/>
      </c>
      <c r="AR99" s="5" t="str">
        <f t="shared" si="1402"/>
        <v/>
      </c>
      <c r="AS99" s="5" t="str">
        <f t="shared" si="1402"/>
        <v/>
      </c>
    </row>
    <row r="100" spans="1:45" s="1" customFormat="1" ht="11.25" x14ac:dyDescent="0.15">
      <c r="A100" s="7">
        <f>SUM(C100:AS100)</f>
        <v>3</v>
      </c>
      <c r="B100" s="6" t="s">
        <v>14</v>
      </c>
      <c r="C100" s="65">
        <v>0</v>
      </c>
      <c r="D100" s="5">
        <v>0</v>
      </c>
      <c r="E100" s="5">
        <v>3</v>
      </c>
      <c r="F100" s="5">
        <v>0</v>
      </c>
      <c r="G100" s="5">
        <v>0</v>
      </c>
      <c r="H100" s="5">
        <v>0</v>
      </c>
      <c r="I100" s="5">
        <v>0</v>
      </c>
      <c r="J100" s="5">
        <f t="shared" si="1371"/>
        <v>0</v>
      </c>
      <c r="K100" s="5">
        <f t="shared" si="1372"/>
        <v>0</v>
      </c>
      <c r="L100" s="5">
        <f t="shared" si="1373"/>
        <v>0</v>
      </c>
      <c r="M100" s="5" t="str">
        <f t="shared" si="1374"/>
        <v/>
      </c>
      <c r="N100" s="5" t="str">
        <f t="shared" si="1375"/>
        <v/>
      </c>
      <c r="O100" s="5" t="str">
        <f t="shared" si="1376"/>
        <v/>
      </c>
      <c r="P100" s="5" t="str">
        <f t="shared" si="1377"/>
        <v/>
      </c>
      <c r="Q100" s="5" t="str">
        <f t="shared" si="1378"/>
        <v/>
      </c>
      <c r="R100" s="5" t="str">
        <f t="shared" si="1379"/>
        <v/>
      </c>
      <c r="S100" s="5" t="str">
        <f t="shared" si="1380"/>
        <v/>
      </c>
      <c r="T100" s="5" t="str">
        <f t="shared" si="1381"/>
        <v/>
      </c>
      <c r="U100" s="5" t="str">
        <f t="shared" si="1382"/>
        <v/>
      </c>
      <c r="V100" s="5" t="str">
        <f t="shared" si="1383"/>
        <v/>
      </c>
      <c r="W100" s="5" t="str">
        <f t="shared" si="1384"/>
        <v/>
      </c>
      <c r="X100" s="5" t="str">
        <f t="shared" si="1385"/>
        <v/>
      </c>
      <c r="Y100" s="5" t="str">
        <f t="shared" si="1386"/>
        <v/>
      </c>
      <c r="Z100" s="5" t="str">
        <f t="shared" si="1387"/>
        <v/>
      </c>
      <c r="AA100" s="5" t="str">
        <f t="shared" si="1388"/>
        <v/>
      </c>
      <c r="AB100" s="5" t="str">
        <f t="shared" si="1389"/>
        <v/>
      </c>
      <c r="AC100" s="5" t="str">
        <f t="shared" si="1390"/>
        <v/>
      </c>
      <c r="AD100" s="5" t="str">
        <f t="shared" si="1391"/>
        <v/>
      </c>
      <c r="AE100" s="5" t="str">
        <f t="shared" si="1392"/>
        <v/>
      </c>
      <c r="AF100" s="5" t="str">
        <f t="shared" si="1393"/>
        <v/>
      </c>
      <c r="AG100" s="5" t="str">
        <f t="shared" si="1394"/>
        <v/>
      </c>
      <c r="AH100" s="5" t="str">
        <f t="shared" si="1395"/>
        <v/>
      </c>
      <c r="AI100" s="5" t="str">
        <f t="shared" si="1396"/>
        <v/>
      </c>
      <c r="AJ100" s="5" t="str">
        <f t="shared" si="1397"/>
        <v/>
      </c>
      <c r="AK100" s="5" t="str">
        <f t="shared" si="1398"/>
        <v/>
      </c>
      <c r="AL100" s="5" t="str">
        <f t="shared" si="1399"/>
        <v/>
      </c>
      <c r="AM100" s="5" t="str">
        <f t="shared" si="1400"/>
        <v/>
      </c>
      <c r="AN100" s="5" t="str">
        <f t="shared" si="1401"/>
        <v/>
      </c>
      <c r="AO100" s="5" t="str">
        <f t="shared" ref="AO100:AS100" si="1403">IF(AO$8="","",AO93-AN93)</f>
        <v/>
      </c>
      <c r="AP100" s="5" t="str">
        <f t="shared" si="1403"/>
        <v/>
      </c>
      <c r="AQ100" s="5" t="str">
        <f t="shared" si="1403"/>
        <v/>
      </c>
      <c r="AR100" s="5" t="str">
        <f t="shared" si="1403"/>
        <v/>
      </c>
      <c r="AS100" s="5" t="str">
        <f t="shared" si="1403"/>
        <v/>
      </c>
    </row>
    <row r="101" spans="1:45" s="1" customFormat="1" ht="11.25" x14ac:dyDescent="0.15">
      <c r="A101" s="7">
        <f>SUM(C101:AS101)</f>
        <v>3</v>
      </c>
      <c r="B101" s="6" t="s">
        <v>15</v>
      </c>
      <c r="C101" s="65">
        <v>0</v>
      </c>
      <c r="D101" s="5">
        <v>0</v>
      </c>
      <c r="E101" s="5">
        <v>3</v>
      </c>
      <c r="F101" s="5">
        <v>0</v>
      </c>
      <c r="G101" s="5">
        <v>0</v>
      </c>
      <c r="H101" s="5">
        <v>0</v>
      </c>
      <c r="I101" s="5">
        <v>0</v>
      </c>
      <c r="J101" s="5">
        <f t="shared" ref="J101" si="1404">IF(J$8="","",I94+I95-J94)</f>
        <v>0</v>
      </c>
      <c r="K101" s="5">
        <f t="shared" ref="K101" si="1405">IF(K$8="","",J94+J95-K94)</f>
        <v>0</v>
      </c>
      <c r="L101" s="5">
        <f t="shared" ref="L101" si="1406">IF(L$8="","",K94+K95-L94)</f>
        <v>0</v>
      </c>
      <c r="M101" s="5" t="str">
        <f t="shared" ref="M101" si="1407">IF(M$8="","",L94+L95-M94)</f>
        <v/>
      </c>
      <c r="N101" s="5" t="str">
        <f t="shared" ref="N101" si="1408">IF(N$8="","",M94+M95-N94)</f>
        <v/>
      </c>
      <c r="O101" s="5" t="str">
        <f t="shared" ref="O101" si="1409">IF(O$8="","",N94+N95-O94)</f>
        <v/>
      </c>
      <c r="P101" s="5" t="str">
        <f t="shared" ref="P101" si="1410">IF(P$8="","",O94+O95-P94)</f>
        <v/>
      </c>
      <c r="Q101" s="5" t="str">
        <f t="shared" ref="Q101" si="1411">IF(Q$8="","",P94+P95-Q94)</f>
        <v/>
      </c>
      <c r="R101" s="5" t="str">
        <f t="shared" ref="R101" si="1412">IF(R$8="","",Q94+Q95-R94)</f>
        <v/>
      </c>
      <c r="S101" s="5" t="str">
        <f t="shared" ref="S101" si="1413">IF(S$8="","",R94+R95-S94)</f>
        <v/>
      </c>
      <c r="T101" s="5" t="str">
        <f t="shared" ref="T101" si="1414">IF(T$8="","",S94+S95-T94)</f>
        <v/>
      </c>
      <c r="U101" s="5" t="str">
        <f t="shared" ref="U101" si="1415">IF(U$8="","",T94+T95-U94)</f>
        <v/>
      </c>
      <c r="V101" s="5" t="str">
        <f t="shared" ref="V101" si="1416">IF(V$8="","",U94+U95-V94)</f>
        <v/>
      </c>
      <c r="W101" s="5" t="str">
        <f t="shared" ref="W101" si="1417">IF(W$8="","",V94+V95-W94)</f>
        <v/>
      </c>
      <c r="X101" s="5" t="str">
        <f t="shared" ref="X101" si="1418">IF(X$8="","",W94+W95-X94)</f>
        <v/>
      </c>
      <c r="Y101" s="5" t="str">
        <f t="shared" ref="Y101" si="1419">IF(Y$8="","",X94+X95-Y94)</f>
        <v/>
      </c>
      <c r="Z101" s="5" t="str">
        <f t="shared" ref="Z101" si="1420">IF(Z$8="","",Y94+Y95-Z94)</f>
        <v/>
      </c>
      <c r="AA101" s="5" t="str">
        <f t="shared" ref="AA101" si="1421">IF(AA$8="","",Z94+Z95-AA94)</f>
        <v/>
      </c>
      <c r="AB101" s="5" t="str">
        <f t="shared" ref="AB101" si="1422">IF(AB$8="","",AA94+AA95-AB94)</f>
        <v/>
      </c>
      <c r="AC101" s="5" t="str">
        <f t="shared" ref="AC101" si="1423">IF(AC$8="","",AB94+AB95-AC94)</f>
        <v/>
      </c>
      <c r="AD101" s="5" t="str">
        <f t="shared" ref="AD101" si="1424">IF(AD$8="","",AC94+AC95-AD94)</f>
        <v/>
      </c>
      <c r="AE101" s="5" t="str">
        <f t="shared" ref="AE101" si="1425">IF(AE$8="","",AD94+AD95-AE94)</f>
        <v/>
      </c>
      <c r="AF101" s="5" t="str">
        <f t="shared" ref="AF101" si="1426">IF(AF$8="","",AE94+AE95-AF94)</f>
        <v/>
      </c>
      <c r="AG101" s="5" t="str">
        <f t="shared" ref="AG101" si="1427">IF(AG$8="","",AF94+AF95-AG94)</f>
        <v/>
      </c>
      <c r="AH101" s="5" t="str">
        <f t="shared" ref="AH101" si="1428">IF(AH$8="","",AG94+AG95-AH94)</f>
        <v/>
      </c>
      <c r="AI101" s="5" t="str">
        <f t="shared" ref="AI101" si="1429">IF(AI$8="","",AH94+AH95-AI94)</f>
        <v/>
      </c>
      <c r="AJ101" s="5" t="str">
        <f t="shared" ref="AJ101" si="1430">IF(AJ$8="","",AI94+AI95-AJ94)</f>
        <v/>
      </c>
      <c r="AK101" s="5" t="str">
        <f t="shared" ref="AK101" si="1431">IF(AK$8="","",AJ94+AJ95-AK94)</f>
        <v/>
      </c>
      <c r="AL101" s="5" t="str">
        <f t="shared" ref="AL101" si="1432">IF(AL$8="","",AK94+AK95-AL94)</f>
        <v/>
      </c>
      <c r="AM101" s="5" t="str">
        <f t="shared" ref="AM101" si="1433">IF(AM$8="","",AL94+AL95-AM94)</f>
        <v/>
      </c>
      <c r="AN101" s="5" t="str">
        <f t="shared" ref="AN101" si="1434">IF(AN$8="","",AM94+AM95-AN94)</f>
        <v/>
      </c>
      <c r="AO101" s="5" t="str">
        <f t="shared" ref="AO101:AS101" si="1435">IF(AO$8="","",AN94+AN95-AO94)</f>
        <v/>
      </c>
      <c r="AP101" s="5" t="str">
        <f t="shared" si="1435"/>
        <v/>
      </c>
      <c r="AQ101" s="5" t="str">
        <f t="shared" si="1435"/>
        <v/>
      </c>
      <c r="AR101" s="5" t="str">
        <f t="shared" si="1435"/>
        <v/>
      </c>
      <c r="AS101" s="5" t="str">
        <f t="shared" si="1435"/>
        <v/>
      </c>
    </row>
    <row r="102" spans="1:45" s="1" customFormat="1" ht="11.25" x14ac:dyDescent="0.15">
      <c r="A102" s="7">
        <f>SUM(C102:AS102)</f>
        <v>2250</v>
      </c>
      <c r="B102" s="6" t="s">
        <v>16</v>
      </c>
      <c r="C102" s="65">
        <v>0</v>
      </c>
      <c r="D102" s="5">
        <v>0</v>
      </c>
      <c r="E102" s="5">
        <v>2250</v>
      </c>
      <c r="F102" s="5">
        <v>0</v>
      </c>
      <c r="G102" s="5">
        <v>0</v>
      </c>
      <c r="H102" s="5">
        <v>0</v>
      </c>
      <c r="I102" s="5">
        <v>0</v>
      </c>
      <c r="J102" s="5">
        <f t="shared" ref="D102:AN102" si="1436">IF(J$8="","",J101*J96)</f>
        <v>0</v>
      </c>
      <c r="K102" s="5">
        <f t="shared" si="1436"/>
        <v>0</v>
      </c>
      <c r="L102" s="5">
        <f t="shared" si="1436"/>
        <v>0</v>
      </c>
      <c r="M102" s="5" t="str">
        <f t="shared" si="1436"/>
        <v/>
      </c>
      <c r="N102" s="5" t="str">
        <f t="shared" si="1436"/>
        <v/>
      </c>
      <c r="O102" s="5" t="str">
        <f t="shared" si="1436"/>
        <v/>
      </c>
      <c r="P102" s="5" t="str">
        <f t="shared" si="1436"/>
        <v/>
      </c>
      <c r="Q102" s="5" t="str">
        <f t="shared" si="1436"/>
        <v/>
      </c>
      <c r="R102" s="5" t="str">
        <f t="shared" si="1436"/>
        <v/>
      </c>
      <c r="S102" s="5" t="str">
        <f t="shared" si="1436"/>
        <v/>
      </c>
      <c r="T102" s="5" t="str">
        <f t="shared" si="1436"/>
        <v/>
      </c>
      <c r="U102" s="5" t="str">
        <f t="shared" si="1436"/>
        <v/>
      </c>
      <c r="V102" s="5" t="str">
        <f t="shared" si="1436"/>
        <v/>
      </c>
      <c r="W102" s="5" t="str">
        <f t="shared" si="1436"/>
        <v/>
      </c>
      <c r="X102" s="5" t="str">
        <f t="shared" si="1436"/>
        <v/>
      </c>
      <c r="Y102" s="5" t="str">
        <f t="shared" si="1436"/>
        <v/>
      </c>
      <c r="Z102" s="5" t="str">
        <f t="shared" si="1436"/>
        <v/>
      </c>
      <c r="AA102" s="5" t="str">
        <f t="shared" si="1436"/>
        <v/>
      </c>
      <c r="AB102" s="5" t="str">
        <f t="shared" si="1436"/>
        <v/>
      </c>
      <c r="AC102" s="5" t="str">
        <f t="shared" si="1436"/>
        <v/>
      </c>
      <c r="AD102" s="5" t="str">
        <f t="shared" si="1436"/>
        <v/>
      </c>
      <c r="AE102" s="5" t="str">
        <f t="shared" si="1436"/>
        <v/>
      </c>
      <c r="AF102" s="5" t="str">
        <f t="shared" si="1436"/>
        <v/>
      </c>
      <c r="AG102" s="5" t="str">
        <f t="shared" si="1436"/>
        <v/>
      </c>
      <c r="AH102" s="5" t="str">
        <f t="shared" si="1436"/>
        <v/>
      </c>
      <c r="AI102" s="5" t="str">
        <f t="shared" si="1436"/>
        <v/>
      </c>
      <c r="AJ102" s="5" t="str">
        <f t="shared" si="1436"/>
        <v/>
      </c>
      <c r="AK102" s="5" t="str">
        <f t="shared" si="1436"/>
        <v/>
      </c>
      <c r="AL102" s="5" t="str">
        <f t="shared" si="1436"/>
        <v/>
      </c>
      <c r="AM102" s="5" t="str">
        <f t="shared" si="1436"/>
        <v/>
      </c>
      <c r="AN102" s="5" t="str">
        <f t="shared" si="1436"/>
        <v/>
      </c>
      <c r="AO102" s="5" t="str">
        <f t="shared" ref="AO102:AS102" si="1437">IF(AO$8="","",AO101*AO96)</f>
        <v/>
      </c>
      <c r="AP102" s="5" t="str">
        <f t="shared" si="1437"/>
        <v/>
      </c>
      <c r="AQ102" s="5" t="str">
        <f t="shared" si="1437"/>
        <v/>
      </c>
      <c r="AR102" s="5" t="str">
        <f t="shared" si="1437"/>
        <v/>
      </c>
      <c r="AS102" s="5" t="str">
        <f t="shared" si="1437"/>
        <v/>
      </c>
    </row>
    <row r="103" spans="1:45" s="1" customFormat="1" ht="12" thickBot="1" x14ac:dyDescent="0.2">
      <c r="A103" s="4">
        <f>IF(A102="","",A102/(A99*100))</f>
        <v>0.1461038961038961</v>
      </c>
      <c r="B103" s="3" t="s">
        <v>18</v>
      </c>
      <c r="C103" s="68" t="s">
        <v>19</v>
      </c>
      <c r="D103" s="2" t="s">
        <v>19</v>
      </c>
      <c r="E103" s="2">
        <v>0.4891304347826087</v>
      </c>
      <c r="F103" s="2" t="s">
        <v>19</v>
      </c>
      <c r="G103" s="2" t="s">
        <v>19</v>
      </c>
      <c r="H103" s="2" t="s">
        <v>19</v>
      </c>
      <c r="I103" s="2" t="s">
        <v>19</v>
      </c>
      <c r="J103" s="2" t="str">
        <f t="shared" ref="D103:AN103" si="1438">IF(J$8="","",IF(J102=0,"",J102/(J99*100)))</f>
        <v/>
      </c>
      <c r="K103" s="2" t="str">
        <f t="shared" si="1438"/>
        <v/>
      </c>
      <c r="L103" s="2" t="str">
        <f t="shared" si="1438"/>
        <v/>
      </c>
      <c r="M103" s="2" t="str">
        <f t="shared" si="1438"/>
        <v/>
      </c>
      <c r="N103" s="2" t="str">
        <f t="shared" si="1438"/>
        <v/>
      </c>
      <c r="O103" s="2" t="str">
        <f t="shared" si="1438"/>
        <v/>
      </c>
      <c r="P103" s="2" t="str">
        <f t="shared" si="1438"/>
        <v/>
      </c>
      <c r="Q103" s="2" t="str">
        <f t="shared" si="1438"/>
        <v/>
      </c>
      <c r="R103" s="2" t="str">
        <f t="shared" si="1438"/>
        <v/>
      </c>
      <c r="S103" s="2" t="str">
        <f t="shared" si="1438"/>
        <v/>
      </c>
      <c r="T103" s="2" t="str">
        <f t="shared" si="1438"/>
        <v/>
      </c>
      <c r="U103" s="2" t="str">
        <f t="shared" si="1438"/>
        <v/>
      </c>
      <c r="V103" s="2" t="str">
        <f t="shared" si="1438"/>
        <v/>
      </c>
      <c r="W103" s="2" t="str">
        <f t="shared" si="1438"/>
        <v/>
      </c>
      <c r="X103" s="2" t="str">
        <f t="shared" si="1438"/>
        <v/>
      </c>
      <c r="Y103" s="2" t="str">
        <f t="shared" si="1438"/>
        <v/>
      </c>
      <c r="Z103" s="2" t="str">
        <f t="shared" si="1438"/>
        <v/>
      </c>
      <c r="AA103" s="2" t="str">
        <f t="shared" si="1438"/>
        <v/>
      </c>
      <c r="AB103" s="2" t="str">
        <f t="shared" si="1438"/>
        <v/>
      </c>
      <c r="AC103" s="2" t="str">
        <f t="shared" si="1438"/>
        <v/>
      </c>
      <c r="AD103" s="2" t="str">
        <f t="shared" si="1438"/>
        <v/>
      </c>
      <c r="AE103" s="2" t="str">
        <f t="shared" si="1438"/>
        <v/>
      </c>
      <c r="AF103" s="2" t="str">
        <f t="shared" si="1438"/>
        <v/>
      </c>
      <c r="AG103" s="2" t="str">
        <f t="shared" si="1438"/>
        <v/>
      </c>
      <c r="AH103" s="2" t="str">
        <f t="shared" si="1438"/>
        <v/>
      </c>
      <c r="AI103" s="2" t="str">
        <f t="shared" si="1438"/>
        <v/>
      </c>
      <c r="AJ103" s="2" t="str">
        <f t="shared" si="1438"/>
        <v/>
      </c>
      <c r="AK103" s="2" t="str">
        <f t="shared" si="1438"/>
        <v/>
      </c>
      <c r="AL103" s="2" t="str">
        <f t="shared" si="1438"/>
        <v/>
      </c>
      <c r="AM103" s="2" t="str">
        <f t="shared" si="1438"/>
        <v/>
      </c>
      <c r="AN103" s="2" t="str">
        <f t="shared" si="1438"/>
        <v/>
      </c>
      <c r="AO103" s="2" t="str">
        <f t="shared" ref="AO103:AS103" si="1439">IF(AO$8="","",IF(AO102=0,"",AO102/(AO99*100)))</f>
        <v/>
      </c>
      <c r="AP103" s="2" t="str">
        <f t="shared" si="1439"/>
        <v/>
      </c>
      <c r="AQ103" s="2" t="str">
        <f t="shared" si="1439"/>
        <v/>
      </c>
      <c r="AR103" s="2" t="str">
        <f t="shared" si="1439"/>
        <v/>
      </c>
      <c r="AS103" s="2" t="str">
        <f t="shared" si="1439"/>
        <v/>
      </c>
    </row>
    <row r="104" spans="1:45" s="1" customFormat="1" ht="11.25" x14ac:dyDescent="0.15">
      <c r="A104" s="22" t="s">
        <v>46</v>
      </c>
      <c r="B104" s="21" t="s">
        <v>2</v>
      </c>
      <c r="C104" s="64">
        <v>3508</v>
      </c>
      <c r="D104" s="20">
        <v>3508</v>
      </c>
      <c r="E104" s="20">
        <v>3570</v>
      </c>
      <c r="F104" s="20">
        <v>3570</v>
      </c>
      <c r="G104" s="20">
        <v>3570</v>
      </c>
      <c r="H104" s="20">
        <v>3570</v>
      </c>
      <c r="I104" s="20">
        <v>3597</v>
      </c>
      <c r="J104" s="20">
        <f t="shared" ref="J104:J105" si="1440">IF(J$8="","",I104)</f>
        <v>3597</v>
      </c>
      <c r="K104" s="20">
        <f t="shared" ref="K104:K105" si="1441">IF(K$8="","",J104)</f>
        <v>3597</v>
      </c>
      <c r="L104" s="20">
        <v>3641</v>
      </c>
      <c r="M104" s="20" t="str">
        <f t="shared" ref="M104:M105" si="1442">IF(M$8="","",L104)</f>
        <v/>
      </c>
      <c r="N104" s="20" t="str">
        <f t="shared" ref="N104:N105" si="1443">IF(N$8="","",M104)</f>
        <v/>
      </c>
      <c r="O104" s="20" t="str">
        <f t="shared" ref="O104:O105" si="1444">IF(O$8="","",N104)</f>
        <v/>
      </c>
      <c r="P104" s="20" t="str">
        <f>IF(P$8="","",O104)</f>
        <v/>
      </c>
      <c r="Q104" s="20" t="str">
        <f t="shared" ref="Q104:Q105" si="1445">IF(Q$8="","",P104)</f>
        <v/>
      </c>
      <c r="R104" s="20" t="str">
        <f t="shared" ref="R104:R105" si="1446">IF(R$8="","",Q104)</f>
        <v/>
      </c>
      <c r="S104" s="20" t="str">
        <f>IF(S$8="","",R104)</f>
        <v/>
      </c>
      <c r="T104" s="20" t="str">
        <f t="shared" ref="T104:T105" si="1447">IF(T$8="","",S104)</f>
        <v/>
      </c>
      <c r="U104" s="20" t="str">
        <f t="shared" ref="U104:U105" si="1448">IF(U$8="","",T104)</f>
        <v/>
      </c>
      <c r="V104" s="20" t="str">
        <f t="shared" ref="V104:V105" si="1449">IF(V$8="","",U104)</f>
        <v/>
      </c>
      <c r="W104" s="20" t="str">
        <f>IF(W$8="","",V104)</f>
        <v/>
      </c>
      <c r="X104" s="20" t="str">
        <f t="shared" ref="X104:X105" si="1450">IF(X$8="","",W104)</f>
        <v/>
      </c>
      <c r="Y104" s="20" t="str">
        <f t="shared" ref="Y104:Y105" si="1451">IF(Y$8="","",X104)</f>
        <v/>
      </c>
      <c r="Z104" s="20" t="str">
        <f>IF(Z$8="","",Y104)</f>
        <v/>
      </c>
      <c r="AA104" s="20" t="str">
        <f t="shared" ref="AA104:AA105" si="1452">IF(AA$8="","",Z104)</f>
        <v/>
      </c>
      <c r="AB104" s="20" t="str">
        <f t="shared" ref="AB104:AB105" si="1453">IF(AB$8="","",AA104)</f>
        <v/>
      </c>
      <c r="AC104" s="20" t="str">
        <f t="shared" ref="AC104:AC105" si="1454">IF(AC$8="","",AB104)</f>
        <v/>
      </c>
      <c r="AD104" s="20" t="str">
        <f>IF(AD$8="","",AC104)</f>
        <v/>
      </c>
      <c r="AE104" s="20" t="str">
        <f t="shared" ref="AE104:AE105" si="1455">IF(AE$8="","",AD104)</f>
        <v/>
      </c>
      <c r="AF104" s="20" t="str">
        <f t="shared" ref="AF104:AF105" si="1456">IF(AF$8="","",AE104)</f>
        <v/>
      </c>
      <c r="AG104" s="20" t="str">
        <f>IF(AG$8="","",AF104)</f>
        <v/>
      </c>
      <c r="AH104" s="20" t="str">
        <f t="shared" ref="AH104:AH105" si="1457">IF(AH$8="","",AG104)</f>
        <v/>
      </c>
      <c r="AI104" s="20" t="str">
        <f t="shared" ref="AI104:AI105" si="1458">IF(AI$8="","",AH104)</f>
        <v/>
      </c>
      <c r="AJ104" s="20" t="str">
        <f t="shared" ref="AJ104:AJ105" si="1459">IF(AJ$8="","",AI104)</f>
        <v/>
      </c>
      <c r="AK104" s="20" t="str">
        <f>IF(AK$8="","",AJ104)</f>
        <v/>
      </c>
      <c r="AL104" s="20" t="str">
        <f t="shared" ref="AL104:AL105" si="1460">IF(AL$8="","",AK104)</f>
        <v/>
      </c>
      <c r="AM104" s="20" t="str">
        <f t="shared" ref="AM104:AM105" si="1461">IF(AM$8="","",AL104)</f>
        <v/>
      </c>
      <c r="AN104" s="20" t="str">
        <f t="shared" ref="AN104:AN105" si="1462">IF(AN$8="","",AM104)</f>
        <v/>
      </c>
      <c r="AO104" s="20" t="str">
        <f t="shared" ref="AO104:AS104" si="1463">IF(AO$8="","",AN104)</f>
        <v/>
      </c>
      <c r="AP104" s="20" t="str">
        <f t="shared" si="1463"/>
        <v/>
      </c>
      <c r="AQ104" s="20" t="str">
        <f t="shared" si="1463"/>
        <v/>
      </c>
      <c r="AR104" s="20" t="str">
        <f t="shared" si="1463"/>
        <v/>
      </c>
      <c r="AS104" s="20" t="str">
        <f t="shared" si="1463"/>
        <v/>
      </c>
    </row>
    <row r="105" spans="1:45" s="1" customFormat="1" ht="11.25" x14ac:dyDescent="0.15">
      <c r="A105" s="16" t="s">
        <v>29</v>
      </c>
      <c r="B105" s="9" t="s">
        <v>4</v>
      </c>
      <c r="C105" s="65">
        <v>136</v>
      </c>
      <c r="D105" s="8">
        <v>136</v>
      </c>
      <c r="E105" s="8">
        <v>137</v>
      </c>
      <c r="F105" s="8">
        <v>137</v>
      </c>
      <c r="G105" s="8">
        <v>137</v>
      </c>
      <c r="H105" s="8">
        <v>137</v>
      </c>
      <c r="I105" s="8">
        <v>138</v>
      </c>
      <c r="J105" s="8">
        <f t="shared" si="1440"/>
        <v>138</v>
      </c>
      <c r="K105" s="8">
        <f t="shared" si="1441"/>
        <v>138</v>
      </c>
      <c r="L105" s="8">
        <v>139</v>
      </c>
      <c r="M105" s="8" t="str">
        <f t="shared" si="1442"/>
        <v/>
      </c>
      <c r="N105" s="8" t="str">
        <f t="shared" si="1443"/>
        <v/>
      </c>
      <c r="O105" s="8" t="str">
        <f t="shared" si="1444"/>
        <v/>
      </c>
      <c r="P105" s="8" t="str">
        <f>IF(P$8="","",O105)</f>
        <v/>
      </c>
      <c r="Q105" s="8" t="str">
        <f t="shared" si="1445"/>
        <v/>
      </c>
      <c r="R105" s="8" t="str">
        <f t="shared" si="1446"/>
        <v/>
      </c>
      <c r="S105" s="8" t="str">
        <f>IF(S$8="","",R105)</f>
        <v/>
      </c>
      <c r="T105" s="8" t="str">
        <f t="shared" si="1447"/>
        <v/>
      </c>
      <c r="U105" s="8" t="str">
        <f t="shared" si="1448"/>
        <v/>
      </c>
      <c r="V105" s="8" t="str">
        <f t="shared" si="1449"/>
        <v/>
      </c>
      <c r="W105" s="8" t="str">
        <f>IF(W$8="","",V105)</f>
        <v/>
      </c>
      <c r="X105" s="8" t="str">
        <f t="shared" si="1450"/>
        <v/>
      </c>
      <c r="Y105" s="8" t="str">
        <f t="shared" si="1451"/>
        <v/>
      </c>
      <c r="Z105" s="8" t="str">
        <f>IF(Z$8="","",Y105)</f>
        <v/>
      </c>
      <c r="AA105" s="8" t="str">
        <f t="shared" si="1452"/>
        <v/>
      </c>
      <c r="AB105" s="8" t="str">
        <f t="shared" si="1453"/>
        <v/>
      </c>
      <c r="AC105" s="8" t="str">
        <f t="shared" si="1454"/>
        <v/>
      </c>
      <c r="AD105" s="8" t="str">
        <f t="shared" ref="AD105" si="1464">IF(AD$8="","",AC105)</f>
        <v/>
      </c>
      <c r="AE105" s="8" t="str">
        <f t="shared" si="1455"/>
        <v/>
      </c>
      <c r="AF105" s="8" t="str">
        <f t="shared" si="1456"/>
        <v/>
      </c>
      <c r="AG105" s="8" t="str">
        <f>IF(AG$8="","",AF105)</f>
        <v/>
      </c>
      <c r="AH105" s="8" t="str">
        <f t="shared" si="1457"/>
        <v/>
      </c>
      <c r="AI105" s="8" t="str">
        <f t="shared" si="1458"/>
        <v/>
      </c>
      <c r="AJ105" s="8" t="str">
        <f t="shared" si="1459"/>
        <v/>
      </c>
      <c r="AK105" s="8" t="str">
        <f>IF(AK$8="","",AJ105)</f>
        <v/>
      </c>
      <c r="AL105" s="8" t="str">
        <f t="shared" si="1460"/>
        <v/>
      </c>
      <c r="AM105" s="8" t="str">
        <f t="shared" si="1461"/>
        <v/>
      </c>
      <c r="AN105" s="8" t="str">
        <f t="shared" si="1462"/>
        <v/>
      </c>
      <c r="AO105" s="8" t="str">
        <f t="shared" ref="AO105:AS105" si="1465">IF(AO$8="","",AN105)</f>
        <v/>
      </c>
      <c r="AP105" s="8" t="str">
        <f t="shared" si="1465"/>
        <v/>
      </c>
      <c r="AQ105" s="8" t="str">
        <f t="shared" si="1465"/>
        <v/>
      </c>
      <c r="AR105" s="8" t="str">
        <f t="shared" si="1465"/>
        <v/>
      </c>
      <c r="AS105" s="8" t="str">
        <f t="shared" si="1465"/>
        <v/>
      </c>
    </row>
    <row r="106" spans="1:45" s="1" customFormat="1" ht="11.25" x14ac:dyDescent="0.15">
      <c r="A106" s="15">
        <v>1</v>
      </c>
      <c r="B106" s="9" t="s">
        <v>5</v>
      </c>
      <c r="C106" s="65">
        <v>9</v>
      </c>
      <c r="D106" s="8">
        <v>9</v>
      </c>
      <c r="E106" s="8">
        <v>8</v>
      </c>
      <c r="F106" s="8">
        <v>8</v>
      </c>
      <c r="G106" s="8">
        <v>8</v>
      </c>
      <c r="H106" s="8">
        <v>8</v>
      </c>
      <c r="I106" s="8">
        <v>7</v>
      </c>
      <c r="J106" s="8">
        <f t="shared" ref="J106" si="1466">IF(J$8="","",(I106+I107))</f>
        <v>7</v>
      </c>
      <c r="K106" s="8">
        <f t="shared" ref="K106" si="1467">IF(K$8="","",(J106+J107))</f>
        <v>7</v>
      </c>
      <c r="L106" s="8">
        <v>6</v>
      </c>
      <c r="M106" s="8" t="str">
        <f t="shared" ref="M106" si="1468">IF(M$8="","",(L106+L107))</f>
        <v/>
      </c>
      <c r="N106" s="8" t="str">
        <f t="shared" ref="N106" si="1469">IF(N$8="","",(M106+M107))</f>
        <v/>
      </c>
      <c r="O106" s="8" t="str">
        <f t="shared" ref="O106" si="1470">IF(O$8="","",(N106+N107))</f>
        <v/>
      </c>
      <c r="P106" s="8" t="str">
        <f t="shared" ref="P106:R106" si="1471">IF(P$8="","",(O106+O107))</f>
        <v/>
      </c>
      <c r="Q106" s="8" t="str">
        <f t="shared" ref="Q106" si="1472">IF(Q$8="","",(P106+P107))</f>
        <v/>
      </c>
      <c r="R106" s="8" t="str">
        <f t="shared" ref="R106" si="1473">IF(R$8="","",(Q106+Q107))</f>
        <v/>
      </c>
      <c r="S106" s="8" t="str">
        <f>IF(S$8="","",(R106+R107))</f>
        <v/>
      </c>
      <c r="T106" s="8" t="str">
        <f t="shared" ref="T106" si="1474">IF(T$8="","",(S106+S107))</f>
        <v/>
      </c>
      <c r="U106" s="8" t="str">
        <f t="shared" ref="U106" si="1475">IF(U$8="","",(T106+T107))</f>
        <v/>
      </c>
      <c r="V106" s="8" t="str">
        <f t="shared" ref="V106" si="1476">IF(V$8="","",(U106+U107))</f>
        <v/>
      </c>
      <c r="W106" s="8" t="str">
        <f>IF(W$8="","",(V106+V107))</f>
        <v/>
      </c>
      <c r="X106" s="8" t="str">
        <f t="shared" ref="X106" si="1477">IF(X$8="","",(W106+W107))</f>
        <v/>
      </c>
      <c r="Y106" s="8" t="str">
        <f t="shared" ref="Y106" si="1478">IF(Y$8="","",(X106+X107))</f>
        <v/>
      </c>
      <c r="Z106" s="8" t="str">
        <f>IF(Z$8="","",(Y106+Y107))</f>
        <v/>
      </c>
      <c r="AA106" s="8" t="str">
        <f t="shared" ref="AA106" si="1479">IF(AA$8="","",(Z106+Z107))</f>
        <v/>
      </c>
      <c r="AB106" s="8" t="str">
        <f t="shared" ref="AB106" si="1480">IF(AB$8="","",(AA106+AA107))</f>
        <v/>
      </c>
      <c r="AC106" s="8" t="str">
        <f t="shared" ref="AC106" si="1481">IF(AC$8="","",(AB106+AB107))</f>
        <v/>
      </c>
      <c r="AD106" s="8" t="str">
        <f t="shared" ref="AD106" si="1482">IF(AD$8="","",(AC106+AC107))</f>
        <v/>
      </c>
      <c r="AE106" s="8" t="str">
        <f t="shared" ref="AE106" si="1483">IF(AE$8="","",(AD106+AD107))</f>
        <v/>
      </c>
      <c r="AF106" s="8" t="str">
        <f t="shared" ref="AF106" si="1484">IF(AF$8="","",(AE106+AE107))</f>
        <v/>
      </c>
      <c r="AG106" s="8" t="str">
        <f>IF(AG$8="","",(AF106+AF107))</f>
        <v/>
      </c>
      <c r="AH106" s="8" t="str">
        <f t="shared" ref="AH106" si="1485">IF(AH$8="","",(AG106+AG107))</f>
        <v/>
      </c>
      <c r="AI106" s="8" t="str">
        <f t="shared" ref="AI106" si="1486">IF(AI$8="","",(AH106+AH107))</f>
        <v/>
      </c>
      <c r="AJ106" s="8" t="str">
        <f t="shared" ref="AJ106" si="1487">IF(AJ$8="","",(AI106+AI107))</f>
        <v/>
      </c>
      <c r="AK106" s="8" t="str">
        <f>IF(AK$8="","",(AJ106+AJ107))</f>
        <v/>
      </c>
      <c r="AL106" s="8" t="str">
        <f t="shared" ref="AL106" si="1488">IF(AL$8="","",(AK106+AK107))</f>
        <v/>
      </c>
      <c r="AM106" s="8" t="str">
        <f t="shared" ref="AM106" si="1489">IF(AM$8="","",(AL106+AL107))</f>
        <v/>
      </c>
      <c r="AN106" s="8" t="str">
        <f t="shared" ref="AN106" si="1490">IF(AN$8="","",(AM106+AM107))</f>
        <v/>
      </c>
      <c r="AO106" s="8" t="str">
        <f t="shared" ref="AO106:AS106" si="1491">IF(AO$8="","",(AN106+AN107))</f>
        <v/>
      </c>
      <c r="AP106" s="8" t="str">
        <f t="shared" si="1491"/>
        <v/>
      </c>
      <c r="AQ106" s="8" t="str">
        <f t="shared" si="1491"/>
        <v/>
      </c>
      <c r="AR106" s="8" t="str">
        <f t="shared" si="1491"/>
        <v/>
      </c>
      <c r="AS106" s="8" t="str">
        <f t="shared" si="1491"/>
        <v/>
      </c>
    </row>
    <row r="107" spans="1:45" s="1" customFormat="1" ht="11.25" x14ac:dyDescent="0.15">
      <c r="A107" s="92" t="s">
        <v>6</v>
      </c>
      <c r="B107" s="9" t="s">
        <v>7</v>
      </c>
      <c r="C107" s="65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</row>
    <row r="108" spans="1:45" s="1" customFormat="1" ht="11.25" x14ac:dyDescent="0.15">
      <c r="A108" s="93">
        <f>+(A111+A123+A135+A147)*100</f>
        <v>30800</v>
      </c>
      <c r="B108" s="9" t="s">
        <v>8</v>
      </c>
      <c r="C108" s="65">
        <v>750</v>
      </c>
      <c r="D108" s="8">
        <v>750</v>
      </c>
      <c r="E108" s="8">
        <v>750</v>
      </c>
      <c r="F108" s="8">
        <v>750</v>
      </c>
      <c r="G108" s="8">
        <v>750</v>
      </c>
      <c r="H108" s="8">
        <v>750</v>
      </c>
      <c r="I108" s="8">
        <v>750</v>
      </c>
      <c r="J108" s="8">
        <f t="shared" ref="J108:J109" si="1492">IF(J$8="","",I108)</f>
        <v>750</v>
      </c>
      <c r="K108" s="8">
        <f t="shared" ref="K108:K109" si="1493">IF(K$8="","",J108)</f>
        <v>750</v>
      </c>
      <c r="L108" s="8">
        <f t="shared" ref="L108:L109" si="1494">IF(L$8="","",K108)</f>
        <v>750</v>
      </c>
      <c r="M108" s="8" t="str">
        <f t="shared" ref="M108:M109" si="1495">IF(M$8="","",L108)</f>
        <v/>
      </c>
      <c r="N108" s="8" t="str">
        <f t="shared" ref="N108:N109" si="1496">IF(N$8="","",M108)</f>
        <v/>
      </c>
      <c r="O108" s="8" t="str">
        <f t="shared" ref="O108:O109" si="1497">IF(O$8="","",N108)</f>
        <v/>
      </c>
      <c r="P108" s="8" t="str">
        <f t="shared" ref="P108:P109" si="1498">IF(P$8="","",O108)</f>
        <v/>
      </c>
      <c r="Q108" s="8" t="str">
        <f t="shared" ref="Q108:Q109" si="1499">IF(Q$8="","",P108)</f>
        <v/>
      </c>
      <c r="R108" s="8" t="str">
        <f t="shared" ref="R108:R109" si="1500">IF(R$8="","",Q108)</f>
        <v/>
      </c>
      <c r="S108" s="8" t="str">
        <f t="shared" ref="S108:S109" si="1501">IF(S$8="","",R108)</f>
        <v/>
      </c>
      <c r="T108" s="8" t="str">
        <f t="shared" ref="T108:T109" si="1502">IF(T$8="","",S108)</f>
        <v/>
      </c>
      <c r="U108" s="8" t="str">
        <f t="shared" ref="U108:U109" si="1503">IF(U$8="","",T108)</f>
        <v/>
      </c>
      <c r="V108" s="8" t="str">
        <f t="shared" ref="V108:V109" si="1504">IF(V$8="","",U108)</f>
        <v/>
      </c>
      <c r="W108" s="8" t="str">
        <f t="shared" ref="W108:W109" si="1505">IF(W$8="","",V108)</f>
        <v/>
      </c>
      <c r="X108" s="8" t="str">
        <f t="shared" ref="X108:X109" si="1506">IF(X$8="","",W108)</f>
        <v/>
      </c>
      <c r="Y108" s="8" t="str">
        <f t="shared" ref="Y108:Y109" si="1507">IF(Y$8="","",X108)</f>
        <v/>
      </c>
      <c r="Z108" s="8" t="str">
        <f t="shared" ref="Z108:Z109" si="1508">IF(Z$8="","",Y108)</f>
        <v/>
      </c>
      <c r="AA108" s="8" t="str">
        <f t="shared" ref="AA108:AA109" si="1509">IF(AA$8="","",Z108)</f>
        <v/>
      </c>
      <c r="AB108" s="8" t="str">
        <f t="shared" ref="AB108:AB109" si="1510">IF(AB$8="","",AA108)</f>
        <v/>
      </c>
      <c r="AC108" s="8" t="str">
        <f t="shared" ref="AC108:AC109" si="1511">IF(AC$8="","",AB108)</f>
        <v/>
      </c>
      <c r="AD108" s="8" t="str">
        <f t="shared" ref="AD108" si="1512">IF(AD$8="","",AC108)</f>
        <v/>
      </c>
      <c r="AE108" s="8" t="str">
        <f t="shared" ref="AE108:AE109" si="1513">IF(AE$8="","",AD108)</f>
        <v/>
      </c>
      <c r="AF108" s="8" t="str">
        <f t="shared" ref="AF108:AF109" si="1514">IF(AF$8="","",AE108)</f>
        <v/>
      </c>
      <c r="AG108" s="8" t="str">
        <f t="shared" ref="AG108:AG109" si="1515">IF(AG$8="","",AF108)</f>
        <v/>
      </c>
      <c r="AH108" s="8" t="str">
        <f>IF(AH$8="","",AG108)</f>
        <v/>
      </c>
      <c r="AI108" s="8" t="str">
        <f t="shared" ref="AI108:AI109" si="1516">IF(AI$8="","",AH108)</f>
        <v/>
      </c>
      <c r="AJ108" s="8" t="str">
        <f t="shared" ref="AJ108:AJ109" si="1517">IF(AJ$8="","",AI108)</f>
        <v/>
      </c>
      <c r="AK108" s="8" t="str">
        <f t="shared" ref="AK108:AK109" si="1518">IF(AK$8="","",AJ108)</f>
        <v/>
      </c>
      <c r="AL108" s="8" t="str">
        <f t="shared" ref="AL108:AL109" si="1519">IF(AL$8="","",AK108)</f>
        <v/>
      </c>
      <c r="AM108" s="8" t="str">
        <f t="shared" ref="AM108:AM109" si="1520">IF(AM$8="","",AL108)</f>
        <v/>
      </c>
      <c r="AN108" s="8" t="str">
        <f t="shared" ref="AN108:AN109" si="1521">IF(AN$8="","",AM108)</f>
        <v/>
      </c>
      <c r="AO108" s="8" t="str">
        <f t="shared" ref="AO108:AS108" si="1522">IF(AO$8="","",AN108)</f>
        <v/>
      </c>
      <c r="AP108" s="8" t="str">
        <f t="shared" si="1522"/>
        <v/>
      </c>
      <c r="AQ108" s="8" t="str">
        <f t="shared" si="1522"/>
        <v/>
      </c>
      <c r="AR108" s="8" t="str">
        <f t="shared" si="1522"/>
        <v/>
      </c>
      <c r="AS108" s="8" t="str">
        <f t="shared" si="1522"/>
        <v/>
      </c>
    </row>
    <row r="109" spans="1:45" s="85" customFormat="1" ht="11.25" x14ac:dyDescent="0.15">
      <c r="A109" s="14" t="s">
        <v>9</v>
      </c>
      <c r="B109" s="13" t="s">
        <v>10</v>
      </c>
      <c r="C109" s="66" t="s">
        <v>360</v>
      </c>
      <c r="D109" s="12" t="s">
        <v>360</v>
      </c>
      <c r="E109" s="12" t="s">
        <v>360</v>
      </c>
      <c r="F109" s="12" t="s">
        <v>360</v>
      </c>
      <c r="G109" s="12" t="s">
        <v>360</v>
      </c>
      <c r="H109" s="12" t="s">
        <v>360</v>
      </c>
      <c r="I109" s="12" t="s">
        <v>360</v>
      </c>
      <c r="J109" s="12" t="str">
        <f t="shared" si="1492"/>
        <v>パンケーキスクイーズ</v>
      </c>
      <c r="K109" s="12" t="str">
        <f t="shared" si="1493"/>
        <v>パンケーキスクイーズ</v>
      </c>
      <c r="L109" s="12" t="str">
        <f t="shared" si="1494"/>
        <v>パンケーキスクイーズ</v>
      </c>
      <c r="M109" s="12" t="str">
        <f t="shared" si="1495"/>
        <v/>
      </c>
      <c r="N109" s="12" t="str">
        <f t="shared" si="1496"/>
        <v/>
      </c>
      <c r="O109" s="12" t="str">
        <f t="shared" si="1497"/>
        <v/>
      </c>
      <c r="P109" s="12" t="str">
        <f t="shared" si="1498"/>
        <v/>
      </c>
      <c r="Q109" s="12" t="str">
        <f t="shared" si="1499"/>
        <v/>
      </c>
      <c r="R109" s="12" t="str">
        <f t="shared" si="1500"/>
        <v/>
      </c>
      <c r="S109" s="12" t="str">
        <f>IF(S$8="","",R109)</f>
        <v/>
      </c>
      <c r="T109" s="12" t="str">
        <f t="shared" si="1502"/>
        <v/>
      </c>
      <c r="U109" s="12" t="str">
        <f t="shared" si="1503"/>
        <v/>
      </c>
      <c r="V109" s="12" t="str">
        <f t="shared" si="1504"/>
        <v/>
      </c>
      <c r="W109" s="12" t="str">
        <f t="shared" si="1505"/>
        <v/>
      </c>
      <c r="X109" s="12" t="str">
        <f t="shared" si="1506"/>
        <v/>
      </c>
      <c r="Y109" s="12" t="str">
        <f t="shared" si="1507"/>
        <v/>
      </c>
      <c r="Z109" s="12" t="str">
        <f t="shared" si="1508"/>
        <v/>
      </c>
      <c r="AA109" s="12" t="str">
        <f t="shared" si="1509"/>
        <v/>
      </c>
      <c r="AB109" s="12" t="str">
        <f t="shared" si="1510"/>
        <v/>
      </c>
      <c r="AC109" s="12" t="str">
        <f t="shared" si="1511"/>
        <v/>
      </c>
      <c r="AD109" s="12" t="str">
        <f>IF(AD$8="","",AC109)</f>
        <v/>
      </c>
      <c r="AE109" s="12" t="str">
        <f t="shared" si="1513"/>
        <v/>
      </c>
      <c r="AF109" s="12" t="str">
        <f t="shared" si="1514"/>
        <v/>
      </c>
      <c r="AG109" s="12" t="str">
        <f t="shared" si="1515"/>
        <v/>
      </c>
      <c r="AH109" s="12" t="str">
        <f t="shared" ref="AH108:AH109" si="1523">IF(AH$8="","",AG109)</f>
        <v/>
      </c>
      <c r="AI109" s="12" t="str">
        <f t="shared" si="1516"/>
        <v/>
      </c>
      <c r="AJ109" s="12" t="str">
        <f t="shared" si="1517"/>
        <v/>
      </c>
      <c r="AK109" s="12" t="str">
        <f t="shared" si="1518"/>
        <v/>
      </c>
      <c r="AL109" s="12" t="str">
        <f t="shared" si="1519"/>
        <v/>
      </c>
      <c r="AM109" s="12" t="str">
        <f t="shared" si="1520"/>
        <v/>
      </c>
      <c r="AN109" s="12" t="str">
        <f t="shared" si="1521"/>
        <v/>
      </c>
      <c r="AO109" s="12" t="str">
        <f t="shared" ref="AO109:AS109" si="1524">IF(AO$8="","",AN109)</f>
        <v/>
      </c>
      <c r="AP109" s="12" t="str">
        <f t="shared" si="1524"/>
        <v/>
      </c>
      <c r="AQ109" s="12" t="str">
        <f t="shared" si="1524"/>
        <v/>
      </c>
      <c r="AR109" s="12" t="str">
        <f t="shared" si="1524"/>
        <v/>
      </c>
      <c r="AS109" s="12" t="str">
        <f t="shared" si="1524"/>
        <v/>
      </c>
    </row>
    <row r="110" spans="1:45" s="1" customFormat="1" ht="11.25" x14ac:dyDescent="0.15">
      <c r="A110" s="7">
        <f>AVERAGE(C111:AS111)*30*100</f>
        <v>39900</v>
      </c>
      <c r="B110" s="9" t="s">
        <v>12</v>
      </c>
      <c r="C110" s="65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</row>
    <row r="111" spans="1:45" s="1" customFormat="1" ht="11.25" x14ac:dyDescent="0.15">
      <c r="A111" s="7">
        <f>SUM(C111:AS111)</f>
        <v>133</v>
      </c>
      <c r="B111" s="6" t="s">
        <v>13</v>
      </c>
      <c r="C111" s="65">
        <v>0</v>
      </c>
      <c r="D111" s="5">
        <v>0</v>
      </c>
      <c r="E111" s="5">
        <v>62</v>
      </c>
      <c r="F111" s="5">
        <v>0</v>
      </c>
      <c r="G111" s="5">
        <v>0</v>
      </c>
      <c r="H111" s="5">
        <v>0</v>
      </c>
      <c r="I111" s="5">
        <v>27</v>
      </c>
      <c r="J111" s="5">
        <f t="shared" ref="J111:J112" si="1525">IF(J$8="","",J104-I104)</f>
        <v>0</v>
      </c>
      <c r="K111" s="5">
        <f t="shared" ref="K111:K112" si="1526">IF(K$8="","",K104-J104)</f>
        <v>0</v>
      </c>
      <c r="L111" s="5">
        <f t="shared" ref="L111:L112" si="1527">IF(L$8="","",L104-K104)</f>
        <v>44</v>
      </c>
      <c r="M111" s="5" t="str">
        <f t="shared" ref="M111:M112" si="1528">IF(M$8="","",M104-L104)</f>
        <v/>
      </c>
      <c r="N111" s="5" t="str">
        <f t="shared" ref="N111:N112" si="1529">IF(N$8="","",N104-M104)</f>
        <v/>
      </c>
      <c r="O111" s="5" t="str">
        <f t="shared" ref="O111:O112" si="1530">IF(O$8="","",O104-N104)</f>
        <v/>
      </c>
      <c r="P111" s="5" t="str">
        <f t="shared" ref="P111:P112" si="1531">IF(P$8="","",P104-O104)</f>
        <v/>
      </c>
      <c r="Q111" s="5" t="str">
        <f t="shared" ref="Q111:Q112" si="1532">IF(Q$8="","",Q104-P104)</f>
        <v/>
      </c>
      <c r="R111" s="5" t="str">
        <f t="shared" ref="R111:R112" si="1533">IF(R$8="","",R104-Q104)</f>
        <v/>
      </c>
      <c r="S111" s="5" t="str">
        <f t="shared" ref="S111:S112" si="1534">IF(S$8="","",S104-R104)</f>
        <v/>
      </c>
      <c r="T111" s="5" t="str">
        <f t="shared" ref="T111:T112" si="1535">IF(T$8="","",T104-S104)</f>
        <v/>
      </c>
      <c r="U111" s="5" t="str">
        <f t="shared" ref="U111:U112" si="1536">IF(U$8="","",U104-T104)</f>
        <v/>
      </c>
      <c r="V111" s="5" t="str">
        <f t="shared" ref="V111:V112" si="1537">IF(V$8="","",V104-U104)</f>
        <v/>
      </c>
      <c r="W111" s="5" t="str">
        <f t="shared" ref="W111:W112" si="1538">IF(W$8="","",W104-V104)</f>
        <v/>
      </c>
      <c r="X111" s="5" t="str">
        <f t="shared" ref="X111:X112" si="1539">IF(X$8="","",X104-W104)</f>
        <v/>
      </c>
      <c r="Y111" s="5" t="str">
        <f t="shared" ref="Y111:Y112" si="1540">IF(Y$8="","",Y104-X104)</f>
        <v/>
      </c>
      <c r="Z111" s="5" t="str">
        <f t="shared" ref="Z111:Z112" si="1541">IF(Z$8="","",Z104-Y104)</f>
        <v/>
      </c>
      <c r="AA111" s="5" t="str">
        <f t="shared" ref="AA111:AA112" si="1542">IF(AA$8="","",AA104-Z104)</f>
        <v/>
      </c>
      <c r="AB111" s="5" t="str">
        <f t="shared" ref="AB111:AB112" si="1543">IF(AB$8="","",AB104-AA104)</f>
        <v/>
      </c>
      <c r="AC111" s="5" t="str">
        <f t="shared" ref="AC111:AC112" si="1544">IF(AC$8="","",AC104-AB104)</f>
        <v/>
      </c>
      <c r="AD111" s="5" t="str">
        <f t="shared" ref="AD111:AD112" si="1545">IF(AD$8="","",AD104-AC104)</f>
        <v/>
      </c>
      <c r="AE111" s="5" t="str">
        <f t="shared" ref="AE111:AE112" si="1546">IF(AE$8="","",AE104-AD104)</f>
        <v/>
      </c>
      <c r="AF111" s="5" t="str">
        <f t="shared" ref="AF111:AF112" si="1547">IF(AF$8="","",AF104-AE104)</f>
        <v/>
      </c>
      <c r="AG111" s="5" t="str">
        <f t="shared" ref="AG111:AG112" si="1548">IF(AG$8="","",AG104-AF104)</f>
        <v/>
      </c>
      <c r="AH111" s="5" t="str">
        <f t="shared" ref="AH111:AH112" si="1549">IF(AH$8="","",AH104-AG104)</f>
        <v/>
      </c>
      <c r="AI111" s="5" t="str">
        <f t="shared" ref="AI111:AI112" si="1550">IF(AI$8="","",AI104-AH104)</f>
        <v/>
      </c>
      <c r="AJ111" s="5" t="str">
        <f t="shared" ref="AJ111:AJ112" si="1551">IF(AJ$8="","",AJ104-AI104)</f>
        <v/>
      </c>
      <c r="AK111" s="5" t="str">
        <f t="shared" ref="AK111:AK112" si="1552">IF(AK$8="","",AK104-AJ104)</f>
        <v/>
      </c>
      <c r="AL111" s="5" t="str">
        <f t="shared" ref="AL111:AL112" si="1553">IF(AL$8="","",AL104-AK104)</f>
        <v/>
      </c>
      <c r="AM111" s="5" t="str">
        <f t="shared" ref="AM111:AM112" si="1554">IF(AM$8="","",AM104-AL104)</f>
        <v/>
      </c>
      <c r="AN111" s="5" t="str">
        <f t="shared" ref="AN111:AN112" si="1555">IF(AN$8="","",AN104-AM104)</f>
        <v/>
      </c>
      <c r="AO111" s="5" t="str">
        <f t="shared" ref="AO111:AS111" si="1556">IF(AO$8="","",AO104-AN104)</f>
        <v/>
      </c>
      <c r="AP111" s="5" t="str">
        <f t="shared" si="1556"/>
        <v/>
      </c>
      <c r="AQ111" s="5" t="str">
        <f t="shared" si="1556"/>
        <v/>
      </c>
      <c r="AR111" s="5" t="str">
        <f t="shared" si="1556"/>
        <v/>
      </c>
      <c r="AS111" s="5" t="str">
        <f t="shared" si="1556"/>
        <v/>
      </c>
    </row>
    <row r="112" spans="1:45" s="1" customFormat="1" ht="11.25" x14ac:dyDescent="0.15">
      <c r="A112" s="7">
        <f>SUM(C112:AS112)</f>
        <v>3</v>
      </c>
      <c r="B112" s="6" t="s">
        <v>14</v>
      </c>
      <c r="C112" s="65">
        <v>0</v>
      </c>
      <c r="D112" s="5">
        <v>0</v>
      </c>
      <c r="E112" s="5">
        <v>1</v>
      </c>
      <c r="F112" s="5">
        <v>0</v>
      </c>
      <c r="G112" s="5">
        <v>0</v>
      </c>
      <c r="H112" s="5">
        <v>0</v>
      </c>
      <c r="I112" s="5">
        <v>1</v>
      </c>
      <c r="J112" s="5">
        <f t="shared" si="1525"/>
        <v>0</v>
      </c>
      <c r="K112" s="5">
        <f t="shared" si="1526"/>
        <v>0</v>
      </c>
      <c r="L112" s="5">
        <f t="shared" si="1527"/>
        <v>1</v>
      </c>
      <c r="M112" s="5" t="str">
        <f t="shared" si="1528"/>
        <v/>
      </c>
      <c r="N112" s="5" t="str">
        <f t="shared" si="1529"/>
        <v/>
      </c>
      <c r="O112" s="5" t="str">
        <f t="shared" si="1530"/>
        <v/>
      </c>
      <c r="P112" s="5" t="str">
        <f t="shared" si="1531"/>
        <v/>
      </c>
      <c r="Q112" s="5" t="str">
        <f t="shared" si="1532"/>
        <v/>
      </c>
      <c r="R112" s="5" t="str">
        <f t="shared" si="1533"/>
        <v/>
      </c>
      <c r="S112" s="5" t="str">
        <f t="shared" si="1534"/>
        <v/>
      </c>
      <c r="T112" s="5" t="str">
        <f t="shared" si="1535"/>
        <v/>
      </c>
      <c r="U112" s="5" t="str">
        <f t="shared" si="1536"/>
        <v/>
      </c>
      <c r="V112" s="5" t="str">
        <f t="shared" si="1537"/>
        <v/>
      </c>
      <c r="W112" s="5" t="str">
        <f t="shared" si="1538"/>
        <v/>
      </c>
      <c r="X112" s="5" t="str">
        <f t="shared" si="1539"/>
        <v/>
      </c>
      <c r="Y112" s="5" t="str">
        <f t="shared" si="1540"/>
        <v/>
      </c>
      <c r="Z112" s="5" t="str">
        <f t="shared" si="1541"/>
        <v/>
      </c>
      <c r="AA112" s="5" t="str">
        <f t="shared" si="1542"/>
        <v/>
      </c>
      <c r="AB112" s="5" t="str">
        <f t="shared" si="1543"/>
        <v/>
      </c>
      <c r="AC112" s="5" t="str">
        <f t="shared" si="1544"/>
        <v/>
      </c>
      <c r="AD112" s="5" t="str">
        <f t="shared" si="1545"/>
        <v/>
      </c>
      <c r="AE112" s="5" t="str">
        <f t="shared" si="1546"/>
        <v/>
      </c>
      <c r="AF112" s="5" t="str">
        <f t="shared" si="1547"/>
        <v/>
      </c>
      <c r="AG112" s="5" t="str">
        <f t="shared" si="1548"/>
        <v/>
      </c>
      <c r="AH112" s="5" t="str">
        <f t="shared" si="1549"/>
        <v/>
      </c>
      <c r="AI112" s="5" t="str">
        <f t="shared" si="1550"/>
        <v/>
      </c>
      <c r="AJ112" s="5" t="str">
        <f t="shared" si="1551"/>
        <v/>
      </c>
      <c r="AK112" s="5" t="str">
        <f t="shared" si="1552"/>
        <v/>
      </c>
      <c r="AL112" s="5" t="str">
        <f t="shared" si="1553"/>
        <v/>
      </c>
      <c r="AM112" s="5" t="str">
        <f t="shared" si="1554"/>
        <v/>
      </c>
      <c r="AN112" s="5" t="str">
        <f t="shared" si="1555"/>
        <v/>
      </c>
      <c r="AO112" s="5" t="str">
        <f t="shared" ref="AO112:AS112" si="1557">IF(AO$8="","",AO105-AN105)</f>
        <v/>
      </c>
      <c r="AP112" s="5" t="str">
        <f t="shared" si="1557"/>
        <v/>
      </c>
      <c r="AQ112" s="5" t="str">
        <f t="shared" si="1557"/>
        <v/>
      </c>
      <c r="AR112" s="5" t="str">
        <f t="shared" si="1557"/>
        <v/>
      </c>
      <c r="AS112" s="5" t="str">
        <f t="shared" si="1557"/>
        <v/>
      </c>
    </row>
    <row r="113" spans="1:45" s="1" customFormat="1" ht="11.25" x14ac:dyDescent="0.15">
      <c r="A113" s="7">
        <f>SUM(C113:AS113)</f>
        <v>3</v>
      </c>
      <c r="B113" s="6" t="s">
        <v>15</v>
      </c>
      <c r="C113" s="65">
        <v>0</v>
      </c>
      <c r="D113" s="5">
        <v>0</v>
      </c>
      <c r="E113" s="5">
        <v>1</v>
      </c>
      <c r="F113" s="5">
        <v>0</v>
      </c>
      <c r="G113" s="5">
        <v>0</v>
      </c>
      <c r="H113" s="5">
        <v>0</v>
      </c>
      <c r="I113" s="5">
        <v>1</v>
      </c>
      <c r="J113" s="5">
        <f t="shared" ref="J113" si="1558">IF(J$8="","",I106+I107-J106)</f>
        <v>0</v>
      </c>
      <c r="K113" s="5">
        <f t="shared" ref="K113" si="1559">IF(K$8="","",J106+J107-K106)</f>
        <v>0</v>
      </c>
      <c r="L113" s="5">
        <f t="shared" ref="L113" si="1560">IF(L$8="","",K106+K107-L106)</f>
        <v>1</v>
      </c>
      <c r="M113" s="5" t="str">
        <f t="shared" ref="M113" si="1561">IF(M$8="","",L106+L107-M106)</f>
        <v/>
      </c>
      <c r="N113" s="5" t="str">
        <f t="shared" ref="N113" si="1562">IF(N$8="","",M106+M107-N106)</f>
        <v/>
      </c>
      <c r="O113" s="5" t="str">
        <f t="shared" ref="O113" si="1563">IF(O$8="","",N106+N107-O106)</f>
        <v/>
      </c>
      <c r="P113" s="5" t="str">
        <f t="shared" ref="P113" si="1564">IF(P$8="","",O106+O107-P106)</f>
        <v/>
      </c>
      <c r="Q113" s="5" t="str">
        <f t="shared" ref="Q113" si="1565">IF(Q$8="","",P106+P107-Q106)</f>
        <v/>
      </c>
      <c r="R113" s="5" t="str">
        <f t="shared" ref="R113" si="1566">IF(R$8="","",Q106+Q107-R106)</f>
        <v/>
      </c>
      <c r="S113" s="5" t="str">
        <f t="shared" ref="S113" si="1567">IF(S$8="","",R106+R107-S106)</f>
        <v/>
      </c>
      <c r="T113" s="5" t="str">
        <f t="shared" ref="T113" si="1568">IF(T$8="","",S106+S107-T106)</f>
        <v/>
      </c>
      <c r="U113" s="5" t="str">
        <f t="shared" ref="U113" si="1569">IF(U$8="","",T106+T107-U106)</f>
        <v/>
      </c>
      <c r="V113" s="5" t="str">
        <f t="shared" ref="V113" si="1570">IF(V$8="","",U106+U107-V106)</f>
        <v/>
      </c>
      <c r="W113" s="5" t="str">
        <f t="shared" ref="W113" si="1571">IF(W$8="","",V106+V107-W106)</f>
        <v/>
      </c>
      <c r="X113" s="5" t="str">
        <f t="shared" ref="X113" si="1572">IF(X$8="","",W106+W107-X106)</f>
        <v/>
      </c>
      <c r="Y113" s="5" t="str">
        <f t="shared" ref="Y113" si="1573">IF(Y$8="","",X106+X107-Y106)</f>
        <v/>
      </c>
      <c r="Z113" s="5" t="str">
        <f t="shared" ref="Z113" si="1574">IF(Z$8="","",Y106+Y107-Z106)</f>
        <v/>
      </c>
      <c r="AA113" s="5" t="str">
        <f t="shared" ref="AA113" si="1575">IF(AA$8="","",Z106+Z107-AA106)</f>
        <v/>
      </c>
      <c r="AB113" s="5" t="str">
        <f t="shared" ref="AB113" si="1576">IF(AB$8="","",AA106+AA107-AB106)</f>
        <v/>
      </c>
      <c r="AC113" s="5" t="str">
        <f t="shared" ref="AC113" si="1577">IF(AC$8="","",AB106+AB107-AC106)</f>
        <v/>
      </c>
      <c r="AD113" s="5" t="str">
        <f t="shared" ref="AD113" si="1578">IF(AD$8="","",AC106+AC107-AD106)</f>
        <v/>
      </c>
      <c r="AE113" s="5" t="str">
        <f t="shared" ref="AE113" si="1579">IF(AE$8="","",AD106+AD107-AE106)</f>
        <v/>
      </c>
      <c r="AF113" s="5" t="str">
        <f t="shared" ref="AF113" si="1580">IF(AF$8="","",AE106+AE107-AF106)</f>
        <v/>
      </c>
      <c r="AG113" s="5" t="str">
        <f t="shared" ref="AG113" si="1581">IF(AG$8="","",AF106+AF107-AG106)</f>
        <v/>
      </c>
      <c r="AH113" s="5" t="str">
        <f t="shared" ref="AH113" si="1582">IF(AH$8="","",AG106+AG107-AH106)</f>
        <v/>
      </c>
      <c r="AI113" s="5" t="str">
        <f t="shared" ref="AI113" si="1583">IF(AI$8="","",AH106+AH107-AI106)</f>
        <v/>
      </c>
      <c r="AJ113" s="5" t="str">
        <f t="shared" ref="AJ113" si="1584">IF(AJ$8="","",AI106+AI107-AJ106)</f>
        <v/>
      </c>
      <c r="AK113" s="5" t="str">
        <f t="shared" ref="AK113" si="1585">IF(AK$8="","",AJ106+AJ107-AK106)</f>
        <v/>
      </c>
      <c r="AL113" s="5" t="str">
        <f t="shared" ref="AL113" si="1586">IF(AL$8="","",AK106+AK107-AL106)</f>
        <v/>
      </c>
      <c r="AM113" s="5" t="str">
        <f t="shared" ref="AM113" si="1587">IF(AM$8="","",AL106+AL107-AM106)</f>
        <v/>
      </c>
      <c r="AN113" s="5" t="str">
        <f t="shared" ref="AN113" si="1588">IF(AN$8="","",AM106+AM107-AN106)</f>
        <v/>
      </c>
      <c r="AO113" s="5" t="str">
        <f t="shared" ref="AO113:AS113" si="1589">IF(AO$8="","",AN106+AN107-AO106)</f>
        <v/>
      </c>
      <c r="AP113" s="5" t="str">
        <f t="shared" si="1589"/>
        <v/>
      </c>
      <c r="AQ113" s="5" t="str">
        <f t="shared" si="1589"/>
        <v/>
      </c>
      <c r="AR113" s="5" t="str">
        <f t="shared" si="1589"/>
        <v/>
      </c>
      <c r="AS113" s="5" t="str">
        <f t="shared" si="1589"/>
        <v/>
      </c>
    </row>
    <row r="114" spans="1:45" s="1" customFormat="1" ht="11.25" x14ac:dyDescent="0.15">
      <c r="A114" s="7">
        <f>SUM(C114:AS114)</f>
        <v>2250</v>
      </c>
      <c r="B114" s="6" t="s">
        <v>16</v>
      </c>
      <c r="C114" s="65">
        <v>0</v>
      </c>
      <c r="D114" s="5">
        <v>0</v>
      </c>
      <c r="E114" s="5">
        <v>750</v>
      </c>
      <c r="F114" s="5">
        <v>0</v>
      </c>
      <c r="G114" s="5">
        <v>0</v>
      </c>
      <c r="H114" s="5">
        <v>0</v>
      </c>
      <c r="I114" s="5">
        <v>750</v>
      </c>
      <c r="J114" s="5">
        <f t="shared" ref="D114:AN114" si="1590">IF(J$8="","",J113*J108)</f>
        <v>0</v>
      </c>
      <c r="K114" s="5">
        <f t="shared" si="1590"/>
        <v>0</v>
      </c>
      <c r="L114" s="5">
        <f t="shared" si="1590"/>
        <v>750</v>
      </c>
      <c r="M114" s="5" t="str">
        <f t="shared" si="1590"/>
        <v/>
      </c>
      <c r="N114" s="5" t="str">
        <f t="shared" si="1590"/>
        <v/>
      </c>
      <c r="O114" s="5" t="str">
        <f t="shared" si="1590"/>
        <v/>
      </c>
      <c r="P114" s="5" t="str">
        <f t="shared" si="1590"/>
        <v/>
      </c>
      <c r="Q114" s="5" t="str">
        <f t="shared" si="1590"/>
        <v/>
      </c>
      <c r="R114" s="5" t="str">
        <f t="shared" si="1590"/>
        <v/>
      </c>
      <c r="S114" s="5" t="str">
        <f t="shared" si="1590"/>
        <v/>
      </c>
      <c r="T114" s="5" t="str">
        <f t="shared" si="1590"/>
        <v/>
      </c>
      <c r="U114" s="5" t="str">
        <f t="shared" si="1590"/>
        <v/>
      </c>
      <c r="V114" s="5" t="str">
        <f t="shared" si="1590"/>
        <v/>
      </c>
      <c r="W114" s="5" t="str">
        <f t="shared" si="1590"/>
        <v/>
      </c>
      <c r="X114" s="5" t="str">
        <f t="shared" si="1590"/>
        <v/>
      </c>
      <c r="Y114" s="5" t="str">
        <f t="shared" si="1590"/>
        <v/>
      </c>
      <c r="Z114" s="5" t="str">
        <f t="shared" si="1590"/>
        <v/>
      </c>
      <c r="AA114" s="5" t="str">
        <f t="shared" si="1590"/>
        <v/>
      </c>
      <c r="AB114" s="5" t="str">
        <f t="shared" si="1590"/>
        <v/>
      </c>
      <c r="AC114" s="5" t="str">
        <f t="shared" si="1590"/>
        <v/>
      </c>
      <c r="AD114" s="5" t="str">
        <f t="shared" si="1590"/>
        <v/>
      </c>
      <c r="AE114" s="5" t="str">
        <f t="shared" si="1590"/>
        <v/>
      </c>
      <c r="AF114" s="5" t="str">
        <f t="shared" si="1590"/>
        <v/>
      </c>
      <c r="AG114" s="5" t="str">
        <f t="shared" si="1590"/>
        <v/>
      </c>
      <c r="AH114" s="5" t="str">
        <f t="shared" si="1590"/>
        <v/>
      </c>
      <c r="AI114" s="5" t="str">
        <f t="shared" si="1590"/>
        <v/>
      </c>
      <c r="AJ114" s="5" t="str">
        <f t="shared" si="1590"/>
        <v/>
      </c>
      <c r="AK114" s="5" t="str">
        <f t="shared" si="1590"/>
        <v/>
      </c>
      <c r="AL114" s="5" t="str">
        <f t="shared" si="1590"/>
        <v/>
      </c>
      <c r="AM114" s="5" t="str">
        <f t="shared" si="1590"/>
        <v/>
      </c>
      <c r="AN114" s="5" t="str">
        <f t="shared" si="1590"/>
        <v/>
      </c>
      <c r="AO114" s="5" t="str">
        <f t="shared" ref="AO114:AS114" si="1591">IF(AO$8="","",AO113*AO108)</f>
        <v/>
      </c>
      <c r="AP114" s="5" t="str">
        <f t="shared" si="1591"/>
        <v/>
      </c>
      <c r="AQ114" s="5" t="str">
        <f t="shared" si="1591"/>
        <v/>
      </c>
      <c r="AR114" s="5" t="str">
        <f t="shared" si="1591"/>
        <v/>
      </c>
      <c r="AS114" s="5" t="str">
        <f t="shared" si="1591"/>
        <v/>
      </c>
    </row>
    <row r="115" spans="1:45" s="1" customFormat="1" ht="12" thickBot="1" x14ac:dyDescent="0.2">
      <c r="A115" s="4">
        <f>IF(A114="","",A114/(A111*100))</f>
        <v>0.16917293233082706</v>
      </c>
      <c r="B115" s="6" t="s">
        <v>18</v>
      </c>
      <c r="C115" s="67" t="s">
        <v>19</v>
      </c>
      <c r="D115" s="18" t="s">
        <v>19</v>
      </c>
      <c r="E115" s="18">
        <v>0.12096774193548387</v>
      </c>
      <c r="F115" s="18" t="s">
        <v>19</v>
      </c>
      <c r="G115" s="18" t="s">
        <v>19</v>
      </c>
      <c r="H115" s="18" t="s">
        <v>19</v>
      </c>
      <c r="I115" s="18">
        <v>0.27777777777777779</v>
      </c>
      <c r="J115" s="18" t="str">
        <f t="shared" ref="D115:AN115" si="1592">IF(J$8="","",IF(J114=0,"",J114/(J111*100)))</f>
        <v/>
      </c>
      <c r="K115" s="18" t="str">
        <f t="shared" si="1592"/>
        <v/>
      </c>
      <c r="L115" s="18">
        <f t="shared" si="1592"/>
        <v>0.17045454545454544</v>
      </c>
      <c r="M115" s="18" t="str">
        <f t="shared" si="1592"/>
        <v/>
      </c>
      <c r="N115" s="18" t="str">
        <f t="shared" si="1592"/>
        <v/>
      </c>
      <c r="O115" s="18" t="str">
        <f t="shared" si="1592"/>
        <v/>
      </c>
      <c r="P115" s="18" t="str">
        <f t="shared" si="1592"/>
        <v/>
      </c>
      <c r="Q115" s="18" t="str">
        <f t="shared" si="1592"/>
        <v/>
      </c>
      <c r="R115" s="18" t="str">
        <f t="shared" si="1592"/>
        <v/>
      </c>
      <c r="S115" s="18" t="str">
        <f t="shared" si="1592"/>
        <v/>
      </c>
      <c r="T115" s="18" t="str">
        <f t="shared" si="1592"/>
        <v/>
      </c>
      <c r="U115" s="18" t="str">
        <f t="shared" si="1592"/>
        <v/>
      </c>
      <c r="V115" s="18" t="str">
        <f t="shared" si="1592"/>
        <v/>
      </c>
      <c r="W115" s="18" t="str">
        <f t="shared" si="1592"/>
        <v/>
      </c>
      <c r="X115" s="18" t="str">
        <f t="shared" si="1592"/>
        <v/>
      </c>
      <c r="Y115" s="18" t="str">
        <f t="shared" si="1592"/>
        <v/>
      </c>
      <c r="Z115" s="18" t="str">
        <f t="shared" si="1592"/>
        <v/>
      </c>
      <c r="AA115" s="18" t="str">
        <f t="shared" si="1592"/>
        <v/>
      </c>
      <c r="AB115" s="18" t="str">
        <f t="shared" si="1592"/>
        <v/>
      </c>
      <c r="AC115" s="18" t="str">
        <f t="shared" si="1592"/>
        <v/>
      </c>
      <c r="AD115" s="18" t="str">
        <f t="shared" si="1592"/>
        <v/>
      </c>
      <c r="AE115" s="18" t="str">
        <f t="shared" si="1592"/>
        <v/>
      </c>
      <c r="AF115" s="18" t="str">
        <f t="shared" si="1592"/>
        <v/>
      </c>
      <c r="AG115" s="18" t="str">
        <f t="shared" si="1592"/>
        <v/>
      </c>
      <c r="AH115" s="18" t="str">
        <f t="shared" si="1592"/>
        <v/>
      </c>
      <c r="AI115" s="18" t="str">
        <f t="shared" si="1592"/>
        <v/>
      </c>
      <c r="AJ115" s="18" t="str">
        <f t="shared" si="1592"/>
        <v/>
      </c>
      <c r="AK115" s="18" t="str">
        <f t="shared" si="1592"/>
        <v/>
      </c>
      <c r="AL115" s="18" t="str">
        <f t="shared" si="1592"/>
        <v/>
      </c>
      <c r="AM115" s="18" t="str">
        <f t="shared" si="1592"/>
        <v/>
      </c>
      <c r="AN115" s="18" t="str">
        <f t="shared" si="1592"/>
        <v/>
      </c>
      <c r="AO115" s="18" t="str">
        <f t="shared" ref="AO115:AS115" si="1593">IF(AO$8="","",IF(AO114=0,"",AO114/(AO111*100)))</f>
        <v/>
      </c>
      <c r="AP115" s="18" t="str">
        <f t="shared" si="1593"/>
        <v/>
      </c>
      <c r="AQ115" s="18" t="str">
        <f t="shared" si="1593"/>
        <v/>
      </c>
      <c r="AR115" s="18" t="str">
        <f t="shared" si="1593"/>
        <v/>
      </c>
      <c r="AS115" s="18" t="str">
        <f t="shared" si="1593"/>
        <v/>
      </c>
    </row>
    <row r="116" spans="1:45" s="1" customFormat="1" ht="11.25" x14ac:dyDescent="0.15">
      <c r="A116" s="17" t="s">
        <v>46</v>
      </c>
      <c r="B116" s="9" t="s">
        <v>2</v>
      </c>
      <c r="C116" s="65">
        <v>3075</v>
      </c>
      <c r="D116" s="8">
        <v>3075</v>
      </c>
      <c r="E116" s="8">
        <v>3113</v>
      </c>
      <c r="F116" s="8">
        <v>3113</v>
      </c>
      <c r="G116" s="8">
        <v>3113</v>
      </c>
      <c r="H116" s="8">
        <v>3113</v>
      </c>
      <c r="I116" s="8">
        <v>3119</v>
      </c>
      <c r="J116" s="8">
        <f t="shared" ref="J116:J117" si="1594">IF(J$8="","",I116)</f>
        <v>3119</v>
      </c>
      <c r="K116" s="8">
        <f t="shared" ref="K116:K117" si="1595">IF(K$8="","",J116)</f>
        <v>3119</v>
      </c>
      <c r="L116" s="8">
        <v>3133</v>
      </c>
      <c r="M116" s="8" t="str">
        <f t="shared" ref="M116:M117" si="1596">IF(M$8="","",L116)</f>
        <v/>
      </c>
      <c r="N116" s="8" t="str">
        <f t="shared" ref="N116:N117" si="1597">IF(N$8="","",M116)</f>
        <v/>
      </c>
      <c r="O116" s="8" t="str">
        <f t="shared" ref="O116:O117" si="1598">IF(O$8="","",N116)</f>
        <v/>
      </c>
      <c r="P116" s="8" t="str">
        <f>IF(P$8="","",O116)</f>
        <v/>
      </c>
      <c r="Q116" s="8" t="str">
        <f t="shared" ref="Q116:Q117" si="1599">IF(Q$8="","",P116)</f>
        <v/>
      </c>
      <c r="R116" s="8" t="str">
        <f t="shared" ref="R116:R117" si="1600">IF(R$8="","",Q116)</f>
        <v/>
      </c>
      <c r="S116" s="8" t="str">
        <f>IF(S$8="","",R116)</f>
        <v/>
      </c>
      <c r="T116" s="8" t="str">
        <f t="shared" ref="T116:T117" si="1601">IF(T$8="","",S116)</f>
        <v/>
      </c>
      <c r="U116" s="8" t="str">
        <f t="shared" ref="U116:U117" si="1602">IF(U$8="","",T116)</f>
        <v/>
      </c>
      <c r="V116" s="8" t="str">
        <f t="shared" ref="V116:V117" si="1603">IF(V$8="","",U116)</f>
        <v/>
      </c>
      <c r="W116" s="8" t="str">
        <f>IF(W$8="","",V116)</f>
        <v/>
      </c>
      <c r="X116" s="8" t="str">
        <f t="shared" ref="X116:X117" si="1604">IF(X$8="","",W116)</f>
        <v/>
      </c>
      <c r="Y116" s="8" t="str">
        <f t="shared" ref="Y116:Y117" si="1605">IF(Y$8="","",X116)</f>
        <v/>
      </c>
      <c r="Z116" s="8" t="str">
        <f>IF(Z$8="","",Y116)</f>
        <v/>
      </c>
      <c r="AA116" s="8" t="str">
        <f t="shared" ref="AA116:AA117" si="1606">IF(AA$8="","",Z116)</f>
        <v/>
      </c>
      <c r="AB116" s="8" t="str">
        <f t="shared" ref="AB116:AB117" si="1607">IF(AB$8="","",AA116)</f>
        <v/>
      </c>
      <c r="AC116" s="8" t="str">
        <f t="shared" ref="AC116:AC117" si="1608">IF(AC$8="","",AB116)</f>
        <v/>
      </c>
      <c r="AD116" s="8" t="str">
        <f>IF(AD$8="","",AC116)</f>
        <v/>
      </c>
      <c r="AE116" s="8" t="str">
        <f t="shared" ref="AE116:AE117" si="1609">IF(AE$8="","",AD116)</f>
        <v/>
      </c>
      <c r="AF116" s="8" t="str">
        <f t="shared" ref="AF116:AF117" si="1610">IF(AF$8="","",AE116)</f>
        <v/>
      </c>
      <c r="AG116" s="8" t="str">
        <f>IF(AG$8="","",AF116)</f>
        <v/>
      </c>
      <c r="AH116" s="8" t="str">
        <f t="shared" ref="AH116:AH117" si="1611">IF(AH$8="","",AG116)</f>
        <v/>
      </c>
      <c r="AI116" s="8" t="str">
        <f t="shared" ref="AI116:AI117" si="1612">IF(AI$8="","",AH116)</f>
        <v/>
      </c>
      <c r="AJ116" s="8" t="str">
        <f t="shared" ref="AJ116:AJ117" si="1613">IF(AJ$8="","",AI116)</f>
        <v/>
      </c>
      <c r="AK116" s="8" t="str">
        <f>IF(AK$8="","",AJ116)</f>
        <v/>
      </c>
      <c r="AL116" s="8" t="str">
        <f t="shared" ref="AL116:AL117" si="1614">IF(AL$8="","",AK116)</f>
        <v/>
      </c>
      <c r="AM116" s="8" t="str">
        <f t="shared" ref="AM116:AM117" si="1615">IF(AM$8="","",AL116)</f>
        <v/>
      </c>
      <c r="AN116" s="8" t="str">
        <f t="shared" ref="AN116:AN117" si="1616">IF(AN$8="","",AM116)</f>
        <v/>
      </c>
      <c r="AO116" s="8" t="str">
        <f t="shared" ref="AO116:AS116" si="1617">IF(AO$8="","",AN116)</f>
        <v/>
      </c>
      <c r="AP116" s="8" t="str">
        <f t="shared" si="1617"/>
        <v/>
      </c>
      <c r="AQ116" s="8" t="str">
        <f t="shared" si="1617"/>
        <v/>
      </c>
      <c r="AR116" s="8" t="str">
        <f t="shared" si="1617"/>
        <v/>
      </c>
      <c r="AS116" s="8" t="str">
        <f t="shared" si="1617"/>
        <v/>
      </c>
    </row>
    <row r="117" spans="1:45" s="1" customFormat="1" ht="11.25" x14ac:dyDescent="0.15">
      <c r="A117" s="16" t="s">
        <v>29</v>
      </c>
      <c r="B117" s="9" t="s">
        <v>4</v>
      </c>
      <c r="C117" s="65">
        <v>66</v>
      </c>
      <c r="D117" s="8">
        <v>66</v>
      </c>
      <c r="E117" s="8">
        <v>69</v>
      </c>
      <c r="F117" s="8">
        <v>69</v>
      </c>
      <c r="G117" s="8">
        <v>69</v>
      </c>
      <c r="H117" s="8">
        <v>69</v>
      </c>
      <c r="I117" s="8">
        <v>70</v>
      </c>
      <c r="J117" s="8">
        <f t="shared" si="1594"/>
        <v>70</v>
      </c>
      <c r="K117" s="8">
        <f t="shared" si="1595"/>
        <v>70</v>
      </c>
      <c r="L117" s="8">
        <v>71</v>
      </c>
      <c r="M117" s="8" t="str">
        <f t="shared" si="1596"/>
        <v/>
      </c>
      <c r="N117" s="8" t="str">
        <f t="shared" si="1597"/>
        <v/>
      </c>
      <c r="O117" s="8" t="str">
        <f t="shared" si="1598"/>
        <v/>
      </c>
      <c r="P117" s="8" t="str">
        <f t="shared" ref="P117:R117" si="1618">IF(P$8="","",O117)</f>
        <v/>
      </c>
      <c r="Q117" s="8" t="str">
        <f t="shared" si="1599"/>
        <v/>
      </c>
      <c r="R117" s="8" t="str">
        <f t="shared" si="1600"/>
        <v/>
      </c>
      <c r="S117" s="8" t="str">
        <f>IF(S$8="","",R117)</f>
        <v/>
      </c>
      <c r="T117" s="8" t="str">
        <f t="shared" si="1601"/>
        <v/>
      </c>
      <c r="U117" s="8" t="str">
        <f t="shared" si="1602"/>
        <v/>
      </c>
      <c r="V117" s="8" t="str">
        <f t="shared" si="1603"/>
        <v/>
      </c>
      <c r="W117" s="8" t="str">
        <f t="shared" ref="W117" si="1619">IF(W$8="","",V117)</f>
        <v/>
      </c>
      <c r="X117" s="8" t="str">
        <f t="shared" si="1604"/>
        <v/>
      </c>
      <c r="Y117" s="8" t="str">
        <f t="shared" si="1605"/>
        <v/>
      </c>
      <c r="Z117" s="8" t="str">
        <f>IF(Z$8="","",Y117)</f>
        <v/>
      </c>
      <c r="AA117" s="8" t="str">
        <f t="shared" si="1606"/>
        <v/>
      </c>
      <c r="AB117" s="8" t="str">
        <f t="shared" si="1607"/>
        <v/>
      </c>
      <c r="AC117" s="8" t="str">
        <f t="shared" si="1608"/>
        <v/>
      </c>
      <c r="AD117" s="8" t="str">
        <f>IF(AD$8="","",AC117)</f>
        <v/>
      </c>
      <c r="AE117" s="8" t="str">
        <f t="shared" si="1609"/>
        <v/>
      </c>
      <c r="AF117" s="8" t="str">
        <f t="shared" si="1610"/>
        <v/>
      </c>
      <c r="AG117" s="8" t="str">
        <f>IF(AG$8="","",AF117)</f>
        <v/>
      </c>
      <c r="AH117" s="8" t="str">
        <f t="shared" si="1611"/>
        <v/>
      </c>
      <c r="AI117" s="8" t="str">
        <f t="shared" si="1612"/>
        <v/>
      </c>
      <c r="AJ117" s="8" t="str">
        <f t="shared" si="1613"/>
        <v/>
      </c>
      <c r="AK117" s="8" t="str">
        <f>IF(AK$8="","",AJ117)</f>
        <v/>
      </c>
      <c r="AL117" s="8" t="str">
        <f t="shared" si="1614"/>
        <v/>
      </c>
      <c r="AM117" s="8" t="str">
        <f t="shared" si="1615"/>
        <v/>
      </c>
      <c r="AN117" s="8" t="str">
        <f t="shared" si="1616"/>
        <v/>
      </c>
      <c r="AO117" s="8" t="str">
        <f t="shared" ref="AO117:AS117" si="1620">IF(AO$8="","",AN117)</f>
        <v/>
      </c>
      <c r="AP117" s="8" t="str">
        <f t="shared" si="1620"/>
        <v/>
      </c>
      <c r="AQ117" s="8" t="str">
        <f t="shared" si="1620"/>
        <v/>
      </c>
      <c r="AR117" s="8" t="str">
        <f t="shared" si="1620"/>
        <v/>
      </c>
      <c r="AS117" s="8" t="str">
        <f t="shared" si="1620"/>
        <v/>
      </c>
    </row>
    <row r="118" spans="1:45" s="1" customFormat="1" ht="11.25" x14ac:dyDescent="0.15">
      <c r="A118" s="15">
        <v>2</v>
      </c>
      <c r="B118" s="9" t="s">
        <v>5</v>
      </c>
      <c r="C118" s="65">
        <v>14</v>
      </c>
      <c r="D118" s="8">
        <v>14</v>
      </c>
      <c r="E118" s="8">
        <v>11</v>
      </c>
      <c r="F118" s="8">
        <v>11</v>
      </c>
      <c r="G118" s="8">
        <v>11</v>
      </c>
      <c r="H118" s="8">
        <v>11</v>
      </c>
      <c r="I118" s="8">
        <v>9</v>
      </c>
      <c r="J118" s="8">
        <f t="shared" ref="J118" si="1621">IF(J$8="","",(I118+I119))</f>
        <v>9</v>
      </c>
      <c r="K118" s="8">
        <f t="shared" ref="K118" si="1622">IF(K$8="","",(J118+J119))</f>
        <v>9</v>
      </c>
      <c r="L118" s="8">
        <v>8</v>
      </c>
      <c r="M118" s="8" t="str">
        <f t="shared" ref="M118" si="1623">IF(M$8="","",(L118+L119))</f>
        <v/>
      </c>
      <c r="N118" s="8" t="str">
        <f t="shared" ref="N118" si="1624">IF(N$8="","",(M118+M119))</f>
        <v/>
      </c>
      <c r="O118" s="8" t="str">
        <f t="shared" ref="O118" si="1625">IF(O$8="","",(N118+N119))</f>
        <v/>
      </c>
      <c r="P118" s="8" t="str">
        <f t="shared" ref="P118:R118" si="1626">IF(P$8="","",(O118+O119))</f>
        <v/>
      </c>
      <c r="Q118" s="8" t="str">
        <f t="shared" ref="Q118" si="1627">IF(Q$8="","",(P118+P119))</f>
        <v/>
      </c>
      <c r="R118" s="8" t="str">
        <f t="shared" ref="R118" si="1628">IF(R$8="","",(Q118+Q119))</f>
        <v/>
      </c>
      <c r="S118" s="8" t="str">
        <f>IF(S$8="","",(R118+R119))</f>
        <v/>
      </c>
      <c r="T118" s="8" t="str">
        <f t="shared" ref="T118" si="1629">IF(T$8="","",(S118+S119))</f>
        <v/>
      </c>
      <c r="U118" s="8" t="str">
        <f t="shared" ref="U118" si="1630">IF(U$8="","",(T118+T119))</f>
        <v/>
      </c>
      <c r="V118" s="8" t="str">
        <f t="shared" ref="V118" si="1631">IF(V$8="","",(U118+U119))</f>
        <v/>
      </c>
      <c r="W118" s="8" t="str">
        <f>IF(W$8="","",(V118+V119))</f>
        <v/>
      </c>
      <c r="X118" s="8" t="str">
        <f t="shared" ref="X118" si="1632">IF(X$8="","",(W118+W119))</f>
        <v/>
      </c>
      <c r="Y118" s="8" t="str">
        <f t="shared" ref="Y118" si="1633">IF(Y$8="","",(X118+X119))</f>
        <v/>
      </c>
      <c r="Z118" s="8" t="str">
        <f t="shared" ref="Z118" si="1634">IF(Z$8="","",(Y118+Y119))</f>
        <v/>
      </c>
      <c r="AA118" s="8" t="str">
        <f t="shared" ref="AA118" si="1635">IF(AA$8="","",(Z118+Z119))</f>
        <v/>
      </c>
      <c r="AB118" s="8" t="str">
        <f t="shared" ref="AB118" si="1636">IF(AB$8="","",(AA118+AA119))</f>
        <v/>
      </c>
      <c r="AC118" s="8" t="str">
        <f t="shared" ref="AC118" si="1637">IF(AC$8="","",(AB118+AB119))</f>
        <v/>
      </c>
      <c r="AD118" s="8" t="str">
        <f>IF(AD$8="","",(AC118+AC119))</f>
        <v/>
      </c>
      <c r="AE118" s="8" t="str">
        <f t="shared" ref="AE118" si="1638">IF(AE$8="","",(AD118+AD119))</f>
        <v/>
      </c>
      <c r="AF118" s="8" t="str">
        <f t="shared" ref="AF118" si="1639">IF(AF$8="","",(AE118+AE119))</f>
        <v/>
      </c>
      <c r="AG118" s="8" t="str">
        <f>IF(AG$8="","",(AF118+AF119))</f>
        <v/>
      </c>
      <c r="AH118" s="8" t="str">
        <f t="shared" ref="AH118" si="1640">IF(AH$8="","",(AG118+AG119))</f>
        <v/>
      </c>
      <c r="AI118" s="8" t="str">
        <f t="shared" ref="AI118" si="1641">IF(AI$8="","",(AH118+AH119))</f>
        <v/>
      </c>
      <c r="AJ118" s="8" t="str">
        <f t="shared" ref="AJ118" si="1642">IF(AJ$8="","",(AI118+AI119))</f>
        <v/>
      </c>
      <c r="AK118" s="8" t="str">
        <f>IF(AK$8="","",(AJ118+AJ119))</f>
        <v/>
      </c>
      <c r="AL118" s="8" t="str">
        <f t="shared" ref="AL118" si="1643">IF(AL$8="","",(AK118+AK119))</f>
        <v/>
      </c>
      <c r="AM118" s="8" t="str">
        <f t="shared" ref="AM118" si="1644">IF(AM$8="","",(AL118+AL119))</f>
        <v/>
      </c>
      <c r="AN118" s="8" t="str">
        <f t="shared" ref="AN118" si="1645">IF(AN$8="","",(AM118+AM119))</f>
        <v/>
      </c>
      <c r="AO118" s="8" t="str">
        <f t="shared" ref="AO118:AS118" si="1646">IF(AO$8="","",(AN118+AN119))</f>
        <v/>
      </c>
      <c r="AP118" s="8" t="str">
        <f t="shared" si="1646"/>
        <v/>
      </c>
      <c r="AQ118" s="8" t="str">
        <f t="shared" si="1646"/>
        <v/>
      </c>
      <c r="AR118" s="8" t="str">
        <f t="shared" si="1646"/>
        <v/>
      </c>
      <c r="AS118" s="8" t="str">
        <f t="shared" si="1646"/>
        <v/>
      </c>
    </row>
    <row r="119" spans="1:45" s="1" customFormat="1" ht="11.25" x14ac:dyDescent="0.15">
      <c r="A119" s="14"/>
      <c r="B119" s="9" t="s">
        <v>7</v>
      </c>
      <c r="C119" s="65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</row>
    <row r="120" spans="1:45" s="1" customFormat="1" ht="11.25" x14ac:dyDescent="0.15">
      <c r="A120" s="7"/>
      <c r="B120" s="9" t="s">
        <v>8</v>
      </c>
      <c r="C120" s="65">
        <v>700</v>
      </c>
      <c r="D120" s="8">
        <v>700</v>
      </c>
      <c r="E120" s="8">
        <v>700</v>
      </c>
      <c r="F120" s="8">
        <v>700</v>
      </c>
      <c r="G120" s="8">
        <v>700</v>
      </c>
      <c r="H120" s="8">
        <v>700</v>
      </c>
      <c r="I120" s="8">
        <v>700</v>
      </c>
      <c r="J120" s="8">
        <f t="shared" ref="J120:J121" si="1647">IF(J$8="","",I120)</f>
        <v>700</v>
      </c>
      <c r="K120" s="8">
        <f t="shared" ref="K120:K121" si="1648">IF(K$8="","",J120)</f>
        <v>700</v>
      </c>
      <c r="L120" s="8">
        <f t="shared" ref="L120:L121" si="1649">IF(L$8="","",K120)</f>
        <v>700</v>
      </c>
      <c r="M120" s="8" t="str">
        <f t="shared" ref="M120:M121" si="1650">IF(M$8="","",L120)</f>
        <v/>
      </c>
      <c r="N120" s="8" t="str">
        <f t="shared" ref="N120:N121" si="1651">IF(N$8="","",M120)</f>
        <v/>
      </c>
      <c r="O120" s="8" t="str">
        <f t="shared" ref="O120:O121" si="1652">IF(O$8="","",N120)</f>
        <v/>
      </c>
      <c r="P120" s="8" t="str">
        <f t="shared" ref="P120:P121" si="1653">IF(P$8="","",O120)</f>
        <v/>
      </c>
      <c r="Q120" s="8" t="str">
        <f t="shared" ref="Q120:Q121" si="1654">IF(Q$8="","",P120)</f>
        <v/>
      </c>
      <c r="R120" s="8" t="str">
        <f t="shared" ref="R120:R121" si="1655">IF(R$8="","",Q120)</f>
        <v/>
      </c>
      <c r="S120" s="8" t="str">
        <f t="shared" ref="S120:S121" si="1656">IF(S$8="","",R120)</f>
        <v/>
      </c>
      <c r="T120" s="8" t="str">
        <f t="shared" ref="T120:T121" si="1657">IF(T$8="","",S120)</f>
        <v/>
      </c>
      <c r="U120" s="8" t="str">
        <f t="shared" ref="U120:U121" si="1658">IF(U$8="","",T120)</f>
        <v/>
      </c>
      <c r="V120" s="8" t="str">
        <f t="shared" ref="V120:V121" si="1659">IF(V$8="","",U120)</f>
        <v/>
      </c>
      <c r="W120" s="8" t="str">
        <f t="shared" ref="W120:W121" si="1660">IF(W$8="","",V120)</f>
        <v/>
      </c>
      <c r="X120" s="8" t="str">
        <f t="shared" ref="X120:X121" si="1661">IF(X$8="","",W120)</f>
        <v/>
      </c>
      <c r="Y120" s="8" t="str">
        <f t="shared" ref="Y120:Y121" si="1662">IF(Y$8="","",X120)</f>
        <v/>
      </c>
      <c r="Z120" s="8" t="str">
        <f t="shared" ref="Z120:Z121" si="1663">IF(Z$8="","",Y120)</f>
        <v/>
      </c>
      <c r="AA120" s="8" t="str">
        <f t="shared" ref="AA120:AA121" si="1664">IF(AA$8="","",Z120)</f>
        <v/>
      </c>
      <c r="AB120" s="8" t="str">
        <f t="shared" ref="AB120:AB121" si="1665">IF(AB$8="","",AA120)</f>
        <v/>
      </c>
      <c r="AC120" s="8" t="str">
        <f t="shared" ref="AC120:AC121" si="1666">IF(AC$8="","",AB120)</f>
        <v/>
      </c>
      <c r="AD120" s="8" t="str">
        <f t="shared" ref="AD120:AD121" si="1667">IF(AD$8="","",AC120)</f>
        <v/>
      </c>
      <c r="AE120" s="8" t="str">
        <f t="shared" ref="AE120:AE121" si="1668">IF(AE$8="","",AD120)</f>
        <v/>
      </c>
      <c r="AF120" s="8" t="str">
        <f t="shared" ref="AF120:AF121" si="1669">IF(AF$8="","",AE120)</f>
        <v/>
      </c>
      <c r="AG120" s="8" t="str">
        <f t="shared" ref="AG120:AG121" si="1670">IF(AG$8="","",AF120)</f>
        <v/>
      </c>
      <c r="AH120" s="8" t="str">
        <f t="shared" ref="AH120:AH121" si="1671">IF(AH$8="","",AG120)</f>
        <v/>
      </c>
      <c r="AI120" s="8" t="str">
        <f t="shared" ref="AI120:AI121" si="1672">IF(AI$8="","",AH120)</f>
        <v/>
      </c>
      <c r="AJ120" s="8" t="str">
        <f t="shared" ref="AJ120:AJ121" si="1673">IF(AJ$8="","",AI120)</f>
        <v/>
      </c>
      <c r="AK120" s="8" t="str">
        <f t="shared" ref="AK120:AK121" si="1674">IF(AK$8="","",AJ120)</f>
        <v/>
      </c>
      <c r="AL120" s="8" t="str">
        <f t="shared" ref="AL120:AL121" si="1675">IF(AL$8="","",AK120)</f>
        <v/>
      </c>
      <c r="AM120" s="8" t="str">
        <f t="shared" ref="AM120:AM121" si="1676">IF(AM$8="","",AL120)</f>
        <v/>
      </c>
      <c r="AN120" s="8" t="str">
        <f t="shared" ref="AN120:AN121" si="1677">IF(AN$8="","",AM120)</f>
        <v/>
      </c>
      <c r="AO120" s="8" t="str">
        <f t="shared" ref="AO120:AS120" si="1678">IF(AO$8="","",AN120)</f>
        <v/>
      </c>
      <c r="AP120" s="8" t="str">
        <f t="shared" si="1678"/>
        <v/>
      </c>
      <c r="AQ120" s="8" t="str">
        <f t="shared" si="1678"/>
        <v/>
      </c>
      <c r="AR120" s="8" t="str">
        <f t="shared" si="1678"/>
        <v/>
      </c>
      <c r="AS120" s="8" t="str">
        <f t="shared" si="1678"/>
        <v/>
      </c>
    </row>
    <row r="121" spans="1:45" s="85" customFormat="1" ht="11.25" x14ac:dyDescent="0.15">
      <c r="A121" s="14" t="s">
        <v>9</v>
      </c>
      <c r="B121" s="13" t="s">
        <v>10</v>
      </c>
      <c r="C121" s="66" t="s">
        <v>359</v>
      </c>
      <c r="D121" s="12" t="s">
        <v>359</v>
      </c>
      <c r="E121" s="12" t="s">
        <v>359</v>
      </c>
      <c r="F121" s="12" t="s">
        <v>359</v>
      </c>
      <c r="G121" s="12" t="s">
        <v>359</v>
      </c>
      <c r="H121" s="12" t="s">
        <v>359</v>
      </c>
      <c r="I121" s="12" t="s">
        <v>359</v>
      </c>
      <c r="J121" s="12" t="str">
        <f t="shared" si="1647"/>
        <v>お腹ぷにぷにシール</v>
      </c>
      <c r="K121" s="12" t="str">
        <f t="shared" si="1648"/>
        <v>お腹ぷにぷにシール</v>
      </c>
      <c r="L121" s="12" t="str">
        <f t="shared" si="1649"/>
        <v>お腹ぷにぷにシール</v>
      </c>
      <c r="M121" s="12" t="str">
        <f t="shared" si="1650"/>
        <v/>
      </c>
      <c r="N121" s="12" t="str">
        <f t="shared" si="1651"/>
        <v/>
      </c>
      <c r="O121" s="12" t="str">
        <f t="shared" si="1652"/>
        <v/>
      </c>
      <c r="P121" s="12" t="str">
        <f t="shared" si="1653"/>
        <v/>
      </c>
      <c r="Q121" s="12" t="str">
        <f t="shared" si="1654"/>
        <v/>
      </c>
      <c r="R121" s="12" t="str">
        <f t="shared" si="1655"/>
        <v/>
      </c>
      <c r="S121" s="12" t="str">
        <f t="shared" si="1656"/>
        <v/>
      </c>
      <c r="T121" s="12" t="str">
        <f t="shared" si="1657"/>
        <v/>
      </c>
      <c r="U121" s="12" t="str">
        <f t="shared" si="1658"/>
        <v/>
      </c>
      <c r="V121" s="12" t="str">
        <f t="shared" si="1659"/>
        <v/>
      </c>
      <c r="W121" s="12" t="str">
        <f>IF(W$8="","",V121)</f>
        <v/>
      </c>
      <c r="X121" s="12" t="str">
        <f t="shared" si="1661"/>
        <v/>
      </c>
      <c r="Y121" s="12" t="str">
        <f t="shared" si="1662"/>
        <v/>
      </c>
      <c r="Z121" s="12" t="str">
        <f t="shared" si="1663"/>
        <v/>
      </c>
      <c r="AA121" s="12" t="str">
        <f t="shared" si="1664"/>
        <v/>
      </c>
      <c r="AB121" s="12" t="str">
        <f t="shared" si="1665"/>
        <v/>
      </c>
      <c r="AC121" s="12" t="str">
        <f t="shared" si="1666"/>
        <v/>
      </c>
      <c r="AD121" s="12" t="str">
        <f t="shared" si="1667"/>
        <v/>
      </c>
      <c r="AE121" s="12" t="str">
        <f t="shared" si="1668"/>
        <v/>
      </c>
      <c r="AF121" s="12" t="str">
        <f t="shared" si="1669"/>
        <v/>
      </c>
      <c r="AG121" s="12" t="str">
        <f t="shared" si="1670"/>
        <v/>
      </c>
      <c r="AH121" s="12" t="str">
        <f t="shared" si="1671"/>
        <v/>
      </c>
      <c r="AI121" s="12" t="str">
        <f t="shared" si="1672"/>
        <v/>
      </c>
      <c r="AJ121" s="12" t="str">
        <f t="shared" si="1673"/>
        <v/>
      </c>
      <c r="AK121" s="12" t="str">
        <f t="shared" si="1674"/>
        <v/>
      </c>
      <c r="AL121" s="12" t="str">
        <f t="shared" si="1675"/>
        <v/>
      </c>
      <c r="AM121" s="12" t="str">
        <f t="shared" si="1676"/>
        <v/>
      </c>
      <c r="AN121" s="12" t="str">
        <f t="shared" si="1677"/>
        <v/>
      </c>
      <c r="AO121" s="12" t="str">
        <f t="shared" ref="AO121:AS121" si="1679">IF(AO$8="","",AN121)</f>
        <v/>
      </c>
      <c r="AP121" s="12" t="str">
        <f t="shared" si="1679"/>
        <v/>
      </c>
      <c r="AQ121" s="12" t="str">
        <f t="shared" si="1679"/>
        <v/>
      </c>
      <c r="AR121" s="12" t="str">
        <f t="shared" si="1679"/>
        <v/>
      </c>
      <c r="AS121" s="12" t="str">
        <f t="shared" si="1679"/>
        <v/>
      </c>
    </row>
    <row r="122" spans="1:45" s="1" customFormat="1" ht="11.25" x14ac:dyDescent="0.15">
      <c r="A122" s="7">
        <f>AVERAGE(C123:AS123)*30*100</f>
        <v>17400</v>
      </c>
      <c r="B122" s="9" t="s">
        <v>12</v>
      </c>
      <c r="C122" s="6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</row>
    <row r="123" spans="1:45" s="1" customFormat="1" ht="11.25" x14ac:dyDescent="0.15">
      <c r="A123" s="7">
        <f>SUM(C123:AS123)</f>
        <v>58</v>
      </c>
      <c r="B123" s="6" t="s">
        <v>13</v>
      </c>
      <c r="C123" s="65">
        <v>0</v>
      </c>
      <c r="D123" s="5">
        <v>0</v>
      </c>
      <c r="E123" s="5">
        <v>38</v>
      </c>
      <c r="F123" s="5">
        <v>0</v>
      </c>
      <c r="G123" s="5">
        <v>0</v>
      </c>
      <c r="H123" s="5">
        <v>0</v>
      </c>
      <c r="I123" s="5">
        <v>6</v>
      </c>
      <c r="J123" s="5">
        <f t="shared" ref="J123:J124" si="1680">IF(J$8="","",J116-I116)</f>
        <v>0</v>
      </c>
      <c r="K123" s="5">
        <f t="shared" ref="K123:K124" si="1681">IF(K$8="","",K116-J116)</f>
        <v>0</v>
      </c>
      <c r="L123" s="5">
        <f t="shared" ref="L123:L124" si="1682">IF(L$8="","",L116-K116)</f>
        <v>14</v>
      </c>
      <c r="M123" s="5" t="str">
        <f t="shared" ref="M123:M124" si="1683">IF(M$8="","",M116-L116)</f>
        <v/>
      </c>
      <c r="N123" s="5" t="str">
        <f t="shared" ref="N123:N124" si="1684">IF(N$8="","",N116-M116)</f>
        <v/>
      </c>
      <c r="O123" s="5" t="str">
        <f t="shared" ref="O123:O124" si="1685">IF(O$8="","",O116-N116)</f>
        <v/>
      </c>
      <c r="P123" s="5" t="str">
        <f t="shared" ref="P123:P124" si="1686">IF(P$8="","",P116-O116)</f>
        <v/>
      </c>
      <c r="Q123" s="5" t="str">
        <f t="shared" ref="Q123:Q124" si="1687">IF(Q$8="","",Q116-P116)</f>
        <v/>
      </c>
      <c r="R123" s="5" t="str">
        <f t="shared" ref="R123:R124" si="1688">IF(R$8="","",R116-Q116)</f>
        <v/>
      </c>
      <c r="S123" s="5" t="str">
        <f t="shared" ref="S123:S124" si="1689">IF(S$8="","",S116-R116)</f>
        <v/>
      </c>
      <c r="T123" s="5" t="str">
        <f t="shared" ref="T123:T124" si="1690">IF(T$8="","",T116-S116)</f>
        <v/>
      </c>
      <c r="U123" s="5" t="str">
        <f t="shared" ref="U123:U124" si="1691">IF(U$8="","",U116-T116)</f>
        <v/>
      </c>
      <c r="V123" s="5" t="str">
        <f t="shared" ref="V123:V124" si="1692">IF(V$8="","",V116-U116)</f>
        <v/>
      </c>
      <c r="W123" s="5" t="str">
        <f t="shared" ref="W123:W124" si="1693">IF(W$8="","",W116-V116)</f>
        <v/>
      </c>
      <c r="X123" s="5" t="str">
        <f t="shared" ref="X123:X124" si="1694">IF(X$8="","",X116-W116)</f>
        <v/>
      </c>
      <c r="Y123" s="5" t="str">
        <f t="shared" ref="Y123:Y124" si="1695">IF(Y$8="","",Y116-X116)</f>
        <v/>
      </c>
      <c r="Z123" s="5" t="str">
        <f t="shared" ref="Z123:Z124" si="1696">IF(Z$8="","",Z116-Y116)</f>
        <v/>
      </c>
      <c r="AA123" s="5" t="str">
        <f t="shared" ref="AA123:AA124" si="1697">IF(AA$8="","",AA116-Z116)</f>
        <v/>
      </c>
      <c r="AB123" s="5" t="str">
        <f t="shared" ref="AB123:AB124" si="1698">IF(AB$8="","",AB116-AA116)</f>
        <v/>
      </c>
      <c r="AC123" s="5" t="str">
        <f t="shared" ref="AC123:AC124" si="1699">IF(AC$8="","",AC116-AB116)</f>
        <v/>
      </c>
      <c r="AD123" s="5" t="str">
        <f t="shared" ref="AD123:AD124" si="1700">IF(AD$8="","",AD116-AC116)</f>
        <v/>
      </c>
      <c r="AE123" s="5" t="str">
        <f t="shared" ref="AE123:AE124" si="1701">IF(AE$8="","",AE116-AD116)</f>
        <v/>
      </c>
      <c r="AF123" s="5" t="str">
        <f t="shared" ref="AF123:AF124" si="1702">IF(AF$8="","",AF116-AE116)</f>
        <v/>
      </c>
      <c r="AG123" s="5" t="str">
        <f t="shared" ref="AG123:AG124" si="1703">IF(AG$8="","",AG116-AF116)</f>
        <v/>
      </c>
      <c r="AH123" s="5" t="str">
        <f t="shared" ref="AH123:AH124" si="1704">IF(AH$8="","",AH116-AG116)</f>
        <v/>
      </c>
      <c r="AI123" s="5" t="str">
        <f t="shared" ref="AI123:AI124" si="1705">IF(AI$8="","",AI116-AH116)</f>
        <v/>
      </c>
      <c r="AJ123" s="5" t="str">
        <f t="shared" ref="AJ123:AJ124" si="1706">IF(AJ$8="","",AJ116-AI116)</f>
        <v/>
      </c>
      <c r="AK123" s="5" t="str">
        <f t="shared" ref="AK123:AK124" si="1707">IF(AK$8="","",AK116-AJ116)</f>
        <v/>
      </c>
      <c r="AL123" s="5" t="str">
        <f t="shared" ref="AL123:AL124" si="1708">IF(AL$8="","",AL116-AK116)</f>
        <v/>
      </c>
      <c r="AM123" s="5" t="str">
        <f t="shared" ref="AM123:AM124" si="1709">IF(AM$8="","",AM116-AL116)</f>
        <v/>
      </c>
      <c r="AN123" s="5" t="str">
        <f t="shared" ref="AN123:AN124" si="1710">IF(AN$8="","",AN116-AM116)</f>
        <v/>
      </c>
      <c r="AO123" s="5" t="str">
        <f t="shared" ref="AO123:AS123" si="1711">IF(AO$8="","",AO116-AN116)</f>
        <v/>
      </c>
      <c r="AP123" s="5" t="str">
        <f t="shared" si="1711"/>
        <v/>
      </c>
      <c r="AQ123" s="5" t="str">
        <f t="shared" si="1711"/>
        <v/>
      </c>
      <c r="AR123" s="5" t="str">
        <f t="shared" si="1711"/>
        <v/>
      </c>
      <c r="AS123" s="5" t="str">
        <f t="shared" si="1711"/>
        <v/>
      </c>
    </row>
    <row r="124" spans="1:45" s="1" customFormat="1" ht="11.25" x14ac:dyDescent="0.15">
      <c r="A124" s="7">
        <f>SUM(C124:AS124)</f>
        <v>5</v>
      </c>
      <c r="B124" s="6" t="s">
        <v>14</v>
      </c>
      <c r="C124" s="65">
        <v>0</v>
      </c>
      <c r="D124" s="5">
        <v>0</v>
      </c>
      <c r="E124" s="5">
        <v>3</v>
      </c>
      <c r="F124" s="5">
        <v>0</v>
      </c>
      <c r="G124" s="5">
        <v>0</v>
      </c>
      <c r="H124" s="5">
        <v>0</v>
      </c>
      <c r="I124" s="5">
        <v>1</v>
      </c>
      <c r="J124" s="5">
        <f t="shared" si="1680"/>
        <v>0</v>
      </c>
      <c r="K124" s="5">
        <f t="shared" si="1681"/>
        <v>0</v>
      </c>
      <c r="L124" s="5">
        <f t="shared" si="1682"/>
        <v>1</v>
      </c>
      <c r="M124" s="5" t="str">
        <f t="shared" si="1683"/>
        <v/>
      </c>
      <c r="N124" s="5" t="str">
        <f t="shared" si="1684"/>
        <v/>
      </c>
      <c r="O124" s="5" t="str">
        <f t="shared" si="1685"/>
        <v/>
      </c>
      <c r="P124" s="5" t="str">
        <f t="shared" si="1686"/>
        <v/>
      </c>
      <c r="Q124" s="5" t="str">
        <f t="shared" si="1687"/>
        <v/>
      </c>
      <c r="R124" s="5" t="str">
        <f t="shared" si="1688"/>
        <v/>
      </c>
      <c r="S124" s="5" t="str">
        <f t="shared" si="1689"/>
        <v/>
      </c>
      <c r="T124" s="5" t="str">
        <f t="shared" si="1690"/>
        <v/>
      </c>
      <c r="U124" s="5" t="str">
        <f t="shared" si="1691"/>
        <v/>
      </c>
      <c r="V124" s="5" t="str">
        <f t="shared" si="1692"/>
        <v/>
      </c>
      <c r="W124" s="5" t="str">
        <f t="shared" si="1693"/>
        <v/>
      </c>
      <c r="X124" s="5" t="str">
        <f t="shared" si="1694"/>
        <v/>
      </c>
      <c r="Y124" s="5" t="str">
        <f t="shared" si="1695"/>
        <v/>
      </c>
      <c r="Z124" s="5" t="str">
        <f t="shared" si="1696"/>
        <v/>
      </c>
      <c r="AA124" s="5" t="str">
        <f t="shared" si="1697"/>
        <v/>
      </c>
      <c r="AB124" s="5" t="str">
        <f t="shared" si="1698"/>
        <v/>
      </c>
      <c r="AC124" s="5" t="str">
        <f t="shared" si="1699"/>
        <v/>
      </c>
      <c r="AD124" s="5" t="str">
        <f t="shared" si="1700"/>
        <v/>
      </c>
      <c r="AE124" s="5" t="str">
        <f t="shared" si="1701"/>
        <v/>
      </c>
      <c r="AF124" s="5" t="str">
        <f t="shared" si="1702"/>
        <v/>
      </c>
      <c r="AG124" s="5" t="str">
        <f t="shared" si="1703"/>
        <v/>
      </c>
      <c r="AH124" s="5" t="str">
        <f t="shared" si="1704"/>
        <v/>
      </c>
      <c r="AI124" s="5" t="str">
        <f t="shared" si="1705"/>
        <v/>
      </c>
      <c r="AJ124" s="5" t="str">
        <f t="shared" si="1706"/>
        <v/>
      </c>
      <c r="AK124" s="5" t="str">
        <f t="shared" si="1707"/>
        <v/>
      </c>
      <c r="AL124" s="5" t="str">
        <f t="shared" si="1708"/>
        <v/>
      </c>
      <c r="AM124" s="5" t="str">
        <f t="shared" si="1709"/>
        <v/>
      </c>
      <c r="AN124" s="5" t="str">
        <f t="shared" si="1710"/>
        <v/>
      </c>
      <c r="AO124" s="5" t="str">
        <f t="shared" ref="AO124:AS124" si="1712">IF(AO$8="","",AO117-AN117)</f>
        <v/>
      </c>
      <c r="AP124" s="5" t="str">
        <f t="shared" si="1712"/>
        <v/>
      </c>
      <c r="AQ124" s="5" t="str">
        <f t="shared" si="1712"/>
        <v/>
      </c>
      <c r="AR124" s="5" t="str">
        <f t="shared" si="1712"/>
        <v/>
      </c>
      <c r="AS124" s="5" t="str">
        <f t="shared" si="1712"/>
        <v/>
      </c>
    </row>
    <row r="125" spans="1:45" s="1" customFormat="1" ht="11.25" x14ac:dyDescent="0.15">
      <c r="A125" s="7">
        <f>SUM(C125:AS125)</f>
        <v>6</v>
      </c>
      <c r="B125" s="6" t="s">
        <v>15</v>
      </c>
      <c r="C125" s="65">
        <v>0</v>
      </c>
      <c r="D125" s="5">
        <v>0</v>
      </c>
      <c r="E125" s="5">
        <v>3</v>
      </c>
      <c r="F125" s="5">
        <v>0</v>
      </c>
      <c r="G125" s="5">
        <v>0</v>
      </c>
      <c r="H125" s="5">
        <v>0</v>
      </c>
      <c r="I125" s="5">
        <v>2</v>
      </c>
      <c r="J125" s="5">
        <f t="shared" ref="J125" si="1713">IF(J$8="","",I118+I119-J118)</f>
        <v>0</v>
      </c>
      <c r="K125" s="5">
        <f t="shared" ref="K125" si="1714">IF(K$8="","",J118+J119-K118)</f>
        <v>0</v>
      </c>
      <c r="L125" s="5">
        <f t="shared" ref="L125" si="1715">IF(L$8="","",K118+K119-L118)</f>
        <v>1</v>
      </c>
      <c r="M125" s="5" t="str">
        <f t="shared" ref="M125" si="1716">IF(M$8="","",L118+L119-M118)</f>
        <v/>
      </c>
      <c r="N125" s="5" t="str">
        <f t="shared" ref="N125" si="1717">IF(N$8="","",M118+M119-N118)</f>
        <v/>
      </c>
      <c r="O125" s="5" t="str">
        <f t="shared" ref="O125" si="1718">IF(O$8="","",N118+N119-O118)</f>
        <v/>
      </c>
      <c r="P125" s="5" t="str">
        <f t="shared" ref="P125" si="1719">IF(P$8="","",O118+O119-P118)</f>
        <v/>
      </c>
      <c r="Q125" s="5" t="str">
        <f t="shared" ref="Q125" si="1720">IF(Q$8="","",P118+P119-Q118)</f>
        <v/>
      </c>
      <c r="R125" s="5" t="str">
        <f t="shared" ref="R125" si="1721">IF(R$8="","",Q118+Q119-R118)</f>
        <v/>
      </c>
      <c r="S125" s="5" t="str">
        <f t="shared" ref="S125" si="1722">IF(S$8="","",R118+R119-S118)</f>
        <v/>
      </c>
      <c r="T125" s="5" t="str">
        <f t="shared" ref="T125" si="1723">IF(T$8="","",S118+S119-T118)</f>
        <v/>
      </c>
      <c r="U125" s="5" t="str">
        <f t="shared" ref="U125" si="1724">IF(U$8="","",T118+T119-U118)</f>
        <v/>
      </c>
      <c r="V125" s="5" t="str">
        <f t="shared" ref="V125" si="1725">IF(V$8="","",U118+U119-V118)</f>
        <v/>
      </c>
      <c r="W125" s="5" t="str">
        <f t="shared" ref="W125" si="1726">IF(W$8="","",V118+V119-W118)</f>
        <v/>
      </c>
      <c r="X125" s="5" t="str">
        <f t="shared" ref="X125" si="1727">IF(X$8="","",W118+W119-X118)</f>
        <v/>
      </c>
      <c r="Y125" s="5" t="str">
        <f t="shared" ref="Y125" si="1728">IF(Y$8="","",X118+X119-Y118)</f>
        <v/>
      </c>
      <c r="Z125" s="5" t="str">
        <f t="shared" ref="Z125" si="1729">IF(Z$8="","",Y118+Y119-Z118)</f>
        <v/>
      </c>
      <c r="AA125" s="5" t="str">
        <f t="shared" ref="AA125" si="1730">IF(AA$8="","",Z118+Z119-AA118)</f>
        <v/>
      </c>
      <c r="AB125" s="5" t="str">
        <f t="shared" ref="AB125" si="1731">IF(AB$8="","",AA118+AA119-AB118)</f>
        <v/>
      </c>
      <c r="AC125" s="5" t="str">
        <f t="shared" ref="AC125" si="1732">IF(AC$8="","",AB118+AB119-AC118)</f>
        <v/>
      </c>
      <c r="AD125" s="5" t="str">
        <f t="shared" ref="AD125" si="1733">IF(AD$8="","",AC118+AC119-AD118)</f>
        <v/>
      </c>
      <c r="AE125" s="5" t="str">
        <f t="shared" ref="AE125" si="1734">IF(AE$8="","",AD118+AD119-AE118)</f>
        <v/>
      </c>
      <c r="AF125" s="5" t="str">
        <f t="shared" ref="AF125" si="1735">IF(AF$8="","",AE118+AE119-AF118)</f>
        <v/>
      </c>
      <c r="AG125" s="5" t="str">
        <f t="shared" ref="AG125" si="1736">IF(AG$8="","",AF118+AF119-AG118)</f>
        <v/>
      </c>
      <c r="AH125" s="5" t="str">
        <f t="shared" ref="AH125" si="1737">IF(AH$8="","",AG118+AG119-AH118)</f>
        <v/>
      </c>
      <c r="AI125" s="5" t="str">
        <f t="shared" ref="AI125" si="1738">IF(AI$8="","",AH118+AH119-AI118)</f>
        <v/>
      </c>
      <c r="AJ125" s="5" t="str">
        <f t="shared" ref="AJ125" si="1739">IF(AJ$8="","",AI118+AI119-AJ118)</f>
        <v/>
      </c>
      <c r="AK125" s="5" t="str">
        <f t="shared" ref="AK125" si="1740">IF(AK$8="","",AJ118+AJ119-AK118)</f>
        <v/>
      </c>
      <c r="AL125" s="5" t="str">
        <f t="shared" ref="AL125" si="1741">IF(AL$8="","",AK118+AK119-AL118)</f>
        <v/>
      </c>
      <c r="AM125" s="5" t="str">
        <f t="shared" ref="AM125" si="1742">IF(AM$8="","",AL118+AL119-AM118)</f>
        <v/>
      </c>
      <c r="AN125" s="5" t="str">
        <f t="shared" ref="AN125" si="1743">IF(AN$8="","",AM118+AM119-AN118)</f>
        <v/>
      </c>
      <c r="AO125" s="5" t="str">
        <f t="shared" ref="AO125:AS125" si="1744">IF(AO$8="","",AN118+AN119-AO118)</f>
        <v/>
      </c>
      <c r="AP125" s="5" t="str">
        <f t="shared" si="1744"/>
        <v/>
      </c>
      <c r="AQ125" s="5" t="str">
        <f t="shared" si="1744"/>
        <v/>
      </c>
      <c r="AR125" s="5" t="str">
        <f t="shared" si="1744"/>
        <v/>
      </c>
      <c r="AS125" s="5" t="str">
        <f t="shared" si="1744"/>
        <v/>
      </c>
    </row>
    <row r="126" spans="1:45" s="1" customFormat="1" ht="11.25" x14ac:dyDescent="0.15">
      <c r="A126" s="7">
        <f>SUM(C126:AS126)</f>
        <v>4200</v>
      </c>
      <c r="B126" s="6" t="s">
        <v>16</v>
      </c>
      <c r="C126" s="65">
        <v>0</v>
      </c>
      <c r="D126" s="5">
        <v>0</v>
      </c>
      <c r="E126" s="5">
        <v>2100</v>
      </c>
      <c r="F126" s="5">
        <v>0</v>
      </c>
      <c r="G126" s="5">
        <v>0</v>
      </c>
      <c r="H126" s="5">
        <v>0</v>
      </c>
      <c r="I126" s="5">
        <v>1400</v>
      </c>
      <c r="J126" s="5">
        <f t="shared" ref="D126:AN126" si="1745">IF(J$8="","",J125*J120)</f>
        <v>0</v>
      </c>
      <c r="K126" s="5">
        <f t="shared" si="1745"/>
        <v>0</v>
      </c>
      <c r="L126" s="5">
        <f t="shared" si="1745"/>
        <v>700</v>
      </c>
      <c r="M126" s="5" t="str">
        <f t="shared" si="1745"/>
        <v/>
      </c>
      <c r="N126" s="5" t="str">
        <f t="shared" si="1745"/>
        <v/>
      </c>
      <c r="O126" s="5" t="str">
        <f t="shared" si="1745"/>
        <v/>
      </c>
      <c r="P126" s="5" t="str">
        <f t="shared" si="1745"/>
        <v/>
      </c>
      <c r="Q126" s="5" t="str">
        <f t="shared" si="1745"/>
        <v/>
      </c>
      <c r="R126" s="5" t="str">
        <f t="shared" si="1745"/>
        <v/>
      </c>
      <c r="S126" s="5" t="str">
        <f t="shared" si="1745"/>
        <v/>
      </c>
      <c r="T126" s="5" t="str">
        <f t="shared" si="1745"/>
        <v/>
      </c>
      <c r="U126" s="5" t="str">
        <f t="shared" si="1745"/>
        <v/>
      </c>
      <c r="V126" s="5" t="str">
        <f t="shared" si="1745"/>
        <v/>
      </c>
      <c r="W126" s="5" t="str">
        <f t="shared" si="1745"/>
        <v/>
      </c>
      <c r="X126" s="5" t="str">
        <f t="shared" si="1745"/>
        <v/>
      </c>
      <c r="Y126" s="5" t="str">
        <f t="shared" si="1745"/>
        <v/>
      </c>
      <c r="Z126" s="5" t="str">
        <f t="shared" si="1745"/>
        <v/>
      </c>
      <c r="AA126" s="5" t="str">
        <f t="shared" si="1745"/>
        <v/>
      </c>
      <c r="AB126" s="5" t="str">
        <f t="shared" si="1745"/>
        <v/>
      </c>
      <c r="AC126" s="5" t="str">
        <f t="shared" si="1745"/>
        <v/>
      </c>
      <c r="AD126" s="5" t="str">
        <f t="shared" si="1745"/>
        <v/>
      </c>
      <c r="AE126" s="5" t="str">
        <f t="shared" si="1745"/>
        <v/>
      </c>
      <c r="AF126" s="5" t="str">
        <f t="shared" si="1745"/>
        <v/>
      </c>
      <c r="AG126" s="5" t="str">
        <f t="shared" si="1745"/>
        <v/>
      </c>
      <c r="AH126" s="5" t="str">
        <f t="shared" si="1745"/>
        <v/>
      </c>
      <c r="AI126" s="5" t="str">
        <f t="shared" si="1745"/>
        <v/>
      </c>
      <c r="AJ126" s="5" t="str">
        <f t="shared" si="1745"/>
        <v/>
      </c>
      <c r="AK126" s="5" t="str">
        <f t="shared" si="1745"/>
        <v/>
      </c>
      <c r="AL126" s="5" t="str">
        <f t="shared" si="1745"/>
        <v/>
      </c>
      <c r="AM126" s="5" t="str">
        <f t="shared" si="1745"/>
        <v/>
      </c>
      <c r="AN126" s="5" t="str">
        <f t="shared" si="1745"/>
        <v/>
      </c>
      <c r="AO126" s="5" t="str">
        <f t="shared" ref="AO126:AS126" si="1746">IF(AO$8="","",AO125*AO120)</f>
        <v/>
      </c>
      <c r="AP126" s="5" t="str">
        <f t="shared" si="1746"/>
        <v/>
      </c>
      <c r="AQ126" s="5" t="str">
        <f t="shared" si="1746"/>
        <v/>
      </c>
      <c r="AR126" s="5" t="str">
        <f t="shared" si="1746"/>
        <v/>
      </c>
      <c r="AS126" s="5" t="str">
        <f t="shared" si="1746"/>
        <v/>
      </c>
    </row>
    <row r="127" spans="1:45" s="1" customFormat="1" ht="12" thickBot="1" x14ac:dyDescent="0.2">
      <c r="A127" s="4">
        <f>IF(A126="","",A126/(A123*100))</f>
        <v>0.72413793103448276</v>
      </c>
      <c r="B127" s="6" t="s">
        <v>18</v>
      </c>
      <c r="C127" s="67" t="s">
        <v>19</v>
      </c>
      <c r="D127" s="18" t="s">
        <v>19</v>
      </c>
      <c r="E127" s="18">
        <v>0.55263157894736847</v>
      </c>
      <c r="F127" s="18" t="s">
        <v>19</v>
      </c>
      <c r="G127" s="18" t="s">
        <v>19</v>
      </c>
      <c r="H127" s="18" t="s">
        <v>19</v>
      </c>
      <c r="I127" s="18">
        <v>2.3333333333333335</v>
      </c>
      <c r="J127" s="18" t="str">
        <f t="shared" ref="D127:AN127" si="1747">IF(J$8="","",IF(J126=0,"",J126/(J123*100)))</f>
        <v/>
      </c>
      <c r="K127" s="18" t="str">
        <f t="shared" si="1747"/>
        <v/>
      </c>
      <c r="L127" s="18">
        <f t="shared" si="1747"/>
        <v>0.5</v>
      </c>
      <c r="M127" s="18" t="str">
        <f t="shared" si="1747"/>
        <v/>
      </c>
      <c r="N127" s="18" t="str">
        <f t="shared" si="1747"/>
        <v/>
      </c>
      <c r="O127" s="18" t="str">
        <f t="shared" si="1747"/>
        <v/>
      </c>
      <c r="P127" s="18" t="str">
        <f t="shared" si="1747"/>
        <v/>
      </c>
      <c r="Q127" s="18" t="str">
        <f t="shared" si="1747"/>
        <v/>
      </c>
      <c r="R127" s="18" t="str">
        <f t="shared" si="1747"/>
        <v/>
      </c>
      <c r="S127" s="18" t="str">
        <f t="shared" si="1747"/>
        <v/>
      </c>
      <c r="T127" s="18" t="str">
        <f t="shared" si="1747"/>
        <v/>
      </c>
      <c r="U127" s="18" t="str">
        <f t="shared" si="1747"/>
        <v/>
      </c>
      <c r="V127" s="18" t="str">
        <f t="shared" si="1747"/>
        <v/>
      </c>
      <c r="W127" s="18" t="str">
        <f t="shared" si="1747"/>
        <v/>
      </c>
      <c r="X127" s="18" t="str">
        <f t="shared" si="1747"/>
        <v/>
      </c>
      <c r="Y127" s="18" t="str">
        <f t="shared" si="1747"/>
        <v/>
      </c>
      <c r="Z127" s="18" t="str">
        <f t="shared" si="1747"/>
        <v/>
      </c>
      <c r="AA127" s="18" t="str">
        <f t="shared" si="1747"/>
        <v/>
      </c>
      <c r="AB127" s="18" t="str">
        <f t="shared" si="1747"/>
        <v/>
      </c>
      <c r="AC127" s="18" t="str">
        <f t="shared" si="1747"/>
        <v/>
      </c>
      <c r="AD127" s="18" t="str">
        <f t="shared" si="1747"/>
        <v/>
      </c>
      <c r="AE127" s="18" t="str">
        <f t="shared" si="1747"/>
        <v/>
      </c>
      <c r="AF127" s="18" t="str">
        <f t="shared" si="1747"/>
        <v/>
      </c>
      <c r="AG127" s="18" t="str">
        <f t="shared" si="1747"/>
        <v/>
      </c>
      <c r="AH127" s="18" t="str">
        <f t="shared" si="1747"/>
        <v/>
      </c>
      <c r="AI127" s="18" t="str">
        <f t="shared" si="1747"/>
        <v/>
      </c>
      <c r="AJ127" s="18" t="str">
        <f t="shared" si="1747"/>
        <v/>
      </c>
      <c r="AK127" s="18" t="str">
        <f t="shared" si="1747"/>
        <v/>
      </c>
      <c r="AL127" s="18" t="str">
        <f t="shared" si="1747"/>
        <v/>
      </c>
      <c r="AM127" s="18" t="str">
        <f t="shared" si="1747"/>
        <v/>
      </c>
      <c r="AN127" s="18" t="str">
        <f t="shared" si="1747"/>
        <v/>
      </c>
      <c r="AO127" s="18" t="str">
        <f t="shared" ref="AO127:AS127" si="1748">IF(AO$8="","",IF(AO126=0,"",AO126/(AO123*100)))</f>
        <v/>
      </c>
      <c r="AP127" s="18" t="str">
        <f t="shared" si="1748"/>
        <v/>
      </c>
      <c r="AQ127" s="18" t="str">
        <f t="shared" si="1748"/>
        <v/>
      </c>
      <c r="AR127" s="18" t="str">
        <f t="shared" si="1748"/>
        <v/>
      </c>
      <c r="AS127" s="18" t="str">
        <f t="shared" si="1748"/>
        <v/>
      </c>
    </row>
    <row r="128" spans="1:45" s="1" customFormat="1" ht="11.25" x14ac:dyDescent="0.15">
      <c r="A128" s="17" t="s">
        <v>46</v>
      </c>
      <c r="B128" s="9" t="s">
        <v>2</v>
      </c>
      <c r="C128" s="65">
        <v>5775</v>
      </c>
      <c r="D128" s="8">
        <v>5775</v>
      </c>
      <c r="E128" s="8">
        <v>5798</v>
      </c>
      <c r="F128" s="8">
        <v>5798</v>
      </c>
      <c r="G128" s="8">
        <v>5798</v>
      </c>
      <c r="H128" s="8">
        <v>5798</v>
      </c>
      <c r="I128" s="8">
        <v>5807</v>
      </c>
      <c r="J128" s="8">
        <f t="shared" ref="J128:J129" si="1749">IF(J$8="","",I128)</f>
        <v>5807</v>
      </c>
      <c r="K128" s="8">
        <f t="shared" ref="K128:K129" si="1750">IF(K$8="","",J128)</f>
        <v>5807</v>
      </c>
      <c r="L128" s="8">
        <v>5828</v>
      </c>
      <c r="M128" s="8" t="str">
        <f t="shared" ref="M128:M129" si="1751">IF(M$8="","",L128)</f>
        <v/>
      </c>
      <c r="N128" s="8" t="str">
        <f t="shared" ref="N128:N129" si="1752">IF(N$8="","",M128)</f>
        <v/>
      </c>
      <c r="O128" s="8" t="str">
        <f t="shared" ref="O128:O129" si="1753">IF(O$8="","",N128)</f>
        <v/>
      </c>
      <c r="P128" s="8" t="str">
        <f>IF(P$8="","",O128)</f>
        <v/>
      </c>
      <c r="Q128" s="8" t="str">
        <f t="shared" ref="Q128:Q129" si="1754">IF(Q$8="","",P128)</f>
        <v/>
      </c>
      <c r="R128" s="8" t="str">
        <f t="shared" ref="R128:R129" si="1755">IF(R$8="","",Q128)</f>
        <v/>
      </c>
      <c r="S128" s="8" t="str">
        <f>IF(S$8="","",R128)</f>
        <v/>
      </c>
      <c r="T128" s="8" t="str">
        <f t="shared" ref="T128:T129" si="1756">IF(T$8="","",S128)</f>
        <v/>
      </c>
      <c r="U128" s="8" t="str">
        <f t="shared" ref="U128:U129" si="1757">IF(U$8="","",T128)</f>
        <v/>
      </c>
      <c r="V128" s="8" t="str">
        <f t="shared" ref="V128:V129" si="1758">IF(V$8="","",U128)</f>
        <v/>
      </c>
      <c r="W128" s="8" t="str">
        <f>IF(W$8="","",V128)</f>
        <v/>
      </c>
      <c r="X128" s="8" t="str">
        <f t="shared" ref="X128:X129" si="1759">IF(X$8="","",W128)</f>
        <v/>
      </c>
      <c r="Y128" s="8" t="str">
        <f t="shared" ref="Y128:Y129" si="1760">IF(Y$8="","",X128)</f>
        <v/>
      </c>
      <c r="Z128" s="8" t="str">
        <f>IF(Z$8="","",Y128)</f>
        <v/>
      </c>
      <c r="AA128" s="8" t="str">
        <f t="shared" ref="AA128:AA129" si="1761">IF(AA$8="","",Z128)</f>
        <v/>
      </c>
      <c r="AB128" s="8" t="str">
        <f t="shared" ref="AB128:AB129" si="1762">IF(AB$8="","",AA128)</f>
        <v/>
      </c>
      <c r="AC128" s="8" t="str">
        <f t="shared" ref="AC128:AC129" si="1763">IF(AC$8="","",AB128)</f>
        <v/>
      </c>
      <c r="AD128" s="8" t="str">
        <f>IF(AD$8="","",AC128)</f>
        <v/>
      </c>
      <c r="AE128" s="8" t="str">
        <f t="shared" ref="AE128:AE129" si="1764">IF(AE$8="","",AD128)</f>
        <v/>
      </c>
      <c r="AF128" s="8" t="str">
        <f t="shared" ref="AF128:AF129" si="1765">IF(AF$8="","",AE128)</f>
        <v/>
      </c>
      <c r="AG128" s="8" t="str">
        <f>IF(AG$8="","",AF128)</f>
        <v/>
      </c>
      <c r="AH128" s="8" t="str">
        <f t="shared" ref="AH128:AH129" si="1766">IF(AH$8="","",AG128)</f>
        <v/>
      </c>
      <c r="AI128" s="8" t="str">
        <f t="shared" ref="AI128:AI129" si="1767">IF(AI$8="","",AH128)</f>
        <v/>
      </c>
      <c r="AJ128" s="8" t="str">
        <f t="shared" ref="AJ128:AJ129" si="1768">IF(AJ$8="","",AI128)</f>
        <v/>
      </c>
      <c r="AK128" s="8" t="str">
        <f>IF(AK$8="","",AJ128)</f>
        <v/>
      </c>
      <c r="AL128" s="8" t="str">
        <f t="shared" ref="AL128:AL129" si="1769">IF(AL$8="","",AK128)</f>
        <v/>
      </c>
      <c r="AM128" s="8" t="str">
        <f t="shared" ref="AM128:AM129" si="1770">IF(AM$8="","",AL128)</f>
        <v/>
      </c>
      <c r="AN128" s="8" t="str">
        <f t="shared" ref="AN128:AN129" si="1771">IF(AN$8="","",AM128)</f>
        <v/>
      </c>
      <c r="AO128" s="8" t="str">
        <f t="shared" ref="AO128:AS128" si="1772">IF(AO$8="","",AN128)</f>
        <v/>
      </c>
      <c r="AP128" s="8" t="str">
        <f t="shared" si="1772"/>
        <v/>
      </c>
      <c r="AQ128" s="8" t="str">
        <f t="shared" si="1772"/>
        <v/>
      </c>
      <c r="AR128" s="8" t="str">
        <f t="shared" si="1772"/>
        <v/>
      </c>
      <c r="AS128" s="8" t="str">
        <f t="shared" si="1772"/>
        <v/>
      </c>
    </row>
    <row r="129" spans="1:45" s="1" customFormat="1" ht="11.25" x14ac:dyDescent="0.15">
      <c r="A129" s="16" t="s">
        <v>29</v>
      </c>
      <c r="B129" s="9" t="s">
        <v>4</v>
      </c>
      <c r="C129" s="65">
        <v>117</v>
      </c>
      <c r="D129" s="8">
        <v>117</v>
      </c>
      <c r="E129" s="8">
        <v>117</v>
      </c>
      <c r="F129" s="8">
        <v>117</v>
      </c>
      <c r="G129" s="8">
        <v>117</v>
      </c>
      <c r="H129" s="8">
        <v>117</v>
      </c>
      <c r="I129" s="8">
        <v>117</v>
      </c>
      <c r="J129" s="8">
        <f t="shared" si="1749"/>
        <v>117</v>
      </c>
      <c r="K129" s="8">
        <f t="shared" si="1750"/>
        <v>117</v>
      </c>
      <c r="L129" s="8">
        <f>IF(L$8="","",K129)</f>
        <v>117</v>
      </c>
      <c r="M129" s="8" t="str">
        <f t="shared" si="1751"/>
        <v/>
      </c>
      <c r="N129" s="8" t="str">
        <f t="shared" si="1752"/>
        <v/>
      </c>
      <c r="O129" s="8" t="str">
        <f t="shared" si="1753"/>
        <v/>
      </c>
      <c r="P129" s="8" t="str">
        <f>IF(P$8="","",O129)</f>
        <v/>
      </c>
      <c r="Q129" s="8" t="str">
        <f t="shared" si="1754"/>
        <v/>
      </c>
      <c r="R129" s="8" t="str">
        <f t="shared" si="1755"/>
        <v/>
      </c>
      <c r="S129" s="8" t="str">
        <f>IF(S$8="","",R129)</f>
        <v/>
      </c>
      <c r="T129" s="8" t="str">
        <f t="shared" si="1756"/>
        <v/>
      </c>
      <c r="U129" s="8" t="str">
        <f t="shared" si="1757"/>
        <v/>
      </c>
      <c r="V129" s="8" t="str">
        <f t="shared" si="1758"/>
        <v/>
      </c>
      <c r="W129" s="8" t="str">
        <f>IF(W$8="","",V129)</f>
        <v/>
      </c>
      <c r="X129" s="8" t="str">
        <f t="shared" si="1759"/>
        <v/>
      </c>
      <c r="Y129" s="8" t="str">
        <f t="shared" si="1760"/>
        <v/>
      </c>
      <c r="Z129" s="8" t="str">
        <f>IF(Z$8="","",Y129)</f>
        <v/>
      </c>
      <c r="AA129" s="8" t="str">
        <f t="shared" si="1761"/>
        <v/>
      </c>
      <c r="AB129" s="8" t="str">
        <f t="shared" si="1762"/>
        <v/>
      </c>
      <c r="AC129" s="8" t="str">
        <f t="shared" si="1763"/>
        <v/>
      </c>
      <c r="AD129" s="8" t="str">
        <f>IF(AD$8="","",AC129)</f>
        <v/>
      </c>
      <c r="AE129" s="8" t="str">
        <f t="shared" si="1764"/>
        <v/>
      </c>
      <c r="AF129" s="8" t="str">
        <f t="shared" si="1765"/>
        <v/>
      </c>
      <c r="AG129" s="8" t="str">
        <f t="shared" ref="AG129" si="1773">IF(AG$8="","",AF129)</f>
        <v/>
      </c>
      <c r="AH129" s="8" t="str">
        <f t="shared" si="1766"/>
        <v/>
      </c>
      <c r="AI129" s="8" t="str">
        <f t="shared" si="1767"/>
        <v/>
      </c>
      <c r="AJ129" s="8" t="str">
        <f t="shared" si="1768"/>
        <v/>
      </c>
      <c r="AK129" s="8" t="str">
        <f t="shared" ref="AK129" si="1774">IF(AK$8="","",AJ129)</f>
        <v/>
      </c>
      <c r="AL129" s="8" t="str">
        <f t="shared" si="1769"/>
        <v/>
      </c>
      <c r="AM129" s="8" t="str">
        <f t="shared" si="1770"/>
        <v/>
      </c>
      <c r="AN129" s="8" t="str">
        <f t="shared" si="1771"/>
        <v/>
      </c>
      <c r="AO129" s="8" t="str">
        <f t="shared" ref="AO129:AS129" si="1775">IF(AO$8="","",AN129)</f>
        <v/>
      </c>
      <c r="AP129" s="8" t="str">
        <f t="shared" si="1775"/>
        <v/>
      </c>
      <c r="AQ129" s="8" t="str">
        <f t="shared" si="1775"/>
        <v/>
      </c>
      <c r="AR129" s="8" t="str">
        <f t="shared" si="1775"/>
        <v/>
      </c>
      <c r="AS129" s="8" t="str">
        <f t="shared" si="1775"/>
        <v/>
      </c>
    </row>
    <row r="130" spans="1:45" s="1" customFormat="1" ht="11.25" x14ac:dyDescent="0.15">
      <c r="A130" s="15">
        <v>3</v>
      </c>
      <c r="B130" s="9" t="s">
        <v>5</v>
      </c>
      <c r="C130" s="65">
        <v>23</v>
      </c>
      <c r="D130" s="8">
        <v>23</v>
      </c>
      <c r="E130" s="8">
        <v>9</v>
      </c>
      <c r="F130" s="8">
        <v>9</v>
      </c>
      <c r="G130" s="8">
        <v>9</v>
      </c>
      <c r="H130" s="8">
        <v>9</v>
      </c>
      <c r="I130" s="8">
        <v>9</v>
      </c>
      <c r="J130" s="8">
        <f t="shared" ref="J130" si="1776">IF(J$8="","",(I130+I131))</f>
        <v>9</v>
      </c>
      <c r="K130" s="8">
        <f t="shared" ref="K130" si="1777">IF(K$8="","",(J130+J131))</f>
        <v>9</v>
      </c>
      <c r="L130" s="8">
        <f>IF(L$8="","",(K130+K131))</f>
        <v>9</v>
      </c>
      <c r="M130" s="8" t="str">
        <f t="shared" ref="M130" si="1778">IF(M$8="","",(L130+L131))</f>
        <v/>
      </c>
      <c r="N130" s="8" t="str">
        <f t="shared" ref="N130" si="1779">IF(N$8="","",(M130+M131))</f>
        <v/>
      </c>
      <c r="O130" s="8" t="str">
        <f t="shared" ref="O130" si="1780">IF(O$8="","",(N130+N131))</f>
        <v/>
      </c>
      <c r="P130" s="8" t="str">
        <f>IF(P$8="","",(O130+O131))</f>
        <v/>
      </c>
      <c r="Q130" s="8" t="str">
        <f t="shared" ref="Q130" si="1781">IF(Q$8="","",(P130+P131))</f>
        <v/>
      </c>
      <c r="R130" s="8" t="str">
        <f t="shared" ref="R130" si="1782">IF(R$8="","",(Q130+Q131))</f>
        <v/>
      </c>
      <c r="S130" s="8" t="str">
        <f t="shared" ref="S130" si="1783">IF(S$8="","",(R130+R131))</f>
        <v/>
      </c>
      <c r="T130" s="8" t="str">
        <f t="shared" ref="T130" si="1784">IF(T$8="","",(S130+S131))</f>
        <v/>
      </c>
      <c r="U130" s="8" t="str">
        <f t="shared" ref="U130" si="1785">IF(U$8="","",(T130+T131))</f>
        <v/>
      </c>
      <c r="V130" s="8" t="str">
        <f t="shared" ref="V130" si="1786">IF(V$8="","",(U130+U131))</f>
        <v/>
      </c>
      <c r="W130" s="8" t="str">
        <f t="shared" ref="W130" si="1787">IF(W$8="","",(V130+V131))</f>
        <v/>
      </c>
      <c r="X130" s="8" t="str">
        <f t="shared" ref="X130" si="1788">IF(X$8="","",(W130+W131))</f>
        <v/>
      </c>
      <c r="Y130" s="8" t="str">
        <f t="shared" ref="Y130" si="1789">IF(Y$8="","",(X130+X131))</f>
        <v/>
      </c>
      <c r="Z130" s="8" t="str">
        <f>IF(Z$8="","",(Y130+Y131))</f>
        <v/>
      </c>
      <c r="AA130" s="8" t="str">
        <f t="shared" ref="AA130" si="1790">IF(AA$8="","",(Z130+Z131))</f>
        <v/>
      </c>
      <c r="AB130" s="8" t="str">
        <f t="shared" ref="AB130" si="1791">IF(AB$8="","",(AA130+AA131))</f>
        <v/>
      </c>
      <c r="AC130" s="8" t="str">
        <f t="shared" ref="AC130" si="1792">IF(AC$8="","",(AB130+AB131))</f>
        <v/>
      </c>
      <c r="AD130" s="8" t="str">
        <f>IF(AD$8="","",(AC130+AC131))</f>
        <v/>
      </c>
      <c r="AE130" s="8" t="str">
        <f t="shared" ref="AE130" si="1793">IF(AE$8="","",(AD130+AD131))</f>
        <v/>
      </c>
      <c r="AF130" s="8" t="str">
        <f t="shared" ref="AF130" si="1794">IF(AF$8="","",(AE130+AE131))</f>
        <v/>
      </c>
      <c r="AG130" s="8" t="str">
        <f>IF(AG$8="","",(AF130+AF131))</f>
        <v/>
      </c>
      <c r="AH130" s="8" t="str">
        <f t="shared" ref="AH130" si="1795">IF(AH$8="","",(AG130+AG131))</f>
        <v/>
      </c>
      <c r="AI130" s="8" t="str">
        <f t="shared" ref="AI130" si="1796">IF(AI$8="","",(AH130+AH131))</f>
        <v/>
      </c>
      <c r="AJ130" s="8" t="str">
        <f t="shared" ref="AJ130" si="1797">IF(AJ$8="","",(AI130+AI131))</f>
        <v/>
      </c>
      <c r="AK130" s="8" t="str">
        <f t="shared" ref="AK130" si="1798">IF(AK$8="","",(AJ130+AJ131))</f>
        <v/>
      </c>
      <c r="AL130" s="8" t="str">
        <f t="shared" ref="AL130" si="1799">IF(AL$8="","",(AK130+AK131))</f>
        <v/>
      </c>
      <c r="AM130" s="8" t="str">
        <f t="shared" ref="AM130" si="1800">IF(AM$8="","",(AL130+AL131))</f>
        <v/>
      </c>
      <c r="AN130" s="8" t="str">
        <f t="shared" ref="AN130" si="1801">IF(AN$8="","",(AM130+AM131))</f>
        <v/>
      </c>
      <c r="AO130" s="8" t="str">
        <f t="shared" ref="AO130:AS130" si="1802">IF(AO$8="","",(AN130+AN131))</f>
        <v/>
      </c>
      <c r="AP130" s="8" t="str">
        <f t="shared" si="1802"/>
        <v/>
      </c>
      <c r="AQ130" s="8" t="str">
        <f t="shared" si="1802"/>
        <v/>
      </c>
      <c r="AR130" s="8" t="str">
        <f t="shared" si="1802"/>
        <v/>
      </c>
      <c r="AS130" s="8" t="str">
        <f t="shared" si="1802"/>
        <v/>
      </c>
    </row>
    <row r="131" spans="1:45" s="1" customFormat="1" ht="11.25" x14ac:dyDescent="0.15">
      <c r="A131" s="14"/>
      <c r="B131" s="9" t="s">
        <v>7</v>
      </c>
      <c r="C131" s="65"/>
      <c r="D131" s="8">
        <v>-14</v>
      </c>
      <c r="E131" s="8"/>
      <c r="F131" s="8"/>
      <c r="G131" s="8"/>
      <c r="H131" s="8"/>
      <c r="I131" s="8"/>
      <c r="J131" s="8"/>
      <c r="K131" s="8"/>
      <c r="L131" s="8">
        <v>6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</row>
    <row r="132" spans="1:45" s="1" customFormat="1" ht="11.25" x14ac:dyDescent="0.15">
      <c r="A132" s="7"/>
      <c r="B132" s="9" t="s">
        <v>8</v>
      </c>
      <c r="C132" s="65">
        <v>400</v>
      </c>
      <c r="D132" s="8">
        <v>400</v>
      </c>
      <c r="E132" s="8">
        <v>400</v>
      </c>
      <c r="F132" s="8">
        <v>400</v>
      </c>
      <c r="G132" s="8">
        <v>400</v>
      </c>
      <c r="H132" s="8">
        <v>400</v>
      </c>
      <c r="I132" s="8">
        <v>400</v>
      </c>
      <c r="J132" s="8">
        <f t="shared" ref="J132:J133" si="1803">IF(J$8="","",I132)</f>
        <v>400</v>
      </c>
      <c r="K132" s="8">
        <f t="shared" ref="K132:K133" si="1804">IF(K$8="","",J132)</f>
        <v>400</v>
      </c>
      <c r="L132" s="8">
        <f t="shared" ref="L132:L133" si="1805">IF(L$8="","",K132)</f>
        <v>400</v>
      </c>
      <c r="M132" s="8" t="str">
        <f t="shared" ref="M132:M133" si="1806">IF(M$8="","",L132)</f>
        <v/>
      </c>
      <c r="N132" s="8" t="str">
        <f t="shared" ref="N132:N133" si="1807">IF(N$8="","",M132)</f>
        <v/>
      </c>
      <c r="O132" s="8" t="str">
        <f t="shared" ref="O132:O133" si="1808">IF(O$8="","",N132)</f>
        <v/>
      </c>
      <c r="P132" s="8" t="str">
        <f t="shared" ref="P132:P133" si="1809">IF(P$8="","",O132)</f>
        <v/>
      </c>
      <c r="Q132" s="8" t="str">
        <f t="shared" ref="Q132:Q133" si="1810">IF(Q$8="","",P132)</f>
        <v/>
      </c>
      <c r="R132" s="8" t="str">
        <f t="shared" ref="R132:R133" si="1811">IF(R$8="","",Q132)</f>
        <v/>
      </c>
      <c r="S132" s="8" t="str">
        <f t="shared" ref="S132:S133" si="1812">IF(S$8="","",R132)</f>
        <v/>
      </c>
      <c r="T132" s="8" t="str">
        <f t="shared" ref="T132:T133" si="1813">IF(T$8="","",S132)</f>
        <v/>
      </c>
      <c r="U132" s="8" t="str">
        <f t="shared" ref="U132:U133" si="1814">IF(U$8="","",T132)</f>
        <v/>
      </c>
      <c r="V132" s="8" t="str">
        <f t="shared" ref="V132:V133" si="1815">IF(V$8="","",U132)</f>
        <v/>
      </c>
      <c r="W132" s="8" t="str">
        <f t="shared" ref="W132:W133" si="1816">IF(W$8="","",V132)</f>
        <v/>
      </c>
      <c r="X132" s="8" t="str">
        <f t="shared" ref="X132:X133" si="1817">IF(X$8="","",W132)</f>
        <v/>
      </c>
      <c r="Y132" s="8" t="str">
        <f t="shared" ref="Y132:Y133" si="1818">IF(Y$8="","",X132)</f>
        <v/>
      </c>
      <c r="Z132" s="8" t="str">
        <f t="shared" ref="Z132:Z133" si="1819">IF(Z$8="","",Y132)</f>
        <v/>
      </c>
      <c r="AA132" s="8" t="str">
        <f t="shared" ref="AA132:AA133" si="1820">IF(AA$8="","",Z132)</f>
        <v/>
      </c>
      <c r="AB132" s="8" t="str">
        <f t="shared" ref="AB132:AB133" si="1821">IF(AB$8="","",AA132)</f>
        <v/>
      </c>
      <c r="AC132" s="8" t="str">
        <f t="shared" ref="AC132:AC133" si="1822">IF(AC$8="","",AB132)</f>
        <v/>
      </c>
      <c r="AD132" s="8" t="str">
        <f t="shared" ref="AD132:AD133" si="1823">IF(AD$8="","",AC132)</f>
        <v/>
      </c>
      <c r="AE132" s="8" t="str">
        <f t="shared" ref="AE132:AE133" si="1824">IF(AE$8="","",AD132)</f>
        <v/>
      </c>
      <c r="AF132" s="8" t="str">
        <f t="shared" ref="AF132:AF133" si="1825">IF(AF$8="","",AE132)</f>
        <v/>
      </c>
      <c r="AG132" s="8" t="str">
        <f t="shared" ref="AG132:AG133" si="1826">IF(AG$8="","",AF132)</f>
        <v/>
      </c>
      <c r="AH132" s="8" t="str">
        <f t="shared" ref="AH132:AH133" si="1827">IF(AH$8="","",AG132)</f>
        <v/>
      </c>
      <c r="AI132" s="8" t="str">
        <f t="shared" ref="AI132:AI133" si="1828">IF(AI$8="","",AH132)</f>
        <v/>
      </c>
      <c r="AJ132" s="8" t="str">
        <f t="shared" ref="AJ132:AJ133" si="1829">IF(AJ$8="","",AI132)</f>
        <v/>
      </c>
      <c r="AK132" s="8" t="str">
        <f t="shared" ref="AK132:AK133" si="1830">IF(AK$8="","",AJ132)</f>
        <v/>
      </c>
      <c r="AL132" s="8" t="str">
        <f t="shared" ref="AL132:AL133" si="1831">IF(AL$8="","",AK132)</f>
        <v/>
      </c>
      <c r="AM132" s="8" t="str">
        <f t="shared" ref="AM132:AM133" si="1832">IF(AM$8="","",AL132)</f>
        <v/>
      </c>
      <c r="AN132" s="8" t="str">
        <f t="shared" ref="AN132:AN133" si="1833">IF(AN$8="","",AM132)</f>
        <v/>
      </c>
      <c r="AO132" s="8" t="str">
        <f t="shared" ref="AO132:AS132" si="1834">IF(AO$8="","",AN132)</f>
        <v/>
      </c>
      <c r="AP132" s="8" t="str">
        <f t="shared" si="1834"/>
        <v/>
      </c>
      <c r="AQ132" s="8" t="str">
        <f t="shared" si="1834"/>
        <v/>
      </c>
      <c r="AR132" s="8" t="str">
        <f t="shared" si="1834"/>
        <v/>
      </c>
      <c r="AS132" s="8" t="str">
        <f t="shared" si="1834"/>
        <v/>
      </c>
    </row>
    <row r="133" spans="1:45" s="85" customFormat="1" ht="11.25" x14ac:dyDescent="0.15">
      <c r="A133" s="14" t="s">
        <v>9</v>
      </c>
      <c r="B133" s="13" t="s">
        <v>10</v>
      </c>
      <c r="C133" s="66" t="s">
        <v>50</v>
      </c>
      <c r="D133" s="12" t="s">
        <v>50</v>
      </c>
      <c r="E133" s="12" t="s">
        <v>364</v>
      </c>
      <c r="F133" s="12" t="s">
        <v>364</v>
      </c>
      <c r="G133" s="12" t="s">
        <v>364</v>
      </c>
      <c r="H133" s="12" t="s">
        <v>364</v>
      </c>
      <c r="I133" s="12" t="s">
        <v>364</v>
      </c>
      <c r="J133" s="12" t="str">
        <f t="shared" si="1803"/>
        <v>スンスン金カラーがま口</v>
      </c>
      <c r="K133" s="12" t="str">
        <f t="shared" si="1804"/>
        <v>スンスン金カラーがま口</v>
      </c>
      <c r="L133" s="12" t="str">
        <f t="shared" si="1805"/>
        <v>スンスン金カラーがま口</v>
      </c>
      <c r="M133" s="12" t="str">
        <f t="shared" si="1806"/>
        <v/>
      </c>
      <c r="N133" s="12" t="str">
        <f t="shared" si="1807"/>
        <v/>
      </c>
      <c r="O133" s="12" t="str">
        <f t="shared" si="1808"/>
        <v/>
      </c>
      <c r="P133" s="12" t="str">
        <f t="shared" si="1809"/>
        <v/>
      </c>
      <c r="Q133" s="12" t="str">
        <f t="shared" si="1810"/>
        <v/>
      </c>
      <c r="R133" s="12" t="str">
        <f t="shared" si="1811"/>
        <v/>
      </c>
      <c r="S133" s="12" t="str">
        <f t="shared" si="1812"/>
        <v/>
      </c>
      <c r="T133" s="12" t="str">
        <f t="shared" si="1813"/>
        <v/>
      </c>
      <c r="U133" s="12" t="str">
        <f t="shared" si="1814"/>
        <v/>
      </c>
      <c r="V133" s="12" t="str">
        <f t="shared" si="1815"/>
        <v/>
      </c>
      <c r="W133" s="12" t="str">
        <f t="shared" si="1816"/>
        <v/>
      </c>
      <c r="X133" s="12" t="str">
        <f t="shared" si="1817"/>
        <v/>
      </c>
      <c r="Y133" s="12" t="str">
        <f t="shared" si="1818"/>
        <v/>
      </c>
      <c r="Z133" s="12" t="str">
        <f t="shared" si="1819"/>
        <v/>
      </c>
      <c r="AA133" s="12" t="str">
        <f t="shared" si="1820"/>
        <v/>
      </c>
      <c r="AB133" s="12" t="str">
        <f t="shared" si="1821"/>
        <v/>
      </c>
      <c r="AC133" s="12" t="str">
        <f t="shared" si="1822"/>
        <v/>
      </c>
      <c r="AD133" s="12" t="str">
        <f t="shared" si="1823"/>
        <v/>
      </c>
      <c r="AE133" s="12" t="str">
        <f t="shared" si="1824"/>
        <v/>
      </c>
      <c r="AF133" s="12" t="str">
        <f t="shared" si="1825"/>
        <v/>
      </c>
      <c r="AG133" s="12" t="str">
        <f>IF(AG$8="","",AF133)</f>
        <v/>
      </c>
      <c r="AH133" s="12" t="str">
        <f t="shared" si="1827"/>
        <v/>
      </c>
      <c r="AI133" s="12" t="str">
        <f t="shared" si="1828"/>
        <v/>
      </c>
      <c r="AJ133" s="12" t="str">
        <f t="shared" si="1829"/>
        <v/>
      </c>
      <c r="AK133" s="12" t="str">
        <f t="shared" si="1830"/>
        <v/>
      </c>
      <c r="AL133" s="12" t="str">
        <f t="shared" si="1831"/>
        <v/>
      </c>
      <c r="AM133" s="12" t="str">
        <f t="shared" si="1832"/>
        <v/>
      </c>
      <c r="AN133" s="12" t="str">
        <f t="shared" si="1833"/>
        <v/>
      </c>
      <c r="AO133" s="12" t="str">
        <f t="shared" ref="AO133:AS133" si="1835">IF(AO$8="","",AN133)</f>
        <v/>
      </c>
      <c r="AP133" s="12" t="str">
        <f t="shared" si="1835"/>
        <v/>
      </c>
      <c r="AQ133" s="12" t="str">
        <f t="shared" si="1835"/>
        <v/>
      </c>
      <c r="AR133" s="12" t="str">
        <f t="shared" si="1835"/>
        <v/>
      </c>
      <c r="AS133" s="12" t="str">
        <f t="shared" si="1835"/>
        <v/>
      </c>
    </row>
    <row r="134" spans="1:45" s="1" customFormat="1" ht="11.25" x14ac:dyDescent="0.15">
      <c r="A134" s="7">
        <f>AVERAGE(C135:AS135)*30*100</f>
        <v>15900</v>
      </c>
      <c r="B134" s="9" t="s">
        <v>12</v>
      </c>
      <c r="C134" s="65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</row>
    <row r="135" spans="1:45" s="1" customFormat="1" ht="11.25" x14ac:dyDescent="0.15">
      <c r="A135" s="7">
        <f>SUM(C135:AS135)</f>
        <v>53</v>
      </c>
      <c r="B135" s="6" t="s">
        <v>13</v>
      </c>
      <c r="C135" s="65">
        <v>0</v>
      </c>
      <c r="D135" s="5">
        <v>0</v>
      </c>
      <c r="E135" s="5">
        <v>23</v>
      </c>
      <c r="F135" s="5">
        <v>0</v>
      </c>
      <c r="G135" s="5">
        <v>0</v>
      </c>
      <c r="H135" s="5">
        <v>0</v>
      </c>
      <c r="I135" s="5">
        <v>9</v>
      </c>
      <c r="J135" s="5">
        <f t="shared" ref="J135:J136" si="1836">IF(J$8="","",J128-I128)</f>
        <v>0</v>
      </c>
      <c r="K135" s="5">
        <f t="shared" ref="K135:K136" si="1837">IF(K$8="","",K128-J128)</f>
        <v>0</v>
      </c>
      <c r="L135" s="5">
        <f t="shared" ref="L135:L136" si="1838">IF(L$8="","",L128-K128)</f>
        <v>21</v>
      </c>
      <c r="M135" s="5" t="str">
        <f t="shared" ref="M135:M136" si="1839">IF(M$8="","",M128-L128)</f>
        <v/>
      </c>
      <c r="N135" s="5" t="str">
        <f t="shared" ref="N135:N136" si="1840">IF(N$8="","",N128-M128)</f>
        <v/>
      </c>
      <c r="O135" s="5" t="str">
        <f t="shared" ref="O135:O136" si="1841">IF(O$8="","",O128-N128)</f>
        <v/>
      </c>
      <c r="P135" s="5" t="str">
        <f t="shared" ref="P135:P136" si="1842">IF(P$8="","",P128-O128)</f>
        <v/>
      </c>
      <c r="Q135" s="5" t="str">
        <f t="shared" ref="Q135:Q136" si="1843">IF(Q$8="","",Q128-P128)</f>
        <v/>
      </c>
      <c r="R135" s="5" t="str">
        <f t="shared" ref="R135:R136" si="1844">IF(R$8="","",R128-Q128)</f>
        <v/>
      </c>
      <c r="S135" s="5" t="str">
        <f t="shared" ref="S135:S136" si="1845">IF(S$8="","",S128-R128)</f>
        <v/>
      </c>
      <c r="T135" s="5" t="str">
        <f t="shared" ref="T135:T136" si="1846">IF(T$8="","",T128-S128)</f>
        <v/>
      </c>
      <c r="U135" s="5" t="str">
        <f t="shared" ref="U135:U136" si="1847">IF(U$8="","",U128-T128)</f>
        <v/>
      </c>
      <c r="V135" s="5" t="str">
        <f t="shared" ref="V135:V136" si="1848">IF(V$8="","",V128-U128)</f>
        <v/>
      </c>
      <c r="W135" s="5" t="str">
        <f t="shared" ref="W135:W136" si="1849">IF(W$8="","",W128-V128)</f>
        <v/>
      </c>
      <c r="X135" s="5" t="str">
        <f t="shared" ref="X135:X136" si="1850">IF(X$8="","",X128-W128)</f>
        <v/>
      </c>
      <c r="Y135" s="5" t="str">
        <f t="shared" ref="Y135:Y136" si="1851">IF(Y$8="","",Y128-X128)</f>
        <v/>
      </c>
      <c r="Z135" s="5" t="str">
        <f t="shared" ref="Z135:Z136" si="1852">IF(Z$8="","",Z128-Y128)</f>
        <v/>
      </c>
      <c r="AA135" s="5" t="str">
        <f t="shared" ref="AA135:AA136" si="1853">IF(AA$8="","",AA128-Z128)</f>
        <v/>
      </c>
      <c r="AB135" s="5" t="str">
        <f t="shared" ref="AB135:AB136" si="1854">IF(AB$8="","",AB128-AA128)</f>
        <v/>
      </c>
      <c r="AC135" s="5" t="str">
        <f t="shared" ref="AC135:AC136" si="1855">IF(AC$8="","",AC128-AB128)</f>
        <v/>
      </c>
      <c r="AD135" s="5" t="str">
        <f t="shared" ref="AD135:AD136" si="1856">IF(AD$8="","",AD128-AC128)</f>
        <v/>
      </c>
      <c r="AE135" s="5" t="str">
        <f t="shared" ref="AE135:AE136" si="1857">IF(AE$8="","",AE128-AD128)</f>
        <v/>
      </c>
      <c r="AF135" s="5" t="str">
        <f t="shared" ref="AF135:AF136" si="1858">IF(AF$8="","",AF128-AE128)</f>
        <v/>
      </c>
      <c r="AG135" s="5" t="str">
        <f t="shared" ref="AG135:AG136" si="1859">IF(AG$8="","",AG128-AF128)</f>
        <v/>
      </c>
      <c r="AH135" s="5" t="str">
        <f t="shared" ref="AH135:AH136" si="1860">IF(AH$8="","",AH128-AG128)</f>
        <v/>
      </c>
      <c r="AI135" s="5" t="str">
        <f t="shared" ref="AI135:AI136" si="1861">IF(AI$8="","",AI128-AH128)</f>
        <v/>
      </c>
      <c r="AJ135" s="5" t="str">
        <f t="shared" ref="AJ135:AJ136" si="1862">IF(AJ$8="","",AJ128-AI128)</f>
        <v/>
      </c>
      <c r="AK135" s="5" t="str">
        <f t="shared" ref="AK135:AK136" si="1863">IF(AK$8="","",AK128-AJ128)</f>
        <v/>
      </c>
      <c r="AL135" s="5" t="str">
        <f t="shared" ref="AL135:AL136" si="1864">IF(AL$8="","",AL128-AK128)</f>
        <v/>
      </c>
      <c r="AM135" s="5" t="str">
        <f t="shared" ref="AM135:AM136" si="1865">IF(AM$8="","",AM128-AL128)</f>
        <v/>
      </c>
      <c r="AN135" s="5" t="str">
        <f t="shared" ref="AN135:AN136" si="1866">IF(AN$8="","",AN128-AM128)</f>
        <v/>
      </c>
      <c r="AO135" s="5" t="str">
        <f t="shared" ref="AO135:AS135" si="1867">IF(AO$8="","",AO128-AN128)</f>
        <v/>
      </c>
      <c r="AP135" s="5" t="str">
        <f t="shared" si="1867"/>
        <v/>
      </c>
      <c r="AQ135" s="5" t="str">
        <f t="shared" si="1867"/>
        <v/>
      </c>
      <c r="AR135" s="5" t="str">
        <f t="shared" si="1867"/>
        <v/>
      </c>
      <c r="AS135" s="5" t="str">
        <f t="shared" si="1867"/>
        <v/>
      </c>
    </row>
    <row r="136" spans="1:45" s="1" customFormat="1" ht="11.25" x14ac:dyDescent="0.15">
      <c r="A136" s="7">
        <f>SUM(C136:AS136)</f>
        <v>0</v>
      </c>
      <c r="B136" s="6" t="s">
        <v>14</v>
      </c>
      <c r="C136" s="6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f t="shared" si="1836"/>
        <v>0</v>
      </c>
      <c r="K136" s="5">
        <f t="shared" si="1837"/>
        <v>0</v>
      </c>
      <c r="L136" s="5">
        <f t="shared" si="1838"/>
        <v>0</v>
      </c>
      <c r="M136" s="5" t="str">
        <f t="shared" si="1839"/>
        <v/>
      </c>
      <c r="N136" s="5" t="str">
        <f t="shared" si="1840"/>
        <v/>
      </c>
      <c r="O136" s="5" t="str">
        <f t="shared" si="1841"/>
        <v/>
      </c>
      <c r="P136" s="5" t="str">
        <f t="shared" si="1842"/>
        <v/>
      </c>
      <c r="Q136" s="5" t="str">
        <f t="shared" si="1843"/>
        <v/>
      </c>
      <c r="R136" s="5" t="str">
        <f t="shared" si="1844"/>
        <v/>
      </c>
      <c r="S136" s="5" t="str">
        <f t="shared" si="1845"/>
        <v/>
      </c>
      <c r="T136" s="5" t="str">
        <f t="shared" si="1846"/>
        <v/>
      </c>
      <c r="U136" s="5" t="str">
        <f t="shared" si="1847"/>
        <v/>
      </c>
      <c r="V136" s="5" t="str">
        <f t="shared" si="1848"/>
        <v/>
      </c>
      <c r="W136" s="5" t="str">
        <f t="shared" si="1849"/>
        <v/>
      </c>
      <c r="X136" s="5" t="str">
        <f t="shared" si="1850"/>
        <v/>
      </c>
      <c r="Y136" s="5" t="str">
        <f t="shared" si="1851"/>
        <v/>
      </c>
      <c r="Z136" s="5" t="str">
        <f t="shared" si="1852"/>
        <v/>
      </c>
      <c r="AA136" s="5" t="str">
        <f t="shared" si="1853"/>
        <v/>
      </c>
      <c r="AB136" s="5" t="str">
        <f t="shared" si="1854"/>
        <v/>
      </c>
      <c r="AC136" s="5" t="str">
        <f t="shared" si="1855"/>
        <v/>
      </c>
      <c r="AD136" s="5" t="str">
        <f t="shared" si="1856"/>
        <v/>
      </c>
      <c r="AE136" s="5" t="str">
        <f t="shared" si="1857"/>
        <v/>
      </c>
      <c r="AF136" s="5" t="str">
        <f t="shared" si="1858"/>
        <v/>
      </c>
      <c r="AG136" s="5" t="str">
        <f t="shared" si="1859"/>
        <v/>
      </c>
      <c r="AH136" s="5" t="str">
        <f t="shared" si="1860"/>
        <v/>
      </c>
      <c r="AI136" s="5" t="str">
        <f t="shared" si="1861"/>
        <v/>
      </c>
      <c r="AJ136" s="5" t="str">
        <f t="shared" si="1862"/>
        <v/>
      </c>
      <c r="AK136" s="5" t="str">
        <f t="shared" si="1863"/>
        <v/>
      </c>
      <c r="AL136" s="5" t="str">
        <f t="shared" si="1864"/>
        <v/>
      </c>
      <c r="AM136" s="5" t="str">
        <f t="shared" si="1865"/>
        <v/>
      </c>
      <c r="AN136" s="5" t="str">
        <f t="shared" si="1866"/>
        <v/>
      </c>
      <c r="AO136" s="5" t="str">
        <f t="shared" ref="AO136:AS136" si="1868">IF(AO$8="","",AO129-AN129)</f>
        <v/>
      </c>
      <c r="AP136" s="5" t="str">
        <f t="shared" si="1868"/>
        <v/>
      </c>
      <c r="AQ136" s="5" t="str">
        <f t="shared" si="1868"/>
        <v/>
      </c>
      <c r="AR136" s="5" t="str">
        <f t="shared" si="1868"/>
        <v/>
      </c>
      <c r="AS136" s="5" t="str">
        <f t="shared" si="1868"/>
        <v/>
      </c>
    </row>
    <row r="137" spans="1:45" s="1" customFormat="1" ht="11.25" x14ac:dyDescent="0.15">
      <c r="A137" s="7">
        <f>SUM(C137:AS137)</f>
        <v>0</v>
      </c>
      <c r="B137" s="6" t="s">
        <v>15</v>
      </c>
      <c r="C137" s="6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f t="shared" ref="J137" si="1869">IF(J$8="","",I130+I131-J130)</f>
        <v>0</v>
      </c>
      <c r="K137" s="5">
        <f t="shared" ref="K137" si="1870">IF(K$8="","",J130+J131-K130)</f>
        <v>0</v>
      </c>
      <c r="L137" s="5">
        <f t="shared" ref="L137" si="1871">IF(L$8="","",K130+K131-L130)</f>
        <v>0</v>
      </c>
      <c r="M137" s="5" t="str">
        <f t="shared" ref="M137" si="1872">IF(M$8="","",L130+L131-M130)</f>
        <v/>
      </c>
      <c r="N137" s="5" t="str">
        <f t="shared" ref="N137" si="1873">IF(N$8="","",M130+M131-N130)</f>
        <v/>
      </c>
      <c r="O137" s="5" t="str">
        <f t="shared" ref="O137" si="1874">IF(O$8="","",N130+N131-O130)</f>
        <v/>
      </c>
      <c r="P137" s="5" t="str">
        <f t="shared" ref="P137" si="1875">IF(P$8="","",O130+O131-P130)</f>
        <v/>
      </c>
      <c r="Q137" s="5" t="str">
        <f t="shared" ref="Q137" si="1876">IF(Q$8="","",P130+P131-Q130)</f>
        <v/>
      </c>
      <c r="R137" s="5" t="str">
        <f t="shared" ref="R137" si="1877">IF(R$8="","",Q130+Q131-R130)</f>
        <v/>
      </c>
      <c r="S137" s="5" t="str">
        <f t="shared" ref="S137" si="1878">IF(S$8="","",R130+R131-S130)</f>
        <v/>
      </c>
      <c r="T137" s="5" t="str">
        <f t="shared" ref="T137" si="1879">IF(T$8="","",S130+S131-T130)</f>
        <v/>
      </c>
      <c r="U137" s="5" t="str">
        <f t="shared" ref="U137" si="1880">IF(U$8="","",T130+T131-U130)</f>
        <v/>
      </c>
      <c r="V137" s="5" t="str">
        <f t="shared" ref="V137" si="1881">IF(V$8="","",U130+U131-V130)</f>
        <v/>
      </c>
      <c r="W137" s="5" t="str">
        <f t="shared" ref="W137" si="1882">IF(W$8="","",V130+V131-W130)</f>
        <v/>
      </c>
      <c r="X137" s="5" t="str">
        <f t="shared" ref="X137" si="1883">IF(X$8="","",W130+W131-X130)</f>
        <v/>
      </c>
      <c r="Y137" s="5" t="str">
        <f t="shared" ref="Y137" si="1884">IF(Y$8="","",X130+X131-Y130)</f>
        <v/>
      </c>
      <c r="Z137" s="5" t="str">
        <f t="shared" ref="Z137" si="1885">IF(Z$8="","",Y130+Y131-Z130)</f>
        <v/>
      </c>
      <c r="AA137" s="5" t="str">
        <f t="shared" ref="AA137" si="1886">IF(AA$8="","",Z130+Z131-AA130)</f>
        <v/>
      </c>
      <c r="AB137" s="5" t="str">
        <f t="shared" ref="AB137" si="1887">IF(AB$8="","",AA130+AA131-AB130)</f>
        <v/>
      </c>
      <c r="AC137" s="5" t="str">
        <f t="shared" ref="AC137" si="1888">IF(AC$8="","",AB130+AB131-AC130)</f>
        <v/>
      </c>
      <c r="AD137" s="5" t="str">
        <f t="shared" ref="AD137" si="1889">IF(AD$8="","",AC130+AC131-AD130)</f>
        <v/>
      </c>
      <c r="AE137" s="5" t="str">
        <f t="shared" ref="AE137" si="1890">IF(AE$8="","",AD130+AD131-AE130)</f>
        <v/>
      </c>
      <c r="AF137" s="5" t="str">
        <f t="shared" ref="AF137" si="1891">IF(AF$8="","",AE130+AE131-AF130)</f>
        <v/>
      </c>
      <c r="AG137" s="5" t="str">
        <f t="shared" ref="AG137" si="1892">IF(AG$8="","",AF130+AF131-AG130)</f>
        <v/>
      </c>
      <c r="AH137" s="5" t="str">
        <f t="shared" ref="AH137" si="1893">IF(AH$8="","",AG130+AG131-AH130)</f>
        <v/>
      </c>
      <c r="AI137" s="5" t="str">
        <f t="shared" ref="AI137" si="1894">IF(AI$8="","",AH130+AH131-AI130)</f>
        <v/>
      </c>
      <c r="AJ137" s="5" t="str">
        <f t="shared" ref="AJ137" si="1895">IF(AJ$8="","",AI130+AI131-AJ130)</f>
        <v/>
      </c>
      <c r="AK137" s="5" t="str">
        <f t="shared" ref="AK137" si="1896">IF(AK$8="","",AJ130+AJ131-AK130)</f>
        <v/>
      </c>
      <c r="AL137" s="5" t="str">
        <f t="shared" ref="AL137" si="1897">IF(AL$8="","",AK130+AK131-AL130)</f>
        <v/>
      </c>
      <c r="AM137" s="5" t="str">
        <f t="shared" ref="AM137" si="1898">IF(AM$8="","",AL130+AL131-AM130)</f>
        <v/>
      </c>
      <c r="AN137" s="5" t="str">
        <f t="shared" ref="AN137" si="1899">IF(AN$8="","",AM130+AM131-AN130)</f>
        <v/>
      </c>
      <c r="AO137" s="5" t="str">
        <f t="shared" ref="AO137:AS137" si="1900">IF(AO$8="","",AN130+AN131-AO130)</f>
        <v/>
      </c>
      <c r="AP137" s="5" t="str">
        <f t="shared" si="1900"/>
        <v/>
      </c>
      <c r="AQ137" s="5" t="str">
        <f t="shared" si="1900"/>
        <v/>
      </c>
      <c r="AR137" s="5" t="str">
        <f t="shared" si="1900"/>
        <v/>
      </c>
      <c r="AS137" s="5" t="str">
        <f t="shared" si="1900"/>
        <v/>
      </c>
    </row>
    <row r="138" spans="1:45" s="1" customFormat="1" ht="11.25" x14ac:dyDescent="0.15">
      <c r="A138" s="7">
        <f>SUM(C138:AS138)</f>
        <v>0</v>
      </c>
      <c r="B138" s="6" t="s">
        <v>16</v>
      </c>
      <c r="C138" s="6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f t="shared" ref="D138:AN138" si="1901">IF(J$8="","",J137*J132)</f>
        <v>0</v>
      </c>
      <c r="K138" s="5">
        <f t="shared" si="1901"/>
        <v>0</v>
      </c>
      <c r="L138" s="5">
        <f t="shared" si="1901"/>
        <v>0</v>
      </c>
      <c r="M138" s="5" t="str">
        <f t="shared" si="1901"/>
        <v/>
      </c>
      <c r="N138" s="5" t="str">
        <f t="shared" si="1901"/>
        <v/>
      </c>
      <c r="O138" s="5" t="str">
        <f t="shared" si="1901"/>
        <v/>
      </c>
      <c r="P138" s="5" t="str">
        <f t="shared" si="1901"/>
        <v/>
      </c>
      <c r="Q138" s="5" t="str">
        <f t="shared" si="1901"/>
        <v/>
      </c>
      <c r="R138" s="5" t="str">
        <f t="shared" si="1901"/>
        <v/>
      </c>
      <c r="S138" s="5" t="str">
        <f t="shared" si="1901"/>
        <v/>
      </c>
      <c r="T138" s="5" t="str">
        <f t="shared" si="1901"/>
        <v/>
      </c>
      <c r="U138" s="5" t="str">
        <f t="shared" si="1901"/>
        <v/>
      </c>
      <c r="V138" s="5" t="str">
        <f t="shared" si="1901"/>
        <v/>
      </c>
      <c r="W138" s="5" t="str">
        <f t="shared" si="1901"/>
        <v/>
      </c>
      <c r="X138" s="5" t="str">
        <f t="shared" si="1901"/>
        <v/>
      </c>
      <c r="Y138" s="5" t="str">
        <f t="shared" si="1901"/>
        <v/>
      </c>
      <c r="Z138" s="5" t="str">
        <f t="shared" si="1901"/>
        <v/>
      </c>
      <c r="AA138" s="5" t="str">
        <f t="shared" si="1901"/>
        <v/>
      </c>
      <c r="AB138" s="5" t="str">
        <f t="shared" si="1901"/>
        <v/>
      </c>
      <c r="AC138" s="5" t="str">
        <f t="shared" si="1901"/>
        <v/>
      </c>
      <c r="AD138" s="5" t="str">
        <f t="shared" si="1901"/>
        <v/>
      </c>
      <c r="AE138" s="5" t="str">
        <f t="shared" si="1901"/>
        <v/>
      </c>
      <c r="AF138" s="5" t="str">
        <f t="shared" si="1901"/>
        <v/>
      </c>
      <c r="AG138" s="5" t="str">
        <f t="shared" si="1901"/>
        <v/>
      </c>
      <c r="AH138" s="5" t="str">
        <f t="shared" si="1901"/>
        <v/>
      </c>
      <c r="AI138" s="5" t="str">
        <f t="shared" si="1901"/>
        <v/>
      </c>
      <c r="AJ138" s="5" t="str">
        <f t="shared" si="1901"/>
        <v/>
      </c>
      <c r="AK138" s="5" t="str">
        <f t="shared" si="1901"/>
        <v/>
      </c>
      <c r="AL138" s="5" t="str">
        <f t="shared" si="1901"/>
        <v/>
      </c>
      <c r="AM138" s="5" t="str">
        <f t="shared" si="1901"/>
        <v/>
      </c>
      <c r="AN138" s="5" t="str">
        <f t="shared" si="1901"/>
        <v/>
      </c>
      <c r="AO138" s="5" t="str">
        <f t="shared" ref="AO138:AS138" si="1902">IF(AO$8="","",AO137*AO132)</f>
        <v/>
      </c>
      <c r="AP138" s="5" t="str">
        <f t="shared" si="1902"/>
        <v/>
      </c>
      <c r="AQ138" s="5" t="str">
        <f t="shared" si="1902"/>
        <v/>
      </c>
      <c r="AR138" s="5" t="str">
        <f t="shared" si="1902"/>
        <v/>
      </c>
      <c r="AS138" s="5" t="str">
        <f t="shared" si="1902"/>
        <v/>
      </c>
    </row>
    <row r="139" spans="1:45" s="1" customFormat="1" ht="12" thickBot="1" x14ac:dyDescent="0.2">
      <c r="A139" s="4">
        <f>IF(A138="","",A138/(A135*100))</f>
        <v>0</v>
      </c>
      <c r="B139" s="6" t="s">
        <v>18</v>
      </c>
      <c r="C139" s="67" t="s">
        <v>19</v>
      </c>
      <c r="D139" s="18" t="s">
        <v>19</v>
      </c>
      <c r="E139" s="18" t="s">
        <v>19</v>
      </c>
      <c r="F139" s="18" t="s">
        <v>19</v>
      </c>
      <c r="G139" s="18" t="s">
        <v>19</v>
      </c>
      <c r="H139" s="18" t="s">
        <v>19</v>
      </c>
      <c r="I139" s="18" t="s">
        <v>19</v>
      </c>
      <c r="J139" s="18" t="str">
        <f t="shared" ref="D139:AN139" si="1903">IF(J$8="","",IF(J138=0,"",J138/(J135*100)))</f>
        <v/>
      </c>
      <c r="K139" s="18" t="str">
        <f t="shared" si="1903"/>
        <v/>
      </c>
      <c r="L139" s="18" t="str">
        <f t="shared" si="1903"/>
        <v/>
      </c>
      <c r="M139" s="18" t="str">
        <f t="shared" si="1903"/>
        <v/>
      </c>
      <c r="N139" s="18" t="str">
        <f t="shared" si="1903"/>
        <v/>
      </c>
      <c r="O139" s="18" t="str">
        <f t="shared" si="1903"/>
        <v/>
      </c>
      <c r="P139" s="18" t="str">
        <f t="shared" si="1903"/>
        <v/>
      </c>
      <c r="Q139" s="18" t="str">
        <f t="shared" si="1903"/>
        <v/>
      </c>
      <c r="R139" s="18" t="str">
        <f t="shared" si="1903"/>
        <v/>
      </c>
      <c r="S139" s="18" t="str">
        <f t="shared" si="1903"/>
        <v/>
      </c>
      <c r="T139" s="18" t="str">
        <f t="shared" si="1903"/>
        <v/>
      </c>
      <c r="U139" s="18" t="str">
        <f t="shared" si="1903"/>
        <v/>
      </c>
      <c r="V139" s="18" t="str">
        <f t="shared" si="1903"/>
        <v/>
      </c>
      <c r="W139" s="18" t="str">
        <f t="shared" si="1903"/>
        <v/>
      </c>
      <c r="X139" s="18" t="str">
        <f t="shared" si="1903"/>
        <v/>
      </c>
      <c r="Y139" s="18" t="str">
        <f t="shared" si="1903"/>
        <v/>
      </c>
      <c r="Z139" s="18" t="str">
        <f t="shared" si="1903"/>
        <v/>
      </c>
      <c r="AA139" s="18" t="str">
        <f t="shared" si="1903"/>
        <v/>
      </c>
      <c r="AB139" s="18" t="str">
        <f t="shared" si="1903"/>
        <v/>
      </c>
      <c r="AC139" s="18" t="str">
        <f t="shared" si="1903"/>
        <v/>
      </c>
      <c r="AD139" s="18" t="str">
        <f t="shared" si="1903"/>
        <v/>
      </c>
      <c r="AE139" s="18" t="str">
        <f t="shared" si="1903"/>
        <v/>
      </c>
      <c r="AF139" s="18" t="str">
        <f t="shared" si="1903"/>
        <v/>
      </c>
      <c r="AG139" s="18" t="str">
        <f t="shared" si="1903"/>
        <v/>
      </c>
      <c r="AH139" s="18" t="str">
        <f t="shared" si="1903"/>
        <v/>
      </c>
      <c r="AI139" s="18" t="str">
        <f t="shared" si="1903"/>
        <v/>
      </c>
      <c r="AJ139" s="18" t="str">
        <f t="shared" si="1903"/>
        <v/>
      </c>
      <c r="AK139" s="18" t="str">
        <f t="shared" si="1903"/>
        <v/>
      </c>
      <c r="AL139" s="18" t="str">
        <f t="shared" si="1903"/>
        <v/>
      </c>
      <c r="AM139" s="18" t="str">
        <f t="shared" si="1903"/>
        <v/>
      </c>
      <c r="AN139" s="18" t="str">
        <f t="shared" si="1903"/>
        <v/>
      </c>
      <c r="AO139" s="18" t="str">
        <f t="shared" ref="AO139:AS139" si="1904">IF(AO$8="","",IF(AO138=0,"",AO138/(AO135*100)))</f>
        <v/>
      </c>
      <c r="AP139" s="18" t="str">
        <f t="shared" si="1904"/>
        <v/>
      </c>
      <c r="AQ139" s="18" t="str">
        <f t="shared" si="1904"/>
        <v/>
      </c>
      <c r="AR139" s="18" t="str">
        <f t="shared" si="1904"/>
        <v/>
      </c>
      <c r="AS139" s="18" t="str">
        <f t="shared" si="1904"/>
        <v/>
      </c>
    </row>
    <row r="140" spans="1:45" s="1" customFormat="1" ht="11.25" x14ac:dyDescent="0.15">
      <c r="A140" s="17" t="s">
        <v>46</v>
      </c>
      <c r="B140" s="9" t="s">
        <v>2</v>
      </c>
      <c r="C140" s="65">
        <v>4446</v>
      </c>
      <c r="D140" s="8">
        <v>4446</v>
      </c>
      <c r="E140" s="8">
        <v>4482</v>
      </c>
      <c r="F140" s="8">
        <v>4482</v>
      </c>
      <c r="G140" s="8">
        <v>4482</v>
      </c>
      <c r="H140" s="8">
        <v>4482</v>
      </c>
      <c r="I140" s="8">
        <v>4500</v>
      </c>
      <c r="J140" s="8">
        <f t="shared" ref="J140:J141" si="1905">IF(J$8="","",I140)</f>
        <v>4500</v>
      </c>
      <c r="K140" s="8">
        <f t="shared" ref="K140:K141" si="1906">IF(K$8="","",J140)</f>
        <v>4500</v>
      </c>
      <c r="L140" s="8">
        <v>4510</v>
      </c>
      <c r="M140" s="8" t="str">
        <f t="shared" ref="M140:M141" si="1907">IF(M$8="","",L140)</f>
        <v/>
      </c>
      <c r="N140" s="8" t="str">
        <f t="shared" ref="N140:N141" si="1908">IF(N$8="","",M140)</f>
        <v/>
      </c>
      <c r="O140" s="8" t="str">
        <f t="shared" ref="O140:O141" si="1909">IF(O$8="","",N140)</f>
        <v/>
      </c>
      <c r="P140" s="8" t="str">
        <f>IF(P$8="","",O140)</f>
        <v/>
      </c>
      <c r="Q140" s="8" t="str">
        <f t="shared" ref="Q140:Q141" si="1910">IF(Q$8="","",P140)</f>
        <v/>
      </c>
      <c r="R140" s="8" t="str">
        <f t="shared" ref="R140:R141" si="1911">IF(R$8="","",Q140)</f>
        <v/>
      </c>
      <c r="S140" s="8" t="str">
        <f>IF(S$8="","",R140)</f>
        <v/>
      </c>
      <c r="T140" s="8" t="str">
        <f t="shared" ref="T140:T141" si="1912">IF(T$8="","",S140)</f>
        <v/>
      </c>
      <c r="U140" s="8" t="str">
        <f t="shared" ref="U140:U141" si="1913">IF(U$8="","",T140)</f>
        <v/>
      </c>
      <c r="V140" s="8" t="str">
        <f t="shared" ref="V140:V141" si="1914">IF(V$8="","",U140)</f>
        <v/>
      </c>
      <c r="W140" s="8" t="str">
        <f>IF(W$8="","",V140)</f>
        <v/>
      </c>
      <c r="X140" s="8" t="str">
        <f t="shared" ref="X140:X141" si="1915">IF(X$8="","",W140)</f>
        <v/>
      </c>
      <c r="Y140" s="8" t="str">
        <f t="shared" ref="Y140:Y141" si="1916">IF(Y$8="","",X140)</f>
        <v/>
      </c>
      <c r="Z140" s="8" t="str">
        <f>IF(Z$8="","",Y140)</f>
        <v/>
      </c>
      <c r="AA140" s="8" t="str">
        <f t="shared" ref="AA140:AA141" si="1917">IF(AA$8="","",Z140)</f>
        <v/>
      </c>
      <c r="AB140" s="8" t="str">
        <f t="shared" ref="AB140:AB141" si="1918">IF(AB$8="","",AA140)</f>
        <v/>
      </c>
      <c r="AC140" s="8" t="str">
        <f t="shared" ref="AC140:AC141" si="1919">IF(AC$8="","",AB140)</f>
        <v/>
      </c>
      <c r="AD140" s="8" t="str">
        <f>IF(AD$8="","",AC140)</f>
        <v/>
      </c>
      <c r="AE140" s="8" t="str">
        <f t="shared" ref="AE140:AE141" si="1920">IF(AE$8="","",AD140)</f>
        <v/>
      </c>
      <c r="AF140" s="8" t="str">
        <f t="shared" ref="AF140:AF141" si="1921">IF(AF$8="","",AE140)</f>
        <v/>
      </c>
      <c r="AG140" s="8" t="str">
        <f>IF(AG$8="","",AF140)</f>
        <v/>
      </c>
      <c r="AH140" s="8" t="str">
        <f t="shared" ref="AH140:AH141" si="1922">IF(AH$8="","",AG140)</f>
        <v/>
      </c>
      <c r="AI140" s="8" t="str">
        <f t="shared" ref="AI140:AI141" si="1923">IF(AI$8="","",AH140)</f>
        <v/>
      </c>
      <c r="AJ140" s="8" t="str">
        <f t="shared" ref="AJ140:AJ141" si="1924">IF(AJ$8="","",AI140)</f>
        <v/>
      </c>
      <c r="AK140" s="8" t="str">
        <f>IF(AK$8="","",AJ140)</f>
        <v/>
      </c>
      <c r="AL140" s="8" t="str">
        <f t="shared" ref="AL140:AL141" si="1925">IF(AL$8="","",AK140)</f>
        <v/>
      </c>
      <c r="AM140" s="8" t="str">
        <f t="shared" ref="AM140:AM141" si="1926">IF(AM$8="","",AL140)</f>
        <v/>
      </c>
      <c r="AN140" s="8" t="str">
        <f t="shared" ref="AN140:AN141" si="1927">IF(AN$8="","",AM140)</f>
        <v/>
      </c>
      <c r="AO140" s="8" t="str">
        <f t="shared" ref="AO140:AS140" si="1928">IF(AO$8="","",AN140)</f>
        <v/>
      </c>
      <c r="AP140" s="8" t="str">
        <f t="shared" si="1928"/>
        <v/>
      </c>
      <c r="AQ140" s="8" t="str">
        <f t="shared" si="1928"/>
        <v/>
      </c>
      <c r="AR140" s="8" t="str">
        <f t="shared" si="1928"/>
        <v/>
      </c>
      <c r="AS140" s="8" t="str">
        <f t="shared" si="1928"/>
        <v/>
      </c>
    </row>
    <row r="141" spans="1:45" s="1" customFormat="1" ht="11.25" x14ac:dyDescent="0.15">
      <c r="A141" s="16" t="s">
        <v>27</v>
      </c>
      <c r="B141" s="9" t="s">
        <v>4</v>
      </c>
      <c r="C141" s="65">
        <v>165</v>
      </c>
      <c r="D141" s="8">
        <v>165</v>
      </c>
      <c r="E141" s="8">
        <v>166</v>
      </c>
      <c r="F141" s="8">
        <v>166</v>
      </c>
      <c r="G141" s="8">
        <v>166</v>
      </c>
      <c r="H141" s="8">
        <v>166</v>
      </c>
      <c r="I141" s="8">
        <v>166</v>
      </c>
      <c r="J141" s="8">
        <f t="shared" si="1905"/>
        <v>166</v>
      </c>
      <c r="K141" s="8">
        <f t="shared" si="1906"/>
        <v>166</v>
      </c>
      <c r="L141" s="8">
        <f>IF(L$8="","",K141)</f>
        <v>166</v>
      </c>
      <c r="M141" s="8" t="str">
        <f t="shared" si="1907"/>
        <v/>
      </c>
      <c r="N141" s="8" t="str">
        <f t="shared" si="1908"/>
        <v/>
      </c>
      <c r="O141" s="8" t="str">
        <f t="shared" si="1909"/>
        <v/>
      </c>
      <c r="P141" s="8" t="str">
        <f t="shared" ref="P141:R141" si="1929">IF(P$8="","",O141)</f>
        <v/>
      </c>
      <c r="Q141" s="8" t="str">
        <f t="shared" si="1910"/>
        <v/>
      </c>
      <c r="R141" s="8" t="str">
        <f t="shared" si="1911"/>
        <v/>
      </c>
      <c r="S141" s="8" t="str">
        <f>IF(S$8="","",R141)</f>
        <v/>
      </c>
      <c r="T141" s="8" t="str">
        <f t="shared" si="1912"/>
        <v/>
      </c>
      <c r="U141" s="8" t="str">
        <f t="shared" si="1913"/>
        <v/>
      </c>
      <c r="V141" s="8" t="str">
        <f t="shared" si="1914"/>
        <v/>
      </c>
      <c r="W141" s="8" t="str">
        <f>IF(W$8="","",V141)</f>
        <v/>
      </c>
      <c r="X141" s="8" t="str">
        <f t="shared" si="1915"/>
        <v/>
      </c>
      <c r="Y141" s="8" t="str">
        <f t="shared" si="1916"/>
        <v/>
      </c>
      <c r="Z141" s="8" t="str">
        <f t="shared" ref="Z141" si="1930">IF(Z$8="","",Y141)</f>
        <v/>
      </c>
      <c r="AA141" s="8" t="str">
        <f t="shared" si="1917"/>
        <v/>
      </c>
      <c r="AB141" s="8" t="str">
        <f t="shared" si="1918"/>
        <v/>
      </c>
      <c r="AC141" s="8" t="str">
        <f t="shared" si="1919"/>
        <v/>
      </c>
      <c r="AD141" s="8" t="str">
        <f>IF(AD$8="","",AC141)</f>
        <v/>
      </c>
      <c r="AE141" s="8" t="str">
        <f t="shared" si="1920"/>
        <v/>
      </c>
      <c r="AF141" s="8" t="str">
        <f t="shared" si="1921"/>
        <v/>
      </c>
      <c r="AG141" s="8" t="str">
        <f>IF(AG$8="","",AF141)</f>
        <v/>
      </c>
      <c r="AH141" s="8" t="str">
        <f t="shared" si="1922"/>
        <v/>
      </c>
      <c r="AI141" s="8" t="str">
        <f t="shared" si="1923"/>
        <v/>
      </c>
      <c r="AJ141" s="8" t="str">
        <f t="shared" si="1924"/>
        <v/>
      </c>
      <c r="AK141" s="8" t="str">
        <f>IF(AK$8="","",AJ141)</f>
        <v/>
      </c>
      <c r="AL141" s="8" t="str">
        <f t="shared" si="1925"/>
        <v/>
      </c>
      <c r="AM141" s="8" t="str">
        <f t="shared" si="1926"/>
        <v/>
      </c>
      <c r="AN141" s="8" t="str">
        <f t="shared" si="1927"/>
        <v/>
      </c>
      <c r="AO141" s="8" t="str">
        <f t="shared" ref="AO141:AS141" si="1931">IF(AO$8="","",AN141)</f>
        <v/>
      </c>
      <c r="AP141" s="8" t="str">
        <f t="shared" si="1931"/>
        <v/>
      </c>
      <c r="AQ141" s="8" t="str">
        <f t="shared" si="1931"/>
        <v/>
      </c>
      <c r="AR141" s="8" t="str">
        <f t="shared" si="1931"/>
        <v/>
      </c>
      <c r="AS141" s="8" t="str">
        <f t="shared" si="1931"/>
        <v/>
      </c>
    </row>
    <row r="142" spans="1:45" s="1" customFormat="1" ht="11.25" x14ac:dyDescent="0.15">
      <c r="A142" s="15">
        <v>4</v>
      </c>
      <c r="B142" s="9" t="s">
        <v>5</v>
      </c>
      <c r="C142" s="65">
        <v>10</v>
      </c>
      <c r="D142" s="8">
        <v>10</v>
      </c>
      <c r="E142" s="8">
        <v>9</v>
      </c>
      <c r="F142" s="8">
        <v>9</v>
      </c>
      <c r="G142" s="8">
        <v>9</v>
      </c>
      <c r="H142" s="8">
        <v>9</v>
      </c>
      <c r="I142" s="8">
        <v>9</v>
      </c>
      <c r="J142" s="8">
        <f t="shared" ref="J142" si="1932">IF(J$8="","",(I142+I143))</f>
        <v>9</v>
      </c>
      <c r="K142" s="8">
        <f t="shared" ref="K142" si="1933">IF(K$8="","",(J142+J143))</f>
        <v>9</v>
      </c>
      <c r="L142" s="8">
        <f>IF(L$8="","",(K142+K143))</f>
        <v>9</v>
      </c>
      <c r="M142" s="8" t="str">
        <f t="shared" ref="M142" si="1934">IF(M$8="","",(L142+L143))</f>
        <v/>
      </c>
      <c r="N142" s="8" t="str">
        <f t="shared" ref="N142" si="1935">IF(N$8="","",(M142+M143))</f>
        <v/>
      </c>
      <c r="O142" s="8" t="str">
        <f t="shared" ref="O142" si="1936">IF(O$8="","",(N142+N143))</f>
        <v/>
      </c>
      <c r="P142" s="8" t="str">
        <f t="shared" ref="P142:R142" si="1937">IF(P$8="","",(O142+O143))</f>
        <v/>
      </c>
      <c r="Q142" s="8" t="str">
        <f t="shared" ref="Q142" si="1938">IF(Q$8="","",(P142+P143))</f>
        <v/>
      </c>
      <c r="R142" s="8" t="str">
        <f t="shared" ref="R142" si="1939">IF(R$8="","",(Q142+Q143))</f>
        <v/>
      </c>
      <c r="S142" s="8" t="str">
        <f>IF(S$8="","",(R142+R143))</f>
        <v/>
      </c>
      <c r="T142" s="8" t="str">
        <f t="shared" ref="T142" si="1940">IF(T$8="","",(S142+S143))</f>
        <v/>
      </c>
      <c r="U142" s="8" t="str">
        <f t="shared" ref="U142" si="1941">IF(U$8="","",(T142+T143))</f>
        <v/>
      </c>
      <c r="V142" s="8" t="str">
        <f t="shared" ref="V142" si="1942">IF(V$8="","",(U142+U143))</f>
        <v/>
      </c>
      <c r="W142" s="8" t="str">
        <f>IF(W$8="","",(V142+V143))</f>
        <v/>
      </c>
      <c r="X142" s="8" t="str">
        <f t="shared" ref="X142" si="1943">IF(X$8="","",(W142+W143))</f>
        <v/>
      </c>
      <c r="Y142" s="8" t="str">
        <f t="shared" ref="Y142" si="1944">IF(Y$8="","",(X142+X143))</f>
        <v/>
      </c>
      <c r="Z142" s="8" t="str">
        <f t="shared" ref="Z142" si="1945">IF(Z$8="","",(Y142+Y143))</f>
        <v/>
      </c>
      <c r="AA142" s="8" t="str">
        <f t="shared" ref="AA142" si="1946">IF(AA$8="","",(Z142+Z143))</f>
        <v/>
      </c>
      <c r="AB142" s="8" t="str">
        <f t="shared" ref="AB142" si="1947">IF(AB$8="","",(AA142+AA143))</f>
        <v/>
      </c>
      <c r="AC142" s="8" t="str">
        <f t="shared" ref="AC142" si="1948">IF(AC$8="","",(AB142+AB143))</f>
        <v/>
      </c>
      <c r="AD142" s="8" t="str">
        <f>IF(AD$8="","",(AC142+AC143))</f>
        <v/>
      </c>
      <c r="AE142" s="8" t="str">
        <f t="shared" ref="AE142" si="1949">IF(AE$8="","",(AD142+AD143))</f>
        <v/>
      </c>
      <c r="AF142" s="8" t="str">
        <f t="shared" ref="AF142" si="1950">IF(AF$8="","",(AE142+AE143))</f>
        <v/>
      </c>
      <c r="AG142" s="8" t="str">
        <f>IF(AG$8="","",(AF142+AF143))</f>
        <v/>
      </c>
      <c r="AH142" s="8" t="str">
        <f t="shared" ref="AH142" si="1951">IF(AH$8="","",(AG142+AG143))</f>
        <v/>
      </c>
      <c r="AI142" s="8" t="str">
        <f t="shared" ref="AI142" si="1952">IF(AI$8="","",(AH142+AH143))</f>
        <v/>
      </c>
      <c r="AJ142" s="8" t="str">
        <f t="shared" ref="AJ142" si="1953">IF(AJ$8="","",(AI142+AI143))</f>
        <v/>
      </c>
      <c r="AK142" s="8" t="str">
        <f>IF(AK$8="","",(AJ142+AJ143))</f>
        <v/>
      </c>
      <c r="AL142" s="8" t="str">
        <f t="shared" ref="AL142" si="1954">IF(AL$8="","",(AK142+AK143))</f>
        <v/>
      </c>
      <c r="AM142" s="8" t="str">
        <f t="shared" ref="AM142" si="1955">IF(AM$8="","",(AL142+AL143))</f>
        <v/>
      </c>
      <c r="AN142" s="8" t="str">
        <f t="shared" ref="AN142" si="1956">IF(AN$8="","",(AM142+AM143))</f>
        <v/>
      </c>
      <c r="AO142" s="8" t="str">
        <f t="shared" ref="AO142:AS142" si="1957">IF(AO$8="","",(AN142+AN143))</f>
        <v/>
      </c>
      <c r="AP142" s="8" t="str">
        <f t="shared" si="1957"/>
        <v/>
      </c>
      <c r="AQ142" s="8" t="str">
        <f t="shared" si="1957"/>
        <v/>
      </c>
      <c r="AR142" s="8" t="str">
        <f t="shared" si="1957"/>
        <v/>
      </c>
      <c r="AS142" s="8" t="str">
        <f t="shared" si="1957"/>
        <v/>
      </c>
    </row>
    <row r="143" spans="1:45" s="1" customFormat="1" ht="11.25" x14ac:dyDescent="0.15">
      <c r="A143" s="14"/>
      <c r="B143" s="9" t="s">
        <v>7</v>
      </c>
      <c r="C143" s="65"/>
      <c r="D143" s="8"/>
      <c r="E143" s="8"/>
      <c r="F143" s="8"/>
      <c r="G143" s="8"/>
      <c r="H143" s="8"/>
      <c r="I143" s="8"/>
      <c r="J143" s="8"/>
      <c r="K143" s="8"/>
      <c r="L143" s="8">
        <v>2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</row>
    <row r="144" spans="1:45" s="1" customFormat="1" ht="11.25" x14ac:dyDescent="0.15">
      <c r="A144" s="7"/>
      <c r="B144" s="9" t="s">
        <v>8</v>
      </c>
      <c r="C144" s="65">
        <v>820</v>
      </c>
      <c r="D144" s="8">
        <v>820</v>
      </c>
      <c r="E144" s="8">
        <v>820</v>
      </c>
      <c r="F144" s="8">
        <v>820</v>
      </c>
      <c r="G144" s="8">
        <v>820</v>
      </c>
      <c r="H144" s="8">
        <v>820</v>
      </c>
      <c r="I144" s="8">
        <v>820</v>
      </c>
      <c r="J144" s="8">
        <f t="shared" ref="J144:J145" si="1958">IF(J$8="","",I144)</f>
        <v>820</v>
      </c>
      <c r="K144" s="8">
        <f t="shared" ref="K144:K145" si="1959">IF(K$8="","",J144)</f>
        <v>820</v>
      </c>
      <c r="L144" s="8">
        <f t="shared" ref="L144:L145" si="1960">IF(L$8="","",K144)</f>
        <v>820</v>
      </c>
      <c r="M144" s="8" t="str">
        <f t="shared" ref="M144:M145" si="1961">IF(M$8="","",L144)</f>
        <v/>
      </c>
      <c r="N144" s="8" t="str">
        <f t="shared" ref="N144:N145" si="1962">IF(N$8="","",M144)</f>
        <v/>
      </c>
      <c r="O144" s="8" t="str">
        <f t="shared" ref="O144:O145" si="1963">IF(O$8="","",N144)</f>
        <v/>
      </c>
      <c r="P144" s="8" t="str">
        <f t="shared" ref="P144:P145" si="1964">IF(P$8="","",O144)</f>
        <v/>
      </c>
      <c r="Q144" s="8" t="str">
        <f t="shared" ref="Q144:Q145" si="1965">IF(Q$8="","",P144)</f>
        <v/>
      </c>
      <c r="R144" s="8" t="str">
        <f t="shared" ref="R144:R145" si="1966">IF(R$8="","",Q144)</f>
        <v/>
      </c>
      <c r="S144" s="8" t="str">
        <f t="shared" ref="S144:S145" si="1967">IF(S$8="","",R144)</f>
        <v/>
      </c>
      <c r="T144" s="8" t="str">
        <f t="shared" ref="T144:T145" si="1968">IF(T$8="","",S144)</f>
        <v/>
      </c>
      <c r="U144" s="8" t="str">
        <f t="shared" ref="U144:U145" si="1969">IF(U$8="","",T144)</f>
        <v/>
      </c>
      <c r="V144" s="8" t="str">
        <f t="shared" ref="V144:V145" si="1970">IF(V$8="","",U144)</f>
        <v/>
      </c>
      <c r="W144" s="8" t="str">
        <f t="shared" ref="W144:W145" si="1971">IF(W$8="","",V144)</f>
        <v/>
      </c>
      <c r="X144" s="8" t="str">
        <f t="shared" ref="X144:X145" si="1972">IF(X$8="","",W144)</f>
        <v/>
      </c>
      <c r="Y144" s="8" t="str">
        <f t="shared" ref="Y144:Y145" si="1973">IF(Y$8="","",X144)</f>
        <v/>
      </c>
      <c r="Z144" s="8" t="str">
        <f t="shared" ref="Z144:Z145" si="1974">IF(Z$8="","",Y144)</f>
        <v/>
      </c>
      <c r="AA144" s="8" t="str">
        <f t="shared" ref="AA144:AA145" si="1975">IF(AA$8="","",Z144)</f>
        <v/>
      </c>
      <c r="AB144" s="8" t="str">
        <f t="shared" ref="AB144:AB145" si="1976">IF(AB$8="","",AA144)</f>
        <v/>
      </c>
      <c r="AC144" s="8" t="str">
        <f t="shared" ref="AC144:AC145" si="1977">IF(AC$8="","",AB144)</f>
        <v/>
      </c>
      <c r="AD144" s="8" t="str">
        <f t="shared" ref="AD144:AD145" si="1978">IF(AD$8="","",AC144)</f>
        <v/>
      </c>
      <c r="AE144" s="8" t="str">
        <f t="shared" ref="AE144:AE145" si="1979">IF(AE$8="","",AD144)</f>
        <v/>
      </c>
      <c r="AF144" s="8" t="str">
        <f t="shared" ref="AF144:AF145" si="1980">IF(AF$8="","",AE144)</f>
        <v/>
      </c>
      <c r="AG144" s="8" t="str">
        <f t="shared" ref="AG144:AG145" si="1981">IF(AG$8="","",AF144)</f>
        <v/>
      </c>
      <c r="AH144" s="8" t="str">
        <f t="shared" ref="AH144:AH145" si="1982">IF(AH$8="","",AG144)</f>
        <v/>
      </c>
      <c r="AI144" s="8" t="str">
        <f t="shared" ref="AI144:AI145" si="1983">IF(AI$8="","",AH144)</f>
        <v/>
      </c>
      <c r="AJ144" s="8" t="str">
        <f t="shared" ref="AJ144:AJ145" si="1984">IF(AJ$8="","",AI144)</f>
        <v/>
      </c>
      <c r="AK144" s="8" t="str">
        <f t="shared" ref="AK144:AK145" si="1985">IF(AK$8="","",AJ144)</f>
        <v/>
      </c>
      <c r="AL144" s="8" t="str">
        <f t="shared" ref="AL144:AL145" si="1986">IF(AL$8="","",AK144)</f>
        <v/>
      </c>
      <c r="AM144" s="8" t="str">
        <f t="shared" ref="AM144:AM145" si="1987">IF(AM$8="","",AL144)</f>
        <v/>
      </c>
      <c r="AN144" s="8" t="str">
        <f t="shared" ref="AN144:AN145" si="1988">IF(AN$8="","",AM144)</f>
        <v/>
      </c>
      <c r="AO144" s="8" t="str">
        <f t="shared" ref="AO144:AS144" si="1989">IF(AO$8="","",AN144)</f>
        <v/>
      </c>
      <c r="AP144" s="8" t="str">
        <f t="shared" si="1989"/>
        <v/>
      </c>
      <c r="AQ144" s="8" t="str">
        <f t="shared" si="1989"/>
        <v/>
      </c>
      <c r="AR144" s="8" t="str">
        <f t="shared" si="1989"/>
        <v/>
      </c>
      <c r="AS144" s="8" t="str">
        <f t="shared" si="1989"/>
        <v/>
      </c>
    </row>
    <row r="145" spans="1:45" s="85" customFormat="1" ht="11.25" x14ac:dyDescent="0.15">
      <c r="A145" s="14" t="s">
        <v>9</v>
      </c>
      <c r="B145" s="13" t="s">
        <v>10</v>
      </c>
      <c r="C145" s="66" t="s">
        <v>21</v>
      </c>
      <c r="D145" s="12" t="s">
        <v>21</v>
      </c>
      <c r="E145" s="12" t="s">
        <v>21</v>
      </c>
      <c r="F145" s="12" t="s">
        <v>21</v>
      </c>
      <c r="G145" s="12" t="s">
        <v>21</v>
      </c>
      <c r="H145" s="12" t="s">
        <v>21</v>
      </c>
      <c r="I145" s="12" t="s">
        <v>21</v>
      </c>
      <c r="J145" s="12" t="str">
        <f t="shared" si="1958"/>
        <v>たまごっちマスコット</v>
      </c>
      <c r="K145" s="12" t="str">
        <f t="shared" si="1959"/>
        <v>たまごっちマスコット</v>
      </c>
      <c r="L145" s="12" t="str">
        <f t="shared" si="1960"/>
        <v>たまごっちマスコット</v>
      </c>
      <c r="M145" s="12" t="str">
        <f t="shared" si="1961"/>
        <v/>
      </c>
      <c r="N145" s="12" t="str">
        <f t="shared" si="1962"/>
        <v/>
      </c>
      <c r="O145" s="12" t="str">
        <f t="shared" si="1963"/>
        <v/>
      </c>
      <c r="P145" s="12" t="str">
        <f t="shared" si="1964"/>
        <v/>
      </c>
      <c r="Q145" s="12" t="str">
        <f t="shared" si="1965"/>
        <v/>
      </c>
      <c r="R145" s="12" t="str">
        <f t="shared" si="1966"/>
        <v/>
      </c>
      <c r="S145" s="12" t="str">
        <f t="shared" si="1967"/>
        <v/>
      </c>
      <c r="T145" s="12" t="str">
        <f t="shared" si="1968"/>
        <v/>
      </c>
      <c r="U145" s="12" t="str">
        <f t="shared" si="1969"/>
        <v/>
      </c>
      <c r="V145" s="12" t="str">
        <f t="shared" si="1970"/>
        <v/>
      </c>
      <c r="W145" s="12" t="str">
        <f t="shared" si="1971"/>
        <v/>
      </c>
      <c r="X145" s="12" t="str">
        <f t="shared" si="1972"/>
        <v/>
      </c>
      <c r="Y145" s="12" t="str">
        <f t="shared" si="1973"/>
        <v/>
      </c>
      <c r="Z145" s="12" t="str">
        <f t="shared" si="1974"/>
        <v/>
      </c>
      <c r="AA145" s="12" t="str">
        <f t="shared" si="1975"/>
        <v/>
      </c>
      <c r="AB145" s="12" t="str">
        <f t="shared" si="1976"/>
        <v/>
      </c>
      <c r="AC145" s="12" t="str">
        <f t="shared" si="1977"/>
        <v/>
      </c>
      <c r="AD145" s="12" t="str">
        <f t="shared" si="1978"/>
        <v/>
      </c>
      <c r="AE145" s="12" t="str">
        <f t="shared" si="1979"/>
        <v/>
      </c>
      <c r="AF145" s="12" t="str">
        <f t="shared" si="1980"/>
        <v/>
      </c>
      <c r="AG145" s="12" t="str">
        <f t="shared" si="1981"/>
        <v/>
      </c>
      <c r="AH145" s="12" t="str">
        <f t="shared" si="1982"/>
        <v/>
      </c>
      <c r="AI145" s="12" t="str">
        <f t="shared" si="1983"/>
        <v/>
      </c>
      <c r="AJ145" s="12" t="str">
        <f t="shared" si="1984"/>
        <v/>
      </c>
      <c r="AK145" s="12" t="str">
        <f t="shared" si="1985"/>
        <v/>
      </c>
      <c r="AL145" s="12" t="str">
        <f t="shared" si="1986"/>
        <v/>
      </c>
      <c r="AM145" s="12" t="str">
        <f t="shared" si="1987"/>
        <v/>
      </c>
      <c r="AN145" s="12" t="str">
        <f t="shared" si="1988"/>
        <v/>
      </c>
      <c r="AO145" s="12" t="str">
        <f t="shared" ref="AO145:AS145" si="1990">IF(AO$8="","",AN145)</f>
        <v/>
      </c>
      <c r="AP145" s="12" t="str">
        <f t="shared" si="1990"/>
        <v/>
      </c>
      <c r="AQ145" s="12" t="str">
        <f t="shared" si="1990"/>
        <v/>
      </c>
      <c r="AR145" s="12" t="str">
        <f t="shared" si="1990"/>
        <v/>
      </c>
      <c r="AS145" s="12" t="str">
        <f t="shared" si="1990"/>
        <v/>
      </c>
    </row>
    <row r="146" spans="1:45" s="1" customFormat="1" ht="11.25" x14ac:dyDescent="0.15">
      <c r="A146" s="7">
        <f>AVERAGE(C147:AS147)*30*100</f>
        <v>19200</v>
      </c>
      <c r="B146" s="9" t="s">
        <v>12</v>
      </c>
      <c r="C146" s="65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</row>
    <row r="147" spans="1:45" s="1" customFormat="1" ht="11.25" x14ac:dyDescent="0.15">
      <c r="A147" s="7">
        <f>SUM(C147:AS147)</f>
        <v>64</v>
      </c>
      <c r="B147" s="6" t="s">
        <v>13</v>
      </c>
      <c r="C147" s="65">
        <v>0</v>
      </c>
      <c r="D147" s="5">
        <v>0</v>
      </c>
      <c r="E147" s="5">
        <v>36</v>
      </c>
      <c r="F147" s="5">
        <v>0</v>
      </c>
      <c r="G147" s="5">
        <v>0</v>
      </c>
      <c r="H147" s="5">
        <v>0</v>
      </c>
      <c r="I147" s="5">
        <v>18</v>
      </c>
      <c r="J147" s="5">
        <f t="shared" ref="J147:J148" si="1991">IF(J$8="","",J140-I140)</f>
        <v>0</v>
      </c>
      <c r="K147" s="5">
        <f t="shared" ref="K147:K148" si="1992">IF(K$8="","",K140-J140)</f>
        <v>0</v>
      </c>
      <c r="L147" s="5">
        <f t="shared" ref="L147:L148" si="1993">IF(L$8="","",L140-K140)</f>
        <v>10</v>
      </c>
      <c r="M147" s="5" t="str">
        <f t="shared" ref="M147:M148" si="1994">IF(M$8="","",M140-L140)</f>
        <v/>
      </c>
      <c r="N147" s="5" t="str">
        <f t="shared" ref="N147:N148" si="1995">IF(N$8="","",N140-M140)</f>
        <v/>
      </c>
      <c r="O147" s="5" t="str">
        <f t="shared" ref="O147:O148" si="1996">IF(O$8="","",O140-N140)</f>
        <v/>
      </c>
      <c r="P147" s="5" t="str">
        <f t="shared" ref="P147:P148" si="1997">IF(P$8="","",P140-O140)</f>
        <v/>
      </c>
      <c r="Q147" s="5" t="str">
        <f t="shared" ref="Q147:Q148" si="1998">IF(Q$8="","",Q140-P140)</f>
        <v/>
      </c>
      <c r="R147" s="5" t="str">
        <f t="shared" ref="R147:R148" si="1999">IF(R$8="","",R140-Q140)</f>
        <v/>
      </c>
      <c r="S147" s="5" t="str">
        <f t="shared" ref="S147:S148" si="2000">IF(S$8="","",S140-R140)</f>
        <v/>
      </c>
      <c r="T147" s="5" t="str">
        <f t="shared" ref="T147:T148" si="2001">IF(T$8="","",T140-S140)</f>
        <v/>
      </c>
      <c r="U147" s="5" t="str">
        <f t="shared" ref="U147:U148" si="2002">IF(U$8="","",U140-T140)</f>
        <v/>
      </c>
      <c r="V147" s="5" t="str">
        <f t="shared" ref="V147:V148" si="2003">IF(V$8="","",V140-U140)</f>
        <v/>
      </c>
      <c r="W147" s="5" t="str">
        <f t="shared" ref="W147:W148" si="2004">IF(W$8="","",W140-V140)</f>
        <v/>
      </c>
      <c r="X147" s="5" t="str">
        <f t="shared" ref="X147:X148" si="2005">IF(X$8="","",X140-W140)</f>
        <v/>
      </c>
      <c r="Y147" s="5" t="str">
        <f t="shared" ref="Y147:Y148" si="2006">IF(Y$8="","",Y140-X140)</f>
        <v/>
      </c>
      <c r="Z147" s="5" t="str">
        <f t="shared" ref="Z147:Z148" si="2007">IF(Z$8="","",Z140-Y140)</f>
        <v/>
      </c>
      <c r="AA147" s="5" t="str">
        <f t="shared" ref="AA147:AA148" si="2008">IF(AA$8="","",AA140-Z140)</f>
        <v/>
      </c>
      <c r="AB147" s="5" t="str">
        <f t="shared" ref="AB147:AB148" si="2009">IF(AB$8="","",AB140-AA140)</f>
        <v/>
      </c>
      <c r="AC147" s="5" t="str">
        <f t="shared" ref="AC147:AC148" si="2010">IF(AC$8="","",AC140-AB140)</f>
        <v/>
      </c>
      <c r="AD147" s="5" t="str">
        <f t="shared" ref="AD147:AD148" si="2011">IF(AD$8="","",AD140-AC140)</f>
        <v/>
      </c>
      <c r="AE147" s="5" t="str">
        <f t="shared" ref="AE147:AE148" si="2012">IF(AE$8="","",AE140-AD140)</f>
        <v/>
      </c>
      <c r="AF147" s="5" t="str">
        <f t="shared" ref="AF147:AF148" si="2013">IF(AF$8="","",AF140-AE140)</f>
        <v/>
      </c>
      <c r="AG147" s="5" t="str">
        <f t="shared" ref="AG147:AG148" si="2014">IF(AG$8="","",AG140-AF140)</f>
        <v/>
      </c>
      <c r="AH147" s="5" t="str">
        <f t="shared" ref="AH147:AH148" si="2015">IF(AH$8="","",AH140-AG140)</f>
        <v/>
      </c>
      <c r="AI147" s="5" t="str">
        <f t="shared" ref="AI147:AI148" si="2016">IF(AI$8="","",AI140-AH140)</f>
        <v/>
      </c>
      <c r="AJ147" s="5" t="str">
        <f t="shared" ref="AJ147:AJ148" si="2017">IF(AJ$8="","",AJ140-AI140)</f>
        <v/>
      </c>
      <c r="AK147" s="5" t="str">
        <f t="shared" ref="AK147:AK148" si="2018">IF(AK$8="","",AK140-AJ140)</f>
        <v/>
      </c>
      <c r="AL147" s="5" t="str">
        <f t="shared" ref="AL147:AL148" si="2019">IF(AL$8="","",AL140-AK140)</f>
        <v/>
      </c>
      <c r="AM147" s="5" t="str">
        <f t="shared" ref="AM147:AM148" si="2020">IF(AM$8="","",AM140-AL140)</f>
        <v/>
      </c>
      <c r="AN147" s="5" t="str">
        <f t="shared" ref="AN147:AN148" si="2021">IF(AN$8="","",AN140-AM140)</f>
        <v/>
      </c>
      <c r="AO147" s="5" t="str">
        <f t="shared" ref="AO147:AS147" si="2022">IF(AO$8="","",AO140-AN140)</f>
        <v/>
      </c>
      <c r="AP147" s="5" t="str">
        <f t="shared" si="2022"/>
        <v/>
      </c>
      <c r="AQ147" s="5" t="str">
        <f t="shared" si="2022"/>
        <v/>
      </c>
      <c r="AR147" s="5" t="str">
        <f t="shared" si="2022"/>
        <v/>
      </c>
      <c r="AS147" s="5" t="str">
        <f t="shared" si="2022"/>
        <v/>
      </c>
    </row>
    <row r="148" spans="1:45" s="1" customFormat="1" ht="11.25" x14ac:dyDescent="0.15">
      <c r="A148" s="7">
        <f>SUM(C148:AS148)</f>
        <v>1</v>
      </c>
      <c r="B148" s="6" t="s">
        <v>14</v>
      </c>
      <c r="C148" s="65">
        <v>0</v>
      </c>
      <c r="D148" s="5">
        <v>0</v>
      </c>
      <c r="E148" s="5">
        <v>1</v>
      </c>
      <c r="F148" s="5">
        <v>0</v>
      </c>
      <c r="G148" s="5">
        <v>0</v>
      </c>
      <c r="H148" s="5">
        <v>0</v>
      </c>
      <c r="I148" s="5">
        <v>0</v>
      </c>
      <c r="J148" s="5">
        <f t="shared" si="1991"/>
        <v>0</v>
      </c>
      <c r="K148" s="5">
        <f t="shared" si="1992"/>
        <v>0</v>
      </c>
      <c r="L148" s="5">
        <f t="shared" si="1993"/>
        <v>0</v>
      </c>
      <c r="M148" s="5" t="str">
        <f t="shared" si="1994"/>
        <v/>
      </c>
      <c r="N148" s="5" t="str">
        <f t="shared" si="1995"/>
        <v/>
      </c>
      <c r="O148" s="5" t="str">
        <f t="shared" si="1996"/>
        <v/>
      </c>
      <c r="P148" s="5" t="str">
        <f t="shared" si="1997"/>
        <v/>
      </c>
      <c r="Q148" s="5" t="str">
        <f t="shared" si="1998"/>
        <v/>
      </c>
      <c r="R148" s="5" t="str">
        <f t="shared" si="1999"/>
        <v/>
      </c>
      <c r="S148" s="5" t="str">
        <f t="shared" si="2000"/>
        <v/>
      </c>
      <c r="T148" s="5" t="str">
        <f t="shared" si="2001"/>
        <v/>
      </c>
      <c r="U148" s="5" t="str">
        <f t="shared" si="2002"/>
        <v/>
      </c>
      <c r="V148" s="5" t="str">
        <f t="shared" si="2003"/>
        <v/>
      </c>
      <c r="W148" s="5" t="str">
        <f t="shared" si="2004"/>
        <v/>
      </c>
      <c r="X148" s="5" t="str">
        <f t="shared" si="2005"/>
        <v/>
      </c>
      <c r="Y148" s="5" t="str">
        <f t="shared" si="2006"/>
        <v/>
      </c>
      <c r="Z148" s="5" t="str">
        <f t="shared" si="2007"/>
        <v/>
      </c>
      <c r="AA148" s="5" t="str">
        <f t="shared" si="2008"/>
        <v/>
      </c>
      <c r="AB148" s="5" t="str">
        <f t="shared" si="2009"/>
        <v/>
      </c>
      <c r="AC148" s="5" t="str">
        <f t="shared" si="2010"/>
        <v/>
      </c>
      <c r="AD148" s="5" t="str">
        <f t="shared" si="2011"/>
        <v/>
      </c>
      <c r="AE148" s="5" t="str">
        <f t="shared" si="2012"/>
        <v/>
      </c>
      <c r="AF148" s="5" t="str">
        <f t="shared" si="2013"/>
        <v/>
      </c>
      <c r="AG148" s="5" t="str">
        <f t="shared" si="2014"/>
        <v/>
      </c>
      <c r="AH148" s="5" t="str">
        <f t="shared" si="2015"/>
        <v/>
      </c>
      <c r="AI148" s="5" t="str">
        <f t="shared" si="2016"/>
        <v/>
      </c>
      <c r="AJ148" s="5" t="str">
        <f t="shared" si="2017"/>
        <v/>
      </c>
      <c r="AK148" s="5" t="str">
        <f t="shared" si="2018"/>
        <v/>
      </c>
      <c r="AL148" s="5" t="str">
        <f t="shared" si="2019"/>
        <v/>
      </c>
      <c r="AM148" s="5" t="str">
        <f t="shared" si="2020"/>
        <v/>
      </c>
      <c r="AN148" s="5" t="str">
        <f t="shared" si="2021"/>
        <v/>
      </c>
      <c r="AO148" s="5" t="str">
        <f t="shared" ref="AO148:AS148" si="2023">IF(AO$8="","",AO141-AN141)</f>
        <v/>
      </c>
      <c r="AP148" s="5" t="str">
        <f t="shared" si="2023"/>
        <v/>
      </c>
      <c r="AQ148" s="5" t="str">
        <f t="shared" si="2023"/>
        <v/>
      </c>
      <c r="AR148" s="5" t="str">
        <f t="shared" si="2023"/>
        <v/>
      </c>
      <c r="AS148" s="5" t="str">
        <f t="shared" si="2023"/>
        <v/>
      </c>
    </row>
    <row r="149" spans="1:45" s="1" customFormat="1" ht="11.25" x14ac:dyDescent="0.15">
      <c r="A149" s="7">
        <f>SUM(C149:AS149)</f>
        <v>1</v>
      </c>
      <c r="B149" s="6" t="s">
        <v>15</v>
      </c>
      <c r="C149" s="65">
        <v>0</v>
      </c>
      <c r="D149" s="5">
        <v>0</v>
      </c>
      <c r="E149" s="5">
        <v>1</v>
      </c>
      <c r="F149" s="5">
        <v>0</v>
      </c>
      <c r="G149" s="5">
        <v>0</v>
      </c>
      <c r="H149" s="5">
        <v>0</v>
      </c>
      <c r="I149" s="5">
        <v>0</v>
      </c>
      <c r="J149" s="5">
        <f t="shared" ref="J149" si="2024">IF(J$8="","",I142+I143-J142)</f>
        <v>0</v>
      </c>
      <c r="K149" s="5">
        <f t="shared" ref="K149" si="2025">IF(K$8="","",J142+J143-K142)</f>
        <v>0</v>
      </c>
      <c r="L149" s="5">
        <f t="shared" ref="L149" si="2026">IF(L$8="","",K142+K143-L142)</f>
        <v>0</v>
      </c>
      <c r="M149" s="5" t="str">
        <f t="shared" ref="M149" si="2027">IF(M$8="","",L142+L143-M142)</f>
        <v/>
      </c>
      <c r="N149" s="5" t="str">
        <f t="shared" ref="N149" si="2028">IF(N$8="","",M142+M143-N142)</f>
        <v/>
      </c>
      <c r="O149" s="5" t="str">
        <f t="shared" ref="O149" si="2029">IF(O$8="","",N142+N143-O142)</f>
        <v/>
      </c>
      <c r="P149" s="5" t="str">
        <f t="shared" ref="P149" si="2030">IF(P$8="","",O142+O143-P142)</f>
        <v/>
      </c>
      <c r="Q149" s="5" t="str">
        <f t="shared" ref="Q149" si="2031">IF(Q$8="","",P142+P143-Q142)</f>
        <v/>
      </c>
      <c r="R149" s="5" t="str">
        <f t="shared" ref="R149" si="2032">IF(R$8="","",Q142+Q143-R142)</f>
        <v/>
      </c>
      <c r="S149" s="5" t="str">
        <f t="shared" ref="S149" si="2033">IF(S$8="","",R142+R143-S142)</f>
        <v/>
      </c>
      <c r="T149" s="5" t="str">
        <f t="shared" ref="T149" si="2034">IF(T$8="","",S142+S143-T142)</f>
        <v/>
      </c>
      <c r="U149" s="5" t="str">
        <f t="shared" ref="U149" si="2035">IF(U$8="","",T142+T143-U142)</f>
        <v/>
      </c>
      <c r="V149" s="5" t="str">
        <f t="shared" ref="V149" si="2036">IF(V$8="","",U142+U143-V142)</f>
        <v/>
      </c>
      <c r="W149" s="5" t="str">
        <f t="shared" ref="W149" si="2037">IF(W$8="","",V142+V143-W142)</f>
        <v/>
      </c>
      <c r="X149" s="5" t="str">
        <f t="shared" ref="X149" si="2038">IF(X$8="","",W142+W143-X142)</f>
        <v/>
      </c>
      <c r="Y149" s="5" t="str">
        <f t="shared" ref="Y149" si="2039">IF(Y$8="","",X142+X143-Y142)</f>
        <v/>
      </c>
      <c r="Z149" s="5" t="str">
        <f t="shared" ref="Z149" si="2040">IF(Z$8="","",Y142+Y143-Z142)</f>
        <v/>
      </c>
      <c r="AA149" s="5" t="str">
        <f t="shared" ref="AA149" si="2041">IF(AA$8="","",Z142+Z143-AA142)</f>
        <v/>
      </c>
      <c r="AB149" s="5" t="str">
        <f t="shared" ref="AB149" si="2042">IF(AB$8="","",AA142+AA143-AB142)</f>
        <v/>
      </c>
      <c r="AC149" s="5" t="str">
        <f t="shared" ref="AC149" si="2043">IF(AC$8="","",AB142+AB143-AC142)</f>
        <v/>
      </c>
      <c r="AD149" s="5" t="str">
        <f t="shared" ref="AD149" si="2044">IF(AD$8="","",AC142+AC143-AD142)</f>
        <v/>
      </c>
      <c r="AE149" s="5" t="str">
        <f t="shared" ref="AE149" si="2045">IF(AE$8="","",AD142+AD143-AE142)</f>
        <v/>
      </c>
      <c r="AF149" s="5" t="str">
        <f t="shared" ref="AF149" si="2046">IF(AF$8="","",AE142+AE143-AF142)</f>
        <v/>
      </c>
      <c r="AG149" s="5" t="str">
        <f t="shared" ref="AG149" si="2047">IF(AG$8="","",AF142+AF143-AG142)</f>
        <v/>
      </c>
      <c r="AH149" s="5" t="str">
        <f t="shared" ref="AH149" si="2048">IF(AH$8="","",AG142+AG143-AH142)</f>
        <v/>
      </c>
      <c r="AI149" s="5" t="str">
        <f t="shared" ref="AI149" si="2049">IF(AI$8="","",AH142+AH143-AI142)</f>
        <v/>
      </c>
      <c r="AJ149" s="5" t="str">
        <f t="shared" ref="AJ149" si="2050">IF(AJ$8="","",AI142+AI143-AJ142)</f>
        <v/>
      </c>
      <c r="AK149" s="5" t="str">
        <f t="shared" ref="AK149" si="2051">IF(AK$8="","",AJ142+AJ143-AK142)</f>
        <v/>
      </c>
      <c r="AL149" s="5" t="str">
        <f t="shared" ref="AL149" si="2052">IF(AL$8="","",AK142+AK143-AL142)</f>
        <v/>
      </c>
      <c r="AM149" s="5" t="str">
        <f t="shared" ref="AM149" si="2053">IF(AM$8="","",AL142+AL143-AM142)</f>
        <v/>
      </c>
      <c r="AN149" s="5" t="str">
        <f t="shared" ref="AN149" si="2054">IF(AN$8="","",AM142+AM143-AN142)</f>
        <v/>
      </c>
      <c r="AO149" s="5" t="str">
        <f t="shared" ref="AO149:AS149" si="2055">IF(AO$8="","",AN142+AN143-AO142)</f>
        <v/>
      </c>
      <c r="AP149" s="5" t="str">
        <f t="shared" si="2055"/>
        <v/>
      </c>
      <c r="AQ149" s="5" t="str">
        <f t="shared" si="2055"/>
        <v/>
      </c>
      <c r="AR149" s="5" t="str">
        <f t="shared" si="2055"/>
        <v/>
      </c>
      <c r="AS149" s="5" t="str">
        <f t="shared" si="2055"/>
        <v/>
      </c>
    </row>
    <row r="150" spans="1:45" s="1" customFormat="1" ht="11.25" x14ac:dyDescent="0.15">
      <c r="A150" s="7">
        <f>SUM(C150:AS150)</f>
        <v>820</v>
      </c>
      <c r="B150" s="6" t="s">
        <v>16</v>
      </c>
      <c r="C150" s="65">
        <v>0</v>
      </c>
      <c r="D150" s="5">
        <v>0</v>
      </c>
      <c r="E150" s="5">
        <v>820</v>
      </c>
      <c r="F150" s="5">
        <v>0</v>
      </c>
      <c r="G150" s="5">
        <v>0</v>
      </c>
      <c r="H150" s="5">
        <v>0</v>
      </c>
      <c r="I150" s="5">
        <v>0</v>
      </c>
      <c r="J150" s="5">
        <f t="shared" ref="D150:AN150" si="2056">IF(J$8="","",J149*J144)</f>
        <v>0</v>
      </c>
      <c r="K150" s="5">
        <f t="shared" si="2056"/>
        <v>0</v>
      </c>
      <c r="L150" s="5">
        <f t="shared" si="2056"/>
        <v>0</v>
      </c>
      <c r="M150" s="5" t="str">
        <f t="shared" si="2056"/>
        <v/>
      </c>
      <c r="N150" s="5" t="str">
        <f t="shared" si="2056"/>
        <v/>
      </c>
      <c r="O150" s="5" t="str">
        <f t="shared" si="2056"/>
        <v/>
      </c>
      <c r="P150" s="5" t="str">
        <f t="shared" si="2056"/>
        <v/>
      </c>
      <c r="Q150" s="5" t="str">
        <f t="shared" si="2056"/>
        <v/>
      </c>
      <c r="R150" s="5" t="str">
        <f t="shared" si="2056"/>
        <v/>
      </c>
      <c r="S150" s="5" t="str">
        <f t="shared" si="2056"/>
        <v/>
      </c>
      <c r="T150" s="5" t="str">
        <f t="shared" si="2056"/>
        <v/>
      </c>
      <c r="U150" s="5" t="str">
        <f t="shared" si="2056"/>
        <v/>
      </c>
      <c r="V150" s="5" t="str">
        <f t="shared" si="2056"/>
        <v/>
      </c>
      <c r="W150" s="5" t="str">
        <f t="shared" si="2056"/>
        <v/>
      </c>
      <c r="X150" s="5" t="str">
        <f t="shared" si="2056"/>
        <v/>
      </c>
      <c r="Y150" s="5" t="str">
        <f t="shared" si="2056"/>
        <v/>
      </c>
      <c r="Z150" s="5" t="str">
        <f t="shared" si="2056"/>
        <v/>
      </c>
      <c r="AA150" s="5" t="str">
        <f t="shared" si="2056"/>
        <v/>
      </c>
      <c r="AB150" s="5" t="str">
        <f t="shared" si="2056"/>
        <v/>
      </c>
      <c r="AC150" s="5" t="str">
        <f t="shared" si="2056"/>
        <v/>
      </c>
      <c r="AD150" s="5" t="str">
        <f t="shared" si="2056"/>
        <v/>
      </c>
      <c r="AE150" s="5" t="str">
        <f t="shared" si="2056"/>
        <v/>
      </c>
      <c r="AF150" s="5" t="str">
        <f t="shared" si="2056"/>
        <v/>
      </c>
      <c r="AG150" s="5" t="str">
        <f t="shared" si="2056"/>
        <v/>
      </c>
      <c r="AH150" s="5" t="str">
        <f t="shared" si="2056"/>
        <v/>
      </c>
      <c r="AI150" s="5" t="str">
        <f t="shared" si="2056"/>
        <v/>
      </c>
      <c r="AJ150" s="5" t="str">
        <f t="shared" si="2056"/>
        <v/>
      </c>
      <c r="AK150" s="5" t="str">
        <f t="shared" si="2056"/>
        <v/>
      </c>
      <c r="AL150" s="5" t="str">
        <f t="shared" si="2056"/>
        <v/>
      </c>
      <c r="AM150" s="5" t="str">
        <f t="shared" si="2056"/>
        <v/>
      </c>
      <c r="AN150" s="5" t="str">
        <f t="shared" si="2056"/>
        <v/>
      </c>
      <c r="AO150" s="5" t="str">
        <f t="shared" ref="AO150:AS150" si="2057">IF(AO$8="","",AO149*AO144)</f>
        <v/>
      </c>
      <c r="AP150" s="5" t="str">
        <f t="shared" si="2057"/>
        <v/>
      </c>
      <c r="AQ150" s="5" t="str">
        <f t="shared" si="2057"/>
        <v/>
      </c>
      <c r="AR150" s="5" t="str">
        <f t="shared" si="2057"/>
        <v/>
      </c>
      <c r="AS150" s="5" t="str">
        <f t="shared" si="2057"/>
        <v/>
      </c>
    </row>
    <row r="151" spans="1:45" s="1" customFormat="1" ht="12" thickBot="1" x14ac:dyDescent="0.2">
      <c r="A151" s="4">
        <f>IF(A150="","",A150/(A147*100))</f>
        <v>0.12812499999999999</v>
      </c>
      <c r="B151" s="3" t="s">
        <v>18</v>
      </c>
      <c r="C151" s="68" t="s">
        <v>19</v>
      </c>
      <c r="D151" s="2" t="s">
        <v>19</v>
      </c>
      <c r="E151" s="2">
        <v>0.22777777777777777</v>
      </c>
      <c r="F151" s="2" t="s">
        <v>19</v>
      </c>
      <c r="G151" s="2" t="s">
        <v>19</v>
      </c>
      <c r="H151" s="2" t="s">
        <v>19</v>
      </c>
      <c r="I151" s="2" t="s">
        <v>19</v>
      </c>
      <c r="J151" s="2" t="str">
        <f t="shared" ref="D151:AN151" si="2058">IF(J$8="","",IF(J150=0,"",J150/(J147*100)))</f>
        <v/>
      </c>
      <c r="K151" s="2" t="str">
        <f t="shared" si="2058"/>
        <v/>
      </c>
      <c r="L151" s="2" t="str">
        <f t="shared" si="2058"/>
        <v/>
      </c>
      <c r="M151" s="2" t="str">
        <f t="shared" si="2058"/>
        <v/>
      </c>
      <c r="N151" s="2" t="str">
        <f t="shared" si="2058"/>
        <v/>
      </c>
      <c r="O151" s="2" t="str">
        <f t="shared" si="2058"/>
        <v/>
      </c>
      <c r="P151" s="2" t="str">
        <f t="shared" si="2058"/>
        <v/>
      </c>
      <c r="Q151" s="2" t="str">
        <f t="shared" si="2058"/>
        <v/>
      </c>
      <c r="R151" s="2" t="str">
        <f t="shared" si="2058"/>
        <v/>
      </c>
      <c r="S151" s="2" t="str">
        <f t="shared" si="2058"/>
        <v/>
      </c>
      <c r="T151" s="2" t="str">
        <f t="shared" si="2058"/>
        <v/>
      </c>
      <c r="U151" s="2" t="str">
        <f t="shared" si="2058"/>
        <v/>
      </c>
      <c r="V151" s="2" t="str">
        <f t="shared" si="2058"/>
        <v/>
      </c>
      <c r="W151" s="2" t="str">
        <f t="shared" si="2058"/>
        <v/>
      </c>
      <c r="X151" s="2" t="str">
        <f t="shared" si="2058"/>
        <v/>
      </c>
      <c r="Y151" s="2" t="str">
        <f t="shared" si="2058"/>
        <v/>
      </c>
      <c r="Z151" s="2" t="str">
        <f t="shared" si="2058"/>
        <v/>
      </c>
      <c r="AA151" s="2" t="str">
        <f t="shared" si="2058"/>
        <v/>
      </c>
      <c r="AB151" s="2" t="str">
        <f t="shared" si="2058"/>
        <v/>
      </c>
      <c r="AC151" s="2" t="str">
        <f t="shared" si="2058"/>
        <v/>
      </c>
      <c r="AD151" s="2" t="str">
        <f t="shared" si="2058"/>
        <v/>
      </c>
      <c r="AE151" s="2" t="str">
        <f t="shared" si="2058"/>
        <v/>
      </c>
      <c r="AF151" s="2" t="str">
        <f t="shared" si="2058"/>
        <v/>
      </c>
      <c r="AG151" s="2" t="str">
        <f t="shared" si="2058"/>
        <v/>
      </c>
      <c r="AH151" s="2" t="str">
        <f t="shared" si="2058"/>
        <v/>
      </c>
      <c r="AI151" s="2" t="str">
        <f t="shared" si="2058"/>
        <v/>
      </c>
      <c r="AJ151" s="2" t="str">
        <f t="shared" si="2058"/>
        <v/>
      </c>
      <c r="AK151" s="2" t="str">
        <f t="shared" si="2058"/>
        <v/>
      </c>
      <c r="AL151" s="2" t="str">
        <f t="shared" si="2058"/>
        <v/>
      </c>
      <c r="AM151" s="2" t="str">
        <f t="shared" si="2058"/>
        <v/>
      </c>
      <c r="AN151" s="2" t="str">
        <f t="shared" si="2058"/>
        <v/>
      </c>
      <c r="AO151" s="2" t="str">
        <f t="shared" ref="AO151:AS151" si="2059">IF(AO$8="","",IF(AO150=0,"",AO150/(AO147*100)))</f>
        <v/>
      </c>
      <c r="AP151" s="2" t="str">
        <f t="shared" si="2059"/>
        <v/>
      </c>
      <c r="AQ151" s="2" t="str">
        <f t="shared" si="2059"/>
        <v/>
      </c>
      <c r="AR151" s="2" t="str">
        <f t="shared" si="2059"/>
        <v/>
      </c>
      <c r="AS151" s="2" t="str">
        <f t="shared" si="2059"/>
        <v/>
      </c>
    </row>
    <row r="152" spans="1:45" s="1" customFormat="1" ht="11.25" x14ac:dyDescent="0.15">
      <c r="A152" s="22" t="s">
        <v>46</v>
      </c>
      <c r="B152" s="21" t="s">
        <v>2</v>
      </c>
      <c r="C152" s="64">
        <v>4559</v>
      </c>
      <c r="D152" s="20">
        <v>4559</v>
      </c>
      <c r="E152" s="20">
        <v>4592</v>
      </c>
      <c r="F152" s="20">
        <v>4592</v>
      </c>
      <c r="G152" s="20">
        <v>4592</v>
      </c>
      <c r="H152" s="20">
        <v>4592</v>
      </c>
      <c r="I152" s="20">
        <v>4624</v>
      </c>
      <c r="J152" s="20">
        <f t="shared" ref="J152:J153" si="2060">IF(J$8="","",I152)</f>
        <v>4624</v>
      </c>
      <c r="K152" s="20">
        <f t="shared" ref="K152:K153" si="2061">IF(K$8="","",J152)</f>
        <v>4624</v>
      </c>
      <c r="L152" s="20">
        <v>4661</v>
      </c>
      <c r="M152" s="20" t="str">
        <f t="shared" ref="M152:M153" si="2062">IF(M$8="","",L152)</f>
        <v/>
      </c>
      <c r="N152" s="20" t="str">
        <f t="shared" ref="N152:N153" si="2063">IF(N$8="","",M152)</f>
        <v/>
      </c>
      <c r="O152" s="20" t="str">
        <f t="shared" ref="O152:O153" si="2064">IF(O$8="","",N152)</f>
        <v/>
      </c>
      <c r="P152" s="20" t="str">
        <f>IF(P$8="","",O152)</f>
        <v/>
      </c>
      <c r="Q152" s="20" t="str">
        <f t="shared" ref="Q152:Q153" si="2065">IF(Q$8="","",P152)</f>
        <v/>
      </c>
      <c r="R152" s="20" t="str">
        <f t="shared" ref="R152:R153" si="2066">IF(R$8="","",Q152)</f>
        <v/>
      </c>
      <c r="S152" s="20" t="str">
        <f>IF(S$8="","",R152)</f>
        <v/>
      </c>
      <c r="T152" s="20" t="str">
        <f t="shared" ref="T152:T153" si="2067">IF(T$8="","",S152)</f>
        <v/>
      </c>
      <c r="U152" s="20" t="str">
        <f t="shared" ref="U152:U153" si="2068">IF(U$8="","",T152)</f>
        <v/>
      </c>
      <c r="V152" s="20" t="str">
        <f t="shared" ref="V152:V153" si="2069">IF(V$8="","",U152)</f>
        <v/>
      </c>
      <c r="W152" s="20" t="str">
        <f>IF(W$8="","",V152)</f>
        <v/>
      </c>
      <c r="X152" s="20" t="str">
        <f t="shared" ref="X152:X153" si="2070">IF(X$8="","",W152)</f>
        <v/>
      </c>
      <c r="Y152" s="20" t="str">
        <f t="shared" ref="Y152:Y153" si="2071">IF(Y$8="","",X152)</f>
        <v/>
      </c>
      <c r="Z152" s="20" t="str">
        <f>IF(Z$8="","",Y152)</f>
        <v/>
      </c>
      <c r="AA152" s="20" t="str">
        <f t="shared" ref="AA152:AA153" si="2072">IF(AA$8="","",Z152)</f>
        <v/>
      </c>
      <c r="AB152" s="20" t="str">
        <f t="shared" ref="AB152:AB153" si="2073">IF(AB$8="","",AA152)</f>
        <v/>
      </c>
      <c r="AC152" s="20" t="str">
        <f t="shared" ref="AC152:AC153" si="2074">IF(AC$8="","",AB152)</f>
        <v/>
      </c>
      <c r="AD152" s="20" t="str">
        <f>IF(AD$8="","",AC152)</f>
        <v/>
      </c>
      <c r="AE152" s="20" t="str">
        <f t="shared" ref="AE152:AE153" si="2075">IF(AE$8="","",AD152)</f>
        <v/>
      </c>
      <c r="AF152" s="20" t="str">
        <f t="shared" ref="AF152:AF153" si="2076">IF(AF$8="","",AE152)</f>
        <v/>
      </c>
      <c r="AG152" s="20" t="str">
        <f>IF(AG$8="","",AF152)</f>
        <v/>
      </c>
      <c r="AH152" s="20" t="str">
        <f t="shared" ref="AH152:AH153" si="2077">IF(AH$8="","",AG152)</f>
        <v/>
      </c>
      <c r="AI152" s="20" t="str">
        <f t="shared" ref="AI152:AI153" si="2078">IF(AI$8="","",AH152)</f>
        <v/>
      </c>
      <c r="AJ152" s="20" t="str">
        <f t="shared" ref="AJ152:AJ153" si="2079">IF(AJ$8="","",AI152)</f>
        <v/>
      </c>
      <c r="AK152" s="20" t="str">
        <f>IF(AK$8="","",AJ152)</f>
        <v/>
      </c>
      <c r="AL152" s="20" t="str">
        <f t="shared" ref="AL152:AL153" si="2080">IF(AL$8="","",AK152)</f>
        <v/>
      </c>
      <c r="AM152" s="20" t="str">
        <f t="shared" ref="AM152:AM153" si="2081">IF(AM$8="","",AL152)</f>
        <v/>
      </c>
      <c r="AN152" s="20" t="str">
        <f t="shared" ref="AN152:AN153" si="2082">IF(AN$8="","",AM152)</f>
        <v/>
      </c>
      <c r="AO152" s="20" t="str">
        <f t="shared" ref="AO152:AS152" si="2083">IF(AO$8="","",AN152)</f>
        <v/>
      </c>
      <c r="AP152" s="20" t="str">
        <f t="shared" si="2083"/>
        <v/>
      </c>
      <c r="AQ152" s="20" t="str">
        <f t="shared" si="2083"/>
        <v/>
      </c>
      <c r="AR152" s="20" t="str">
        <f t="shared" si="2083"/>
        <v/>
      </c>
      <c r="AS152" s="20" t="str">
        <f t="shared" si="2083"/>
        <v/>
      </c>
    </row>
    <row r="153" spans="1:45" s="1" customFormat="1" ht="11.25" x14ac:dyDescent="0.15">
      <c r="A153" s="16" t="s">
        <v>34</v>
      </c>
      <c r="B153" s="9" t="s">
        <v>4</v>
      </c>
      <c r="C153" s="65">
        <v>95</v>
      </c>
      <c r="D153" s="8">
        <v>95</v>
      </c>
      <c r="E153" s="8">
        <v>95</v>
      </c>
      <c r="F153" s="8">
        <v>95</v>
      </c>
      <c r="G153" s="8">
        <v>95</v>
      </c>
      <c r="H153" s="8">
        <v>95</v>
      </c>
      <c r="I153" s="8">
        <v>95</v>
      </c>
      <c r="J153" s="8">
        <f t="shared" si="2060"/>
        <v>95</v>
      </c>
      <c r="K153" s="8">
        <f t="shared" si="2061"/>
        <v>95</v>
      </c>
      <c r="L153" s="8">
        <f t="shared" ref="L153" si="2084">IF(L$8="","",K153)</f>
        <v>95</v>
      </c>
      <c r="M153" s="8" t="str">
        <f t="shared" si="2062"/>
        <v/>
      </c>
      <c r="N153" s="8" t="str">
        <f t="shared" si="2063"/>
        <v/>
      </c>
      <c r="O153" s="8" t="str">
        <f t="shared" si="2064"/>
        <v/>
      </c>
      <c r="P153" s="8" t="str">
        <f t="shared" ref="P153:R153" si="2085">IF(P$8="","",O153)</f>
        <v/>
      </c>
      <c r="Q153" s="8" t="str">
        <f t="shared" si="2065"/>
        <v/>
      </c>
      <c r="R153" s="8" t="str">
        <f t="shared" si="2066"/>
        <v/>
      </c>
      <c r="S153" s="8" t="str">
        <f>IF(S$8="","",R153)</f>
        <v/>
      </c>
      <c r="T153" s="8" t="str">
        <f t="shared" si="2067"/>
        <v/>
      </c>
      <c r="U153" s="8" t="str">
        <f t="shared" si="2068"/>
        <v/>
      </c>
      <c r="V153" s="8" t="str">
        <f t="shared" si="2069"/>
        <v/>
      </c>
      <c r="W153" s="8" t="str">
        <f>IF(W$8="","",V153)</f>
        <v/>
      </c>
      <c r="X153" s="8" t="str">
        <f t="shared" si="2070"/>
        <v/>
      </c>
      <c r="Y153" s="8" t="str">
        <f t="shared" si="2071"/>
        <v/>
      </c>
      <c r="Z153" s="8" t="str">
        <f>IF(Z$8="","",Y153)</f>
        <v/>
      </c>
      <c r="AA153" s="8" t="str">
        <f t="shared" si="2072"/>
        <v/>
      </c>
      <c r="AB153" s="8" t="str">
        <f t="shared" si="2073"/>
        <v/>
      </c>
      <c r="AC153" s="8" t="str">
        <f t="shared" si="2074"/>
        <v/>
      </c>
      <c r="AD153" s="8" t="str">
        <f t="shared" ref="AD153" si="2086">IF(AD$8="","",AC153)</f>
        <v/>
      </c>
      <c r="AE153" s="8" t="str">
        <f t="shared" si="2075"/>
        <v/>
      </c>
      <c r="AF153" s="8" t="str">
        <f t="shared" si="2076"/>
        <v/>
      </c>
      <c r="AG153" s="8" t="str">
        <f>IF(AG$8="","",AF153)</f>
        <v/>
      </c>
      <c r="AH153" s="8" t="str">
        <f t="shared" si="2077"/>
        <v/>
      </c>
      <c r="AI153" s="8" t="str">
        <f t="shared" si="2078"/>
        <v/>
      </c>
      <c r="AJ153" s="8" t="str">
        <f t="shared" si="2079"/>
        <v/>
      </c>
      <c r="AK153" s="8" t="str">
        <f t="shared" ref="AK153" si="2087">IF(AK$8="","",AJ153)</f>
        <v/>
      </c>
      <c r="AL153" s="8" t="str">
        <f t="shared" si="2080"/>
        <v/>
      </c>
      <c r="AM153" s="8" t="str">
        <f t="shared" si="2081"/>
        <v/>
      </c>
      <c r="AN153" s="8" t="str">
        <f t="shared" si="2082"/>
        <v/>
      </c>
      <c r="AO153" s="8" t="str">
        <f t="shared" ref="AO153:AS153" si="2088">IF(AO$8="","",AN153)</f>
        <v/>
      </c>
      <c r="AP153" s="8" t="str">
        <f t="shared" si="2088"/>
        <v/>
      </c>
      <c r="AQ153" s="8" t="str">
        <f t="shared" si="2088"/>
        <v/>
      </c>
      <c r="AR153" s="8" t="str">
        <f t="shared" si="2088"/>
        <v/>
      </c>
      <c r="AS153" s="8" t="str">
        <f t="shared" si="2088"/>
        <v/>
      </c>
    </row>
    <row r="154" spans="1:45" s="1" customFormat="1" ht="11.25" x14ac:dyDescent="0.15">
      <c r="A154" s="15">
        <v>1</v>
      </c>
      <c r="B154" s="9" t="s">
        <v>5</v>
      </c>
      <c r="C154" s="65">
        <v>9</v>
      </c>
      <c r="D154" s="8">
        <v>9</v>
      </c>
      <c r="E154" s="8">
        <v>9</v>
      </c>
      <c r="F154" s="8">
        <v>9</v>
      </c>
      <c r="G154" s="8">
        <v>9</v>
      </c>
      <c r="H154" s="8">
        <v>9</v>
      </c>
      <c r="I154" s="8">
        <v>9</v>
      </c>
      <c r="J154" s="8">
        <f t="shared" ref="J154" si="2089">IF(J$8="","",(I154+I155))</f>
        <v>9</v>
      </c>
      <c r="K154" s="8">
        <f t="shared" ref="K154" si="2090">IF(K$8="","",(J154+J155))</f>
        <v>9</v>
      </c>
      <c r="L154" s="8">
        <f t="shared" ref="L154" si="2091">IF(L$8="","",(K154+K155))</f>
        <v>9</v>
      </c>
      <c r="M154" s="8" t="str">
        <f t="shared" ref="M154" si="2092">IF(M$8="","",(L154+L155))</f>
        <v/>
      </c>
      <c r="N154" s="8" t="str">
        <f t="shared" ref="N154" si="2093">IF(N$8="","",(M154+M155))</f>
        <v/>
      </c>
      <c r="O154" s="8" t="str">
        <f t="shared" ref="O154" si="2094">IF(O$8="","",(N154+N155))</f>
        <v/>
      </c>
      <c r="P154" s="8" t="str">
        <f t="shared" ref="P154" si="2095">IF(P$8="","",(O154+O155))</f>
        <v/>
      </c>
      <c r="Q154" s="8" t="str">
        <f t="shared" ref="Q154" si="2096">IF(Q$8="","",(P154+P155))</f>
        <v/>
      </c>
      <c r="R154" s="8" t="str">
        <f t="shared" ref="R154" si="2097">IF(R$8="","",(Q154+Q155))</f>
        <v/>
      </c>
      <c r="S154" s="8" t="str">
        <f>IF(S$8="","",(R154+R155))</f>
        <v/>
      </c>
      <c r="T154" s="8" t="str">
        <f t="shared" ref="T154" si="2098">IF(T$8="","",(S154+S155))</f>
        <v/>
      </c>
      <c r="U154" s="8" t="str">
        <f t="shared" ref="U154" si="2099">IF(U$8="","",(T154+T155))</f>
        <v/>
      </c>
      <c r="V154" s="8" t="str">
        <f t="shared" ref="V154" si="2100">IF(V$8="","",(U154+U155))</f>
        <v/>
      </c>
      <c r="W154" s="8" t="str">
        <f>IF(W$8="","",(V154+V155))</f>
        <v/>
      </c>
      <c r="X154" s="8" t="str">
        <f t="shared" ref="X154" si="2101">IF(X$8="","",(W154+W155))</f>
        <v/>
      </c>
      <c r="Y154" s="8" t="str">
        <f t="shared" ref="Y154" si="2102">IF(Y$8="","",(X154+X155))</f>
        <v/>
      </c>
      <c r="Z154" s="8" t="str">
        <f t="shared" ref="Z154" si="2103">IF(Z$8="","",(Y154+Y155))</f>
        <v/>
      </c>
      <c r="AA154" s="8" t="str">
        <f t="shared" ref="AA154" si="2104">IF(AA$8="","",(Z154+Z155))</f>
        <v/>
      </c>
      <c r="AB154" s="8" t="str">
        <f t="shared" ref="AB154" si="2105">IF(AB$8="","",(AA154+AA155))</f>
        <v/>
      </c>
      <c r="AC154" s="8" t="str">
        <f t="shared" ref="AC154" si="2106">IF(AC$8="","",(AB154+AB155))</f>
        <v/>
      </c>
      <c r="AD154" s="8" t="str">
        <f t="shared" ref="AD154" si="2107">IF(AD$8="","",(AC154+AC155))</f>
        <v/>
      </c>
      <c r="AE154" s="8" t="str">
        <f t="shared" ref="AE154" si="2108">IF(AE$8="","",(AD154+AD155))</f>
        <v/>
      </c>
      <c r="AF154" s="8" t="str">
        <f t="shared" ref="AF154" si="2109">IF(AF$8="","",(AE154+AE155))</f>
        <v/>
      </c>
      <c r="AG154" s="8" t="str">
        <f t="shared" ref="AG154" si="2110">IF(AG$8="","",(AF154+AF155))</f>
        <v/>
      </c>
      <c r="AH154" s="8" t="str">
        <f t="shared" ref="AH154" si="2111">IF(AH$8="","",(AG154+AG155))</f>
        <v/>
      </c>
      <c r="AI154" s="8" t="str">
        <f t="shared" ref="AI154" si="2112">IF(AI$8="","",(AH154+AH155))</f>
        <v/>
      </c>
      <c r="AJ154" s="8" t="str">
        <f t="shared" ref="AJ154" si="2113">IF(AJ$8="","",(AI154+AI155))</f>
        <v/>
      </c>
      <c r="AK154" s="8" t="str">
        <f t="shared" ref="AK154" si="2114">IF(AK$8="","",(AJ154+AJ155))</f>
        <v/>
      </c>
      <c r="AL154" s="8" t="str">
        <f t="shared" ref="AL154" si="2115">IF(AL$8="","",(AK154+AK155))</f>
        <v/>
      </c>
      <c r="AM154" s="8" t="str">
        <f t="shared" ref="AM154" si="2116">IF(AM$8="","",(AL154+AL155))</f>
        <v/>
      </c>
      <c r="AN154" s="8" t="str">
        <f t="shared" ref="AN154" si="2117">IF(AN$8="","",(AM154+AM155))</f>
        <v/>
      </c>
      <c r="AO154" s="8" t="str">
        <f t="shared" ref="AO154:AS154" si="2118">IF(AO$8="","",(AN154+AN155))</f>
        <v/>
      </c>
      <c r="AP154" s="8" t="str">
        <f t="shared" si="2118"/>
        <v/>
      </c>
      <c r="AQ154" s="8" t="str">
        <f t="shared" si="2118"/>
        <v/>
      </c>
      <c r="AR154" s="8" t="str">
        <f t="shared" si="2118"/>
        <v/>
      </c>
      <c r="AS154" s="8" t="str">
        <f t="shared" si="2118"/>
        <v/>
      </c>
    </row>
    <row r="155" spans="1:45" s="1" customFormat="1" ht="11.25" x14ac:dyDescent="0.15">
      <c r="A155" s="92" t="s">
        <v>6</v>
      </c>
      <c r="B155" s="9" t="s">
        <v>7</v>
      </c>
      <c r="C155" s="6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</row>
    <row r="156" spans="1:45" s="1" customFormat="1" ht="11.25" x14ac:dyDescent="0.15">
      <c r="A156" s="93">
        <f>+(A159+A171+A183+A195)*100</f>
        <v>51800</v>
      </c>
      <c r="B156" s="9" t="s">
        <v>8</v>
      </c>
      <c r="C156" s="65">
        <v>600</v>
      </c>
      <c r="D156" s="8">
        <v>600</v>
      </c>
      <c r="E156" s="8">
        <v>600</v>
      </c>
      <c r="F156" s="8">
        <v>600</v>
      </c>
      <c r="G156" s="8">
        <v>600</v>
      </c>
      <c r="H156" s="8">
        <v>600</v>
      </c>
      <c r="I156" s="8">
        <v>600</v>
      </c>
      <c r="J156" s="8">
        <f t="shared" ref="J156:J157" si="2119">IF(J$8="","",I156)</f>
        <v>600</v>
      </c>
      <c r="K156" s="8">
        <f t="shared" ref="K156:K157" si="2120">IF(K$8="","",J156)</f>
        <v>600</v>
      </c>
      <c r="L156" s="8">
        <f t="shared" ref="L156:L157" si="2121">IF(L$8="","",K156)</f>
        <v>600</v>
      </c>
      <c r="M156" s="8" t="str">
        <f t="shared" ref="M156:M157" si="2122">IF(M$8="","",L156)</f>
        <v/>
      </c>
      <c r="N156" s="8" t="str">
        <f t="shared" ref="N156:N157" si="2123">IF(N$8="","",M156)</f>
        <v/>
      </c>
      <c r="O156" s="8" t="str">
        <f t="shared" ref="O156:O157" si="2124">IF(O$8="","",N156)</f>
        <v/>
      </c>
      <c r="P156" s="8" t="str">
        <f t="shared" ref="P156:P157" si="2125">IF(P$8="","",O156)</f>
        <v/>
      </c>
      <c r="Q156" s="8" t="str">
        <f t="shared" ref="Q156:Q157" si="2126">IF(Q$8="","",P156)</f>
        <v/>
      </c>
      <c r="R156" s="8" t="str">
        <f t="shared" ref="R156:R157" si="2127">IF(R$8="","",Q156)</f>
        <v/>
      </c>
      <c r="S156" s="8" t="str">
        <f t="shared" ref="S156:S157" si="2128">IF(S$8="","",R156)</f>
        <v/>
      </c>
      <c r="T156" s="8" t="str">
        <f t="shared" ref="T156:T157" si="2129">IF(T$8="","",S156)</f>
        <v/>
      </c>
      <c r="U156" s="8" t="str">
        <f t="shared" ref="U156:U157" si="2130">IF(U$8="","",T156)</f>
        <v/>
      </c>
      <c r="V156" s="8" t="str">
        <f t="shared" ref="V156:V157" si="2131">IF(V$8="","",U156)</f>
        <v/>
      </c>
      <c r="W156" s="8" t="str">
        <f t="shared" ref="W156:W157" si="2132">IF(W$8="","",V156)</f>
        <v/>
      </c>
      <c r="X156" s="8" t="str">
        <f t="shared" ref="X156:X157" si="2133">IF(X$8="","",W156)</f>
        <v/>
      </c>
      <c r="Y156" s="8" t="str">
        <f t="shared" ref="Y156:Y157" si="2134">IF(Y$8="","",X156)</f>
        <v/>
      </c>
      <c r="Z156" s="8" t="str">
        <f t="shared" ref="Z156:Z157" si="2135">IF(Z$8="","",Y156)</f>
        <v/>
      </c>
      <c r="AA156" s="8" t="str">
        <f t="shared" ref="AA156:AA157" si="2136">IF(AA$8="","",Z156)</f>
        <v/>
      </c>
      <c r="AB156" s="8" t="str">
        <f t="shared" ref="AB156:AB157" si="2137">IF(AB$8="","",AA156)</f>
        <v/>
      </c>
      <c r="AC156" s="8" t="str">
        <f t="shared" ref="AC156:AC157" si="2138">IF(AC$8="","",AB156)</f>
        <v/>
      </c>
      <c r="AD156" s="8" t="str">
        <f t="shared" ref="AD156:AD157" si="2139">IF(AD$8="","",AC156)</f>
        <v/>
      </c>
      <c r="AE156" s="8" t="str">
        <f t="shared" ref="AE156:AE157" si="2140">IF(AE$8="","",AD156)</f>
        <v/>
      </c>
      <c r="AF156" s="8" t="str">
        <f t="shared" ref="AF156:AF157" si="2141">IF(AF$8="","",AE156)</f>
        <v/>
      </c>
      <c r="AG156" s="8" t="str">
        <f t="shared" ref="AG156:AG157" si="2142">IF(AG$8="","",AF156)</f>
        <v/>
      </c>
      <c r="AH156" s="8" t="str">
        <f t="shared" ref="AH156:AH157" si="2143">IF(AH$8="","",AG156)</f>
        <v/>
      </c>
      <c r="AI156" s="8" t="str">
        <f t="shared" ref="AI156:AI157" si="2144">IF(AI$8="","",AH156)</f>
        <v/>
      </c>
      <c r="AJ156" s="8" t="str">
        <f t="shared" ref="AJ156:AJ157" si="2145">IF(AJ$8="","",AI156)</f>
        <v/>
      </c>
      <c r="AK156" s="8" t="str">
        <f t="shared" ref="AK156:AK157" si="2146">IF(AK$8="","",AJ156)</f>
        <v/>
      </c>
      <c r="AL156" s="8" t="str">
        <f t="shared" ref="AL156:AL157" si="2147">IF(AL$8="","",AK156)</f>
        <v/>
      </c>
      <c r="AM156" s="8" t="str">
        <f t="shared" ref="AM156:AM157" si="2148">IF(AM$8="","",AL156)</f>
        <v/>
      </c>
      <c r="AN156" s="8" t="str">
        <f t="shared" ref="AN156:AN157" si="2149">IF(AN$8="","",AM156)</f>
        <v/>
      </c>
      <c r="AO156" s="8" t="str">
        <f t="shared" ref="AO156:AS156" si="2150">IF(AO$8="","",AN156)</f>
        <v/>
      </c>
      <c r="AP156" s="8" t="str">
        <f t="shared" si="2150"/>
        <v/>
      </c>
      <c r="AQ156" s="8" t="str">
        <f t="shared" si="2150"/>
        <v/>
      </c>
      <c r="AR156" s="8" t="str">
        <f t="shared" si="2150"/>
        <v/>
      </c>
      <c r="AS156" s="8" t="str">
        <f t="shared" si="2150"/>
        <v/>
      </c>
    </row>
    <row r="157" spans="1:45" s="85" customFormat="1" ht="11.25" x14ac:dyDescent="0.15">
      <c r="A157" s="14" t="s">
        <v>9</v>
      </c>
      <c r="B157" s="13" t="s">
        <v>10</v>
      </c>
      <c r="C157" s="66" t="s">
        <v>51</v>
      </c>
      <c r="D157" s="12" t="s">
        <v>51</v>
      </c>
      <c r="E157" s="12" t="s">
        <v>51</v>
      </c>
      <c r="F157" s="12" t="s">
        <v>51</v>
      </c>
      <c r="G157" s="12" t="s">
        <v>51</v>
      </c>
      <c r="H157" s="12" t="s">
        <v>51</v>
      </c>
      <c r="I157" s="12" t="s">
        <v>51</v>
      </c>
      <c r="J157" s="12" t="str">
        <f t="shared" si="2119"/>
        <v>ジャグラーサウンドボタン</v>
      </c>
      <c r="K157" s="12" t="str">
        <f t="shared" si="2120"/>
        <v>ジャグラーサウンドボタン</v>
      </c>
      <c r="L157" s="12" t="str">
        <f t="shared" si="2121"/>
        <v>ジャグラーサウンドボタン</v>
      </c>
      <c r="M157" s="12" t="str">
        <f t="shared" si="2122"/>
        <v/>
      </c>
      <c r="N157" s="12" t="str">
        <f t="shared" si="2123"/>
        <v/>
      </c>
      <c r="O157" s="12" t="str">
        <f t="shared" si="2124"/>
        <v/>
      </c>
      <c r="P157" s="12" t="str">
        <f t="shared" si="2125"/>
        <v/>
      </c>
      <c r="Q157" s="12" t="str">
        <f t="shared" si="2126"/>
        <v/>
      </c>
      <c r="R157" s="12" t="str">
        <f t="shared" si="2127"/>
        <v/>
      </c>
      <c r="S157" s="12" t="str">
        <f t="shared" si="2128"/>
        <v/>
      </c>
      <c r="T157" s="12" t="str">
        <f t="shared" si="2129"/>
        <v/>
      </c>
      <c r="U157" s="12" t="str">
        <f t="shared" si="2130"/>
        <v/>
      </c>
      <c r="V157" s="12" t="str">
        <f t="shared" si="2131"/>
        <v/>
      </c>
      <c r="W157" s="12" t="str">
        <f t="shared" si="2132"/>
        <v/>
      </c>
      <c r="X157" s="12" t="str">
        <f t="shared" si="2133"/>
        <v/>
      </c>
      <c r="Y157" s="12" t="str">
        <f t="shared" si="2134"/>
        <v/>
      </c>
      <c r="Z157" s="12" t="str">
        <f t="shared" si="2135"/>
        <v/>
      </c>
      <c r="AA157" s="12" t="str">
        <f t="shared" si="2136"/>
        <v/>
      </c>
      <c r="AB157" s="12" t="str">
        <f t="shared" si="2137"/>
        <v/>
      </c>
      <c r="AC157" s="12" t="str">
        <f t="shared" si="2138"/>
        <v/>
      </c>
      <c r="AD157" s="12" t="str">
        <f t="shared" si="2139"/>
        <v/>
      </c>
      <c r="AE157" s="12" t="str">
        <f t="shared" si="2140"/>
        <v/>
      </c>
      <c r="AF157" s="12" t="str">
        <f t="shared" si="2141"/>
        <v/>
      </c>
      <c r="AG157" s="12" t="str">
        <f t="shared" si="2142"/>
        <v/>
      </c>
      <c r="AH157" s="12" t="str">
        <f t="shared" si="2143"/>
        <v/>
      </c>
      <c r="AI157" s="12" t="str">
        <f t="shared" si="2144"/>
        <v/>
      </c>
      <c r="AJ157" s="12" t="str">
        <f t="shared" si="2145"/>
        <v/>
      </c>
      <c r="AK157" s="12" t="str">
        <f t="shared" si="2146"/>
        <v/>
      </c>
      <c r="AL157" s="12" t="str">
        <f t="shared" si="2147"/>
        <v/>
      </c>
      <c r="AM157" s="12" t="str">
        <f t="shared" si="2148"/>
        <v/>
      </c>
      <c r="AN157" s="12" t="str">
        <f t="shared" si="2149"/>
        <v/>
      </c>
      <c r="AO157" s="12" t="str">
        <f t="shared" ref="AO157:AS157" si="2151">IF(AO$8="","",AN157)</f>
        <v/>
      </c>
      <c r="AP157" s="12" t="str">
        <f t="shared" si="2151"/>
        <v/>
      </c>
      <c r="AQ157" s="12" t="str">
        <f t="shared" si="2151"/>
        <v/>
      </c>
      <c r="AR157" s="12" t="str">
        <f t="shared" si="2151"/>
        <v/>
      </c>
      <c r="AS157" s="12" t="str">
        <f t="shared" si="2151"/>
        <v/>
      </c>
    </row>
    <row r="158" spans="1:45" s="1" customFormat="1" ht="11.25" x14ac:dyDescent="0.15">
      <c r="A158" s="7">
        <f>AVERAGE(C159:AS159)*30*100</f>
        <v>30600</v>
      </c>
      <c r="B158" s="9" t="s">
        <v>12</v>
      </c>
      <c r="C158" s="6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</row>
    <row r="159" spans="1:45" s="1" customFormat="1" ht="11.25" x14ac:dyDescent="0.15">
      <c r="A159" s="7">
        <f>SUM(C159:AS159)</f>
        <v>102</v>
      </c>
      <c r="B159" s="6" t="s">
        <v>13</v>
      </c>
      <c r="C159" s="65">
        <v>0</v>
      </c>
      <c r="D159" s="5">
        <v>0</v>
      </c>
      <c r="E159" s="5">
        <v>33</v>
      </c>
      <c r="F159" s="5">
        <v>0</v>
      </c>
      <c r="G159" s="5">
        <v>0</v>
      </c>
      <c r="H159" s="5">
        <v>0</v>
      </c>
      <c r="I159" s="5">
        <v>32</v>
      </c>
      <c r="J159" s="5">
        <f t="shared" ref="J159:J160" si="2152">IF(J$8="","",J152-I152)</f>
        <v>0</v>
      </c>
      <c r="K159" s="5">
        <f t="shared" ref="K159:K160" si="2153">IF(K$8="","",K152-J152)</f>
        <v>0</v>
      </c>
      <c r="L159" s="5">
        <f t="shared" ref="L159:L160" si="2154">IF(L$8="","",L152-K152)</f>
        <v>37</v>
      </c>
      <c r="M159" s="5" t="str">
        <f t="shared" ref="M159:M160" si="2155">IF(M$8="","",M152-L152)</f>
        <v/>
      </c>
      <c r="N159" s="5" t="str">
        <f t="shared" ref="N159:N160" si="2156">IF(N$8="","",N152-M152)</f>
        <v/>
      </c>
      <c r="O159" s="5" t="str">
        <f t="shared" ref="O159:O160" si="2157">IF(O$8="","",O152-N152)</f>
        <v/>
      </c>
      <c r="P159" s="5" t="str">
        <f t="shared" ref="P159:P160" si="2158">IF(P$8="","",P152-O152)</f>
        <v/>
      </c>
      <c r="Q159" s="5" t="str">
        <f t="shared" ref="Q159:Q160" si="2159">IF(Q$8="","",Q152-P152)</f>
        <v/>
      </c>
      <c r="R159" s="5" t="str">
        <f t="shared" ref="R159:R160" si="2160">IF(R$8="","",R152-Q152)</f>
        <v/>
      </c>
      <c r="S159" s="5" t="str">
        <f t="shared" ref="S159:S160" si="2161">IF(S$8="","",S152-R152)</f>
        <v/>
      </c>
      <c r="T159" s="5" t="str">
        <f t="shared" ref="T159:T160" si="2162">IF(T$8="","",T152-S152)</f>
        <v/>
      </c>
      <c r="U159" s="5" t="str">
        <f t="shared" ref="U159:U160" si="2163">IF(U$8="","",U152-T152)</f>
        <v/>
      </c>
      <c r="V159" s="5" t="str">
        <f t="shared" ref="V159:V160" si="2164">IF(V$8="","",V152-U152)</f>
        <v/>
      </c>
      <c r="W159" s="5" t="str">
        <f t="shared" ref="W159:W160" si="2165">IF(W$8="","",W152-V152)</f>
        <v/>
      </c>
      <c r="X159" s="5" t="str">
        <f t="shared" ref="X159:X160" si="2166">IF(X$8="","",X152-W152)</f>
        <v/>
      </c>
      <c r="Y159" s="5" t="str">
        <f t="shared" ref="Y159:Y160" si="2167">IF(Y$8="","",Y152-X152)</f>
        <v/>
      </c>
      <c r="Z159" s="5" t="str">
        <f t="shared" ref="Z159:Z160" si="2168">IF(Z$8="","",Z152-Y152)</f>
        <v/>
      </c>
      <c r="AA159" s="5" t="str">
        <f t="shared" ref="AA159:AA160" si="2169">IF(AA$8="","",AA152-Z152)</f>
        <v/>
      </c>
      <c r="AB159" s="5" t="str">
        <f t="shared" ref="AB159:AB160" si="2170">IF(AB$8="","",AB152-AA152)</f>
        <v/>
      </c>
      <c r="AC159" s="5" t="str">
        <f t="shared" ref="AC159:AC160" si="2171">IF(AC$8="","",AC152-AB152)</f>
        <v/>
      </c>
      <c r="AD159" s="5" t="str">
        <f t="shared" ref="AD159:AD160" si="2172">IF(AD$8="","",AD152-AC152)</f>
        <v/>
      </c>
      <c r="AE159" s="5" t="str">
        <f t="shared" ref="AE159:AE160" si="2173">IF(AE$8="","",AE152-AD152)</f>
        <v/>
      </c>
      <c r="AF159" s="5" t="str">
        <f t="shared" ref="AF159:AF160" si="2174">IF(AF$8="","",AF152-AE152)</f>
        <v/>
      </c>
      <c r="AG159" s="5" t="str">
        <f t="shared" ref="AG159:AG160" si="2175">IF(AG$8="","",AG152-AF152)</f>
        <v/>
      </c>
      <c r="AH159" s="5" t="str">
        <f t="shared" ref="AH159:AH160" si="2176">IF(AH$8="","",AH152-AG152)</f>
        <v/>
      </c>
      <c r="AI159" s="5" t="str">
        <f t="shared" ref="AI159:AI160" si="2177">IF(AI$8="","",AI152-AH152)</f>
        <v/>
      </c>
      <c r="AJ159" s="5" t="str">
        <f t="shared" ref="AJ159:AJ160" si="2178">IF(AJ$8="","",AJ152-AI152)</f>
        <v/>
      </c>
      <c r="AK159" s="5" t="str">
        <f t="shared" ref="AK159:AK160" si="2179">IF(AK$8="","",AK152-AJ152)</f>
        <v/>
      </c>
      <c r="AL159" s="5" t="str">
        <f t="shared" ref="AL159:AL160" si="2180">IF(AL$8="","",AL152-AK152)</f>
        <v/>
      </c>
      <c r="AM159" s="5" t="str">
        <f t="shared" ref="AM159:AM160" si="2181">IF(AM$8="","",AM152-AL152)</f>
        <v/>
      </c>
      <c r="AN159" s="5" t="str">
        <f t="shared" ref="AN159:AN160" si="2182">IF(AN$8="","",AN152-AM152)</f>
        <v/>
      </c>
      <c r="AO159" s="5" t="str">
        <f t="shared" ref="AO159:AS159" si="2183">IF(AO$8="","",AO152-AN152)</f>
        <v/>
      </c>
      <c r="AP159" s="5" t="str">
        <f t="shared" si="2183"/>
        <v/>
      </c>
      <c r="AQ159" s="5" t="str">
        <f t="shared" si="2183"/>
        <v/>
      </c>
      <c r="AR159" s="5" t="str">
        <f t="shared" si="2183"/>
        <v/>
      </c>
      <c r="AS159" s="5" t="str">
        <f t="shared" si="2183"/>
        <v/>
      </c>
    </row>
    <row r="160" spans="1:45" s="1" customFormat="1" ht="11.25" x14ac:dyDescent="0.15">
      <c r="A160" s="7">
        <f>SUM(C160:AS160)</f>
        <v>0</v>
      </c>
      <c r="B160" s="6" t="s">
        <v>14</v>
      </c>
      <c r="C160" s="6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f t="shared" si="2152"/>
        <v>0</v>
      </c>
      <c r="K160" s="5">
        <f t="shared" si="2153"/>
        <v>0</v>
      </c>
      <c r="L160" s="5">
        <f t="shared" si="2154"/>
        <v>0</v>
      </c>
      <c r="M160" s="5" t="str">
        <f t="shared" si="2155"/>
        <v/>
      </c>
      <c r="N160" s="5" t="str">
        <f t="shared" si="2156"/>
        <v/>
      </c>
      <c r="O160" s="5" t="str">
        <f t="shared" si="2157"/>
        <v/>
      </c>
      <c r="P160" s="5" t="str">
        <f t="shared" si="2158"/>
        <v/>
      </c>
      <c r="Q160" s="5" t="str">
        <f t="shared" si="2159"/>
        <v/>
      </c>
      <c r="R160" s="5" t="str">
        <f t="shared" si="2160"/>
        <v/>
      </c>
      <c r="S160" s="5" t="str">
        <f t="shared" si="2161"/>
        <v/>
      </c>
      <c r="T160" s="5" t="str">
        <f t="shared" si="2162"/>
        <v/>
      </c>
      <c r="U160" s="5" t="str">
        <f t="shared" si="2163"/>
        <v/>
      </c>
      <c r="V160" s="5" t="str">
        <f t="shared" si="2164"/>
        <v/>
      </c>
      <c r="W160" s="5" t="str">
        <f t="shared" si="2165"/>
        <v/>
      </c>
      <c r="X160" s="5" t="str">
        <f t="shared" si="2166"/>
        <v/>
      </c>
      <c r="Y160" s="5" t="str">
        <f t="shared" si="2167"/>
        <v/>
      </c>
      <c r="Z160" s="5" t="str">
        <f t="shared" si="2168"/>
        <v/>
      </c>
      <c r="AA160" s="5" t="str">
        <f t="shared" si="2169"/>
        <v/>
      </c>
      <c r="AB160" s="5" t="str">
        <f t="shared" si="2170"/>
        <v/>
      </c>
      <c r="AC160" s="5" t="str">
        <f t="shared" si="2171"/>
        <v/>
      </c>
      <c r="AD160" s="5" t="str">
        <f t="shared" si="2172"/>
        <v/>
      </c>
      <c r="AE160" s="5" t="str">
        <f t="shared" si="2173"/>
        <v/>
      </c>
      <c r="AF160" s="5" t="str">
        <f t="shared" si="2174"/>
        <v/>
      </c>
      <c r="AG160" s="5" t="str">
        <f t="shared" si="2175"/>
        <v/>
      </c>
      <c r="AH160" s="5" t="str">
        <f t="shared" si="2176"/>
        <v/>
      </c>
      <c r="AI160" s="5" t="str">
        <f t="shared" si="2177"/>
        <v/>
      </c>
      <c r="AJ160" s="5" t="str">
        <f t="shared" si="2178"/>
        <v/>
      </c>
      <c r="AK160" s="5" t="str">
        <f t="shared" si="2179"/>
        <v/>
      </c>
      <c r="AL160" s="5" t="str">
        <f t="shared" si="2180"/>
        <v/>
      </c>
      <c r="AM160" s="5" t="str">
        <f t="shared" si="2181"/>
        <v/>
      </c>
      <c r="AN160" s="5" t="str">
        <f t="shared" si="2182"/>
        <v/>
      </c>
      <c r="AO160" s="5" t="str">
        <f t="shared" ref="AO160:AS160" si="2184">IF(AO$8="","",AO153-AN153)</f>
        <v/>
      </c>
      <c r="AP160" s="5" t="str">
        <f t="shared" si="2184"/>
        <v/>
      </c>
      <c r="AQ160" s="5" t="str">
        <f t="shared" si="2184"/>
        <v/>
      </c>
      <c r="AR160" s="5" t="str">
        <f t="shared" si="2184"/>
        <v/>
      </c>
      <c r="AS160" s="5" t="str">
        <f t="shared" si="2184"/>
        <v/>
      </c>
    </row>
    <row r="161" spans="1:45" s="1" customFormat="1" ht="11.25" x14ac:dyDescent="0.15">
      <c r="A161" s="7">
        <f>SUM(C161:AS161)</f>
        <v>0</v>
      </c>
      <c r="B161" s="6" t="s">
        <v>15</v>
      </c>
      <c r="C161" s="6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f t="shared" ref="J161" si="2185">IF(J$8="","",I154+I155-J154)</f>
        <v>0</v>
      </c>
      <c r="K161" s="5">
        <f t="shared" ref="K161" si="2186">IF(K$8="","",J154+J155-K154)</f>
        <v>0</v>
      </c>
      <c r="L161" s="5">
        <f t="shared" ref="L161" si="2187">IF(L$8="","",K154+K155-L154)</f>
        <v>0</v>
      </c>
      <c r="M161" s="5" t="str">
        <f t="shared" ref="M161" si="2188">IF(M$8="","",L154+L155-M154)</f>
        <v/>
      </c>
      <c r="N161" s="5" t="str">
        <f t="shared" ref="N161" si="2189">IF(N$8="","",M154+M155-N154)</f>
        <v/>
      </c>
      <c r="O161" s="5" t="str">
        <f t="shared" ref="O161" si="2190">IF(O$8="","",N154+N155-O154)</f>
        <v/>
      </c>
      <c r="P161" s="5" t="str">
        <f t="shared" ref="P161" si="2191">IF(P$8="","",O154+O155-P154)</f>
        <v/>
      </c>
      <c r="Q161" s="5" t="str">
        <f t="shared" ref="Q161" si="2192">IF(Q$8="","",P154+P155-Q154)</f>
        <v/>
      </c>
      <c r="R161" s="5" t="str">
        <f t="shared" ref="R161" si="2193">IF(R$8="","",Q154+Q155-R154)</f>
        <v/>
      </c>
      <c r="S161" s="5" t="str">
        <f t="shared" ref="S161" si="2194">IF(S$8="","",R154+R155-S154)</f>
        <v/>
      </c>
      <c r="T161" s="5" t="str">
        <f t="shared" ref="T161" si="2195">IF(T$8="","",S154+S155-T154)</f>
        <v/>
      </c>
      <c r="U161" s="5" t="str">
        <f t="shared" ref="U161" si="2196">IF(U$8="","",T154+T155-U154)</f>
        <v/>
      </c>
      <c r="V161" s="5" t="str">
        <f t="shared" ref="V161" si="2197">IF(V$8="","",U154+U155-V154)</f>
        <v/>
      </c>
      <c r="W161" s="5" t="str">
        <f t="shared" ref="W161" si="2198">IF(W$8="","",V154+V155-W154)</f>
        <v/>
      </c>
      <c r="X161" s="5" t="str">
        <f t="shared" ref="X161" si="2199">IF(X$8="","",W154+W155-X154)</f>
        <v/>
      </c>
      <c r="Y161" s="5" t="str">
        <f t="shared" ref="Y161" si="2200">IF(Y$8="","",X154+X155-Y154)</f>
        <v/>
      </c>
      <c r="Z161" s="5" t="str">
        <f t="shared" ref="Z161" si="2201">IF(Z$8="","",Y154+Y155-Z154)</f>
        <v/>
      </c>
      <c r="AA161" s="5" t="str">
        <f t="shared" ref="AA161" si="2202">IF(AA$8="","",Z154+Z155-AA154)</f>
        <v/>
      </c>
      <c r="AB161" s="5" t="str">
        <f t="shared" ref="AB161" si="2203">IF(AB$8="","",AA154+AA155-AB154)</f>
        <v/>
      </c>
      <c r="AC161" s="5" t="str">
        <f t="shared" ref="AC161" si="2204">IF(AC$8="","",AB154+AB155-AC154)</f>
        <v/>
      </c>
      <c r="AD161" s="5" t="str">
        <f t="shared" ref="AD161" si="2205">IF(AD$8="","",AC154+AC155-AD154)</f>
        <v/>
      </c>
      <c r="AE161" s="5" t="str">
        <f t="shared" ref="AE161" si="2206">IF(AE$8="","",AD154+AD155-AE154)</f>
        <v/>
      </c>
      <c r="AF161" s="5" t="str">
        <f t="shared" ref="AF161" si="2207">IF(AF$8="","",AE154+AE155-AF154)</f>
        <v/>
      </c>
      <c r="AG161" s="5" t="str">
        <f t="shared" ref="AG161" si="2208">IF(AG$8="","",AF154+AF155-AG154)</f>
        <v/>
      </c>
      <c r="AH161" s="5" t="str">
        <f t="shared" ref="AH161" si="2209">IF(AH$8="","",AG154+AG155-AH154)</f>
        <v/>
      </c>
      <c r="AI161" s="5" t="str">
        <f t="shared" ref="AI161" si="2210">IF(AI$8="","",AH154+AH155-AI154)</f>
        <v/>
      </c>
      <c r="AJ161" s="5" t="str">
        <f t="shared" ref="AJ161" si="2211">IF(AJ$8="","",AI154+AI155-AJ154)</f>
        <v/>
      </c>
      <c r="AK161" s="5" t="str">
        <f t="shared" ref="AK161" si="2212">IF(AK$8="","",AJ154+AJ155-AK154)</f>
        <v/>
      </c>
      <c r="AL161" s="5" t="str">
        <f t="shared" ref="AL161" si="2213">IF(AL$8="","",AK154+AK155-AL154)</f>
        <v/>
      </c>
      <c r="AM161" s="5" t="str">
        <f t="shared" ref="AM161" si="2214">IF(AM$8="","",AL154+AL155-AM154)</f>
        <v/>
      </c>
      <c r="AN161" s="5" t="str">
        <f t="shared" ref="AN161" si="2215">IF(AN$8="","",AM154+AM155-AN154)</f>
        <v/>
      </c>
      <c r="AO161" s="5" t="str">
        <f t="shared" ref="AO161:AS161" si="2216">IF(AO$8="","",AN154+AN155-AO154)</f>
        <v/>
      </c>
      <c r="AP161" s="5" t="str">
        <f t="shared" si="2216"/>
        <v/>
      </c>
      <c r="AQ161" s="5" t="str">
        <f t="shared" si="2216"/>
        <v/>
      </c>
      <c r="AR161" s="5" t="str">
        <f t="shared" si="2216"/>
        <v/>
      </c>
      <c r="AS161" s="5" t="str">
        <f t="shared" si="2216"/>
        <v/>
      </c>
    </row>
    <row r="162" spans="1:45" s="1" customFormat="1" ht="11.25" x14ac:dyDescent="0.15">
      <c r="A162" s="7">
        <f>SUM(C162:AS162)</f>
        <v>0</v>
      </c>
      <c r="B162" s="6" t="s">
        <v>16</v>
      </c>
      <c r="C162" s="6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f t="shared" ref="D162:AN162" si="2217">IF(J$8="","",J161*J156)</f>
        <v>0</v>
      </c>
      <c r="K162" s="5">
        <f t="shared" si="2217"/>
        <v>0</v>
      </c>
      <c r="L162" s="5">
        <f t="shared" si="2217"/>
        <v>0</v>
      </c>
      <c r="M162" s="5" t="str">
        <f t="shared" si="2217"/>
        <v/>
      </c>
      <c r="N162" s="5" t="str">
        <f t="shared" si="2217"/>
        <v/>
      </c>
      <c r="O162" s="5" t="str">
        <f t="shared" si="2217"/>
        <v/>
      </c>
      <c r="P162" s="5" t="str">
        <f t="shared" si="2217"/>
        <v/>
      </c>
      <c r="Q162" s="5" t="str">
        <f t="shared" si="2217"/>
        <v/>
      </c>
      <c r="R162" s="5" t="str">
        <f t="shared" si="2217"/>
        <v/>
      </c>
      <c r="S162" s="5" t="str">
        <f t="shared" si="2217"/>
        <v/>
      </c>
      <c r="T162" s="5" t="str">
        <f t="shared" si="2217"/>
        <v/>
      </c>
      <c r="U162" s="5" t="str">
        <f t="shared" si="2217"/>
        <v/>
      </c>
      <c r="V162" s="5" t="str">
        <f t="shared" si="2217"/>
        <v/>
      </c>
      <c r="W162" s="5" t="str">
        <f t="shared" si="2217"/>
        <v/>
      </c>
      <c r="X162" s="5" t="str">
        <f t="shared" si="2217"/>
        <v/>
      </c>
      <c r="Y162" s="5" t="str">
        <f t="shared" si="2217"/>
        <v/>
      </c>
      <c r="Z162" s="5" t="str">
        <f t="shared" si="2217"/>
        <v/>
      </c>
      <c r="AA162" s="5" t="str">
        <f t="shared" si="2217"/>
        <v/>
      </c>
      <c r="AB162" s="5" t="str">
        <f t="shared" si="2217"/>
        <v/>
      </c>
      <c r="AC162" s="5" t="str">
        <f t="shared" si="2217"/>
        <v/>
      </c>
      <c r="AD162" s="5" t="str">
        <f t="shared" si="2217"/>
        <v/>
      </c>
      <c r="AE162" s="5" t="str">
        <f t="shared" si="2217"/>
        <v/>
      </c>
      <c r="AF162" s="5" t="str">
        <f t="shared" si="2217"/>
        <v/>
      </c>
      <c r="AG162" s="5" t="str">
        <f t="shared" si="2217"/>
        <v/>
      </c>
      <c r="AH162" s="5" t="str">
        <f t="shared" si="2217"/>
        <v/>
      </c>
      <c r="AI162" s="5" t="str">
        <f t="shared" si="2217"/>
        <v/>
      </c>
      <c r="AJ162" s="5" t="str">
        <f t="shared" si="2217"/>
        <v/>
      </c>
      <c r="AK162" s="5" t="str">
        <f t="shared" si="2217"/>
        <v/>
      </c>
      <c r="AL162" s="5" t="str">
        <f t="shared" si="2217"/>
        <v/>
      </c>
      <c r="AM162" s="5" t="str">
        <f t="shared" si="2217"/>
        <v/>
      </c>
      <c r="AN162" s="5" t="str">
        <f t="shared" si="2217"/>
        <v/>
      </c>
      <c r="AO162" s="5" t="str">
        <f t="shared" ref="AO162:AS162" si="2218">IF(AO$8="","",AO161*AO156)</f>
        <v/>
      </c>
      <c r="AP162" s="5" t="str">
        <f t="shared" si="2218"/>
        <v/>
      </c>
      <c r="AQ162" s="5" t="str">
        <f t="shared" si="2218"/>
        <v/>
      </c>
      <c r="AR162" s="5" t="str">
        <f t="shared" si="2218"/>
        <v/>
      </c>
      <c r="AS162" s="5" t="str">
        <f t="shared" si="2218"/>
        <v/>
      </c>
    </row>
    <row r="163" spans="1:45" s="1" customFormat="1" ht="12" thickBot="1" x14ac:dyDescent="0.2">
      <c r="A163" s="4">
        <f>IF(A162="","",A162/(A159*100))</f>
        <v>0</v>
      </c>
      <c r="B163" s="6" t="s">
        <v>18</v>
      </c>
      <c r="C163" s="67" t="s">
        <v>19</v>
      </c>
      <c r="D163" s="18" t="s">
        <v>19</v>
      </c>
      <c r="E163" s="18" t="s">
        <v>19</v>
      </c>
      <c r="F163" s="18" t="s">
        <v>19</v>
      </c>
      <c r="G163" s="18" t="s">
        <v>19</v>
      </c>
      <c r="H163" s="18" t="s">
        <v>19</v>
      </c>
      <c r="I163" s="18" t="s">
        <v>19</v>
      </c>
      <c r="J163" s="18" t="str">
        <f t="shared" ref="D163:AN163" si="2219">IF(J$8="","",IF(J162=0,"",J162/(J159*100)))</f>
        <v/>
      </c>
      <c r="K163" s="18" t="str">
        <f t="shared" si="2219"/>
        <v/>
      </c>
      <c r="L163" s="18" t="str">
        <f t="shared" si="2219"/>
        <v/>
      </c>
      <c r="M163" s="18" t="str">
        <f t="shared" si="2219"/>
        <v/>
      </c>
      <c r="N163" s="18" t="str">
        <f t="shared" si="2219"/>
        <v/>
      </c>
      <c r="O163" s="18" t="str">
        <f t="shared" si="2219"/>
        <v/>
      </c>
      <c r="P163" s="18" t="str">
        <f t="shared" si="2219"/>
        <v/>
      </c>
      <c r="Q163" s="18" t="str">
        <f t="shared" si="2219"/>
        <v/>
      </c>
      <c r="R163" s="18" t="str">
        <f t="shared" si="2219"/>
        <v/>
      </c>
      <c r="S163" s="18" t="str">
        <f t="shared" si="2219"/>
        <v/>
      </c>
      <c r="T163" s="18" t="str">
        <f t="shared" si="2219"/>
        <v/>
      </c>
      <c r="U163" s="18" t="str">
        <f t="shared" si="2219"/>
        <v/>
      </c>
      <c r="V163" s="18" t="str">
        <f t="shared" si="2219"/>
        <v/>
      </c>
      <c r="W163" s="18" t="str">
        <f t="shared" si="2219"/>
        <v/>
      </c>
      <c r="X163" s="18" t="str">
        <f t="shared" si="2219"/>
        <v/>
      </c>
      <c r="Y163" s="18" t="str">
        <f t="shared" si="2219"/>
        <v/>
      </c>
      <c r="Z163" s="18" t="str">
        <f t="shared" si="2219"/>
        <v/>
      </c>
      <c r="AA163" s="18" t="str">
        <f t="shared" si="2219"/>
        <v/>
      </c>
      <c r="AB163" s="18" t="str">
        <f t="shared" si="2219"/>
        <v/>
      </c>
      <c r="AC163" s="18" t="str">
        <f t="shared" si="2219"/>
        <v/>
      </c>
      <c r="AD163" s="18" t="str">
        <f t="shared" si="2219"/>
        <v/>
      </c>
      <c r="AE163" s="18" t="str">
        <f t="shared" si="2219"/>
        <v/>
      </c>
      <c r="AF163" s="18" t="str">
        <f t="shared" si="2219"/>
        <v/>
      </c>
      <c r="AG163" s="18" t="str">
        <f t="shared" si="2219"/>
        <v/>
      </c>
      <c r="AH163" s="18" t="str">
        <f t="shared" si="2219"/>
        <v/>
      </c>
      <c r="AI163" s="18" t="str">
        <f t="shared" si="2219"/>
        <v/>
      </c>
      <c r="AJ163" s="18" t="str">
        <f t="shared" si="2219"/>
        <v/>
      </c>
      <c r="AK163" s="18" t="str">
        <f t="shared" si="2219"/>
        <v/>
      </c>
      <c r="AL163" s="18" t="str">
        <f t="shared" si="2219"/>
        <v/>
      </c>
      <c r="AM163" s="18" t="str">
        <f t="shared" si="2219"/>
        <v/>
      </c>
      <c r="AN163" s="18" t="str">
        <f t="shared" si="2219"/>
        <v/>
      </c>
      <c r="AO163" s="18" t="str">
        <f t="shared" ref="AO163:AS163" si="2220">IF(AO$8="","",IF(AO162=0,"",AO162/(AO159*100)))</f>
        <v/>
      </c>
      <c r="AP163" s="18" t="str">
        <f t="shared" si="2220"/>
        <v/>
      </c>
      <c r="AQ163" s="18" t="str">
        <f t="shared" si="2220"/>
        <v/>
      </c>
      <c r="AR163" s="18" t="str">
        <f t="shared" si="2220"/>
        <v/>
      </c>
      <c r="AS163" s="18" t="str">
        <f t="shared" si="2220"/>
        <v/>
      </c>
    </row>
    <row r="164" spans="1:45" s="1" customFormat="1" ht="11.25" x14ac:dyDescent="0.15">
      <c r="A164" s="17" t="s">
        <v>46</v>
      </c>
      <c r="B164" s="9" t="s">
        <v>2</v>
      </c>
      <c r="C164" s="65">
        <v>4198</v>
      </c>
      <c r="D164" s="8">
        <v>4198</v>
      </c>
      <c r="E164" s="8">
        <v>4264</v>
      </c>
      <c r="F164" s="8">
        <v>4264</v>
      </c>
      <c r="G164" s="8">
        <v>4264</v>
      </c>
      <c r="H164" s="8">
        <v>4264</v>
      </c>
      <c r="I164" s="8">
        <v>4348</v>
      </c>
      <c r="J164" s="8">
        <f t="shared" ref="J164:J165" si="2221">IF(J$8="","",I164)</f>
        <v>4348</v>
      </c>
      <c r="K164" s="8">
        <f t="shared" ref="K164:K165" si="2222">IF(K$8="","",J164)</f>
        <v>4348</v>
      </c>
      <c r="L164" s="8">
        <v>4431</v>
      </c>
      <c r="M164" s="8" t="str">
        <f t="shared" ref="M164:M165" si="2223">IF(M$8="","",L164)</f>
        <v/>
      </c>
      <c r="N164" s="8" t="str">
        <f t="shared" ref="N164:N165" si="2224">IF(N$8="","",M164)</f>
        <v/>
      </c>
      <c r="O164" s="8" t="str">
        <f t="shared" ref="O164:O165" si="2225">IF(O$8="","",N164)</f>
        <v/>
      </c>
      <c r="P164" s="8" t="str">
        <f>IF(P$8="","",O164)</f>
        <v/>
      </c>
      <c r="Q164" s="8" t="str">
        <f t="shared" ref="Q164:Q165" si="2226">IF(Q$8="","",P164)</f>
        <v/>
      </c>
      <c r="R164" s="8" t="str">
        <f t="shared" ref="R164:R165" si="2227">IF(R$8="","",Q164)</f>
        <v/>
      </c>
      <c r="S164" s="8" t="str">
        <f>IF(S$8="","",R164)</f>
        <v/>
      </c>
      <c r="T164" s="8" t="str">
        <f t="shared" ref="T164:T165" si="2228">IF(T$8="","",S164)</f>
        <v/>
      </c>
      <c r="U164" s="8" t="str">
        <f t="shared" ref="U164:U165" si="2229">IF(U$8="","",T164)</f>
        <v/>
      </c>
      <c r="V164" s="8" t="str">
        <f t="shared" ref="V164:V165" si="2230">IF(V$8="","",U164)</f>
        <v/>
      </c>
      <c r="W164" s="8" t="str">
        <f>IF(W$8="","",V164)</f>
        <v/>
      </c>
      <c r="X164" s="8" t="str">
        <f t="shared" ref="X164:X165" si="2231">IF(X$8="","",W164)</f>
        <v/>
      </c>
      <c r="Y164" s="8" t="str">
        <f t="shared" ref="Y164:Y165" si="2232">IF(Y$8="","",X164)</f>
        <v/>
      </c>
      <c r="Z164" s="8" t="str">
        <f>IF(Z$8="","",Y164)</f>
        <v/>
      </c>
      <c r="AA164" s="8" t="str">
        <f t="shared" ref="AA164:AA165" si="2233">IF(AA$8="","",Z164)</f>
        <v/>
      </c>
      <c r="AB164" s="8" t="str">
        <f t="shared" ref="AB164:AB165" si="2234">IF(AB$8="","",AA164)</f>
        <v/>
      </c>
      <c r="AC164" s="8" t="str">
        <f t="shared" ref="AC164:AC165" si="2235">IF(AC$8="","",AB164)</f>
        <v/>
      </c>
      <c r="AD164" s="8" t="str">
        <f>IF(AD$8="","",AC164)</f>
        <v/>
      </c>
      <c r="AE164" s="8" t="str">
        <f t="shared" ref="AE164:AE165" si="2236">IF(AE$8="","",AD164)</f>
        <v/>
      </c>
      <c r="AF164" s="8" t="str">
        <f t="shared" ref="AF164:AF165" si="2237">IF(AF$8="","",AE164)</f>
        <v/>
      </c>
      <c r="AG164" s="8" t="str">
        <f>IF(AG$8="","",AF164)</f>
        <v/>
      </c>
      <c r="AH164" s="8" t="str">
        <f t="shared" ref="AH164:AH165" si="2238">IF(AH$8="","",AG164)</f>
        <v/>
      </c>
      <c r="AI164" s="8" t="str">
        <f t="shared" ref="AI164:AI165" si="2239">IF(AI$8="","",AH164)</f>
        <v/>
      </c>
      <c r="AJ164" s="8" t="str">
        <f t="shared" ref="AJ164:AJ165" si="2240">IF(AJ$8="","",AI164)</f>
        <v/>
      </c>
      <c r="AK164" s="8" t="str">
        <f>IF(AK$8="","",AJ164)</f>
        <v/>
      </c>
      <c r="AL164" s="8" t="str">
        <f t="shared" ref="AL164:AL165" si="2241">IF(AL$8="","",AK164)</f>
        <v/>
      </c>
      <c r="AM164" s="8" t="str">
        <f t="shared" ref="AM164:AM165" si="2242">IF(AM$8="","",AL164)</f>
        <v/>
      </c>
      <c r="AN164" s="8" t="str">
        <f t="shared" ref="AN164:AN165" si="2243">IF(AN$8="","",AM164)</f>
        <v/>
      </c>
      <c r="AO164" s="8" t="str">
        <f t="shared" ref="AO164:AS164" si="2244">IF(AO$8="","",AN164)</f>
        <v/>
      </c>
      <c r="AP164" s="8" t="str">
        <f t="shared" si="2244"/>
        <v/>
      </c>
      <c r="AQ164" s="8" t="str">
        <f t="shared" si="2244"/>
        <v/>
      </c>
      <c r="AR164" s="8" t="str">
        <f t="shared" si="2244"/>
        <v/>
      </c>
      <c r="AS164" s="8" t="str">
        <f t="shared" si="2244"/>
        <v/>
      </c>
    </row>
    <row r="165" spans="1:45" s="1" customFormat="1" ht="11.25" x14ac:dyDescent="0.15">
      <c r="A165" s="16" t="s">
        <v>32</v>
      </c>
      <c r="B165" s="9" t="s">
        <v>4</v>
      </c>
      <c r="C165" s="65">
        <v>109</v>
      </c>
      <c r="D165" s="8">
        <v>109</v>
      </c>
      <c r="E165" s="8">
        <v>111</v>
      </c>
      <c r="F165" s="8">
        <v>111</v>
      </c>
      <c r="G165" s="8">
        <v>111</v>
      </c>
      <c r="H165" s="8">
        <v>111</v>
      </c>
      <c r="I165" s="8">
        <v>113</v>
      </c>
      <c r="J165" s="8">
        <f t="shared" si="2221"/>
        <v>113</v>
      </c>
      <c r="K165" s="8">
        <f t="shared" si="2222"/>
        <v>113</v>
      </c>
      <c r="L165" s="8">
        <f t="shared" ref="L165" si="2245">IF(L$8="","",K165)</f>
        <v>113</v>
      </c>
      <c r="M165" s="8" t="str">
        <f t="shared" si="2223"/>
        <v/>
      </c>
      <c r="N165" s="8" t="str">
        <f t="shared" si="2224"/>
        <v/>
      </c>
      <c r="O165" s="8" t="str">
        <f t="shared" si="2225"/>
        <v/>
      </c>
      <c r="P165" s="8" t="str">
        <f>IF(P$8="","",O165)</f>
        <v/>
      </c>
      <c r="Q165" s="8" t="str">
        <f t="shared" si="2226"/>
        <v/>
      </c>
      <c r="R165" s="8" t="str">
        <f t="shared" si="2227"/>
        <v/>
      </c>
      <c r="S165" s="8" t="str">
        <f>IF(S$8="","",R165)</f>
        <v/>
      </c>
      <c r="T165" s="8" t="str">
        <f t="shared" si="2228"/>
        <v/>
      </c>
      <c r="U165" s="8" t="str">
        <f t="shared" si="2229"/>
        <v/>
      </c>
      <c r="V165" s="8" t="str">
        <f t="shared" si="2230"/>
        <v/>
      </c>
      <c r="W165" s="8" t="str">
        <f>IF(W$8="","",V165)</f>
        <v/>
      </c>
      <c r="X165" s="8" t="str">
        <f t="shared" si="2231"/>
        <v/>
      </c>
      <c r="Y165" s="8" t="str">
        <f t="shared" si="2232"/>
        <v/>
      </c>
      <c r="Z165" s="8" t="str">
        <f>IF(Z$8="","",Y165)</f>
        <v/>
      </c>
      <c r="AA165" s="8" t="str">
        <f t="shared" si="2233"/>
        <v/>
      </c>
      <c r="AB165" s="8" t="str">
        <f t="shared" si="2234"/>
        <v/>
      </c>
      <c r="AC165" s="8" t="str">
        <f t="shared" si="2235"/>
        <v/>
      </c>
      <c r="AD165" s="8" t="str">
        <f t="shared" ref="AD165" si="2246">IF(AD$8="","",AC165)</f>
        <v/>
      </c>
      <c r="AE165" s="8" t="str">
        <f t="shared" si="2236"/>
        <v/>
      </c>
      <c r="AF165" s="8" t="str">
        <f t="shared" si="2237"/>
        <v/>
      </c>
      <c r="AG165" s="8" t="str">
        <f>IF(AG$8="","",AF165)</f>
        <v/>
      </c>
      <c r="AH165" s="8" t="str">
        <f t="shared" si="2238"/>
        <v/>
      </c>
      <c r="AI165" s="8" t="str">
        <f t="shared" si="2239"/>
        <v/>
      </c>
      <c r="AJ165" s="8" t="str">
        <f t="shared" si="2240"/>
        <v/>
      </c>
      <c r="AK165" s="8" t="str">
        <f>IF(AK$8="","",AJ165)</f>
        <v/>
      </c>
      <c r="AL165" s="8" t="str">
        <f t="shared" si="2241"/>
        <v/>
      </c>
      <c r="AM165" s="8" t="str">
        <f t="shared" si="2242"/>
        <v/>
      </c>
      <c r="AN165" s="8" t="str">
        <f t="shared" si="2243"/>
        <v/>
      </c>
      <c r="AO165" s="8" t="str">
        <f t="shared" ref="AO165:AS165" si="2247">IF(AO$8="","",AN165)</f>
        <v/>
      </c>
      <c r="AP165" s="8" t="str">
        <f t="shared" si="2247"/>
        <v/>
      </c>
      <c r="AQ165" s="8" t="str">
        <f t="shared" si="2247"/>
        <v/>
      </c>
      <c r="AR165" s="8" t="str">
        <f t="shared" si="2247"/>
        <v/>
      </c>
      <c r="AS165" s="8" t="str">
        <f t="shared" si="2247"/>
        <v/>
      </c>
    </row>
    <row r="166" spans="1:45" s="1" customFormat="1" ht="11.25" x14ac:dyDescent="0.15">
      <c r="A166" s="15">
        <v>2</v>
      </c>
      <c r="B166" s="9" t="s">
        <v>5</v>
      </c>
      <c r="C166" s="65">
        <v>12</v>
      </c>
      <c r="D166" s="8">
        <v>12</v>
      </c>
      <c r="E166" s="8">
        <v>10</v>
      </c>
      <c r="F166" s="8">
        <v>10</v>
      </c>
      <c r="G166" s="8">
        <v>10</v>
      </c>
      <c r="H166" s="8">
        <v>10</v>
      </c>
      <c r="I166" s="8">
        <v>8</v>
      </c>
      <c r="J166" s="8">
        <f t="shared" ref="J166" si="2248">IF(J$8="","",(I166+I167))</f>
        <v>8</v>
      </c>
      <c r="K166" s="8">
        <f t="shared" ref="K166" si="2249">IF(K$8="","",(J166+J167))</f>
        <v>8</v>
      </c>
      <c r="L166" s="8">
        <f t="shared" ref="L166" si="2250">IF(L$8="","",(K166+K167))</f>
        <v>8</v>
      </c>
      <c r="M166" s="8" t="str">
        <f t="shared" ref="M166" si="2251">IF(M$8="","",(L166+L167))</f>
        <v/>
      </c>
      <c r="N166" s="8" t="str">
        <f t="shared" ref="N166" si="2252">IF(N$8="","",(M166+M167))</f>
        <v/>
      </c>
      <c r="O166" s="8" t="str">
        <f t="shared" ref="O166" si="2253">IF(O$8="","",(N166+N167))</f>
        <v/>
      </c>
      <c r="P166" s="8" t="str">
        <f>IF(P$8="","",(O166+O167))</f>
        <v/>
      </c>
      <c r="Q166" s="8" t="str">
        <f t="shared" ref="Q166" si="2254">IF(Q$8="","",(P166+P167))</f>
        <v/>
      </c>
      <c r="R166" s="8" t="str">
        <f t="shared" ref="R166" si="2255">IF(R$8="","",(Q166+Q167))</f>
        <v/>
      </c>
      <c r="S166" s="8" t="str">
        <f>IF(S$8="","",(R166+R167))</f>
        <v/>
      </c>
      <c r="T166" s="8" t="str">
        <f t="shared" ref="T166" si="2256">IF(T$8="","",(S166+S167))</f>
        <v/>
      </c>
      <c r="U166" s="8" t="str">
        <f t="shared" ref="U166" si="2257">IF(U$8="","",(T166+T167))</f>
        <v/>
      </c>
      <c r="V166" s="8" t="str">
        <f t="shared" ref="V166" si="2258">IF(V$8="","",(U166+U167))</f>
        <v/>
      </c>
      <c r="W166" s="8" t="str">
        <f>IF(W$8="","",(V166+V167))</f>
        <v/>
      </c>
      <c r="X166" s="8" t="str">
        <f t="shared" ref="X166" si="2259">IF(X$8="","",(W166+W167))</f>
        <v/>
      </c>
      <c r="Y166" s="8" t="str">
        <f t="shared" ref="Y166" si="2260">IF(Y$8="","",(X166+X167))</f>
        <v/>
      </c>
      <c r="Z166" s="8" t="str">
        <f>IF(Z$8="","",(Y166+Y167))</f>
        <v/>
      </c>
      <c r="AA166" s="8" t="str">
        <f t="shared" ref="AA166" si="2261">IF(AA$8="","",(Z166+Z167))</f>
        <v/>
      </c>
      <c r="AB166" s="8" t="str">
        <f t="shared" ref="AB166" si="2262">IF(AB$8="","",(AA166+AA167))</f>
        <v/>
      </c>
      <c r="AC166" s="8" t="str">
        <f t="shared" ref="AC166" si="2263">IF(AC$8="","",(AB166+AB167))</f>
        <v/>
      </c>
      <c r="AD166" s="8" t="str">
        <f t="shared" ref="AD166" si="2264">IF(AD$8="","",(AC166+AC167))</f>
        <v/>
      </c>
      <c r="AE166" s="8" t="str">
        <f t="shared" ref="AE166" si="2265">IF(AE$8="","",(AD166+AD167))</f>
        <v/>
      </c>
      <c r="AF166" s="8" t="str">
        <f t="shared" ref="AF166" si="2266">IF(AF$8="","",(AE166+AE167))</f>
        <v/>
      </c>
      <c r="AG166" s="8" t="str">
        <f>IF(AG$8="","",(AF166+AF167))</f>
        <v/>
      </c>
      <c r="AH166" s="8" t="str">
        <f t="shared" ref="AH166" si="2267">IF(AH$8="","",(AG166+AG167))</f>
        <v/>
      </c>
      <c r="AI166" s="8" t="str">
        <f t="shared" ref="AI166" si="2268">IF(AI$8="","",(AH166+AH167))</f>
        <v/>
      </c>
      <c r="AJ166" s="8" t="str">
        <f t="shared" ref="AJ166" si="2269">IF(AJ$8="","",(AI166+AI167))</f>
        <v/>
      </c>
      <c r="AK166" s="8" t="str">
        <f>IF(AK$8="","",(AJ166+AJ167))</f>
        <v/>
      </c>
      <c r="AL166" s="8" t="str">
        <f t="shared" ref="AL166" si="2270">IF(AL$8="","",(AK166+AK167))</f>
        <v/>
      </c>
      <c r="AM166" s="8" t="str">
        <f t="shared" ref="AM166" si="2271">IF(AM$8="","",(AL166+AL167))</f>
        <v/>
      </c>
      <c r="AN166" s="8" t="str">
        <f t="shared" ref="AN166" si="2272">IF(AN$8="","",(AM166+AM167))</f>
        <v/>
      </c>
      <c r="AO166" s="8" t="str">
        <f t="shared" ref="AO166:AS166" si="2273">IF(AO$8="","",(AN166+AN167))</f>
        <v/>
      </c>
      <c r="AP166" s="8" t="str">
        <f t="shared" si="2273"/>
        <v/>
      </c>
      <c r="AQ166" s="8" t="str">
        <f t="shared" si="2273"/>
        <v/>
      </c>
      <c r="AR166" s="8" t="str">
        <f t="shared" si="2273"/>
        <v/>
      </c>
      <c r="AS166" s="8" t="str">
        <f t="shared" si="2273"/>
        <v/>
      </c>
    </row>
    <row r="167" spans="1:45" s="1" customFormat="1" ht="11.25" x14ac:dyDescent="0.15">
      <c r="A167" s="14"/>
      <c r="B167" s="9" t="s">
        <v>7</v>
      </c>
      <c r="C167" s="6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</row>
    <row r="168" spans="1:45" s="1" customFormat="1" ht="11.25" x14ac:dyDescent="0.15">
      <c r="A168" s="7"/>
      <c r="B168" s="9" t="s">
        <v>8</v>
      </c>
      <c r="C168" s="65">
        <v>750</v>
      </c>
      <c r="D168" s="8">
        <v>750</v>
      </c>
      <c r="E168" s="8">
        <v>750</v>
      </c>
      <c r="F168" s="8">
        <v>750</v>
      </c>
      <c r="G168" s="8">
        <v>750</v>
      </c>
      <c r="H168" s="8">
        <v>750</v>
      </c>
      <c r="I168" s="8">
        <v>750</v>
      </c>
      <c r="J168" s="8">
        <f t="shared" ref="J168:J169" si="2274">IF(J$8="","",I168)</f>
        <v>750</v>
      </c>
      <c r="K168" s="8">
        <f t="shared" ref="K168:K169" si="2275">IF(K$8="","",J168)</f>
        <v>750</v>
      </c>
      <c r="L168" s="8">
        <f t="shared" ref="L168:L169" si="2276">IF(L$8="","",K168)</f>
        <v>750</v>
      </c>
      <c r="M168" s="8" t="str">
        <f t="shared" ref="M168:M169" si="2277">IF(M$8="","",L168)</f>
        <v/>
      </c>
      <c r="N168" s="8" t="str">
        <f t="shared" ref="N168:N169" si="2278">IF(N$8="","",M168)</f>
        <v/>
      </c>
      <c r="O168" s="8" t="str">
        <f t="shared" ref="O168:O169" si="2279">IF(O$8="","",N168)</f>
        <v/>
      </c>
      <c r="P168" s="8" t="str">
        <f t="shared" ref="P168:P169" si="2280">IF(P$8="","",O168)</f>
        <v/>
      </c>
      <c r="Q168" s="8" t="str">
        <f t="shared" ref="Q168:Q169" si="2281">IF(Q$8="","",P168)</f>
        <v/>
      </c>
      <c r="R168" s="8" t="str">
        <f t="shared" ref="R168:R169" si="2282">IF(R$8="","",Q168)</f>
        <v/>
      </c>
      <c r="S168" s="8" t="str">
        <f t="shared" ref="S168:S169" si="2283">IF(S$8="","",R168)</f>
        <v/>
      </c>
      <c r="T168" s="8" t="str">
        <f t="shared" ref="T168:T169" si="2284">IF(T$8="","",S168)</f>
        <v/>
      </c>
      <c r="U168" s="8" t="str">
        <f t="shared" ref="U168:U169" si="2285">IF(U$8="","",T168)</f>
        <v/>
      </c>
      <c r="V168" s="8" t="str">
        <f t="shared" ref="V168:V169" si="2286">IF(V$8="","",U168)</f>
        <v/>
      </c>
      <c r="W168" s="8" t="str">
        <f t="shared" ref="W168:W169" si="2287">IF(W$8="","",V168)</f>
        <v/>
      </c>
      <c r="X168" s="8" t="str">
        <f t="shared" ref="X168:X169" si="2288">IF(X$8="","",W168)</f>
        <v/>
      </c>
      <c r="Y168" s="8" t="str">
        <f t="shared" ref="Y168:Y169" si="2289">IF(Y$8="","",X168)</f>
        <v/>
      </c>
      <c r="Z168" s="8" t="str">
        <f t="shared" ref="Z168" si="2290">IF(Z$8="","",Y168)</f>
        <v/>
      </c>
      <c r="AA168" s="8" t="str">
        <f t="shared" ref="AA168:AA169" si="2291">IF(AA$8="","",Z168)</f>
        <v/>
      </c>
      <c r="AB168" s="8" t="str">
        <f t="shared" ref="AB168:AB169" si="2292">IF(AB$8="","",AA168)</f>
        <v/>
      </c>
      <c r="AC168" s="8" t="str">
        <f t="shared" ref="AC168:AC169" si="2293">IF(AC$8="","",AB168)</f>
        <v/>
      </c>
      <c r="AD168" s="8" t="str">
        <f t="shared" ref="AD168:AD169" si="2294">IF(AD$8="","",AC168)</f>
        <v/>
      </c>
      <c r="AE168" s="8" t="str">
        <f t="shared" ref="AE168:AE169" si="2295">IF(AE$8="","",AD168)</f>
        <v/>
      </c>
      <c r="AF168" s="8" t="str">
        <f t="shared" ref="AF168:AF169" si="2296">IF(AF$8="","",AE168)</f>
        <v/>
      </c>
      <c r="AG168" s="8" t="str">
        <f t="shared" ref="AG168:AG169" si="2297">IF(AG$8="","",AF168)</f>
        <v/>
      </c>
      <c r="AH168" s="8" t="str">
        <f t="shared" ref="AH168:AH169" si="2298">IF(AH$8="","",AG168)</f>
        <v/>
      </c>
      <c r="AI168" s="8" t="str">
        <f t="shared" ref="AI168:AI169" si="2299">IF(AI$8="","",AH168)</f>
        <v/>
      </c>
      <c r="AJ168" s="8" t="str">
        <f t="shared" ref="AJ168:AJ169" si="2300">IF(AJ$8="","",AI168)</f>
        <v/>
      </c>
      <c r="AK168" s="8" t="str">
        <f t="shared" ref="AK168:AK169" si="2301">IF(AK$8="","",AJ168)</f>
        <v/>
      </c>
      <c r="AL168" s="8" t="str">
        <f t="shared" ref="AL168:AL169" si="2302">IF(AL$8="","",AK168)</f>
        <v/>
      </c>
      <c r="AM168" s="8" t="str">
        <f t="shared" ref="AM168:AM169" si="2303">IF(AM$8="","",AL168)</f>
        <v/>
      </c>
      <c r="AN168" s="8" t="str">
        <f t="shared" ref="AN168:AN169" si="2304">IF(AN$8="","",AM168)</f>
        <v/>
      </c>
      <c r="AO168" s="8" t="str">
        <f t="shared" ref="AO168:AS168" si="2305">IF(AO$8="","",AN168)</f>
        <v/>
      </c>
      <c r="AP168" s="8" t="str">
        <f t="shared" si="2305"/>
        <v/>
      </c>
      <c r="AQ168" s="8" t="str">
        <f t="shared" si="2305"/>
        <v/>
      </c>
      <c r="AR168" s="8" t="str">
        <f t="shared" si="2305"/>
        <v/>
      </c>
      <c r="AS168" s="8" t="str">
        <f t="shared" si="2305"/>
        <v/>
      </c>
    </row>
    <row r="169" spans="1:45" s="85" customFormat="1" ht="11.25" x14ac:dyDescent="0.15">
      <c r="A169" s="14" t="s">
        <v>9</v>
      </c>
      <c r="B169" s="13" t="s">
        <v>10</v>
      </c>
      <c r="C169" s="66" t="s">
        <v>352</v>
      </c>
      <c r="D169" s="12" t="s">
        <v>352</v>
      </c>
      <c r="E169" s="12" t="s">
        <v>352</v>
      </c>
      <c r="F169" s="12" t="s">
        <v>352</v>
      </c>
      <c r="G169" s="12" t="s">
        <v>352</v>
      </c>
      <c r="H169" s="12" t="s">
        <v>352</v>
      </c>
      <c r="I169" s="12" t="s">
        <v>352</v>
      </c>
      <c r="J169" s="12" t="str">
        <f t="shared" si="2274"/>
        <v>ベアブリック</v>
      </c>
      <c r="K169" s="12" t="str">
        <f t="shared" si="2275"/>
        <v>ベアブリック</v>
      </c>
      <c r="L169" s="12" t="str">
        <f t="shared" si="2276"/>
        <v>ベアブリック</v>
      </c>
      <c r="M169" s="12" t="str">
        <f t="shared" si="2277"/>
        <v/>
      </c>
      <c r="N169" s="12" t="str">
        <f t="shared" si="2278"/>
        <v/>
      </c>
      <c r="O169" s="12" t="str">
        <f t="shared" si="2279"/>
        <v/>
      </c>
      <c r="P169" s="12" t="str">
        <f t="shared" si="2280"/>
        <v/>
      </c>
      <c r="Q169" s="12" t="str">
        <f t="shared" si="2281"/>
        <v/>
      </c>
      <c r="R169" s="12" t="str">
        <f t="shared" si="2282"/>
        <v/>
      </c>
      <c r="S169" s="12" t="str">
        <f t="shared" si="2283"/>
        <v/>
      </c>
      <c r="T169" s="12" t="str">
        <f t="shared" si="2284"/>
        <v/>
      </c>
      <c r="U169" s="12" t="str">
        <f t="shared" si="2285"/>
        <v/>
      </c>
      <c r="V169" s="12" t="str">
        <f t="shared" si="2286"/>
        <v/>
      </c>
      <c r="W169" s="12" t="str">
        <f t="shared" si="2287"/>
        <v/>
      </c>
      <c r="X169" s="12" t="str">
        <f t="shared" si="2288"/>
        <v/>
      </c>
      <c r="Y169" s="12" t="str">
        <f t="shared" si="2289"/>
        <v/>
      </c>
      <c r="Z169" s="12" t="str">
        <f>IF(Z$8="","",Y169)</f>
        <v/>
      </c>
      <c r="AA169" s="12" t="str">
        <f t="shared" si="2291"/>
        <v/>
      </c>
      <c r="AB169" s="12" t="str">
        <f t="shared" si="2292"/>
        <v/>
      </c>
      <c r="AC169" s="12" t="str">
        <f t="shared" si="2293"/>
        <v/>
      </c>
      <c r="AD169" s="12" t="str">
        <f t="shared" si="2294"/>
        <v/>
      </c>
      <c r="AE169" s="12" t="str">
        <f t="shared" si="2295"/>
        <v/>
      </c>
      <c r="AF169" s="12" t="str">
        <f t="shared" si="2296"/>
        <v/>
      </c>
      <c r="AG169" s="12" t="str">
        <f t="shared" si="2297"/>
        <v/>
      </c>
      <c r="AH169" s="12" t="str">
        <f t="shared" si="2298"/>
        <v/>
      </c>
      <c r="AI169" s="12" t="str">
        <f t="shared" si="2299"/>
        <v/>
      </c>
      <c r="AJ169" s="12" t="str">
        <f t="shared" si="2300"/>
        <v/>
      </c>
      <c r="AK169" s="12" t="str">
        <f t="shared" si="2301"/>
        <v/>
      </c>
      <c r="AL169" s="12" t="str">
        <f t="shared" si="2302"/>
        <v/>
      </c>
      <c r="AM169" s="12" t="str">
        <f t="shared" si="2303"/>
        <v/>
      </c>
      <c r="AN169" s="12" t="str">
        <f t="shared" si="2304"/>
        <v/>
      </c>
      <c r="AO169" s="12" t="str">
        <f t="shared" ref="AO169:AS169" si="2306">IF(AO$8="","",AN169)</f>
        <v/>
      </c>
      <c r="AP169" s="12" t="str">
        <f t="shared" si="2306"/>
        <v/>
      </c>
      <c r="AQ169" s="12" t="str">
        <f t="shared" si="2306"/>
        <v/>
      </c>
      <c r="AR169" s="12" t="str">
        <f t="shared" si="2306"/>
        <v/>
      </c>
      <c r="AS169" s="12" t="str">
        <f t="shared" si="2306"/>
        <v/>
      </c>
    </row>
    <row r="170" spans="1:45" s="1" customFormat="1" ht="11.25" x14ac:dyDescent="0.15">
      <c r="A170" s="7">
        <f>AVERAGE(C171:AS171)*30*100</f>
        <v>69900</v>
      </c>
      <c r="B170" s="9" t="s">
        <v>12</v>
      </c>
      <c r="C170" s="65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</row>
    <row r="171" spans="1:45" s="1" customFormat="1" ht="11.25" x14ac:dyDescent="0.15">
      <c r="A171" s="7">
        <f>SUM(C171:AS171)</f>
        <v>233</v>
      </c>
      <c r="B171" s="6" t="s">
        <v>13</v>
      </c>
      <c r="C171" s="65">
        <v>0</v>
      </c>
      <c r="D171" s="5">
        <v>0</v>
      </c>
      <c r="E171" s="5">
        <v>66</v>
      </c>
      <c r="F171" s="5">
        <v>0</v>
      </c>
      <c r="G171" s="5">
        <v>0</v>
      </c>
      <c r="H171" s="5">
        <v>0</v>
      </c>
      <c r="I171" s="5">
        <v>84</v>
      </c>
      <c r="J171" s="5">
        <f t="shared" ref="J171:J172" si="2307">IF(J$8="","",J164-I164)</f>
        <v>0</v>
      </c>
      <c r="K171" s="5">
        <f t="shared" ref="K171:K172" si="2308">IF(K$8="","",K164-J164)</f>
        <v>0</v>
      </c>
      <c r="L171" s="5">
        <f t="shared" ref="L171:L172" si="2309">IF(L$8="","",L164-K164)</f>
        <v>83</v>
      </c>
      <c r="M171" s="5" t="str">
        <f t="shared" ref="M171:M172" si="2310">IF(M$8="","",M164-L164)</f>
        <v/>
      </c>
      <c r="N171" s="5" t="str">
        <f t="shared" ref="N171:N172" si="2311">IF(N$8="","",N164-M164)</f>
        <v/>
      </c>
      <c r="O171" s="5" t="str">
        <f t="shared" ref="O171:O172" si="2312">IF(O$8="","",O164-N164)</f>
        <v/>
      </c>
      <c r="P171" s="5" t="str">
        <f t="shared" ref="P171:P172" si="2313">IF(P$8="","",P164-O164)</f>
        <v/>
      </c>
      <c r="Q171" s="5" t="str">
        <f t="shared" ref="Q171:Q172" si="2314">IF(Q$8="","",Q164-P164)</f>
        <v/>
      </c>
      <c r="R171" s="5" t="str">
        <f t="shared" ref="R171:R172" si="2315">IF(R$8="","",R164-Q164)</f>
        <v/>
      </c>
      <c r="S171" s="5" t="str">
        <f t="shared" ref="S171:S172" si="2316">IF(S$8="","",S164-R164)</f>
        <v/>
      </c>
      <c r="T171" s="5" t="str">
        <f t="shared" ref="T171:T172" si="2317">IF(T$8="","",T164-S164)</f>
        <v/>
      </c>
      <c r="U171" s="5" t="str">
        <f t="shared" ref="U171:U172" si="2318">IF(U$8="","",U164-T164)</f>
        <v/>
      </c>
      <c r="V171" s="5" t="str">
        <f t="shared" ref="V171:V172" si="2319">IF(V$8="","",V164-U164)</f>
        <v/>
      </c>
      <c r="W171" s="5" t="str">
        <f t="shared" ref="W171:W172" si="2320">IF(W$8="","",W164-V164)</f>
        <v/>
      </c>
      <c r="X171" s="5" t="str">
        <f t="shared" ref="X171:X172" si="2321">IF(X$8="","",X164-W164)</f>
        <v/>
      </c>
      <c r="Y171" s="5" t="str">
        <f t="shared" ref="Y171:Y172" si="2322">IF(Y$8="","",Y164-X164)</f>
        <v/>
      </c>
      <c r="Z171" s="5" t="str">
        <f t="shared" ref="Z171:Z172" si="2323">IF(Z$8="","",Z164-Y164)</f>
        <v/>
      </c>
      <c r="AA171" s="5" t="str">
        <f t="shared" ref="AA171:AA172" si="2324">IF(AA$8="","",AA164-Z164)</f>
        <v/>
      </c>
      <c r="AB171" s="5" t="str">
        <f t="shared" ref="AB171:AB172" si="2325">IF(AB$8="","",AB164-AA164)</f>
        <v/>
      </c>
      <c r="AC171" s="5" t="str">
        <f t="shared" ref="AC171:AC172" si="2326">IF(AC$8="","",AC164-AB164)</f>
        <v/>
      </c>
      <c r="AD171" s="5" t="str">
        <f t="shared" ref="AD171:AD172" si="2327">IF(AD$8="","",AD164-AC164)</f>
        <v/>
      </c>
      <c r="AE171" s="5" t="str">
        <f t="shared" ref="AE171:AE172" si="2328">IF(AE$8="","",AE164-AD164)</f>
        <v/>
      </c>
      <c r="AF171" s="5" t="str">
        <f t="shared" ref="AF171:AF172" si="2329">IF(AF$8="","",AF164-AE164)</f>
        <v/>
      </c>
      <c r="AG171" s="5" t="str">
        <f t="shared" ref="AG171:AG172" si="2330">IF(AG$8="","",AG164-AF164)</f>
        <v/>
      </c>
      <c r="AH171" s="5" t="str">
        <f t="shared" ref="AH171:AH172" si="2331">IF(AH$8="","",AH164-AG164)</f>
        <v/>
      </c>
      <c r="AI171" s="5" t="str">
        <f t="shared" ref="AI171:AI172" si="2332">IF(AI$8="","",AI164-AH164)</f>
        <v/>
      </c>
      <c r="AJ171" s="5" t="str">
        <f t="shared" ref="AJ171:AJ172" si="2333">IF(AJ$8="","",AJ164-AI164)</f>
        <v/>
      </c>
      <c r="AK171" s="5" t="str">
        <f t="shared" ref="AK171:AK172" si="2334">IF(AK$8="","",AK164-AJ164)</f>
        <v/>
      </c>
      <c r="AL171" s="5" t="str">
        <f t="shared" ref="AL171:AL172" si="2335">IF(AL$8="","",AL164-AK164)</f>
        <v/>
      </c>
      <c r="AM171" s="5" t="str">
        <f t="shared" ref="AM171:AM172" si="2336">IF(AM$8="","",AM164-AL164)</f>
        <v/>
      </c>
      <c r="AN171" s="5" t="str">
        <f t="shared" ref="AN171:AN172" si="2337">IF(AN$8="","",AN164-AM164)</f>
        <v/>
      </c>
      <c r="AO171" s="5" t="str">
        <f t="shared" ref="AO171:AS171" si="2338">IF(AO$8="","",AO164-AN164)</f>
        <v/>
      </c>
      <c r="AP171" s="5" t="str">
        <f t="shared" si="2338"/>
        <v/>
      </c>
      <c r="AQ171" s="5" t="str">
        <f t="shared" si="2338"/>
        <v/>
      </c>
      <c r="AR171" s="5" t="str">
        <f t="shared" si="2338"/>
        <v/>
      </c>
      <c r="AS171" s="5" t="str">
        <f t="shared" si="2338"/>
        <v/>
      </c>
    </row>
    <row r="172" spans="1:45" s="1" customFormat="1" ht="11.25" x14ac:dyDescent="0.15">
      <c r="A172" s="7">
        <f>SUM(C172:AS172)</f>
        <v>4</v>
      </c>
      <c r="B172" s="6" t="s">
        <v>14</v>
      </c>
      <c r="C172" s="65">
        <v>0</v>
      </c>
      <c r="D172" s="5">
        <v>0</v>
      </c>
      <c r="E172" s="5">
        <v>2</v>
      </c>
      <c r="F172" s="5">
        <v>0</v>
      </c>
      <c r="G172" s="5">
        <v>0</v>
      </c>
      <c r="H172" s="5">
        <v>0</v>
      </c>
      <c r="I172" s="5">
        <v>2</v>
      </c>
      <c r="J172" s="5">
        <f t="shared" si="2307"/>
        <v>0</v>
      </c>
      <c r="K172" s="5">
        <f t="shared" si="2308"/>
        <v>0</v>
      </c>
      <c r="L172" s="5">
        <f t="shared" si="2309"/>
        <v>0</v>
      </c>
      <c r="M172" s="5" t="str">
        <f t="shared" si="2310"/>
        <v/>
      </c>
      <c r="N172" s="5" t="str">
        <f t="shared" si="2311"/>
        <v/>
      </c>
      <c r="O172" s="5" t="str">
        <f t="shared" si="2312"/>
        <v/>
      </c>
      <c r="P172" s="5" t="str">
        <f t="shared" si="2313"/>
        <v/>
      </c>
      <c r="Q172" s="5" t="str">
        <f t="shared" si="2314"/>
        <v/>
      </c>
      <c r="R172" s="5" t="str">
        <f t="shared" si="2315"/>
        <v/>
      </c>
      <c r="S172" s="5" t="str">
        <f t="shared" si="2316"/>
        <v/>
      </c>
      <c r="T172" s="5" t="str">
        <f t="shared" si="2317"/>
        <v/>
      </c>
      <c r="U172" s="5" t="str">
        <f t="shared" si="2318"/>
        <v/>
      </c>
      <c r="V172" s="5" t="str">
        <f t="shared" si="2319"/>
        <v/>
      </c>
      <c r="W172" s="5" t="str">
        <f t="shared" si="2320"/>
        <v/>
      </c>
      <c r="X172" s="5" t="str">
        <f t="shared" si="2321"/>
        <v/>
      </c>
      <c r="Y172" s="5" t="str">
        <f t="shared" si="2322"/>
        <v/>
      </c>
      <c r="Z172" s="5" t="str">
        <f t="shared" si="2323"/>
        <v/>
      </c>
      <c r="AA172" s="5" t="str">
        <f t="shared" si="2324"/>
        <v/>
      </c>
      <c r="AB172" s="5" t="str">
        <f t="shared" si="2325"/>
        <v/>
      </c>
      <c r="AC172" s="5" t="str">
        <f t="shared" si="2326"/>
        <v/>
      </c>
      <c r="AD172" s="5" t="str">
        <f t="shared" si="2327"/>
        <v/>
      </c>
      <c r="AE172" s="5" t="str">
        <f t="shared" si="2328"/>
        <v/>
      </c>
      <c r="AF172" s="5" t="str">
        <f t="shared" si="2329"/>
        <v/>
      </c>
      <c r="AG172" s="5" t="str">
        <f t="shared" si="2330"/>
        <v/>
      </c>
      <c r="AH172" s="5" t="str">
        <f t="shared" si="2331"/>
        <v/>
      </c>
      <c r="AI172" s="5" t="str">
        <f t="shared" si="2332"/>
        <v/>
      </c>
      <c r="AJ172" s="5" t="str">
        <f t="shared" si="2333"/>
        <v/>
      </c>
      <c r="AK172" s="5" t="str">
        <f t="shared" si="2334"/>
        <v/>
      </c>
      <c r="AL172" s="5" t="str">
        <f t="shared" si="2335"/>
        <v/>
      </c>
      <c r="AM172" s="5" t="str">
        <f t="shared" si="2336"/>
        <v/>
      </c>
      <c r="AN172" s="5" t="str">
        <f t="shared" si="2337"/>
        <v/>
      </c>
      <c r="AO172" s="5" t="str">
        <f t="shared" ref="AO172:AS172" si="2339">IF(AO$8="","",AO165-AN165)</f>
        <v/>
      </c>
      <c r="AP172" s="5" t="str">
        <f t="shared" si="2339"/>
        <v/>
      </c>
      <c r="AQ172" s="5" t="str">
        <f t="shared" si="2339"/>
        <v/>
      </c>
      <c r="AR172" s="5" t="str">
        <f t="shared" si="2339"/>
        <v/>
      </c>
      <c r="AS172" s="5" t="str">
        <f t="shared" si="2339"/>
        <v/>
      </c>
    </row>
    <row r="173" spans="1:45" s="1" customFormat="1" ht="11.25" x14ac:dyDescent="0.15">
      <c r="A173" s="7">
        <f>SUM(C173:AS173)</f>
        <v>4</v>
      </c>
      <c r="B173" s="6" t="s">
        <v>15</v>
      </c>
      <c r="C173" s="65">
        <v>0</v>
      </c>
      <c r="D173" s="5">
        <v>0</v>
      </c>
      <c r="E173" s="5">
        <v>2</v>
      </c>
      <c r="F173" s="5">
        <v>0</v>
      </c>
      <c r="G173" s="5">
        <v>0</v>
      </c>
      <c r="H173" s="5">
        <v>0</v>
      </c>
      <c r="I173" s="5">
        <v>2</v>
      </c>
      <c r="J173" s="5">
        <f t="shared" ref="J173" si="2340">IF(J$8="","",I166+I167-J166)</f>
        <v>0</v>
      </c>
      <c r="K173" s="5">
        <f t="shared" ref="K173" si="2341">IF(K$8="","",J166+J167-K166)</f>
        <v>0</v>
      </c>
      <c r="L173" s="5">
        <f t="shared" ref="L173" si="2342">IF(L$8="","",K166+K167-L166)</f>
        <v>0</v>
      </c>
      <c r="M173" s="5" t="str">
        <f t="shared" ref="M173" si="2343">IF(M$8="","",L166+L167-M166)</f>
        <v/>
      </c>
      <c r="N173" s="5" t="str">
        <f t="shared" ref="N173" si="2344">IF(N$8="","",M166+M167-N166)</f>
        <v/>
      </c>
      <c r="O173" s="5" t="str">
        <f t="shared" ref="O173" si="2345">IF(O$8="","",N166+N167-O166)</f>
        <v/>
      </c>
      <c r="P173" s="5" t="str">
        <f t="shared" ref="P173" si="2346">IF(P$8="","",O166+O167-P166)</f>
        <v/>
      </c>
      <c r="Q173" s="5" t="str">
        <f t="shared" ref="Q173" si="2347">IF(Q$8="","",P166+P167-Q166)</f>
        <v/>
      </c>
      <c r="R173" s="5" t="str">
        <f t="shared" ref="R173" si="2348">IF(R$8="","",Q166+Q167-R166)</f>
        <v/>
      </c>
      <c r="S173" s="5" t="str">
        <f t="shared" ref="S173" si="2349">IF(S$8="","",R166+R167-S166)</f>
        <v/>
      </c>
      <c r="T173" s="5" t="str">
        <f t="shared" ref="T173" si="2350">IF(T$8="","",S166+S167-T166)</f>
        <v/>
      </c>
      <c r="U173" s="5" t="str">
        <f t="shared" ref="U173" si="2351">IF(U$8="","",T166+T167-U166)</f>
        <v/>
      </c>
      <c r="V173" s="5" t="str">
        <f t="shared" ref="V173" si="2352">IF(V$8="","",U166+U167-V166)</f>
        <v/>
      </c>
      <c r="W173" s="5" t="str">
        <f t="shared" ref="W173" si="2353">IF(W$8="","",V166+V167-W166)</f>
        <v/>
      </c>
      <c r="X173" s="5" t="str">
        <f t="shared" ref="X173" si="2354">IF(X$8="","",W166+W167-X166)</f>
        <v/>
      </c>
      <c r="Y173" s="5" t="str">
        <f t="shared" ref="Y173" si="2355">IF(Y$8="","",X166+X167-Y166)</f>
        <v/>
      </c>
      <c r="Z173" s="5" t="str">
        <f t="shared" ref="Z173" si="2356">IF(Z$8="","",Y166+Y167-Z166)</f>
        <v/>
      </c>
      <c r="AA173" s="5" t="str">
        <f t="shared" ref="AA173" si="2357">IF(AA$8="","",Z166+Z167-AA166)</f>
        <v/>
      </c>
      <c r="AB173" s="5" t="str">
        <f t="shared" ref="AB173" si="2358">IF(AB$8="","",AA166+AA167-AB166)</f>
        <v/>
      </c>
      <c r="AC173" s="5" t="str">
        <f t="shared" ref="AC173" si="2359">IF(AC$8="","",AB166+AB167-AC166)</f>
        <v/>
      </c>
      <c r="AD173" s="5" t="str">
        <f t="shared" ref="AD173" si="2360">IF(AD$8="","",AC166+AC167-AD166)</f>
        <v/>
      </c>
      <c r="AE173" s="5" t="str">
        <f t="shared" ref="AE173" si="2361">IF(AE$8="","",AD166+AD167-AE166)</f>
        <v/>
      </c>
      <c r="AF173" s="5" t="str">
        <f t="shared" ref="AF173" si="2362">IF(AF$8="","",AE166+AE167-AF166)</f>
        <v/>
      </c>
      <c r="AG173" s="5" t="str">
        <f t="shared" ref="AG173" si="2363">IF(AG$8="","",AF166+AF167-AG166)</f>
        <v/>
      </c>
      <c r="AH173" s="5" t="str">
        <f t="shared" ref="AH173" si="2364">IF(AH$8="","",AG166+AG167-AH166)</f>
        <v/>
      </c>
      <c r="AI173" s="5" t="str">
        <f t="shared" ref="AI173" si="2365">IF(AI$8="","",AH166+AH167-AI166)</f>
        <v/>
      </c>
      <c r="AJ173" s="5" t="str">
        <f t="shared" ref="AJ173" si="2366">IF(AJ$8="","",AI166+AI167-AJ166)</f>
        <v/>
      </c>
      <c r="AK173" s="5" t="str">
        <f t="shared" ref="AK173" si="2367">IF(AK$8="","",AJ166+AJ167-AK166)</f>
        <v/>
      </c>
      <c r="AL173" s="5" t="str">
        <f t="shared" ref="AL173" si="2368">IF(AL$8="","",AK166+AK167-AL166)</f>
        <v/>
      </c>
      <c r="AM173" s="5" t="str">
        <f t="shared" ref="AM173" si="2369">IF(AM$8="","",AL166+AL167-AM166)</f>
        <v/>
      </c>
      <c r="AN173" s="5" t="str">
        <f t="shared" ref="AN173" si="2370">IF(AN$8="","",AM166+AM167-AN166)</f>
        <v/>
      </c>
      <c r="AO173" s="5" t="str">
        <f t="shared" ref="AO173:AS173" si="2371">IF(AO$8="","",AN166+AN167-AO166)</f>
        <v/>
      </c>
      <c r="AP173" s="5" t="str">
        <f t="shared" si="2371"/>
        <v/>
      </c>
      <c r="AQ173" s="5" t="str">
        <f t="shared" si="2371"/>
        <v/>
      </c>
      <c r="AR173" s="5" t="str">
        <f t="shared" si="2371"/>
        <v/>
      </c>
      <c r="AS173" s="5" t="str">
        <f t="shared" si="2371"/>
        <v/>
      </c>
    </row>
    <row r="174" spans="1:45" s="1" customFormat="1" ht="11.25" x14ac:dyDescent="0.15">
      <c r="A174" s="7">
        <f>SUM(C174:AS174)</f>
        <v>3000</v>
      </c>
      <c r="B174" s="6" t="s">
        <v>16</v>
      </c>
      <c r="C174" s="65">
        <v>0</v>
      </c>
      <c r="D174" s="5">
        <v>0</v>
      </c>
      <c r="E174" s="5">
        <v>1500</v>
      </c>
      <c r="F174" s="5">
        <v>0</v>
      </c>
      <c r="G174" s="5">
        <v>0</v>
      </c>
      <c r="H174" s="5">
        <v>0</v>
      </c>
      <c r="I174" s="5">
        <v>1500</v>
      </c>
      <c r="J174" s="5">
        <f t="shared" ref="D174:AN174" si="2372">IF(J$8="","",J173*J168)</f>
        <v>0</v>
      </c>
      <c r="K174" s="5">
        <f t="shared" si="2372"/>
        <v>0</v>
      </c>
      <c r="L174" s="5">
        <f t="shared" si="2372"/>
        <v>0</v>
      </c>
      <c r="M174" s="5" t="str">
        <f t="shared" si="2372"/>
        <v/>
      </c>
      <c r="N174" s="5" t="str">
        <f t="shared" si="2372"/>
        <v/>
      </c>
      <c r="O174" s="5" t="str">
        <f t="shared" si="2372"/>
        <v/>
      </c>
      <c r="P174" s="5" t="str">
        <f t="shared" si="2372"/>
        <v/>
      </c>
      <c r="Q174" s="5" t="str">
        <f t="shared" si="2372"/>
        <v/>
      </c>
      <c r="R174" s="5" t="str">
        <f t="shared" si="2372"/>
        <v/>
      </c>
      <c r="S174" s="5" t="str">
        <f t="shared" si="2372"/>
        <v/>
      </c>
      <c r="T174" s="5" t="str">
        <f t="shared" si="2372"/>
        <v/>
      </c>
      <c r="U174" s="5" t="str">
        <f t="shared" si="2372"/>
        <v/>
      </c>
      <c r="V174" s="5" t="str">
        <f t="shared" si="2372"/>
        <v/>
      </c>
      <c r="W174" s="5" t="str">
        <f t="shared" si="2372"/>
        <v/>
      </c>
      <c r="X174" s="5" t="str">
        <f t="shared" si="2372"/>
        <v/>
      </c>
      <c r="Y174" s="5" t="str">
        <f t="shared" si="2372"/>
        <v/>
      </c>
      <c r="Z174" s="5" t="str">
        <f t="shared" si="2372"/>
        <v/>
      </c>
      <c r="AA174" s="5" t="str">
        <f t="shared" si="2372"/>
        <v/>
      </c>
      <c r="AB174" s="5" t="str">
        <f t="shared" si="2372"/>
        <v/>
      </c>
      <c r="AC174" s="5" t="str">
        <f t="shared" si="2372"/>
        <v/>
      </c>
      <c r="AD174" s="5" t="str">
        <f t="shared" si="2372"/>
        <v/>
      </c>
      <c r="AE174" s="5" t="str">
        <f t="shared" si="2372"/>
        <v/>
      </c>
      <c r="AF174" s="5" t="str">
        <f t="shared" si="2372"/>
        <v/>
      </c>
      <c r="AG174" s="5" t="str">
        <f t="shared" si="2372"/>
        <v/>
      </c>
      <c r="AH174" s="5" t="str">
        <f t="shared" si="2372"/>
        <v/>
      </c>
      <c r="AI174" s="5" t="str">
        <f t="shared" si="2372"/>
        <v/>
      </c>
      <c r="AJ174" s="5" t="str">
        <f t="shared" si="2372"/>
        <v/>
      </c>
      <c r="AK174" s="5" t="str">
        <f t="shared" si="2372"/>
        <v/>
      </c>
      <c r="AL174" s="5" t="str">
        <f t="shared" si="2372"/>
        <v/>
      </c>
      <c r="AM174" s="5" t="str">
        <f t="shared" si="2372"/>
        <v/>
      </c>
      <c r="AN174" s="5" t="str">
        <f t="shared" si="2372"/>
        <v/>
      </c>
      <c r="AO174" s="5" t="str">
        <f t="shared" ref="AO174:AS174" si="2373">IF(AO$8="","",AO173*AO168)</f>
        <v/>
      </c>
      <c r="AP174" s="5" t="str">
        <f t="shared" si="2373"/>
        <v/>
      </c>
      <c r="AQ174" s="5" t="str">
        <f t="shared" si="2373"/>
        <v/>
      </c>
      <c r="AR174" s="5" t="str">
        <f t="shared" si="2373"/>
        <v/>
      </c>
      <c r="AS174" s="5" t="str">
        <f t="shared" si="2373"/>
        <v/>
      </c>
    </row>
    <row r="175" spans="1:45" s="1" customFormat="1" ht="12" thickBot="1" x14ac:dyDescent="0.2">
      <c r="A175" s="4">
        <f>IF(A174="","",A174/(A171*100))</f>
        <v>0.12875536480686695</v>
      </c>
      <c r="B175" s="6" t="s">
        <v>18</v>
      </c>
      <c r="C175" s="67" t="s">
        <v>19</v>
      </c>
      <c r="D175" s="18" t="s">
        <v>19</v>
      </c>
      <c r="E175" s="18">
        <v>0.22727272727272727</v>
      </c>
      <c r="F175" s="18" t="s">
        <v>19</v>
      </c>
      <c r="G175" s="18" t="s">
        <v>19</v>
      </c>
      <c r="H175" s="18" t="s">
        <v>19</v>
      </c>
      <c r="I175" s="18">
        <v>0.17857142857142858</v>
      </c>
      <c r="J175" s="18" t="str">
        <f t="shared" ref="D175:AN175" si="2374">IF(J$8="","",IF(J174=0,"",J174/(J171*100)))</f>
        <v/>
      </c>
      <c r="K175" s="18" t="str">
        <f t="shared" si="2374"/>
        <v/>
      </c>
      <c r="L175" s="18" t="str">
        <f t="shared" si="2374"/>
        <v/>
      </c>
      <c r="M175" s="18" t="str">
        <f t="shared" si="2374"/>
        <v/>
      </c>
      <c r="N175" s="18" t="str">
        <f t="shared" si="2374"/>
        <v/>
      </c>
      <c r="O175" s="18" t="str">
        <f t="shared" si="2374"/>
        <v/>
      </c>
      <c r="P175" s="18" t="str">
        <f t="shared" si="2374"/>
        <v/>
      </c>
      <c r="Q175" s="18" t="str">
        <f t="shared" si="2374"/>
        <v/>
      </c>
      <c r="R175" s="18" t="str">
        <f t="shared" si="2374"/>
        <v/>
      </c>
      <c r="S175" s="18" t="str">
        <f t="shared" si="2374"/>
        <v/>
      </c>
      <c r="T175" s="18" t="str">
        <f t="shared" si="2374"/>
        <v/>
      </c>
      <c r="U175" s="18" t="str">
        <f t="shared" si="2374"/>
        <v/>
      </c>
      <c r="V175" s="18" t="str">
        <f t="shared" si="2374"/>
        <v/>
      </c>
      <c r="W175" s="18" t="str">
        <f t="shared" si="2374"/>
        <v/>
      </c>
      <c r="X175" s="18" t="str">
        <f t="shared" si="2374"/>
        <v/>
      </c>
      <c r="Y175" s="18" t="str">
        <f t="shared" si="2374"/>
        <v/>
      </c>
      <c r="Z175" s="18" t="str">
        <f t="shared" si="2374"/>
        <v/>
      </c>
      <c r="AA175" s="18" t="str">
        <f t="shared" si="2374"/>
        <v/>
      </c>
      <c r="AB175" s="18" t="str">
        <f t="shared" si="2374"/>
        <v/>
      </c>
      <c r="AC175" s="18" t="str">
        <f t="shared" si="2374"/>
        <v/>
      </c>
      <c r="AD175" s="18" t="str">
        <f t="shared" si="2374"/>
        <v/>
      </c>
      <c r="AE175" s="18" t="str">
        <f t="shared" si="2374"/>
        <v/>
      </c>
      <c r="AF175" s="18" t="str">
        <f t="shared" si="2374"/>
        <v/>
      </c>
      <c r="AG175" s="18" t="str">
        <f t="shared" si="2374"/>
        <v/>
      </c>
      <c r="AH175" s="18" t="str">
        <f t="shared" si="2374"/>
        <v/>
      </c>
      <c r="AI175" s="18" t="str">
        <f t="shared" si="2374"/>
        <v/>
      </c>
      <c r="AJ175" s="18" t="str">
        <f t="shared" si="2374"/>
        <v/>
      </c>
      <c r="AK175" s="18" t="str">
        <f t="shared" si="2374"/>
        <v/>
      </c>
      <c r="AL175" s="18" t="str">
        <f t="shared" si="2374"/>
        <v/>
      </c>
      <c r="AM175" s="18" t="str">
        <f t="shared" si="2374"/>
        <v/>
      </c>
      <c r="AN175" s="18" t="str">
        <f t="shared" si="2374"/>
        <v/>
      </c>
      <c r="AO175" s="18" t="str">
        <f t="shared" ref="AO175:AS175" si="2375">IF(AO$8="","",IF(AO174=0,"",AO174/(AO171*100)))</f>
        <v/>
      </c>
      <c r="AP175" s="18" t="str">
        <f t="shared" si="2375"/>
        <v/>
      </c>
      <c r="AQ175" s="18" t="str">
        <f t="shared" si="2375"/>
        <v/>
      </c>
      <c r="AR175" s="18" t="str">
        <f t="shared" si="2375"/>
        <v/>
      </c>
      <c r="AS175" s="18" t="str">
        <f t="shared" si="2375"/>
        <v/>
      </c>
    </row>
    <row r="176" spans="1:45" s="1" customFormat="1" ht="11.25" x14ac:dyDescent="0.15">
      <c r="A176" s="17" t="s">
        <v>46</v>
      </c>
      <c r="B176" s="9" t="s">
        <v>2</v>
      </c>
      <c r="C176" s="65">
        <v>6778</v>
      </c>
      <c r="D176" s="8">
        <v>6778</v>
      </c>
      <c r="E176" s="8">
        <v>6806</v>
      </c>
      <c r="F176" s="8">
        <v>6806</v>
      </c>
      <c r="G176" s="8">
        <v>6806</v>
      </c>
      <c r="H176" s="8">
        <v>6806</v>
      </c>
      <c r="I176" s="8">
        <v>6836</v>
      </c>
      <c r="J176" s="8">
        <f t="shared" ref="J176:J177" si="2376">IF(J$8="","",I176)</f>
        <v>6836</v>
      </c>
      <c r="K176" s="8">
        <f t="shared" ref="K176:K177" si="2377">IF(K$8="","",J176)</f>
        <v>6836</v>
      </c>
      <c r="L176" s="8">
        <v>6865</v>
      </c>
      <c r="M176" s="8" t="str">
        <f t="shared" ref="M176:M177" si="2378">IF(M$8="","",L176)</f>
        <v/>
      </c>
      <c r="N176" s="8" t="str">
        <f t="shared" ref="N176:N177" si="2379">IF(N$8="","",M176)</f>
        <v/>
      </c>
      <c r="O176" s="8" t="str">
        <f t="shared" ref="O176:O177" si="2380">IF(O$8="","",N176)</f>
        <v/>
      </c>
      <c r="P176" s="8" t="str">
        <f>IF(P$8="","",O176)</f>
        <v/>
      </c>
      <c r="Q176" s="8" t="str">
        <f t="shared" ref="Q176:Q177" si="2381">IF(Q$8="","",P176)</f>
        <v/>
      </c>
      <c r="R176" s="8" t="str">
        <f t="shared" ref="R176:R177" si="2382">IF(R$8="","",Q176)</f>
        <v/>
      </c>
      <c r="S176" s="8" t="str">
        <f>IF(S$8="","",R176)</f>
        <v/>
      </c>
      <c r="T176" s="8" t="str">
        <f t="shared" ref="T176:T177" si="2383">IF(T$8="","",S176)</f>
        <v/>
      </c>
      <c r="U176" s="8" t="str">
        <f t="shared" ref="U176:U177" si="2384">IF(U$8="","",T176)</f>
        <v/>
      </c>
      <c r="V176" s="8" t="str">
        <f t="shared" ref="V176:V177" si="2385">IF(V$8="","",U176)</f>
        <v/>
      </c>
      <c r="W176" s="8" t="str">
        <f>IF(W$8="","",V176)</f>
        <v/>
      </c>
      <c r="X176" s="8" t="str">
        <f t="shared" ref="X176:X177" si="2386">IF(X$8="","",W176)</f>
        <v/>
      </c>
      <c r="Y176" s="8" t="str">
        <f t="shared" ref="Y176:Y177" si="2387">IF(Y$8="","",X176)</f>
        <v/>
      </c>
      <c r="Z176" s="8" t="str">
        <f>IF(Z$8="","",Y176)</f>
        <v/>
      </c>
      <c r="AA176" s="8" t="str">
        <f t="shared" ref="AA176:AA177" si="2388">IF(AA$8="","",Z176)</f>
        <v/>
      </c>
      <c r="AB176" s="8" t="str">
        <f t="shared" ref="AB176:AB177" si="2389">IF(AB$8="","",AA176)</f>
        <v/>
      </c>
      <c r="AC176" s="8" t="str">
        <f t="shared" ref="AC176:AC177" si="2390">IF(AC$8="","",AB176)</f>
        <v/>
      </c>
      <c r="AD176" s="8" t="str">
        <f>IF(AD$8="","",AC176)</f>
        <v/>
      </c>
      <c r="AE176" s="8" t="str">
        <f t="shared" ref="AE176:AE177" si="2391">IF(AE$8="","",AD176)</f>
        <v/>
      </c>
      <c r="AF176" s="8" t="str">
        <f t="shared" ref="AF176:AF177" si="2392">IF(AF$8="","",AE176)</f>
        <v/>
      </c>
      <c r="AG176" s="8" t="str">
        <f>IF(AG$8="","",AF176)</f>
        <v/>
      </c>
      <c r="AH176" s="8" t="str">
        <f t="shared" ref="AH176:AH177" si="2393">IF(AH$8="","",AG176)</f>
        <v/>
      </c>
      <c r="AI176" s="8" t="str">
        <f t="shared" ref="AI176:AI177" si="2394">IF(AI$8="","",AH176)</f>
        <v/>
      </c>
      <c r="AJ176" s="8" t="str">
        <f t="shared" ref="AJ176:AJ177" si="2395">IF(AJ$8="","",AI176)</f>
        <v/>
      </c>
      <c r="AK176" s="8" t="str">
        <f>IF(AK$8="","",AJ176)</f>
        <v/>
      </c>
      <c r="AL176" s="8" t="str">
        <f t="shared" ref="AL176:AL177" si="2396">IF(AL$8="","",AK176)</f>
        <v/>
      </c>
      <c r="AM176" s="8" t="str">
        <f t="shared" ref="AM176:AM177" si="2397">IF(AM$8="","",AL176)</f>
        <v/>
      </c>
      <c r="AN176" s="8" t="str">
        <f t="shared" ref="AN176:AN177" si="2398">IF(AN$8="","",AM176)</f>
        <v/>
      </c>
      <c r="AO176" s="8" t="str">
        <f t="shared" ref="AO176:AS176" si="2399">IF(AO$8="","",AN176)</f>
        <v/>
      </c>
      <c r="AP176" s="8" t="str">
        <f t="shared" si="2399"/>
        <v/>
      </c>
      <c r="AQ176" s="8" t="str">
        <f t="shared" si="2399"/>
        <v/>
      </c>
      <c r="AR176" s="8" t="str">
        <f t="shared" si="2399"/>
        <v/>
      </c>
      <c r="AS176" s="8" t="str">
        <f t="shared" si="2399"/>
        <v/>
      </c>
    </row>
    <row r="177" spans="1:45" s="1" customFormat="1" ht="11.25" x14ac:dyDescent="0.15">
      <c r="A177" s="16" t="s">
        <v>32</v>
      </c>
      <c r="B177" s="9" t="s">
        <v>4</v>
      </c>
      <c r="C177" s="65">
        <v>148</v>
      </c>
      <c r="D177" s="8">
        <v>148</v>
      </c>
      <c r="E177" s="8">
        <v>148</v>
      </c>
      <c r="F177" s="8">
        <v>148</v>
      </c>
      <c r="G177" s="8">
        <v>148</v>
      </c>
      <c r="H177" s="8">
        <v>148</v>
      </c>
      <c r="I177" s="8">
        <v>148</v>
      </c>
      <c r="J177" s="8">
        <f t="shared" si="2376"/>
        <v>148</v>
      </c>
      <c r="K177" s="8">
        <f t="shared" si="2377"/>
        <v>148</v>
      </c>
      <c r="L177" s="8">
        <f>IF(L$8="","",K177)</f>
        <v>148</v>
      </c>
      <c r="M177" s="8" t="str">
        <f t="shared" si="2378"/>
        <v/>
      </c>
      <c r="N177" s="8" t="str">
        <f t="shared" si="2379"/>
        <v/>
      </c>
      <c r="O177" s="8" t="str">
        <f t="shared" si="2380"/>
        <v/>
      </c>
      <c r="P177" s="8" t="str">
        <f>IF(P$8="","",O177)</f>
        <v/>
      </c>
      <c r="Q177" s="8" t="str">
        <f t="shared" si="2381"/>
        <v/>
      </c>
      <c r="R177" s="8" t="str">
        <f t="shared" si="2382"/>
        <v/>
      </c>
      <c r="S177" s="8" t="str">
        <f>IF(S$8="","",R177)</f>
        <v/>
      </c>
      <c r="T177" s="8" t="str">
        <f t="shared" si="2383"/>
        <v/>
      </c>
      <c r="U177" s="8" t="str">
        <f t="shared" si="2384"/>
        <v/>
      </c>
      <c r="V177" s="8" t="str">
        <f t="shared" si="2385"/>
        <v/>
      </c>
      <c r="W177" s="8" t="str">
        <f>IF(W$8="","",V177)</f>
        <v/>
      </c>
      <c r="X177" s="8" t="str">
        <f t="shared" si="2386"/>
        <v/>
      </c>
      <c r="Y177" s="8" t="str">
        <f t="shared" si="2387"/>
        <v/>
      </c>
      <c r="Z177" s="8" t="str">
        <f t="shared" ref="Z177" si="2400">IF(Z$8="","",Y177)</f>
        <v/>
      </c>
      <c r="AA177" s="8" t="str">
        <f t="shared" si="2388"/>
        <v/>
      </c>
      <c r="AB177" s="8" t="str">
        <f t="shared" si="2389"/>
        <v/>
      </c>
      <c r="AC177" s="8" t="str">
        <f t="shared" si="2390"/>
        <v/>
      </c>
      <c r="AD177" s="8" t="str">
        <f>IF(AD$8="","",AC177)</f>
        <v/>
      </c>
      <c r="AE177" s="8" t="str">
        <f t="shared" si="2391"/>
        <v/>
      </c>
      <c r="AF177" s="8" t="str">
        <f t="shared" si="2392"/>
        <v/>
      </c>
      <c r="AG177" s="8" t="str">
        <f t="shared" ref="AG177" si="2401">IF(AG$8="","",AF177)</f>
        <v/>
      </c>
      <c r="AH177" s="8" t="str">
        <f t="shared" si="2393"/>
        <v/>
      </c>
      <c r="AI177" s="8" t="str">
        <f t="shared" si="2394"/>
        <v/>
      </c>
      <c r="AJ177" s="8" t="str">
        <f t="shared" si="2395"/>
        <v/>
      </c>
      <c r="AK177" s="8" t="str">
        <f t="shared" ref="AK177" si="2402">IF(AK$8="","",AJ177)</f>
        <v/>
      </c>
      <c r="AL177" s="8" t="str">
        <f t="shared" si="2396"/>
        <v/>
      </c>
      <c r="AM177" s="8" t="str">
        <f t="shared" si="2397"/>
        <v/>
      </c>
      <c r="AN177" s="8" t="str">
        <f t="shared" si="2398"/>
        <v/>
      </c>
      <c r="AO177" s="8" t="str">
        <f t="shared" ref="AO177:AS177" si="2403">IF(AO$8="","",AN177)</f>
        <v/>
      </c>
      <c r="AP177" s="8" t="str">
        <f t="shared" si="2403"/>
        <v/>
      </c>
      <c r="AQ177" s="8" t="str">
        <f t="shared" si="2403"/>
        <v/>
      </c>
      <c r="AR177" s="8" t="str">
        <f t="shared" si="2403"/>
        <v/>
      </c>
      <c r="AS177" s="8" t="str">
        <f t="shared" si="2403"/>
        <v/>
      </c>
    </row>
    <row r="178" spans="1:45" s="1" customFormat="1" ht="11.25" x14ac:dyDescent="0.15">
      <c r="A178" s="15">
        <v>3</v>
      </c>
      <c r="B178" s="9" t="s">
        <v>5</v>
      </c>
      <c r="C178" s="65">
        <v>17</v>
      </c>
      <c r="D178" s="8">
        <v>17</v>
      </c>
      <c r="E178" s="8">
        <v>17</v>
      </c>
      <c r="F178" s="8">
        <v>17</v>
      </c>
      <c r="G178" s="8">
        <v>17</v>
      </c>
      <c r="H178" s="8">
        <v>17</v>
      </c>
      <c r="I178" s="8">
        <v>17</v>
      </c>
      <c r="J178" s="8">
        <f t="shared" ref="J178" si="2404">IF(J$8="","",(I178+I179))</f>
        <v>17</v>
      </c>
      <c r="K178" s="8">
        <f t="shared" ref="K178" si="2405">IF(K$8="","",(J178+J179))</f>
        <v>17</v>
      </c>
      <c r="L178" s="8">
        <f>IF(L$8="","",(K178+K179))</f>
        <v>17</v>
      </c>
      <c r="M178" s="8" t="str">
        <f t="shared" ref="M178" si="2406">IF(M$8="","",(L178+L179))</f>
        <v/>
      </c>
      <c r="N178" s="8" t="str">
        <f t="shared" ref="N178" si="2407">IF(N$8="","",(M178+M179))</f>
        <v/>
      </c>
      <c r="O178" s="8" t="str">
        <f t="shared" ref="O178" si="2408">IF(O$8="","",(N178+N179))</f>
        <v/>
      </c>
      <c r="P178" s="8" t="str">
        <f>IF(P$8="","",(O178+O179))</f>
        <v/>
      </c>
      <c r="Q178" s="8" t="str">
        <f t="shared" ref="Q178" si="2409">IF(Q$8="","",(P178+P179))</f>
        <v/>
      </c>
      <c r="R178" s="8" t="str">
        <f t="shared" ref="R178" si="2410">IF(R$8="","",(Q178+Q179))</f>
        <v/>
      </c>
      <c r="S178" s="8" t="str">
        <f>IF(S$8="","",(R178+R179))</f>
        <v/>
      </c>
      <c r="T178" s="8" t="str">
        <f t="shared" ref="T178" si="2411">IF(T$8="","",(S178+S179))</f>
        <v/>
      </c>
      <c r="U178" s="8" t="str">
        <f t="shared" ref="U178" si="2412">IF(U$8="","",(T178+T179))</f>
        <v/>
      </c>
      <c r="V178" s="8" t="str">
        <f t="shared" ref="V178" si="2413">IF(V$8="","",(U178+U179))</f>
        <v/>
      </c>
      <c r="W178" s="8" t="str">
        <f t="shared" ref="W178" si="2414">IF(W$8="","",(V178+V179))</f>
        <v/>
      </c>
      <c r="X178" s="8" t="str">
        <f t="shared" ref="X178" si="2415">IF(X$8="","",(W178+W179))</f>
        <v/>
      </c>
      <c r="Y178" s="8" t="str">
        <f t="shared" ref="Y178" si="2416">IF(Y$8="","",(X178+X179))</f>
        <v/>
      </c>
      <c r="Z178" s="8" t="str">
        <f t="shared" ref="Z178" si="2417">IF(Z$8="","",(Y178+Y179))</f>
        <v/>
      </c>
      <c r="AA178" s="8" t="str">
        <f t="shared" ref="AA178" si="2418">IF(AA$8="","",(Z178+Z179))</f>
        <v/>
      </c>
      <c r="AB178" s="8" t="str">
        <f t="shared" ref="AB178" si="2419">IF(AB$8="","",(AA178+AA179))</f>
        <v/>
      </c>
      <c r="AC178" s="8" t="str">
        <f t="shared" ref="AC178" si="2420">IF(AC$8="","",(AB178+AB179))</f>
        <v/>
      </c>
      <c r="AD178" s="8" t="str">
        <f>IF(AD$8="","",(AC178+AC179))</f>
        <v/>
      </c>
      <c r="AE178" s="8" t="str">
        <f t="shared" ref="AE178" si="2421">IF(AE$8="","",(AD178+AD179))</f>
        <v/>
      </c>
      <c r="AF178" s="8" t="str">
        <f t="shared" ref="AF178" si="2422">IF(AF$8="","",(AE178+AE179))</f>
        <v/>
      </c>
      <c r="AG178" s="8" t="str">
        <f t="shared" ref="AG178" si="2423">IF(AG$8="","",(AF178+AF179))</f>
        <v/>
      </c>
      <c r="AH178" s="8" t="str">
        <f t="shared" ref="AH178" si="2424">IF(AH$8="","",(AG178+AG179))</f>
        <v/>
      </c>
      <c r="AI178" s="8" t="str">
        <f t="shared" ref="AI178" si="2425">IF(AI$8="","",(AH178+AH179))</f>
        <v/>
      </c>
      <c r="AJ178" s="8" t="str">
        <f t="shared" ref="AJ178" si="2426">IF(AJ$8="","",(AI178+AI179))</f>
        <v/>
      </c>
      <c r="AK178" s="8" t="str">
        <f t="shared" ref="AK178" si="2427">IF(AK$8="","",(AJ178+AJ179))</f>
        <v/>
      </c>
      <c r="AL178" s="8" t="str">
        <f t="shared" ref="AL178" si="2428">IF(AL$8="","",(AK178+AK179))</f>
        <v/>
      </c>
      <c r="AM178" s="8" t="str">
        <f t="shared" ref="AM178" si="2429">IF(AM$8="","",(AL178+AL179))</f>
        <v/>
      </c>
      <c r="AN178" s="8" t="str">
        <f t="shared" ref="AN178" si="2430">IF(AN$8="","",(AM178+AM179))</f>
        <v/>
      </c>
      <c r="AO178" s="8" t="str">
        <f t="shared" ref="AO178:AS178" si="2431">IF(AO$8="","",(AN178+AN179))</f>
        <v/>
      </c>
      <c r="AP178" s="8" t="str">
        <f t="shared" si="2431"/>
        <v/>
      </c>
      <c r="AQ178" s="8" t="str">
        <f t="shared" si="2431"/>
        <v/>
      </c>
      <c r="AR178" s="8" t="str">
        <f t="shared" si="2431"/>
        <v/>
      </c>
      <c r="AS178" s="8" t="str">
        <f t="shared" si="2431"/>
        <v/>
      </c>
    </row>
    <row r="179" spans="1:45" s="1" customFormat="1" ht="11.25" x14ac:dyDescent="0.15">
      <c r="A179" s="14"/>
      <c r="B179" s="9" t="s">
        <v>7</v>
      </c>
      <c r="C179" s="6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</row>
    <row r="180" spans="1:45" s="1" customFormat="1" ht="11.25" x14ac:dyDescent="0.15">
      <c r="A180" s="7"/>
      <c r="B180" s="9" t="s">
        <v>8</v>
      </c>
      <c r="C180" s="65">
        <v>400</v>
      </c>
      <c r="D180" s="8">
        <v>400</v>
      </c>
      <c r="E180" s="8">
        <v>400</v>
      </c>
      <c r="F180" s="8">
        <v>400</v>
      </c>
      <c r="G180" s="8">
        <v>400</v>
      </c>
      <c r="H180" s="8">
        <v>400</v>
      </c>
      <c r="I180" s="8">
        <v>400</v>
      </c>
      <c r="J180" s="8">
        <f t="shared" ref="J180:J181" si="2432">IF(J$8="","",I180)</f>
        <v>400</v>
      </c>
      <c r="K180" s="8">
        <f t="shared" ref="K180:K181" si="2433">IF(K$8="","",J180)</f>
        <v>400</v>
      </c>
      <c r="L180" s="8">
        <f t="shared" ref="L180:L181" si="2434">IF(L$8="","",K180)</f>
        <v>400</v>
      </c>
      <c r="M180" s="8" t="str">
        <f t="shared" ref="M180:M181" si="2435">IF(M$8="","",L180)</f>
        <v/>
      </c>
      <c r="N180" s="8" t="str">
        <f t="shared" ref="N180:N181" si="2436">IF(N$8="","",M180)</f>
        <v/>
      </c>
      <c r="O180" s="8" t="str">
        <f t="shared" ref="O180:O181" si="2437">IF(O$8="","",N180)</f>
        <v/>
      </c>
      <c r="P180" s="8" t="str">
        <f t="shared" ref="P180:P181" si="2438">IF(P$8="","",O180)</f>
        <v/>
      </c>
      <c r="Q180" s="8" t="str">
        <f t="shared" ref="Q180:Q181" si="2439">IF(Q$8="","",P180)</f>
        <v/>
      </c>
      <c r="R180" s="8" t="str">
        <f t="shared" ref="R180:R181" si="2440">IF(R$8="","",Q180)</f>
        <v/>
      </c>
      <c r="S180" s="8" t="str">
        <f t="shared" ref="S180:S181" si="2441">IF(S$8="","",R180)</f>
        <v/>
      </c>
      <c r="T180" s="8" t="str">
        <f t="shared" ref="T180:T181" si="2442">IF(T$8="","",S180)</f>
        <v/>
      </c>
      <c r="U180" s="8" t="str">
        <f t="shared" ref="U180:U181" si="2443">IF(U$8="","",T180)</f>
        <v/>
      </c>
      <c r="V180" s="8" t="str">
        <f t="shared" ref="V180:V181" si="2444">IF(V$8="","",U180)</f>
        <v/>
      </c>
      <c r="W180" s="8" t="str">
        <f t="shared" ref="W180:W181" si="2445">IF(W$8="","",V180)</f>
        <v/>
      </c>
      <c r="X180" s="8" t="str">
        <f t="shared" ref="X180:X181" si="2446">IF(X$8="","",W180)</f>
        <v/>
      </c>
      <c r="Y180" s="8" t="str">
        <f t="shared" ref="Y180:Y181" si="2447">IF(Y$8="","",X180)</f>
        <v/>
      </c>
      <c r="Z180" s="8" t="str">
        <f t="shared" ref="Z180:Z181" si="2448">IF(Z$8="","",Y180)</f>
        <v/>
      </c>
      <c r="AA180" s="8" t="str">
        <f t="shared" ref="AA180:AA181" si="2449">IF(AA$8="","",Z180)</f>
        <v/>
      </c>
      <c r="AB180" s="8" t="str">
        <f t="shared" ref="AB180:AB181" si="2450">IF(AB$8="","",AA180)</f>
        <v/>
      </c>
      <c r="AC180" s="8" t="str">
        <f t="shared" ref="AC180:AC181" si="2451">IF(AC$8="","",AB180)</f>
        <v/>
      </c>
      <c r="AD180" s="8" t="str">
        <f t="shared" ref="AD180:AD181" si="2452">IF(AD$8="","",AC180)</f>
        <v/>
      </c>
      <c r="AE180" s="8" t="str">
        <f t="shared" ref="AE180:AE181" si="2453">IF(AE$8="","",AD180)</f>
        <v/>
      </c>
      <c r="AF180" s="8" t="str">
        <f t="shared" ref="AF180:AF181" si="2454">IF(AF$8="","",AE180)</f>
        <v/>
      </c>
      <c r="AG180" s="8" t="str">
        <f t="shared" ref="AG180:AG181" si="2455">IF(AG$8="","",AF180)</f>
        <v/>
      </c>
      <c r="AH180" s="8" t="str">
        <f t="shared" ref="AH180:AH181" si="2456">IF(AH$8="","",AG180)</f>
        <v/>
      </c>
      <c r="AI180" s="8" t="str">
        <f t="shared" ref="AI180:AI181" si="2457">IF(AI$8="","",AH180)</f>
        <v/>
      </c>
      <c r="AJ180" s="8" t="str">
        <f t="shared" ref="AJ180:AJ181" si="2458">IF(AJ$8="","",AI180)</f>
        <v/>
      </c>
      <c r="AK180" s="8" t="str">
        <f t="shared" ref="AK180:AK181" si="2459">IF(AK$8="","",AJ180)</f>
        <v/>
      </c>
      <c r="AL180" s="8" t="str">
        <f t="shared" ref="AL180:AL181" si="2460">IF(AL$8="","",AK180)</f>
        <v/>
      </c>
      <c r="AM180" s="8" t="str">
        <f t="shared" ref="AM180:AM181" si="2461">IF(AM$8="","",AL180)</f>
        <v/>
      </c>
      <c r="AN180" s="8" t="str">
        <f t="shared" ref="AN180:AN181" si="2462">IF(AN$8="","",AM180)</f>
        <v/>
      </c>
      <c r="AO180" s="8" t="str">
        <f t="shared" ref="AO180:AS180" si="2463">IF(AO$8="","",AN180)</f>
        <v/>
      </c>
      <c r="AP180" s="8" t="str">
        <f t="shared" si="2463"/>
        <v/>
      </c>
      <c r="AQ180" s="8" t="str">
        <f t="shared" si="2463"/>
        <v/>
      </c>
      <c r="AR180" s="8" t="str">
        <f t="shared" si="2463"/>
        <v/>
      </c>
      <c r="AS180" s="8" t="str">
        <f t="shared" si="2463"/>
        <v/>
      </c>
    </row>
    <row r="181" spans="1:45" s="85" customFormat="1" ht="11.25" x14ac:dyDescent="0.15">
      <c r="A181" s="14" t="s">
        <v>9</v>
      </c>
      <c r="B181" s="13" t="s">
        <v>10</v>
      </c>
      <c r="C181" s="66" t="s">
        <v>354</v>
      </c>
      <c r="D181" s="12" t="s">
        <v>354</v>
      </c>
      <c r="E181" s="12" t="s">
        <v>354</v>
      </c>
      <c r="F181" s="12" t="s">
        <v>354</v>
      </c>
      <c r="G181" s="12" t="s">
        <v>354</v>
      </c>
      <c r="H181" s="12" t="s">
        <v>354</v>
      </c>
      <c r="I181" s="12" t="s">
        <v>354</v>
      </c>
      <c r="J181" s="12" t="str">
        <f t="shared" si="2432"/>
        <v>フルーツスクイーズ</v>
      </c>
      <c r="K181" s="12" t="str">
        <f t="shared" si="2433"/>
        <v>フルーツスクイーズ</v>
      </c>
      <c r="L181" s="12" t="str">
        <f t="shared" si="2434"/>
        <v>フルーツスクイーズ</v>
      </c>
      <c r="M181" s="12" t="str">
        <f t="shared" si="2435"/>
        <v/>
      </c>
      <c r="N181" s="12" t="str">
        <f t="shared" si="2436"/>
        <v/>
      </c>
      <c r="O181" s="12" t="str">
        <f t="shared" si="2437"/>
        <v/>
      </c>
      <c r="P181" s="12" t="str">
        <f t="shared" si="2438"/>
        <v/>
      </c>
      <c r="Q181" s="12" t="str">
        <f t="shared" si="2439"/>
        <v/>
      </c>
      <c r="R181" s="12" t="str">
        <f t="shared" si="2440"/>
        <v/>
      </c>
      <c r="S181" s="12" t="str">
        <f>IF(S$8="","",R181)</f>
        <v/>
      </c>
      <c r="T181" s="12" t="str">
        <f t="shared" si="2442"/>
        <v/>
      </c>
      <c r="U181" s="12" t="str">
        <f t="shared" si="2443"/>
        <v/>
      </c>
      <c r="V181" s="12" t="str">
        <f t="shared" si="2444"/>
        <v/>
      </c>
      <c r="W181" s="12" t="str">
        <f t="shared" si="2445"/>
        <v/>
      </c>
      <c r="X181" s="12" t="str">
        <f t="shared" si="2446"/>
        <v/>
      </c>
      <c r="Y181" s="12" t="str">
        <f t="shared" si="2447"/>
        <v/>
      </c>
      <c r="Z181" s="12" t="str">
        <f t="shared" si="2448"/>
        <v/>
      </c>
      <c r="AA181" s="12" t="str">
        <f t="shared" si="2449"/>
        <v/>
      </c>
      <c r="AB181" s="12" t="str">
        <f t="shared" si="2450"/>
        <v/>
      </c>
      <c r="AC181" s="12" t="str">
        <f t="shared" si="2451"/>
        <v/>
      </c>
      <c r="AD181" s="12" t="str">
        <f t="shared" si="2452"/>
        <v/>
      </c>
      <c r="AE181" s="12" t="str">
        <f t="shared" si="2453"/>
        <v/>
      </c>
      <c r="AF181" s="12" t="str">
        <f t="shared" si="2454"/>
        <v/>
      </c>
      <c r="AG181" s="12" t="str">
        <f t="shared" si="2455"/>
        <v/>
      </c>
      <c r="AH181" s="12" t="str">
        <f t="shared" si="2456"/>
        <v/>
      </c>
      <c r="AI181" s="12" t="str">
        <f t="shared" si="2457"/>
        <v/>
      </c>
      <c r="AJ181" s="12" t="str">
        <f t="shared" si="2458"/>
        <v/>
      </c>
      <c r="AK181" s="12" t="str">
        <f t="shared" si="2459"/>
        <v/>
      </c>
      <c r="AL181" s="12" t="str">
        <f t="shared" si="2460"/>
        <v/>
      </c>
      <c r="AM181" s="12" t="str">
        <f t="shared" si="2461"/>
        <v/>
      </c>
      <c r="AN181" s="12" t="str">
        <f t="shared" si="2462"/>
        <v/>
      </c>
      <c r="AO181" s="12" t="str">
        <f t="shared" ref="AO181:AS181" si="2464">IF(AO$8="","",AN181)</f>
        <v/>
      </c>
      <c r="AP181" s="12" t="str">
        <f t="shared" si="2464"/>
        <v/>
      </c>
      <c r="AQ181" s="12" t="str">
        <f t="shared" si="2464"/>
        <v/>
      </c>
      <c r="AR181" s="12" t="str">
        <f t="shared" si="2464"/>
        <v/>
      </c>
      <c r="AS181" s="12" t="str">
        <f t="shared" si="2464"/>
        <v/>
      </c>
    </row>
    <row r="182" spans="1:45" s="1" customFormat="1" ht="11.25" x14ac:dyDescent="0.15">
      <c r="A182" s="7">
        <f>AVERAGE(C183:AS183)*30*100</f>
        <v>26100</v>
      </c>
      <c r="B182" s="9" t="s">
        <v>12</v>
      </c>
      <c r="C182" s="65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</row>
    <row r="183" spans="1:45" s="1" customFormat="1" ht="11.25" x14ac:dyDescent="0.15">
      <c r="A183" s="7">
        <f>SUM(C183:AS183)</f>
        <v>87</v>
      </c>
      <c r="B183" s="6" t="s">
        <v>13</v>
      </c>
      <c r="C183" s="65">
        <v>0</v>
      </c>
      <c r="D183" s="5">
        <v>0</v>
      </c>
      <c r="E183" s="5">
        <v>28</v>
      </c>
      <c r="F183" s="5">
        <v>0</v>
      </c>
      <c r="G183" s="5">
        <v>0</v>
      </c>
      <c r="H183" s="5">
        <v>0</v>
      </c>
      <c r="I183" s="5">
        <v>30</v>
      </c>
      <c r="J183" s="5">
        <f t="shared" ref="J183:J184" si="2465">IF(J$8="","",J176-I176)</f>
        <v>0</v>
      </c>
      <c r="K183" s="5">
        <f t="shared" ref="K183:K184" si="2466">IF(K$8="","",K176-J176)</f>
        <v>0</v>
      </c>
      <c r="L183" s="5">
        <f t="shared" ref="L183:L184" si="2467">IF(L$8="","",L176-K176)</f>
        <v>29</v>
      </c>
      <c r="M183" s="5" t="str">
        <f t="shared" ref="M183:M184" si="2468">IF(M$8="","",M176-L176)</f>
        <v/>
      </c>
      <c r="N183" s="5" t="str">
        <f t="shared" ref="N183:N184" si="2469">IF(N$8="","",N176-M176)</f>
        <v/>
      </c>
      <c r="O183" s="5" t="str">
        <f t="shared" ref="O183:O184" si="2470">IF(O$8="","",O176-N176)</f>
        <v/>
      </c>
      <c r="P183" s="5" t="str">
        <f t="shared" ref="P183:P184" si="2471">IF(P$8="","",P176-O176)</f>
        <v/>
      </c>
      <c r="Q183" s="5" t="str">
        <f t="shared" ref="Q183:Q184" si="2472">IF(Q$8="","",Q176-P176)</f>
        <v/>
      </c>
      <c r="R183" s="5" t="str">
        <f t="shared" ref="R183:R184" si="2473">IF(R$8="","",R176-Q176)</f>
        <v/>
      </c>
      <c r="S183" s="5" t="str">
        <f t="shared" ref="S183:S184" si="2474">IF(S$8="","",S176-R176)</f>
        <v/>
      </c>
      <c r="T183" s="5" t="str">
        <f t="shared" ref="T183:T184" si="2475">IF(T$8="","",T176-S176)</f>
        <v/>
      </c>
      <c r="U183" s="5" t="str">
        <f t="shared" ref="U183:U184" si="2476">IF(U$8="","",U176-T176)</f>
        <v/>
      </c>
      <c r="V183" s="5" t="str">
        <f t="shared" ref="V183:V184" si="2477">IF(V$8="","",V176-U176)</f>
        <v/>
      </c>
      <c r="W183" s="5" t="str">
        <f t="shared" ref="W183:W184" si="2478">IF(W$8="","",W176-V176)</f>
        <v/>
      </c>
      <c r="X183" s="5" t="str">
        <f t="shared" ref="X183:X184" si="2479">IF(X$8="","",X176-W176)</f>
        <v/>
      </c>
      <c r="Y183" s="5" t="str">
        <f t="shared" ref="Y183:Y184" si="2480">IF(Y$8="","",Y176-X176)</f>
        <v/>
      </c>
      <c r="Z183" s="5" t="str">
        <f t="shared" ref="Z183:Z184" si="2481">IF(Z$8="","",Z176-Y176)</f>
        <v/>
      </c>
      <c r="AA183" s="5" t="str">
        <f t="shared" ref="AA183:AA184" si="2482">IF(AA$8="","",AA176-Z176)</f>
        <v/>
      </c>
      <c r="AB183" s="5" t="str">
        <f t="shared" ref="AB183:AB184" si="2483">IF(AB$8="","",AB176-AA176)</f>
        <v/>
      </c>
      <c r="AC183" s="5" t="str">
        <f t="shared" ref="AC183:AC184" si="2484">IF(AC$8="","",AC176-AB176)</f>
        <v/>
      </c>
      <c r="AD183" s="5" t="str">
        <f t="shared" ref="AD183:AD184" si="2485">IF(AD$8="","",AD176-AC176)</f>
        <v/>
      </c>
      <c r="AE183" s="5" t="str">
        <f t="shared" ref="AE183:AE184" si="2486">IF(AE$8="","",AE176-AD176)</f>
        <v/>
      </c>
      <c r="AF183" s="5" t="str">
        <f t="shared" ref="AF183:AF184" si="2487">IF(AF$8="","",AF176-AE176)</f>
        <v/>
      </c>
      <c r="AG183" s="5" t="str">
        <f t="shared" ref="AG183:AG184" si="2488">IF(AG$8="","",AG176-AF176)</f>
        <v/>
      </c>
      <c r="AH183" s="5" t="str">
        <f t="shared" ref="AH183:AH184" si="2489">IF(AH$8="","",AH176-AG176)</f>
        <v/>
      </c>
      <c r="AI183" s="5" t="str">
        <f t="shared" ref="AI183:AI184" si="2490">IF(AI$8="","",AI176-AH176)</f>
        <v/>
      </c>
      <c r="AJ183" s="5" t="str">
        <f t="shared" ref="AJ183:AJ184" si="2491">IF(AJ$8="","",AJ176-AI176)</f>
        <v/>
      </c>
      <c r="AK183" s="5" t="str">
        <f t="shared" ref="AK183:AK184" si="2492">IF(AK$8="","",AK176-AJ176)</f>
        <v/>
      </c>
      <c r="AL183" s="5" t="str">
        <f t="shared" ref="AL183:AL184" si="2493">IF(AL$8="","",AL176-AK176)</f>
        <v/>
      </c>
      <c r="AM183" s="5" t="str">
        <f t="shared" ref="AM183:AM184" si="2494">IF(AM$8="","",AM176-AL176)</f>
        <v/>
      </c>
      <c r="AN183" s="5" t="str">
        <f t="shared" ref="AN183:AN184" si="2495">IF(AN$8="","",AN176-AM176)</f>
        <v/>
      </c>
      <c r="AO183" s="5" t="str">
        <f t="shared" ref="AO183:AS183" si="2496">IF(AO$8="","",AO176-AN176)</f>
        <v/>
      </c>
      <c r="AP183" s="5" t="str">
        <f t="shared" si="2496"/>
        <v/>
      </c>
      <c r="AQ183" s="5" t="str">
        <f t="shared" si="2496"/>
        <v/>
      </c>
      <c r="AR183" s="5" t="str">
        <f t="shared" si="2496"/>
        <v/>
      </c>
      <c r="AS183" s="5" t="str">
        <f t="shared" si="2496"/>
        <v/>
      </c>
    </row>
    <row r="184" spans="1:45" s="1" customFormat="1" ht="11.25" x14ac:dyDescent="0.15">
      <c r="A184" s="7">
        <f>SUM(C184:AS184)</f>
        <v>0</v>
      </c>
      <c r="B184" s="6" t="s">
        <v>14</v>
      </c>
      <c r="C184" s="6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f t="shared" si="2465"/>
        <v>0</v>
      </c>
      <c r="K184" s="5">
        <f t="shared" si="2466"/>
        <v>0</v>
      </c>
      <c r="L184" s="5">
        <f t="shared" si="2467"/>
        <v>0</v>
      </c>
      <c r="M184" s="5" t="str">
        <f t="shared" si="2468"/>
        <v/>
      </c>
      <c r="N184" s="5" t="str">
        <f t="shared" si="2469"/>
        <v/>
      </c>
      <c r="O184" s="5" t="str">
        <f t="shared" si="2470"/>
        <v/>
      </c>
      <c r="P184" s="5" t="str">
        <f t="shared" si="2471"/>
        <v/>
      </c>
      <c r="Q184" s="5" t="str">
        <f t="shared" si="2472"/>
        <v/>
      </c>
      <c r="R184" s="5" t="str">
        <f t="shared" si="2473"/>
        <v/>
      </c>
      <c r="S184" s="5" t="str">
        <f t="shared" si="2474"/>
        <v/>
      </c>
      <c r="T184" s="5" t="str">
        <f t="shared" si="2475"/>
        <v/>
      </c>
      <c r="U184" s="5" t="str">
        <f t="shared" si="2476"/>
        <v/>
      </c>
      <c r="V184" s="5" t="str">
        <f t="shared" si="2477"/>
        <v/>
      </c>
      <c r="W184" s="5" t="str">
        <f t="shared" si="2478"/>
        <v/>
      </c>
      <c r="X184" s="5" t="str">
        <f t="shared" si="2479"/>
        <v/>
      </c>
      <c r="Y184" s="5" t="str">
        <f t="shared" si="2480"/>
        <v/>
      </c>
      <c r="Z184" s="5" t="str">
        <f t="shared" si="2481"/>
        <v/>
      </c>
      <c r="AA184" s="5" t="str">
        <f t="shared" si="2482"/>
        <v/>
      </c>
      <c r="AB184" s="5" t="str">
        <f t="shared" si="2483"/>
        <v/>
      </c>
      <c r="AC184" s="5" t="str">
        <f t="shared" si="2484"/>
        <v/>
      </c>
      <c r="AD184" s="5" t="str">
        <f t="shared" si="2485"/>
        <v/>
      </c>
      <c r="AE184" s="5" t="str">
        <f t="shared" si="2486"/>
        <v/>
      </c>
      <c r="AF184" s="5" t="str">
        <f t="shared" si="2487"/>
        <v/>
      </c>
      <c r="AG184" s="5" t="str">
        <f t="shared" si="2488"/>
        <v/>
      </c>
      <c r="AH184" s="5" t="str">
        <f t="shared" si="2489"/>
        <v/>
      </c>
      <c r="AI184" s="5" t="str">
        <f t="shared" si="2490"/>
        <v/>
      </c>
      <c r="AJ184" s="5" t="str">
        <f t="shared" si="2491"/>
        <v/>
      </c>
      <c r="AK184" s="5" t="str">
        <f t="shared" si="2492"/>
        <v/>
      </c>
      <c r="AL184" s="5" t="str">
        <f t="shared" si="2493"/>
        <v/>
      </c>
      <c r="AM184" s="5" t="str">
        <f t="shared" si="2494"/>
        <v/>
      </c>
      <c r="AN184" s="5" t="str">
        <f t="shared" si="2495"/>
        <v/>
      </c>
      <c r="AO184" s="5" t="str">
        <f t="shared" ref="AO184:AS184" si="2497">IF(AO$8="","",AO177-AN177)</f>
        <v/>
      </c>
      <c r="AP184" s="5" t="str">
        <f t="shared" si="2497"/>
        <v/>
      </c>
      <c r="AQ184" s="5" t="str">
        <f t="shared" si="2497"/>
        <v/>
      </c>
      <c r="AR184" s="5" t="str">
        <f t="shared" si="2497"/>
        <v/>
      </c>
      <c r="AS184" s="5" t="str">
        <f t="shared" si="2497"/>
        <v/>
      </c>
    </row>
    <row r="185" spans="1:45" s="1" customFormat="1" ht="11.25" x14ac:dyDescent="0.15">
      <c r="A185" s="7">
        <f>SUM(C185:AS185)</f>
        <v>0</v>
      </c>
      <c r="B185" s="6" t="s">
        <v>15</v>
      </c>
      <c r="C185" s="6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f t="shared" ref="J185" si="2498">IF(J$8="","",I178+I179-J178)</f>
        <v>0</v>
      </c>
      <c r="K185" s="5">
        <f t="shared" ref="K185" si="2499">IF(K$8="","",J178+J179-K178)</f>
        <v>0</v>
      </c>
      <c r="L185" s="5">
        <f t="shared" ref="L185" si="2500">IF(L$8="","",K178+K179-L178)</f>
        <v>0</v>
      </c>
      <c r="M185" s="5" t="str">
        <f t="shared" ref="M185" si="2501">IF(M$8="","",L178+L179-M178)</f>
        <v/>
      </c>
      <c r="N185" s="5" t="str">
        <f t="shared" ref="N185" si="2502">IF(N$8="","",M178+M179-N178)</f>
        <v/>
      </c>
      <c r="O185" s="5" t="str">
        <f t="shared" ref="O185" si="2503">IF(O$8="","",N178+N179-O178)</f>
        <v/>
      </c>
      <c r="P185" s="5" t="str">
        <f t="shared" ref="P185" si="2504">IF(P$8="","",O178+O179-P178)</f>
        <v/>
      </c>
      <c r="Q185" s="5" t="str">
        <f t="shared" ref="Q185" si="2505">IF(Q$8="","",P178+P179-Q178)</f>
        <v/>
      </c>
      <c r="R185" s="5" t="str">
        <f t="shared" ref="R185" si="2506">IF(R$8="","",Q178+Q179-R178)</f>
        <v/>
      </c>
      <c r="S185" s="5" t="str">
        <f t="shared" ref="S185" si="2507">IF(S$8="","",R178+R179-S178)</f>
        <v/>
      </c>
      <c r="T185" s="5" t="str">
        <f t="shared" ref="T185" si="2508">IF(T$8="","",S178+S179-T178)</f>
        <v/>
      </c>
      <c r="U185" s="5" t="str">
        <f t="shared" ref="U185" si="2509">IF(U$8="","",T178+T179-U178)</f>
        <v/>
      </c>
      <c r="V185" s="5" t="str">
        <f t="shared" ref="V185" si="2510">IF(V$8="","",U178+U179-V178)</f>
        <v/>
      </c>
      <c r="W185" s="5" t="str">
        <f t="shared" ref="W185" si="2511">IF(W$8="","",V178+V179-W178)</f>
        <v/>
      </c>
      <c r="X185" s="5" t="str">
        <f t="shared" ref="X185" si="2512">IF(X$8="","",W178+W179-X178)</f>
        <v/>
      </c>
      <c r="Y185" s="5" t="str">
        <f t="shared" ref="Y185" si="2513">IF(Y$8="","",X178+X179-Y178)</f>
        <v/>
      </c>
      <c r="Z185" s="5" t="str">
        <f t="shared" ref="Z185" si="2514">IF(Z$8="","",Y178+Y179-Z178)</f>
        <v/>
      </c>
      <c r="AA185" s="5" t="str">
        <f t="shared" ref="AA185" si="2515">IF(AA$8="","",Z178+Z179-AA178)</f>
        <v/>
      </c>
      <c r="AB185" s="5" t="str">
        <f t="shared" ref="AB185" si="2516">IF(AB$8="","",AA178+AA179-AB178)</f>
        <v/>
      </c>
      <c r="AC185" s="5" t="str">
        <f t="shared" ref="AC185" si="2517">IF(AC$8="","",AB178+AB179-AC178)</f>
        <v/>
      </c>
      <c r="AD185" s="5" t="str">
        <f t="shared" ref="AD185" si="2518">IF(AD$8="","",AC178+AC179-AD178)</f>
        <v/>
      </c>
      <c r="AE185" s="5" t="str">
        <f t="shared" ref="AE185" si="2519">IF(AE$8="","",AD178+AD179-AE178)</f>
        <v/>
      </c>
      <c r="AF185" s="5" t="str">
        <f t="shared" ref="AF185" si="2520">IF(AF$8="","",AE178+AE179-AF178)</f>
        <v/>
      </c>
      <c r="AG185" s="5" t="str">
        <f t="shared" ref="AG185" si="2521">IF(AG$8="","",AF178+AF179-AG178)</f>
        <v/>
      </c>
      <c r="AH185" s="5" t="str">
        <f t="shared" ref="AH185" si="2522">IF(AH$8="","",AG178+AG179-AH178)</f>
        <v/>
      </c>
      <c r="AI185" s="5" t="str">
        <f t="shared" ref="AI185" si="2523">IF(AI$8="","",AH178+AH179-AI178)</f>
        <v/>
      </c>
      <c r="AJ185" s="5" t="str">
        <f t="shared" ref="AJ185" si="2524">IF(AJ$8="","",AI178+AI179-AJ178)</f>
        <v/>
      </c>
      <c r="AK185" s="5" t="str">
        <f t="shared" ref="AK185" si="2525">IF(AK$8="","",AJ178+AJ179-AK178)</f>
        <v/>
      </c>
      <c r="AL185" s="5" t="str">
        <f t="shared" ref="AL185" si="2526">IF(AL$8="","",AK178+AK179-AL178)</f>
        <v/>
      </c>
      <c r="AM185" s="5" t="str">
        <f t="shared" ref="AM185" si="2527">IF(AM$8="","",AL178+AL179-AM178)</f>
        <v/>
      </c>
      <c r="AN185" s="5" t="str">
        <f t="shared" ref="AN185" si="2528">IF(AN$8="","",AM178+AM179-AN178)</f>
        <v/>
      </c>
      <c r="AO185" s="5" t="str">
        <f t="shared" ref="AO185:AS185" si="2529">IF(AO$8="","",AN178+AN179-AO178)</f>
        <v/>
      </c>
      <c r="AP185" s="5" t="str">
        <f t="shared" si="2529"/>
        <v/>
      </c>
      <c r="AQ185" s="5" t="str">
        <f t="shared" si="2529"/>
        <v/>
      </c>
      <c r="AR185" s="5" t="str">
        <f t="shared" si="2529"/>
        <v/>
      </c>
      <c r="AS185" s="5" t="str">
        <f t="shared" si="2529"/>
        <v/>
      </c>
    </row>
    <row r="186" spans="1:45" s="1" customFormat="1" ht="11.25" x14ac:dyDescent="0.15">
      <c r="A186" s="7">
        <f>SUM(C186:AS186)</f>
        <v>0</v>
      </c>
      <c r="B186" s="6" t="s">
        <v>16</v>
      </c>
      <c r="C186" s="6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f t="shared" ref="D186:AN186" si="2530">IF(J$8="","",J185*J180)</f>
        <v>0</v>
      </c>
      <c r="K186" s="5">
        <f t="shared" si="2530"/>
        <v>0</v>
      </c>
      <c r="L186" s="5">
        <f t="shared" si="2530"/>
        <v>0</v>
      </c>
      <c r="M186" s="5" t="str">
        <f t="shared" si="2530"/>
        <v/>
      </c>
      <c r="N186" s="5" t="str">
        <f t="shared" si="2530"/>
        <v/>
      </c>
      <c r="O186" s="5" t="str">
        <f t="shared" si="2530"/>
        <v/>
      </c>
      <c r="P186" s="5" t="str">
        <f t="shared" si="2530"/>
        <v/>
      </c>
      <c r="Q186" s="5" t="str">
        <f t="shared" si="2530"/>
        <v/>
      </c>
      <c r="R186" s="5" t="str">
        <f t="shared" si="2530"/>
        <v/>
      </c>
      <c r="S186" s="5" t="str">
        <f t="shared" si="2530"/>
        <v/>
      </c>
      <c r="T186" s="5" t="str">
        <f t="shared" si="2530"/>
        <v/>
      </c>
      <c r="U186" s="5" t="str">
        <f t="shared" si="2530"/>
        <v/>
      </c>
      <c r="V186" s="5" t="str">
        <f t="shared" si="2530"/>
        <v/>
      </c>
      <c r="W186" s="5" t="str">
        <f t="shared" si="2530"/>
        <v/>
      </c>
      <c r="X186" s="5" t="str">
        <f t="shared" si="2530"/>
        <v/>
      </c>
      <c r="Y186" s="5" t="str">
        <f t="shared" si="2530"/>
        <v/>
      </c>
      <c r="Z186" s="5" t="str">
        <f t="shared" si="2530"/>
        <v/>
      </c>
      <c r="AA186" s="5" t="str">
        <f t="shared" si="2530"/>
        <v/>
      </c>
      <c r="AB186" s="5" t="str">
        <f t="shared" si="2530"/>
        <v/>
      </c>
      <c r="AC186" s="5" t="str">
        <f t="shared" si="2530"/>
        <v/>
      </c>
      <c r="AD186" s="5" t="str">
        <f t="shared" si="2530"/>
        <v/>
      </c>
      <c r="AE186" s="5" t="str">
        <f t="shared" si="2530"/>
        <v/>
      </c>
      <c r="AF186" s="5" t="str">
        <f t="shared" si="2530"/>
        <v/>
      </c>
      <c r="AG186" s="5" t="str">
        <f t="shared" si="2530"/>
        <v/>
      </c>
      <c r="AH186" s="5" t="str">
        <f t="shared" si="2530"/>
        <v/>
      </c>
      <c r="AI186" s="5" t="str">
        <f t="shared" si="2530"/>
        <v/>
      </c>
      <c r="AJ186" s="5" t="str">
        <f t="shared" si="2530"/>
        <v/>
      </c>
      <c r="AK186" s="5" t="str">
        <f t="shared" si="2530"/>
        <v/>
      </c>
      <c r="AL186" s="5" t="str">
        <f t="shared" si="2530"/>
        <v/>
      </c>
      <c r="AM186" s="5" t="str">
        <f t="shared" si="2530"/>
        <v/>
      </c>
      <c r="AN186" s="5" t="str">
        <f t="shared" si="2530"/>
        <v/>
      </c>
      <c r="AO186" s="5" t="str">
        <f t="shared" ref="AO186:AS186" si="2531">IF(AO$8="","",AO185*AO180)</f>
        <v/>
      </c>
      <c r="AP186" s="5" t="str">
        <f t="shared" si="2531"/>
        <v/>
      </c>
      <c r="AQ186" s="5" t="str">
        <f t="shared" si="2531"/>
        <v/>
      </c>
      <c r="AR186" s="5" t="str">
        <f t="shared" si="2531"/>
        <v/>
      </c>
      <c r="AS186" s="5" t="str">
        <f t="shared" si="2531"/>
        <v/>
      </c>
    </row>
    <row r="187" spans="1:45" s="1" customFormat="1" ht="12" thickBot="1" x14ac:dyDescent="0.2">
      <c r="A187" s="4">
        <f>IF(A186="","",A186/(A183*100))</f>
        <v>0</v>
      </c>
      <c r="B187" s="6" t="s">
        <v>18</v>
      </c>
      <c r="C187" s="67" t="s">
        <v>19</v>
      </c>
      <c r="D187" s="18" t="s">
        <v>19</v>
      </c>
      <c r="E187" s="18" t="s">
        <v>19</v>
      </c>
      <c r="F187" s="18" t="s">
        <v>19</v>
      </c>
      <c r="G187" s="18" t="s">
        <v>19</v>
      </c>
      <c r="H187" s="18" t="s">
        <v>19</v>
      </c>
      <c r="I187" s="18" t="s">
        <v>19</v>
      </c>
      <c r="J187" s="18" t="str">
        <f t="shared" ref="D187:AN187" si="2532">IF(J$8="","",IF(J186=0,"",J186/(J183*100)))</f>
        <v/>
      </c>
      <c r="K187" s="18" t="str">
        <f t="shared" si="2532"/>
        <v/>
      </c>
      <c r="L187" s="18" t="str">
        <f t="shared" si="2532"/>
        <v/>
      </c>
      <c r="M187" s="18" t="str">
        <f t="shared" si="2532"/>
        <v/>
      </c>
      <c r="N187" s="18" t="str">
        <f t="shared" si="2532"/>
        <v/>
      </c>
      <c r="O187" s="18" t="str">
        <f t="shared" si="2532"/>
        <v/>
      </c>
      <c r="P187" s="18" t="str">
        <f t="shared" si="2532"/>
        <v/>
      </c>
      <c r="Q187" s="18" t="str">
        <f t="shared" si="2532"/>
        <v/>
      </c>
      <c r="R187" s="18" t="str">
        <f t="shared" si="2532"/>
        <v/>
      </c>
      <c r="S187" s="18" t="str">
        <f t="shared" si="2532"/>
        <v/>
      </c>
      <c r="T187" s="18" t="str">
        <f t="shared" si="2532"/>
        <v/>
      </c>
      <c r="U187" s="18" t="str">
        <f t="shared" si="2532"/>
        <v/>
      </c>
      <c r="V187" s="18" t="str">
        <f t="shared" si="2532"/>
        <v/>
      </c>
      <c r="W187" s="18" t="str">
        <f t="shared" si="2532"/>
        <v/>
      </c>
      <c r="X187" s="18" t="str">
        <f t="shared" si="2532"/>
        <v/>
      </c>
      <c r="Y187" s="18" t="str">
        <f t="shared" si="2532"/>
        <v/>
      </c>
      <c r="Z187" s="18" t="str">
        <f t="shared" si="2532"/>
        <v/>
      </c>
      <c r="AA187" s="18" t="str">
        <f t="shared" si="2532"/>
        <v/>
      </c>
      <c r="AB187" s="18" t="str">
        <f t="shared" si="2532"/>
        <v/>
      </c>
      <c r="AC187" s="18" t="str">
        <f t="shared" si="2532"/>
        <v/>
      </c>
      <c r="AD187" s="18" t="str">
        <f t="shared" si="2532"/>
        <v/>
      </c>
      <c r="AE187" s="18" t="str">
        <f t="shared" si="2532"/>
        <v/>
      </c>
      <c r="AF187" s="18" t="str">
        <f t="shared" si="2532"/>
        <v/>
      </c>
      <c r="AG187" s="18" t="str">
        <f t="shared" si="2532"/>
        <v/>
      </c>
      <c r="AH187" s="18" t="str">
        <f t="shared" si="2532"/>
        <v/>
      </c>
      <c r="AI187" s="18" t="str">
        <f t="shared" si="2532"/>
        <v/>
      </c>
      <c r="AJ187" s="18" t="str">
        <f t="shared" si="2532"/>
        <v/>
      </c>
      <c r="AK187" s="18" t="str">
        <f t="shared" si="2532"/>
        <v/>
      </c>
      <c r="AL187" s="18" t="str">
        <f t="shared" si="2532"/>
        <v/>
      </c>
      <c r="AM187" s="18" t="str">
        <f t="shared" si="2532"/>
        <v/>
      </c>
      <c r="AN187" s="18" t="str">
        <f t="shared" si="2532"/>
        <v/>
      </c>
      <c r="AO187" s="18" t="str">
        <f t="shared" ref="AO187:AS187" si="2533">IF(AO$8="","",IF(AO186=0,"",AO186/(AO183*100)))</f>
        <v/>
      </c>
      <c r="AP187" s="18" t="str">
        <f t="shared" si="2533"/>
        <v/>
      </c>
      <c r="AQ187" s="18" t="str">
        <f t="shared" si="2533"/>
        <v/>
      </c>
      <c r="AR187" s="18" t="str">
        <f t="shared" si="2533"/>
        <v/>
      </c>
      <c r="AS187" s="18" t="str">
        <f t="shared" si="2533"/>
        <v/>
      </c>
    </row>
    <row r="188" spans="1:45" s="1" customFormat="1" ht="11.25" x14ac:dyDescent="0.15">
      <c r="A188" s="17" t="s">
        <v>46</v>
      </c>
      <c r="B188" s="9" t="s">
        <v>2</v>
      </c>
      <c r="C188" s="65">
        <v>5383</v>
      </c>
      <c r="D188" s="8">
        <v>5383</v>
      </c>
      <c r="E188" s="8">
        <v>5423</v>
      </c>
      <c r="F188" s="8">
        <v>5423</v>
      </c>
      <c r="G188" s="8">
        <v>5423</v>
      </c>
      <c r="H188" s="8">
        <v>5423</v>
      </c>
      <c r="I188" s="8">
        <v>5447</v>
      </c>
      <c r="J188" s="8">
        <f t="shared" ref="J188:J189" si="2534">IF(J$8="","",I188)</f>
        <v>5447</v>
      </c>
      <c r="K188" s="8">
        <f t="shared" ref="K188:K189" si="2535">IF(K$8="","",J188)</f>
        <v>5447</v>
      </c>
      <c r="L188" s="8">
        <v>5479</v>
      </c>
      <c r="M188" s="8" t="str">
        <f t="shared" ref="M188:M189" si="2536">IF(M$8="","",L188)</f>
        <v/>
      </c>
      <c r="N188" s="8" t="str">
        <f t="shared" ref="N188:N189" si="2537">IF(N$8="","",M188)</f>
        <v/>
      </c>
      <c r="O188" s="8" t="str">
        <f t="shared" ref="O188:O189" si="2538">IF(O$8="","",N188)</f>
        <v/>
      </c>
      <c r="P188" s="8" t="str">
        <f>IF(P$8="","",O188)</f>
        <v/>
      </c>
      <c r="Q188" s="8" t="str">
        <f t="shared" ref="Q188:Q189" si="2539">IF(Q$8="","",P188)</f>
        <v/>
      </c>
      <c r="R188" s="8" t="str">
        <f t="shared" ref="R188:R189" si="2540">IF(R$8="","",Q188)</f>
        <v/>
      </c>
      <c r="S188" s="8" t="str">
        <f>IF(S$8="","",R188)</f>
        <v/>
      </c>
      <c r="T188" s="8" t="str">
        <f t="shared" ref="T188:T189" si="2541">IF(T$8="","",S188)</f>
        <v/>
      </c>
      <c r="U188" s="8" t="str">
        <f t="shared" ref="U188:U189" si="2542">IF(U$8="","",T188)</f>
        <v/>
      </c>
      <c r="V188" s="8" t="str">
        <f t="shared" ref="V188:V189" si="2543">IF(V$8="","",U188)</f>
        <v/>
      </c>
      <c r="W188" s="8" t="str">
        <f>IF(W$8="","",V188)</f>
        <v/>
      </c>
      <c r="X188" s="8" t="str">
        <f t="shared" ref="X188:X189" si="2544">IF(X$8="","",W188)</f>
        <v/>
      </c>
      <c r="Y188" s="8" t="str">
        <f t="shared" ref="Y188:Y189" si="2545">IF(Y$8="","",X188)</f>
        <v/>
      </c>
      <c r="Z188" s="8" t="str">
        <f>IF(Z$8="","",Y188)</f>
        <v/>
      </c>
      <c r="AA188" s="8" t="str">
        <f t="shared" ref="AA188:AA189" si="2546">IF(AA$8="","",Z188)</f>
        <v/>
      </c>
      <c r="AB188" s="8" t="str">
        <f t="shared" ref="AB188:AB189" si="2547">IF(AB$8="","",AA188)</f>
        <v/>
      </c>
      <c r="AC188" s="8" t="str">
        <f t="shared" ref="AC188:AC189" si="2548">IF(AC$8="","",AB188)</f>
        <v/>
      </c>
      <c r="AD188" s="8" t="str">
        <f>IF(AD$8="","",AC188)</f>
        <v/>
      </c>
      <c r="AE188" s="8" t="str">
        <f t="shared" ref="AE188:AE189" si="2549">IF(AE$8="","",AD188)</f>
        <v/>
      </c>
      <c r="AF188" s="8" t="str">
        <f t="shared" ref="AF188:AF189" si="2550">IF(AF$8="","",AE188)</f>
        <v/>
      </c>
      <c r="AG188" s="8" t="str">
        <f>IF(AG$8="","",AF188)</f>
        <v/>
      </c>
      <c r="AH188" s="8" t="str">
        <f t="shared" ref="AH188:AH189" si="2551">IF(AH$8="","",AG188)</f>
        <v/>
      </c>
      <c r="AI188" s="8" t="str">
        <f t="shared" ref="AI188:AI189" si="2552">IF(AI$8="","",AH188)</f>
        <v/>
      </c>
      <c r="AJ188" s="8" t="str">
        <f t="shared" ref="AJ188:AJ189" si="2553">IF(AJ$8="","",AI188)</f>
        <v/>
      </c>
      <c r="AK188" s="8" t="str">
        <f>IF(AK$8="","",AJ188)</f>
        <v/>
      </c>
      <c r="AL188" s="8" t="str">
        <f t="shared" ref="AL188:AL189" si="2554">IF(AL$8="","",AK188)</f>
        <v/>
      </c>
      <c r="AM188" s="8" t="str">
        <f t="shared" ref="AM188:AM189" si="2555">IF(AM$8="","",AL188)</f>
        <v/>
      </c>
      <c r="AN188" s="8" t="str">
        <f t="shared" ref="AN188:AN189" si="2556">IF(AN$8="","",AM188)</f>
        <v/>
      </c>
      <c r="AO188" s="8" t="str">
        <f t="shared" ref="AO188:AS188" si="2557">IF(AO$8="","",AN188)</f>
        <v/>
      </c>
      <c r="AP188" s="8" t="str">
        <f t="shared" si="2557"/>
        <v/>
      </c>
      <c r="AQ188" s="8" t="str">
        <f t="shared" si="2557"/>
        <v/>
      </c>
      <c r="AR188" s="8" t="str">
        <f t="shared" si="2557"/>
        <v/>
      </c>
      <c r="AS188" s="8" t="str">
        <f t="shared" si="2557"/>
        <v/>
      </c>
    </row>
    <row r="189" spans="1:45" s="1" customFormat="1" ht="11.25" x14ac:dyDescent="0.15">
      <c r="A189" s="16" t="s">
        <v>32</v>
      </c>
      <c r="B189" s="9" t="s">
        <v>4</v>
      </c>
      <c r="C189" s="65">
        <v>81</v>
      </c>
      <c r="D189" s="8">
        <v>81</v>
      </c>
      <c r="E189" s="8">
        <v>81</v>
      </c>
      <c r="F189" s="8">
        <v>81</v>
      </c>
      <c r="G189" s="8">
        <v>81</v>
      </c>
      <c r="H189" s="8">
        <v>81</v>
      </c>
      <c r="I189" s="8">
        <v>82</v>
      </c>
      <c r="J189" s="8">
        <f t="shared" si="2534"/>
        <v>82</v>
      </c>
      <c r="K189" s="8">
        <f t="shared" si="2535"/>
        <v>82</v>
      </c>
      <c r="L189" s="8">
        <f>IF(L$8="","",K189)</f>
        <v>82</v>
      </c>
      <c r="M189" s="8" t="str">
        <f t="shared" si="2536"/>
        <v/>
      </c>
      <c r="N189" s="8" t="str">
        <f t="shared" si="2537"/>
        <v/>
      </c>
      <c r="O189" s="8" t="str">
        <f t="shared" si="2538"/>
        <v/>
      </c>
      <c r="P189" s="8" t="str">
        <f>IF(P$8="","",O189)</f>
        <v/>
      </c>
      <c r="Q189" s="8" t="str">
        <f t="shared" si="2539"/>
        <v/>
      </c>
      <c r="R189" s="8" t="str">
        <f t="shared" si="2540"/>
        <v/>
      </c>
      <c r="S189" s="8" t="str">
        <f>IF(S$8="","",R189)</f>
        <v/>
      </c>
      <c r="T189" s="8" t="str">
        <f t="shared" si="2541"/>
        <v/>
      </c>
      <c r="U189" s="8" t="str">
        <f t="shared" si="2542"/>
        <v/>
      </c>
      <c r="V189" s="8" t="str">
        <f t="shared" si="2543"/>
        <v/>
      </c>
      <c r="W189" s="8" t="str">
        <f>IF(W$8="","",V189)</f>
        <v/>
      </c>
      <c r="X189" s="8" t="str">
        <f t="shared" si="2544"/>
        <v/>
      </c>
      <c r="Y189" s="8" t="str">
        <f t="shared" si="2545"/>
        <v/>
      </c>
      <c r="Z189" s="8" t="str">
        <f t="shared" ref="Z189" si="2558">IF(Z$8="","",Y189)</f>
        <v/>
      </c>
      <c r="AA189" s="8" t="str">
        <f t="shared" si="2546"/>
        <v/>
      </c>
      <c r="AB189" s="8" t="str">
        <f t="shared" si="2547"/>
        <v/>
      </c>
      <c r="AC189" s="8" t="str">
        <f t="shared" si="2548"/>
        <v/>
      </c>
      <c r="AD189" s="8" t="str">
        <f t="shared" ref="AD189" si="2559">IF(AD$8="","",AC189)</f>
        <v/>
      </c>
      <c r="AE189" s="8" t="str">
        <f t="shared" si="2549"/>
        <v/>
      </c>
      <c r="AF189" s="8" t="str">
        <f t="shared" si="2550"/>
        <v/>
      </c>
      <c r="AG189" s="8" t="str">
        <f>IF(AG$8="","",AF189)</f>
        <v/>
      </c>
      <c r="AH189" s="8" t="str">
        <f t="shared" si="2551"/>
        <v/>
      </c>
      <c r="AI189" s="8" t="str">
        <f t="shared" si="2552"/>
        <v/>
      </c>
      <c r="AJ189" s="8" t="str">
        <f t="shared" si="2553"/>
        <v/>
      </c>
      <c r="AK189" s="8" t="str">
        <f>IF(AK$8="","",AJ189)</f>
        <v/>
      </c>
      <c r="AL189" s="8" t="str">
        <f t="shared" si="2554"/>
        <v/>
      </c>
      <c r="AM189" s="8" t="str">
        <f t="shared" si="2555"/>
        <v/>
      </c>
      <c r="AN189" s="8" t="str">
        <f t="shared" si="2556"/>
        <v/>
      </c>
      <c r="AO189" s="8" t="str">
        <f t="shared" ref="AO189:AS189" si="2560">IF(AO$8="","",AN189)</f>
        <v/>
      </c>
      <c r="AP189" s="8" t="str">
        <f t="shared" si="2560"/>
        <v/>
      </c>
      <c r="AQ189" s="8" t="str">
        <f t="shared" si="2560"/>
        <v/>
      </c>
      <c r="AR189" s="8" t="str">
        <f t="shared" si="2560"/>
        <v/>
      </c>
      <c r="AS189" s="8" t="str">
        <f t="shared" si="2560"/>
        <v/>
      </c>
    </row>
    <row r="190" spans="1:45" s="1" customFormat="1" ht="11.25" x14ac:dyDescent="0.15">
      <c r="A190" s="15">
        <v>4</v>
      </c>
      <c r="B190" s="9" t="s">
        <v>5</v>
      </c>
      <c r="C190" s="65">
        <v>6</v>
      </c>
      <c r="D190" s="8">
        <v>6</v>
      </c>
      <c r="E190" s="8">
        <v>6</v>
      </c>
      <c r="F190" s="8">
        <v>6</v>
      </c>
      <c r="G190" s="8">
        <v>6</v>
      </c>
      <c r="H190" s="8">
        <v>6</v>
      </c>
      <c r="I190" s="8">
        <v>5</v>
      </c>
      <c r="J190" s="8">
        <f t="shared" ref="J190" si="2561">IF(J$8="","",(I190+I191))</f>
        <v>8</v>
      </c>
      <c r="K190" s="8">
        <f t="shared" ref="K190" si="2562">IF(K$8="","",(J190+J191))</f>
        <v>8</v>
      </c>
      <c r="L190" s="8">
        <f>IF(L$8="","",(K190+K191))</f>
        <v>8</v>
      </c>
      <c r="M190" s="8" t="str">
        <f t="shared" ref="M190" si="2563">IF(M$8="","",(L190+L191))</f>
        <v/>
      </c>
      <c r="N190" s="8" t="str">
        <f t="shared" ref="N190" si="2564">IF(N$8="","",(M190+M191))</f>
        <v/>
      </c>
      <c r="O190" s="8" t="str">
        <f t="shared" ref="O190" si="2565">IF(O$8="","",(N190+N191))</f>
        <v/>
      </c>
      <c r="P190" s="8" t="str">
        <f>IF(P$8="","",(O190+O191))</f>
        <v/>
      </c>
      <c r="Q190" s="8" t="str">
        <f t="shared" ref="Q190" si="2566">IF(Q$8="","",(P190+P191))</f>
        <v/>
      </c>
      <c r="R190" s="8" t="str">
        <f t="shared" ref="R190" si="2567">IF(R$8="","",(Q190+Q191))</f>
        <v/>
      </c>
      <c r="S190" s="8" t="str">
        <f>IF(S$8="","",(R190+R191))</f>
        <v/>
      </c>
      <c r="T190" s="8" t="str">
        <f t="shared" ref="T190" si="2568">IF(T$8="","",(S190+S191))</f>
        <v/>
      </c>
      <c r="U190" s="8" t="str">
        <f t="shared" ref="U190" si="2569">IF(U$8="","",(T190+T191))</f>
        <v/>
      </c>
      <c r="V190" s="8" t="str">
        <f t="shared" ref="V190" si="2570">IF(V$8="","",(U190+U191))</f>
        <v/>
      </c>
      <c r="W190" s="8" t="str">
        <f>IF(W$8="","",(V190+V191))</f>
        <v/>
      </c>
      <c r="X190" s="8" t="str">
        <f t="shared" ref="X190" si="2571">IF(X$8="","",(W190+W191))</f>
        <v/>
      </c>
      <c r="Y190" s="8" t="str">
        <f t="shared" ref="Y190" si="2572">IF(Y$8="","",(X190+X191))</f>
        <v/>
      </c>
      <c r="Z190" s="8" t="str">
        <f t="shared" ref="Z190" si="2573">IF(Z$8="","",(Y190+Y191))</f>
        <v/>
      </c>
      <c r="AA190" s="8" t="str">
        <f t="shared" ref="AA190" si="2574">IF(AA$8="","",(Z190+Z191))</f>
        <v/>
      </c>
      <c r="AB190" s="8" t="str">
        <f t="shared" ref="AB190" si="2575">IF(AB$8="","",(AA190+AA191))</f>
        <v/>
      </c>
      <c r="AC190" s="8" t="str">
        <f t="shared" ref="AC190" si="2576">IF(AC$8="","",(AB190+AB191))</f>
        <v/>
      </c>
      <c r="AD190" s="8" t="str">
        <f t="shared" ref="AD190" si="2577">IF(AD$8="","",(AC190+AC191))</f>
        <v/>
      </c>
      <c r="AE190" s="8" t="str">
        <f t="shared" ref="AE190" si="2578">IF(AE$8="","",(AD190+AD191))</f>
        <v/>
      </c>
      <c r="AF190" s="8" t="str">
        <f t="shared" ref="AF190" si="2579">IF(AF$8="","",(AE190+AE191))</f>
        <v/>
      </c>
      <c r="AG190" s="8" t="str">
        <f>IF(AG$8="","",(AF190+AF191))</f>
        <v/>
      </c>
      <c r="AH190" s="8" t="str">
        <f t="shared" ref="AH190" si="2580">IF(AH$8="","",(AG190+AG191))</f>
        <v/>
      </c>
      <c r="AI190" s="8" t="str">
        <f t="shared" ref="AI190" si="2581">IF(AI$8="","",(AH190+AH191))</f>
        <v/>
      </c>
      <c r="AJ190" s="8" t="str">
        <f t="shared" ref="AJ190" si="2582">IF(AJ$8="","",(AI190+AI191))</f>
        <v/>
      </c>
      <c r="AK190" s="8" t="str">
        <f>IF(AK$8="","",(AJ190+AJ191))</f>
        <v/>
      </c>
      <c r="AL190" s="8" t="str">
        <f t="shared" ref="AL190" si="2583">IF(AL$8="","",(AK190+AK191))</f>
        <v/>
      </c>
      <c r="AM190" s="8" t="str">
        <f t="shared" ref="AM190" si="2584">IF(AM$8="","",(AL190+AL191))</f>
        <v/>
      </c>
      <c r="AN190" s="8" t="str">
        <f t="shared" ref="AN190" si="2585">IF(AN$8="","",(AM190+AM191))</f>
        <v/>
      </c>
      <c r="AO190" s="8" t="str">
        <f t="shared" ref="AO190:AS190" si="2586">IF(AO$8="","",(AN190+AN191))</f>
        <v/>
      </c>
      <c r="AP190" s="8" t="str">
        <f t="shared" si="2586"/>
        <v/>
      </c>
      <c r="AQ190" s="8" t="str">
        <f t="shared" si="2586"/>
        <v/>
      </c>
      <c r="AR190" s="8" t="str">
        <f t="shared" si="2586"/>
        <v/>
      </c>
      <c r="AS190" s="8" t="str">
        <f t="shared" si="2586"/>
        <v/>
      </c>
    </row>
    <row r="191" spans="1:45" s="1" customFormat="1" ht="11.25" x14ac:dyDescent="0.15">
      <c r="A191" s="14"/>
      <c r="B191" s="9" t="s">
        <v>7</v>
      </c>
      <c r="C191" s="65"/>
      <c r="D191" s="8"/>
      <c r="E191" s="8"/>
      <c r="F191" s="8"/>
      <c r="G191" s="8"/>
      <c r="H191" s="8"/>
      <c r="I191" s="8">
        <v>3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</row>
    <row r="192" spans="1:45" s="1" customFormat="1" ht="11.25" x14ac:dyDescent="0.15">
      <c r="A192" s="7"/>
      <c r="B192" s="9" t="s">
        <v>8</v>
      </c>
      <c r="C192" s="65">
        <v>400</v>
      </c>
      <c r="D192" s="8">
        <v>400</v>
      </c>
      <c r="E192" s="8">
        <v>400</v>
      </c>
      <c r="F192" s="8">
        <v>400</v>
      </c>
      <c r="G192" s="8">
        <v>400</v>
      </c>
      <c r="H192" s="8">
        <v>400</v>
      </c>
      <c r="I192" s="8">
        <v>400</v>
      </c>
      <c r="J192" s="8">
        <f t="shared" ref="J192:J193" si="2587">IF(J$8="","",I192)</f>
        <v>400</v>
      </c>
      <c r="K192" s="8">
        <f t="shared" ref="K192:K193" si="2588">IF(K$8="","",J192)</f>
        <v>400</v>
      </c>
      <c r="L192" s="8">
        <f t="shared" ref="L192:L193" si="2589">IF(L$8="","",K192)</f>
        <v>400</v>
      </c>
      <c r="M192" s="8" t="str">
        <f t="shared" ref="M192:M193" si="2590">IF(M$8="","",L192)</f>
        <v/>
      </c>
      <c r="N192" s="8" t="str">
        <f t="shared" ref="N192:N193" si="2591">IF(N$8="","",M192)</f>
        <v/>
      </c>
      <c r="O192" s="8" t="str">
        <f t="shared" ref="O192:O193" si="2592">IF(O$8="","",N192)</f>
        <v/>
      </c>
      <c r="P192" s="8" t="str">
        <f t="shared" ref="P192:P193" si="2593">IF(P$8="","",O192)</f>
        <v/>
      </c>
      <c r="Q192" s="8" t="str">
        <f t="shared" ref="Q192:Q193" si="2594">IF(Q$8="","",P192)</f>
        <v/>
      </c>
      <c r="R192" s="8" t="str">
        <f t="shared" ref="R192:R193" si="2595">IF(R$8="","",Q192)</f>
        <v/>
      </c>
      <c r="S192" s="8" t="str">
        <f t="shared" ref="S192:S193" si="2596">IF(S$8="","",R192)</f>
        <v/>
      </c>
      <c r="T192" s="8" t="str">
        <f t="shared" ref="T192:T193" si="2597">IF(T$8="","",S192)</f>
        <v/>
      </c>
      <c r="U192" s="8" t="str">
        <f t="shared" ref="U192:U193" si="2598">IF(U$8="","",T192)</f>
        <v/>
      </c>
      <c r="V192" s="8" t="str">
        <f t="shared" ref="V192:V193" si="2599">IF(V$8="","",U192)</f>
        <v/>
      </c>
      <c r="W192" s="8" t="str">
        <f t="shared" ref="W192:W193" si="2600">IF(W$8="","",V192)</f>
        <v/>
      </c>
      <c r="X192" s="8" t="str">
        <f t="shared" ref="X192:X193" si="2601">IF(X$8="","",W192)</f>
        <v/>
      </c>
      <c r="Y192" s="8" t="str">
        <f t="shared" ref="Y192:Y193" si="2602">IF(Y$8="","",X192)</f>
        <v/>
      </c>
      <c r="Z192" s="8" t="str">
        <f t="shared" ref="Z192:Z193" si="2603">IF(Z$8="","",Y192)</f>
        <v/>
      </c>
      <c r="AA192" s="8" t="str">
        <f t="shared" ref="AA192:AA193" si="2604">IF(AA$8="","",Z192)</f>
        <v/>
      </c>
      <c r="AB192" s="8" t="str">
        <f t="shared" ref="AB192:AB193" si="2605">IF(AB$8="","",AA192)</f>
        <v/>
      </c>
      <c r="AC192" s="8" t="str">
        <f t="shared" ref="AC192:AC193" si="2606">IF(AC$8="","",AB192)</f>
        <v/>
      </c>
      <c r="AD192" s="8" t="str">
        <f t="shared" ref="AD192:AD193" si="2607">IF(AD$8="","",AC192)</f>
        <v/>
      </c>
      <c r="AE192" s="8" t="str">
        <f t="shared" ref="AE192:AE193" si="2608">IF(AE$8="","",AD192)</f>
        <v/>
      </c>
      <c r="AF192" s="8" t="str">
        <f t="shared" ref="AF192:AF193" si="2609">IF(AF$8="","",AE192)</f>
        <v/>
      </c>
      <c r="AG192" s="8" t="str">
        <f t="shared" ref="AG192:AG193" si="2610">IF(AG$8="","",AF192)</f>
        <v/>
      </c>
      <c r="AH192" s="8" t="str">
        <f t="shared" ref="AH192:AH193" si="2611">IF(AH$8="","",AG192)</f>
        <v/>
      </c>
      <c r="AI192" s="8" t="str">
        <f t="shared" ref="AI192:AI193" si="2612">IF(AI$8="","",AH192)</f>
        <v/>
      </c>
      <c r="AJ192" s="8" t="str">
        <f t="shared" ref="AJ192:AJ193" si="2613">IF(AJ$8="","",AI192)</f>
        <v/>
      </c>
      <c r="AK192" s="8" t="str">
        <f t="shared" ref="AK192:AK193" si="2614">IF(AK$8="","",AJ192)</f>
        <v/>
      </c>
      <c r="AL192" s="8" t="str">
        <f t="shared" ref="AL192:AL193" si="2615">IF(AL$8="","",AK192)</f>
        <v/>
      </c>
      <c r="AM192" s="8" t="str">
        <f t="shared" ref="AM192:AM193" si="2616">IF(AM$8="","",AL192)</f>
        <v/>
      </c>
      <c r="AN192" s="8" t="str">
        <f t="shared" ref="AN192:AN193" si="2617">IF(AN$8="","",AM192)</f>
        <v/>
      </c>
      <c r="AO192" s="8" t="str">
        <f t="shared" ref="AO192:AS192" si="2618">IF(AO$8="","",AN192)</f>
        <v/>
      </c>
      <c r="AP192" s="8" t="str">
        <f t="shared" si="2618"/>
        <v/>
      </c>
      <c r="AQ192" s="8" t="str">
        <f t="shared" si="2618"/>
        <v/>
      </c>
      <c r="AR192" s="8" t="str">
        <f t="shared" si="2618"/>
        <v/>
      </c>
      <c r="AS192" s="8" t="str">
        <f t="shared" si="2618"/>
        <v/>
      </c>
    </row>
    <row r="193" spans="1:45" s="85" customFormat="1" ht="11.25" x14ac:dyDescent="0.15">
      <c r="A193" s="14" t="s">
        <v>9</v>
      </c>
      <c r="B193" s="13" t="s">
        <v>10</v>
      </c>
      <c r="C193" s="66" t="s">
        <v>52</v>
      </c>
      <c r="D193" s="12" t="s">
        <v>52</v>
      </c>
      <c r="E193" s="12" t="s">
        <v>52</v>
      </c>
      <c r="F193" s="12" t="s">
        <v>52</v>
      </c>
      <c r="G193" s="12" t="s">
        <v>52</v>
      </c>
      <c r="H193" s="12" t="s">
        <v>52</v>
      </c>
      <c r="I193" s="12" t="s">
        <v>52</v>
      </c>
      <c r="J193" s="12" t="str">
        <f t="shared" si="2587"/>
        <v>ギャルキティフェイスポーチ</v>
      </c>
      <c r="K193" s="12" t="str">
        <f t="shared" si="2588"/>
        <v>ギャルキティフェイスポーチ</v>
      </c>
      <c r="L193" s="12" t="str">
        <f t="shared" si="2589"/>
        <v>ギャルキティフェイスポーチ</v>
      </c>
      <c r="M193" s="12" t="str">
        <f t="shared" si="2590"/>
        <v/>
      </c>
      <c r="N193" s="12" t="str">
        <f t="shared" si="2591"/>
        <v/>
      </c>
      <c r="O193" s="12" t="str">
        <f t="shared" si="2592"/>
        <v/>
      </c>
      <c r="P193" s="12" t="str">
        <f t="shared" si="2593"/>
        <v/>
      </c>
      <c r="Q193" s="12" t="str">
        <f t="shared" si="2594"/>
        <v/>
      </c>
      <c r="R193" s="12" t="str">
        <f t="shared" si="2595"/>
        <v/>
      </c>
      <c r="S193" s="12" t="str">
        <f t="shared" si="2596"/>
        <v/>
      </c>
      <c r="T193" s="12" t="str">
        <f t="shared" si="2597"/>
        <v/>
      </c>
      <c r="U193" s="12" t="str">
        <f t="shared" si="2598"/>
        <v/>
      </c>
      <c r="V193" s="12" t="str">
        <f t="shared" si="2599"/>
        <v/>
      </c>
      <c r="W193" s="12" t="str">
        <f t="shared" si="2600"/>
        <v/>
      </c>
      <c r="X193" s="12" t="str">
        <f t="shared" si="2601"/>
        <v/>
      </c>
      <c r="Y193" s="12" t="str">
        <f t="shared" si="2602"/>
        <v/>
      </c>
      <c r="Z193" s="12" t="str">
        <f t="shared" si="2603"/>
        <v/>
      </c>
      <c r="AA193" s="12" t="str">
        <f t="shared" si="2604"/>
        <v/>
      </c>
      <c r="AB193" s="12" t="str">
        <f t="shared" si="2605"/>
        <v/>
      </c>
      <c r="AC193" s="12" t="str">
        <f t="shared" si="2606"/>
        <v/>
      </c>
      <c r="AD193" s="12" t="str">
        <f t="shared" si="2607"/>
        <v/>
      </c>
      <c r="AE193" s="12" t="str">
        <f t="shared" si="2608"/>
        <v/>
      </c>
      <c r="AF193" s="12" t="str">
        <f t="shared" si="2609"/>
        <v/>
      </c>
      <c r="AG193" s="12" t="str">
        <f t="shared" si="2610"/>
        <v/>
      </c>
      <c r="AH193" s="12" t="str">
        <f t="shared" si="2611"/>
        <v/>
      </c>
      <c r="AI193" s="12" t="str">
        <f t="shared" si="2612"/>
        <v/>
      </c>
      <c r="AJ193" s="12" t="str">
        <f t="shared" si="2613"/>
        <v/>
      </c>
      <c r="AK193" s="12" t="str">
        <f t="shared" si="2614"/>
        <v/>
      </c>
      <c r="AL193" s="12" t="str">
        <f t="shared" si="2615"/>
        <v/>
      </c>
      <c r="AM193" s="12" t="str">
        <f t="shared" si="2616"/>
        <v/>
      </c>
      <c r="AN193" s="12" t="str">
        <f t="shared" si="2617"/>
        <v/>
      </c>
      <c r="AO193" s="12" t="str">
        <f t="shared" ref="AO193:AS193" si="2619">IF(AO$8="","",AN193)</f>
        <v/>
      </c>
      <c r="AP193" s="12" t="str">
        <f t="shared" si="2619"/>
        <v/>
      </c>
      <c r="AQ193" s="12" t="str">
        <f t="shared" si="2619"/>
        <v/>
      </c>
      <c r="AR193" s="12" t="str">
        <f t="shared" si="2619"/>
        <v/>
      </c>
      <c r="AS193" s="12" t="str">
        <f t="shared" si="2619"/>
        <v/>
      </c>
    </row>
    <row r="194" spans="1:45" s="1" customFormat="1" ht="11.25" x14ac:dyDescent="0.15">
      <c r="A194" s="7">
        <f>AVERAGE(C195:AS195)*30*100</f>
        <v>28800</v>
      </c>
      <c r="B194" s="9" t="s">
        <v>12</v>
      </c>
      <c r="C194" s="65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</row>
    <row r="195" spans="1:45" s="1" customFormat="1" ht="11.25" x14ac:dyDescent="0.15">
      <c r="A195" s="7">
        <f>SUM(C195:AS195)</f>
        <v>96</v>
      </c>
      <c r="B195" s="6" t="s">
        <v>13</v>
      </c>
      <c r="C195" s="65">
        <v>0</v>
      </c>
      <c r="D195" s="5">
        <v>0</v>
      </c>
      <c r="E195" s="5">
        <v>40</v>
      </c>
      <c r="F195" s="5">
        <v>0</v>
      </c>
      <c r="G195" s="5">
        <v>0</v>
      </c>
      <c r="H195" s="5">
        <v>0</v>
      </c>
      <c r="I195" s="5">
        <v>24</v>
      </c>
      <c r="J195" s="5">
        <f t="shared" ref="J195:J196" si="2620">IF(J$8="","",J188-I188)</f>
        <v>0</v>
      </c>
      <c r="K195" s="5">
        <f t="shared" ref="K195:K196" si="2621">IF(K$8="","",K188-J188)</f>
        <v>0</v>
      </c>
      <c r="L195" s="5">
        <f t="shared" ref="L195:L196" si="2622">IF(L$8="","",L188-K188)</f>
        <v>32</v>
      </c>
      <c r="M195" s="5" t="str">
        <f t="shared" ref="M195:M196" si="2623">IF(M$8="","",M188-L188)</f>
        <v/>
      </c>
      <c r="N195" s="5" t="str">
        <f t="shared" ref="N195:N196" si="2624">IF(N$8="","",N188-M188)</f>
        <v/>
      </c>
      <c r="O195" s="5" t="str">
        <f t="shared" ref="O195:O196" si="2625">IF(O$8="","",O188-N188)</f>
        <v/>
      </c>
      <c r="P195" s="5" t="str">
        <f t="shared" ref="P195:P196" si="2626">IF(P$8="","",P188-O188)</f>
        <v/>
      </c>
      <c r="Q195" s="5" t="str">
        <f t="shared" ref="Q195:Q196" si="2627">IF(Q$8="","",Q188-P188)</f>
        <v/>
      </c>
      <c r="R195" s="5" t="str">
        <f t="shared" ref="R195:R196" si="2628">IF(R$8="","",R188-Q188)</f>
        <v/>
      </c>
      <c r="S195" s="5" t="str">
        <f t="shared" ref="S195:S196" si="2629">IF(S$8="","",S188-R188)</f>
        <v/>
      </c>
      <c r="T195" s="5" t="str">
        <f t="shared" ref="T195:T196" si="2630">IF(T$8="","",T188-S188)</f>
        <v/>
      </c>
      <c r="U195" s="5" t="str">
        <f t="shared" ref="U195:U196" si="2631">IF(U$8="","",U188-T188)</f>
        <v/>
      </c>
      <c r="V195" s="5" t="str">
        <f t="shared" ref="V195:V196" si="2632">IF(V$8="","",V188-U188)</f>
        <v/>
      </c>
      <c r="W195" s="5" t="str">
        <f t="shared" ref="W195:W196" si="2633">IF(W$8="","",W188-V188)</f>
        <v/>
      </c>
      <c r="X195" s="5" t="str">
        <f t="shared" ref="X195:X196" si="2634">IF(X$8="","",X188-W188)</f>
        <v/>
      </c>
      <c r="Y195" s="5" t="str">
        <f t="shared" ref="Y195:Y196" si="2635">IF(Y$8="","",Y188-X188)</f>
        <v/>
      </c>
      <c r="Z195" s="5" t="str">
        <f t="shared" ref="Z195:Z196" si="2636">IF(Z$8="","",Z188-Y188)</f>
        <v/>
      </c>
      <c r="AA195" s="5" t="str">
        <f t="shared" ref="AA195:AA196" si="2637">IF(AA$8="","",AA188-Z188)</f>
        <v/>
      </c>
      <c r="AB195" s="5" t="str">
        <f t="shared" ref="AB195:AB196" si="2638">IF(AB$8="","",AB188-AA188)</f>
        <v/>
      </c>
      <c r="AC195" s="5" t="str">
        <f t="shared" ref="AC195:AC196" si="2639">IF(AC$8="","",AC188-AB188)</f>
        <v/>
      </c>
      <c r="AD195" s="5" t="str">
        <f t="shared" ref="AD195:AD196" si="2640">IF(AD$8="","",AD188-AC188)</f>
        <v/>
      </c>
      <c r="AE195" s="5" t="str">
        <f t="shared" ref="AE195:AE196" si="2641">IF(AE$8="","",AE188-AD188)</f>
        <v/>
      </c>
      <c r="AF195" s="5" t="str">
        <f t="shared" ref="AF195:AF196" si="2642">IF(AF$8="","",AF188-AE188)</f>
        <v/>
      </c>
      <c r="AG195" s="5" t="str">
        <f t="shared" ref="AG195:AG196" si="2643">IF(AG$8="","",AG188-AF188)</f>
        <v/>
      </c>
      <c r="AH195" s="5" t="str">
        <f t="shared" ref="AH195:AH196" si="2644">IF(AH$8="","",AH188-AG188)</f>
        <v/>
      </c>
      <c r="AI195" s="5" t="str">
        <f t="shared" ref="AI195:AI196" si="2645">IF(AI$8="","",AI188-AH188)</f>
        <v/>
      </c>
      <c r="AJ195" s="5" t="str">
        <f t="shared" ref="AJ195:AJ196" si="2646">IF(AJ$8="","",AJ188-AI188)</f>
        <v/>
      </c>
      <c r="AK195" s="5" t="str">
        <f t="shared" ref="AK195:AK196" si="2647">IF(AK$8="","",AK188-AJ188)</f>
        <v/>
      </c>
      <c r="AL195" s="5" t="str">
        <f t="shared" ref="AL195:AL196" si="2648">IF(AL$8="","",AL188-AK188)</f>
        <v/>
      </c>
      <c r="AM195" s="5" t="str">
        <f t="shared" ref="AM195:AM196" si="2649">IF(AM$8="","",AM188-AL188)</f>
        <v/>
      </c>
      <c r="AN195" s="5" t="str">
        <f t="shared" ref="AN195:AN196" si="2650">IF(AN$8="","",AN188-AM188)</f>
        <v/>
      </c>
      <c r="AO195" s="5" t="str">
        <f t="shared" ref="AO195:AS195" si="2651">IF(AO$8="","",AO188-AN188)</f>
        <v/>
      </c>
      <c r="AP195" s="5" t="str">
        <f t="shared" si="2651"/>
        <v/>
      </c>
      <c r="AQ195" s="5" t="str">
        <f t="shared" si="2651"/>
        <v/>
      </c>
      <c r="AR195" s="5" t="str">
        <f t="shared" si="2651"/>
        <v/>
      </c>
      <c r="AS195" s="5" t="str">
        <f t="shared" si="2651"/>
        <v/>
      </c>
    </row>
    <row r="196" spans="1:45" s="1" customFormat="1" ht="11.25" x14ac:dyDescent="0.15">
      <c r="A196" s="7">
        <f>SUM(C196:AS196)</f>
        <v>1</v>
      </c>
      <c r="B196" s="6" t="s">
        <v>14</v>
      </c>
      <c r="C196" s="6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1</v>
      </c>
      <c r="J196" s="5">
        <f t="shared" si="2620"/>
        <v>0</v>
      </c>
      <c r="K196" s="5">
        <f t="shared" si="2621"/>
        <v>0</v>
      </c>
      <c r="L196" s="5">
        <f t="shared" si="2622"/>
        <v>0</v>
      </c>
      <c r="M196" s="5" t="str">
        <f t="shared" si="2623"/>
        <v/>
      </c>
      <c r="N196" s="5" t="str">
        <f t="shared" si="2624"/>
        <v/>
      </c>
      <c r="O196" s="5" t="str">
        <f t="shared" si="2625"/>
        <v/>
      </c>
      <c r="P196" s="5" t="str">
        <f t="shared" si="2626"/>
        <v/>
      </c>
      <c r="Q196" s="5" t="str">
        <f t="shared" si="2627"/>
        <v/>
      </c>
      <c r="R196" s="5" t="str">
        <f t="shared" si="2628"/>
        <v/>
      </c>
      <c r="S196" s="5" t="str">
        <f t="shared" si="2629"/>
        <v/>
      </c>
      <c r="T196" s="5" t="str">
        <f t="shared" si="2630"/>
        <v/>
      </c>
      <c r="U196" s="5" t="str">
        <f t="shared" si="2631"/>
        <v/>
      </c>
      <c r="V196" s="5" t="str">
        <f t="shared" si="2632"/>
        <v/>
      </c>
      <c r="W196" s="5" t="str">
        <f t="shared" si="2633"/>
        <v/>
      </c>
      <c r="X196" s="5" t="str">
        <f t="shared" si="2634"/>
        <v/>
      </c>
      <c r="Y196" s="5" t="str">
        <f t="shared" si="2635"/>
        <v/>
      </c>
      <c r="Z196" s="5" t="str">
        <f t="shared" si="2636"/>
        <v/>
      </c>
      <c r="AA196" s="5" t="str">
        <f t="shared" si="2637"/>
        <v/>
      </c>
      <c r="AB196" s="5" t="str">
        <f t="shared" si="2638"/>
        <v/>
      </c>
      <c r="AC196" s="5" t="str">
        <f t="shared" si="2639"/>
        <v/>
      </c>
      <c r="AD196" s="5" t="str">
        <f t="shared" si="2640"/>
        <v/>
      </c>
      <c r="AE196" s="5" t="str">
        <f t="shared" si="2641"/>
        <v/>
      </c>
      <c r="AF196" s="5" t="str">
        <f t="shared" si="2642"/>
        <v/>
      </c>
      <c r="AG196" s="5" t="str">
        <f t="shared" si="2643"/>
        <v/>
      </c>
      <c r="AH196" s="5" t="str">
        <f t="shared" si="2644"/>
        <v/>
      </c>
      <c r="AI196" s="5" t="str">
        <f t="shared" si="2645"/>
        <v/>
      </c>
      <c r="AJ196" s="5" t="str">
        <f t="shared" si="2646"/>
        <v/>
      </c>
      <c r="AK196" s="5" t="str">
        <f t="shared" si="2647"/>
        <v/>
      </c>
      <c r="AL196" s="5" t="str">
        <f t="shared" si="2648"/>
        <v/>
      </c>
      <c r="AM196" s="5" t="str">
        <f t="shared" si="2649"/>
        <v/>
      </c>
      <c r="AN196" s="5" t="str">
        <f t="shared" si="2650"/>
        <v/>
      </c>
      <c r="AO196" s="5" t="str">
        <f t="shared" ref="AO196:AS196" si="2652">IF(AO$8="","",AO189-AN189)</f>
        <v/>
      </c>
      <c r="AP196" s="5" t="str">
        <f t="shared" si="2652"/>
        <v/>
      </c>
      <c r="AQ196" s="5" t="str">
        <f t="shared" si="2652"/>
        <v/>
      </c>
      <c r="AR196" s="5" t="str">
        <f t="shared" si="2652"/>
        <v/>
      </c>
      <c r="AS196" s="5" t="str">
        <f t="shared" si="2652"/>
        <v/>
      </c>
    </row>
    <row r="197" spans="1:45" s="1" customFormat="1" ht="11.25" x14ac:dyDescent="0.15">
      <c r="A197" s="7">
        <f>SUM(C197:AS197)</f>
        <v>1</v>
      </c>
      <c r="B197" s="6" t="s">
        <v>15</v>
      </c>
      <c r="C197" s="6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1</v>
      </c>
      <c r="J197" s="5">
        <f t="shared" ref="J197" si="2653">IF(J$8="","",I190+I191-J190)</f>
        <v>0</v>
      </c>
      <c r="K197" s="5">
        <f t="shared" ref="K197" si="2654">IF(K$8="","",J190+J191-K190)</f>
        <v>0</v>
      </c>
      <c r="L197" s="5">
        <f t="shared" ref="L197" si="2655">IF(L$8="","",K190+K191-L190)</f>
        <v>0</v>
      </c>
      <c r="M197" s="5" t="str">
        <f t="shared" ref="M197" si="2656">IF(M$8="","",L190+L191-M190)</f>
        <v/>
      </c>
      <c r="N197" s="5" t="str">
        <f t="shared" ref="N197" si="2657">IF(N$8="","",M190+M191-N190)</f>
        <v/>
      </c>
      <c r="O197" s="5" t="str">
        <f t="shared" ref="O197" si="2658">IF(O$8="","",N190+N191-O190)</f>
        <v/>
      </c>
      <c r="P197" s="5" t="str">
        <f t="shared" ref="P197" si="2659">IF(P$8="","",O190+O191-P190)</f>
        <v/>
      </c>
      <c r="Q197" s="5" t="str">
        <f t="shared" ref="Q197" si="2660">IF(Q$8="","",P190+P191-Q190)</f>
        <v/>
      </c>
      <c r="R197" s="5" t="str">
        <f t="shared" ref="R197" si="2661">IF(R$8="","",Q190+Q191-R190)</f>
        <v/>
      </c>
      <c r="S197" s="5" t="str">
        <f t="shared" ref="S197" si="2662">IF(S$8="","",R190+R191-S190)</f>
        <v/>
      </c>
      <c r="T197" s="5" t="str">
        <f t="shared" ref="T197" si="2663">IF(T$8="","",S190+S191-T190)</f>
        <v/>
      </c>
      <c r="U197" s="5" t="str">
        <f t="shared" ref="U197" si="2664">IF(U$8="","",T190+T191-U190)</f>
        <v/>
      </c>
      <c r="V197" s="5" t="str">
        <f t="shared" ref="V197" si="2665">IF(V$8="","",U190+U191-V190)</f>
        <v/>
      </c>
      <c r="W197" s="5" t="str">
        <f t="shared" ref="W197" si="2666">IF(W$8="","",V190+V191-W190)</f>
        <v/>
      </c>
      <c r="X197" s="5" t="str">
        <f t="shared" ref="X197" si="2667">IF(X$8="","",W190+W191-X190)</f>
        <v/>
      </c>
      <c r="Y197" s="5" t="str">
        <f t="shared" ref="Y197" si="2668">IF(Y$8="","",X190+X191-Y190)</f>
        <v/>
      </c>
      <c r="Z197" s="5" t="str">
        <f t="shared" ref="Z197" si="2669">IF(Z$8="","",Y190+Y191-Z190)</f>
        <v/>
      </c>
      <c r="AA197" s="5" t="str">
        <f t="shared" ref="AA197" si="2670">IF(AA$8="","",Z190+Z191-AA190)</f>
        <v/>
      </c>
      <c r="AB197" s="5" t="str">
        <f t="shared" ref="AB197" si="2671">IF(AB$8="","",AA190+AA191-AB190)</f>
        <v/>
      </c>
      <c r="AC197" s="5" t="str">
        <f t="shared" ref="AC197" si="2672">IF(AC$8="","",AB190+AB191-AC190)</f>
        <v/>
      </c>
      <c r="AD197" s="5" t="str">
        <f t="shared" ref="AD197" si="2673">IF(AD$8="","",AC190+AC191-AD190)</f>
        <v/>
      </c>
      <c r="AE197" s="5" t="str">
        <f t="shared" ref="AE197" si="2674">IF(AE$8="","",AD190+AD191-AE190)</f>
        <v/>
      </c>
      <c r="AF197" s="5" t="str">
        <f t="shared" ref="AF197" si="2675">IF(AF$8="","",AE190+AE191-AF190)</f>
        <v/>
      </c>
      <c r="AG197" s="5" t="str">
        <f t="shared" ref="AG197" si="2676">IF(AG$8="","",AF190+AF191-AG190)</f>
        <v/>
      </c>
      <c r="AH197" s="5" t="str">
        <f t="shared" ref="AH197" si="2677">IF(AH$8="","",AG190+AG191-AH190)</f>
        <v/>
      </c>
      <c r="AI197" s="5" t="str">
        <f t="shared" ref="AI197" si="2678">IF(AI$8="","",AH190+AH191-AI190)</f>
        <v/>
      </c>
      <c r="AJ197" s="5" t="str">
        <f t="shared" ref="AJ197" si="2679">IF(AJ$8="","",AI190+AI191-AJ190)</f>
        <v/>
      </c>
      <c r="AK197" s="5" t="str">
        <f t="shared" ref="AK197" si="2680">IF(AK$8="","",AJ190+AJ191-AK190)</f>
        <v/>
      </c>
      <c r="AL197" s="5" t="str">
        <f t="shared" ref="AL197" si="2681">IF(AL$8="","",AK190+AK191-AL190)</f>
        <v/>
      </c>
      <c r="AM197" s="5" t="str">
        <f t="shared" ref="AM197" si="2682">IF(AM$8="","",AL190+AL191-AM190)</f>
        <v/>
      </c>
      <c r="AN197" s="5" t="str">
        <f t="shared" ref="AN197" si="2683">IF(AN$8="","",AM190+AM191-AN190)</f>
        <v/>
      </c>
      <c r="AO197" s="5" t="str">
        <f t="shared" ref="AO197:AS197" si="2684">IF(AO$8="","",AN190+AN191-AO190)</f>
        <v/>
      </c>
      <c r="AP197" s="5" t="str">
        <f t="shared" si="2684"/>
        <v/>
      </c>
      <c r="AQ197" s="5" t="str">
        <f t="shared" si="2684"/>
        <v/>
      </c>
      <c r="AR197" s="5" t="str">
        <f t="shared" si="2684"/>
        <v/>
      </c>
      <c r="AS197" s="5" t="str">
        <f t="shared" si="2684"/>
        <v/>
      </c>
    </row>
    <row r="198" spans="1:45" s="1" customFormat="1" ht="11.25" x14ac:dyDescent="0.15">
      <c r="A198" s="7">
        <f>SUM(C198:AS198)</f>
        <v>400</v>
      </c>
      <c r="B198" s="6" t="s">
        <v>16</v>
      </c>
      <c r="C198" s="6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400</v>
      </c>
      <c r="J198" s="5">
        <f t="shared" ref="D198:AN198" si="2685">IF(J$8="","",J197*J192)</f>
        <v>0</v>
      </c>
      <c r="K198" s="5">
        <f t="shared" si="2685"/>
        <v>0</v>
      </c>
      <c r="L198" s="5">
        <f t="shared" si="2685"/>
        <v>0</v>
      </c>
      <c r="M198" s="5" t="str">
        <f t="shared" si="2685"/>
        <v/>
      </c>
      <c r="N198" s="5" t="str">
        <f t="shared" si="2685"/>
        <v/>
      </c>
      <c r="O198" s="5" t="str">
        <f t="shared" si="2685"/>
        <v/>
      </c>
      <c r="P198" s="5" t="str">
        <f t="shared" si="2685"/>
        <v/>
      </c>
      <c r="Q198" s="5" t="str">
        <f t="shared" si="2685"/>
        <v/>
      </c>
      <c r="R198" s="5" t="str">
        <f t="shared" si="2685"/>
        <v/>
      </c>
      <c r="S198" s="5" t="str">
        <f t="shared" si="2685"/>
        <v/>
      </c>
      <c r="T198" s="5" t="str">
        <f t="shared" si="2685"/>
        <v/>
      </c>
      <c r="U198" s="5" t="str">
        <f t="shared" si="2685"/>
        <v/>
      </c>
      <c r="V198" s="5" t="str">
        <f t="shared" si="2685"/>
        <v/>
      </c>
      <c r="W198" s="5" t="str">
        <f t="shared" si="2685"/>
        <v/>
      </c>
      <c r="X198" s="5" t="str">
        <f t="shared" si="2685"/>
        <v/>
      </c>
      <c r="Y198" s="5" t="str">
        <f t="shared" si="2685"/>
        <v/>
      </c>
      <c r="Z198" s="5" t="str">
        <f t="shared" si="2685"/>
        <v/>
      </c>
      <c r="AA198" s="5" t="str">
        <f t="shared" si="2685"/>
        <v/>
      </c>
      <c r="AB198" s="5" t="str">
        <f t="shared" si="2685"/>
        <v/>
      </c>
      <c r="AC198" s="5" t="str">
        <f t="shared" si="2685"/>
        <v/>
      </c>
      <c r="AD198" s="5" t="str">
        <f t="shared" si="2685"/>
        <v/>
      </c>
      <c r="AE198" s="5" t="str">
        <f t="shared" si="2685"/>
        <v/>
      </c>
      <c r="AF198" s="5" t="str">
        <f t="shared" si="2685"/>
        <v/>
      </c>
      <c r="AG198" s="5" t="str">
        <f t="shared" si="2685"/>
        <v/>
      </c>
      <c r="AH198" s="5" t="str">
        <f t="shared" si="2685"/>
        <v/>
      </c>
      <c r="AI198" s="5" t="str">
        <f t="shared" si="2685"/>
        <v/>
      </c>
      <c r="AJ198" s="5" t="str">
        <f t="shared" si="2685"/>
        <v/>
      </c>
      <c r="AK198" s="5" t="str">
        <f t="shared" si="2685"/>
        <v/>
      </c>
      <c r="AL198" s="5" t="str">
        <f t="shared" si="2685"/>
        <v/>
      </c>
      <c r="AM198" s="5" t="str">
        <f t="shared" si="2685"/>
        <v/>
      </c>
      <c r="AN198" s="5" t="str">
        <f t="shared" si="2685"/>
        <v/>
      </c>
      <c r="AO198" s="5" t="str">
        <f t="shared" ref="AO198:AS198" si="2686">IF(AO$8="","",AO197*AO192)</f>
        <v/>
      </c>
      <c r="AP198" s="5" t="str">
        <f t="shared" si="2686"/>
        <v/>
      </c>
      <c r="AQ198" s="5" t="str">
        <f t="shared" si="2686"/>
        <v/>
      </c>
      <c r="AR198" s="5" t="str">
        <f t="shared" si="2686"/>
        <v/>
      </c>
      <c r="AS198" s="5" t="str">
        <f t="shared" si="2686"/>
        <v/>
      </c>
    </row>
    <row r="199" spans="1:45" s="1" customFormat="1" ht="12" thickBot="1" x14ac:dyDescent="0.2">
      <c r="A199" s="4">
        <f>IF(A198="","",A198/(A195*100))</f>
        <v>4.1666666666666664E-2</v>
      </c>
      <c r="B199" s="3" t="s">
        <v>18</v>
      </c>
      <c r="C199" s="68" t="s">
        <v>19</v>
      </c>
      <c r="D199" s="2" t="s">
        <v>19</v>
      </c>
      <c r="E199" s="2" t="s">
        <v>19</v>
      </c>
      <c r="F199" s="2" t="s">
        <v>19</v>
      </c>
      <c r="G199" s="2" t="s">
        <v>19</v>
      </c>
      <c r="H199" s="2" t="s">
        <v>19</v>
      </c>
      <c r="I199" s="2">
        <v>0.16666666666666666</v>
      </c>
      <c r="J199" s="2" t="str">
        <f t="shared" ref="D199:AN199" si="2687">IF(J$8="","",IF(J198=0,"",J198/(J195*100)))</f>
        <v/>
      </c>
      <c r="K199" s="2" t="str">
        <f t="shared" si="2687"/>
        <v/>
      </c>
      <c r="L199" s="2" t="str">
        <f t="shared" si="2687"/>
        <v/>
      </c>
      <c r="M199" s="2" t="str">
        <f t="shared" si="2687"/>
        <v/>
      </c>
      <c r="N199" s="2" t="str">
        <f t="shared" si="2687"/>
        <v/>
      </c>
      <c r="O199" s="2" t="str">
        <f t="shared" si="2687"/>
        <v/>
      </c>
      <c r="P199" s="2" t="str">
        <f t="shared" si="2687"/>
        <v/>
      </c>
      <c r="Q199" s="2" t="str">
        <f t="shared" si="2687"/>
        <v/>
      </c>
      <c r="R199" s="2" t="str">
        <f t="shared" si="2687"/>
        <v/>
      </c>
      <c r="S199" s="2" t="str">
        <f>IF(S$8="","",IF(S198=0,"",S198/(S195*100)))</f>
        <v/>
      </c>
      <c r="T199" s="2" t="str">
        <f t="shared" si="2687"/>
        <v/>
      </c>
      <c r="U199" s="2" t="str">
        <f t="shared" si="2687"/>
        <v/>
      </c>
      <c r="V199" s="2" t="str">
        <f t="shared" si="2687"/>
        <v/>
      </c>
      <c r="W199" s="2" t="str">
        <f t="shared" si="2687"/>
        <v/>
      </c>
      <c r="X199" s="2" t="str">
        <f t="shared" si="2687"/>
        <v/>
      </c>
      <c r="Y199" s="2" t="str">
        <f t="shared" si="2687"/>
        <v/>
      </c>
      <c r="Z199" s="2" t="str">
        <f t="shared" si="2687"/>
        <v/>
      </c>
      <c r="AA199" s="2" t="str">
        <f t="shared" si="2687"/>
        <v/>
      </c>
      <c r="AB199" s="2" t="str">
        <f t="shared" si="2687"/>
        <v/>
      </c>
      <c r="AC199" s="2" t="str">
        <f t="shared" si="2687"/>
        <v/>
      </c>
      <c r="AD199" s="2" t="str">
        <f t="shared" si="2687"/>
        <v/>
      </c>
      <c r="AE199" s="2" t="str">
        <f t="shared" si="2687"/>
        <v/>
      </c>
      <c r="AF199" s="2" t="str">
        <f t="shared" si="2687"/>
        <v/>
      </c>
      <c r="AG199" s="2" t="str">
        <f t="shared" si="2687"/>
        <v/>
      </c>
      <c r="AH199" s="2" t="str">
        <f t="shared" si="2687"/>
        <v/>
      </c>
      <c r="AI199" s="2" t="str">
        <f t="shared" si="2687"/>
        <v/>
      </c>
      <c r="AJ199" s="2" t="str">
        <f t="shared" si="2687"/>
        <v/>
      </c>
      <c r="AK199" s="2" t="str">
        <f t="shared" si="2687"/>
        <v/>
      </c>
      <c r="AL199" s="2" t="str">
        <f t="shared" si="2687"/>
        <v/>
      </c>
      <c r="AM199" s="2" t="str">
        <f t="shared" si="2687"/>
        <v/>
      </c>
      <c r="AN199" s="2" t="str">
        <f t="shared" si="2687"/>
        <v/>
      </c>
      <c r="AO199" s="2" t="str">
        <f t="shared" ref="AO199:AS199" si="2688">IF(AO$8="","",IF(AO198=0,"",AO198/(AO195*100)))</f>
        <v/>
      </c>
      <c r="AP199" s="2" t="str">
        <f t="shared" si="2688"/>
        <v/>
      </c>
      <c r="AQ199" s="2" t="str">
        <f t="shared" si="2688"/>
        <v/>
      </c>
      <c r="AR199" s="2" t="str">
        <f t="shared" si="2688"/>
        <v/>
      </c>
      <c r="AS199" s="2" t="str">
        <f t="shared" si="2688"/>
        <v/>
      </c>
    </row>
    <row r="200" spans="1:45" s="1" customFormat="1" ht="11.25" x14ac:dyDescent="0.15">
      <c r="A200" s="22" t="s">
        <v>46</v>
      </c>
      <c r="B200" s="21" t="s">
        <v>2</v>
      </c>
      <c r="C200" s="64">
        <v>8123</v>
      </c>
      <c r="D200" s="20">
        <v>8123</v>
      </c>
      <c r="E200" s="20">
        <v>8146</v>
      </c>
      <c r="F200" s="20">
        <v>8146</v>
      </c>
      <c r="G200" s="20">
        <v>8146</v>
      </c>
      <c r="H200" s="20">
        <v>8146</v>
      </c>
      <c r="I200" s="20">
        <v>8184</v>
      </c>
      <c r="J200" s="20">
        <f t="shared" ref="J200:J201" si="2689">IF(J$8="","",I200)</f>
        <v>8184</v>
      </c>
      <c r="K200" s="20">
        <f t="shared" ref="K200:K201" si="2690">IF(K$8="","",J200)</f>
        <v>8184</v>
      </c>
      <c r="L200" s="20">
        <v>8246</v>
      </c>
      <c r="M200" s="20" t="str">
        <f t="shared" ref="M200:M201" si="2691">IF(M$8="","",L200)</f>
        <v/>
      </c>
      <c r="N200" s="20" t="str">
        <f t="shared" ref="N200:N201" si="2692">IF(N$8="","",M200)</f>
        <v/>
      </c>
      <c r="O200" s="20" t="str">
        <f t="shared" ref="O200:O201" si="2693">IF(O$8="","",N200)</f>
        <v/>
      </c>
      <c r="P200" s="20" t="str">
        <f>IF(P$8="","",O200)</f>
        <v/>
      </c>
      <c r="Q200" s="20" t="str">
        <f t="shared" ref="Q200:Q201" si="2694">IF(Q$8="","",P200)</f>
        <v/>
      </c>
      <c r="R200" s="20" t="str">
        <f t="shared" ref="R200:R201" si="2695">IF(R$8="","",Q200)</f>
        <v/>
      </c>
      <c r="S200" s="20" t="str">
        <f>IF(S$8="","",R200)</f>
        <v/>
      </c>
      <c r="T200" s="20" t="str">
        <f t="shared" ref="T200:T201" si="2696">IF(T$8="","",S200)</f>
        <v/>
      </c>
      <c r="U200" s="20" t="str">
        <f t="shared" ref="U200:U201" si="2697">IF(U$8="","",T200)</f>
        <v/>
      </c>
      <c r="V200" s="20" t="str">
        <f t="shared" ref="V200:V201" si="2698">IF(V$8="","",U200)</f>
        <v/>
      </c>
      <c r="W200" s="20" t="str">
        <f>IF(W$8="","",V200)</f>
        <v/>
      </c>
      <c r="X200" s="20" t="str">
        <f t="shared" ref="X200:X201" si="2699">IF(X$8="","",W200)</f>
        <v/>
      </c>
      <c r="Y200" s="20" t="str">
        <f t="shared" ref="Y200:Y201" si="2700">IF(Y$8="","",X200)</f>
        <v/>
      </c>
      <c r="Z200" s="20" t="str">
        <f>IF(Z$8="","",Y200)</f>
        <v/>
      </c>
      <c r="AA200" s="20" t="str">
        <f t="shared" ref="AA200:AA201" si="2701">IF(AA$8="","",Z200)</f>
        <v/>
      </c>
      <c r="AB200" s="20" t="str">
        <f t="shared" ref="AB200:AB201" si="2702">IF(AB$8="","",AA200)</f>
        <v/>
      </c>
      <c r="AC200" s="20" t="str">
        <f t="shared" ref="AC200:AC201" si="2703">IF(AC$8="","",AB200)</f>
        <v/>
      </c>
      <c r="AD200" s="20" t="str">
        <f>IF(AD$8="","",AC200)</f>
        <v/>
      </c>
      <c r="AE200" s="20" t="str">
        <f t="shared" ref="AE200:AE201" si="2704">IF(AE$8="","",AD200)</f>
        <v/>
      </c>
      <c r="AF200" s="20" t="str">
        <f t="shared" ref="AF200:AF201" si="2705">IF(AF$8="","",AE200)</f>
        <v/>
      </c>
      <c r="AG200" s="20" t="str">
        <f>IF(AG$8="","",AF200)</f>
        <v/>
      </c>
      <c r="AH200" s="20" t="str">
        <f t="shared" ref="AH200:AH201" si="2706">IF(AH$8="","",AG200)</f>
        <v/>
      </c>
      <c r="AI200" s="20" t="str">
        <f t="shared" ref="AI200:AI201" si="2707">IF(AI$8="","",AH200)</f>
        <v/>
      </c>
      <c r="AJ200" s="20" t="str">
        <f t="shared" ref="AJ200:AJ201" si="2708">IF(AJ$8="","",AI200)</f>
        <v/>
      </c>
      <c r="AK200" s="20" t="str">
        <f>IF(AK$8="","",AJ200)</f>
        <v/>
      </c>
      <c r="AL200" s="20" t="str">
        <f t="shared" ref="AL200:AL201" si="2709">IF(AL$8="","",AK200)</f>
        <v/>
      </c>
      <c r="AM200" s="20" t="str">
        <f t="shared" ref="AM200:AM201" si="2710">IF(AM$8="","",AL200)</f>
        <v/>
      </c>
      <c r="AN200" s="20" t="str">
        <f t="shared" ref="AN200:AN201" si="2711">IF(AN$8="","",AM200)</f>
        <v/>
      </c>
      <c r="AO200" s="20" t="str">
        <f t="shared" ref="AO200:AS200" si="2712">IF(AO$8="","",AN200)</f>
        <v/>
      </c>
      <c r="AP200" s="20" t="str">
        <f t="shared" si="2712"/>
        <v/>
      </c>
      <c r="AQ200" s="20" t="str">
        <f t="shared" si="2712"/>
        <v/>
      </c>
      <c r="AR200" s="20" t="str">
        <f t="shared" si="2712"/>
        <v/>
      </c>
      <c r="AS200" s="20" t="str">
        <f t="shared" si="2712"/>
        <v/>
      </c>
    </row>
    <row r="201" spans="1:45" s="1" customFormat="1" ht="11.25" x14ac:dyDescent="0.15">
      <c r="A201" s="16" t="s">
        <v>42</v>
      </c>
      <c r="B201" s="9" t="s">
        <v>4</v>
      </c>
      <c r="C201" s="65">
        <v>354</v>
      </c>
      <c r="D201" s="8">
        <v>354</v>
      </c>
      <c r="E201" s="8">
        <v>356</v>
      </c>
      <c r="F201" s="8">
        <v>356</v>
      </c>
      <c r="G201" s="8">
        <v>356</v>
      </c>
      <c r="H201" s="8">
        <v>356</v>
      </c>
      <c r="I201" s="8">
        <v>357</v>
      </c>
      <c r="J201" s="8">
        <f t="shared" si="2689"/>
        <v>357</v>
      </c>
      <c r="K201" s="8">
        <f t="shared" si="2690"/>
        <v>357</v>
      </c>
      <c r="L201" s="8">
        <f>IF(L$8="","",K201)</f>
        <v>357</v>
      </c>
      <c r="M201" s="8" t="str">
        <f t="shared" si="2691"/>
        <v/>
      </c>
      <c r="N201" s="8" t="str">
        <f t="shared" si="2692"/>
        <v/>
      </c>
      <c r="O201" s="8" t="str">
        <f t="shared" si="2693"/>
        <v/>
      </c>
      <c r="P201" s="8" t="str">
        <f>IF(P$8="","",O201)</f>
        <v/>
      </c>
      <c r="Q201" s="8" t="str">
        <f t="shared" si="2694"/>
        <v/>
      </c>
      <c r="R201" s="8" t="str">
        <f t="shared" si="2695"/>
        <v/>
      </c>
      <c r="S201" s="8" t="str">
        <f>IF(S$8="","",R201)</f>
        <v/>
      </c>
      <c r="T201" s="8" t="str">
        <f t="shared" si="2696"/>
        <v/>
      </c>
      <c r="U201" s="8" t="str">
        <f t="shared" si="2697"/>
        <v/>
      </c>
      <c r="V201" s="8" t="str">
        <f t="shared" si="2698"/>
        <v/>
      </c>
      <c r="W201" s="8" t="str">
        <f>IF(W$8="","",V201)</f>
        <v/>
      </c>
      <c r="X201" s="8" t="str">
        <f t="shared" si="2699"/>
        <v/>
      </c>
      <c r="Y201" s="8" t="str">
        <f t="shared" si="2700"/>
        <v/>
      </c>
      <c r="Z201" s="8" t="str">
        <f>IF(Z$8="","",Y201)</f>
        <v/>
      </c>
      <c r="AA201" s="8" t="str">
        <f t="shared" si="2701"/>
        <v/>
      </c>
      <c r="AB201" s="8" t="str">
        <f t="shared" si="2702"/>
        <v/>
      </c>
      <c r="AC201" s="8" t="str">
        <f t="shared" si="2703"/>
        <v/>
      </c>
      <c r="AD201" s="8" t="str">
        <f>IF(AD$8="","",AC201)</f>
        <v/>
      </c>
      <c r="AE201" s="8" t="str">
        <f t="shared" si="2704"/>
        <v/>
      </c>
      <c r="AF201" s="8" t="str">
        <f t="shared" si="2705"/>
        <v/>
      </c>
      <c r="AG201" s="8" t="str">
        <f>IF(AG$8="","",AF201)</f>
        <v/>
      </c>
      <c r="AH201" s="8" t="str">
        <f t="shared" si="2706"/>
        <v/>
      </c>
      <c r="AI201" s="8" t="str">
        <f t="shared" si="2707"/>
        <v/>
      </c>
      <c r="AJ201" s="8" t="str">
        <f t="shared" si="2708"/>
        <v/>
      </c>
      <c r="AK201" s="8" t="str">
        <f>IF(AK$8="","",AJ201)</f>
        <v/>
      </c>
      <c r="AL201" s="8" t="str">
        <f t="shared" si="2709"/>
        <v/>
      </c>
      <c r="AM201" s="8" t="str">
        <f t="shared" si="2710"/>
        <v/>
      </c>
      <c r="AN201" s="8" t="str">
        <f t="shared" si="2711"/>
        <v/>
      </c>
      <c r="AO201" s="8" t="str">
        <f t="shared" ref="AO201:AS201" si="2713">IF(AO$8="","",AN201)</f>
        <v/>
      </c>
      <c r="AP201" s="8" t="str">
        <f t="shared" si="2713"/>
        <v/>
      </c>
      <c r="AQ201" s="8" t="str">
        <f t="shared" si="2713"/>
        <v/>
      </c>
      <c r="AR201" s="8" t="str">
        <f t="shared" si="2713"/>
        <v/>
      </c>
      <c r="AS201" s="8" t="str">
        <f t="shared" si="2713"/>
        <v/>
      </c>
    </row>
    <row r="202" spans="1:45" s="1" customFormat="1" ht="11.25" x14ac:dyDescent="0.15">
      <c r="A202" s="15">
        <v>1</v>
      </c>
      <c r="B202" s="9" t="s">
        <v>5</v>
      </c>
      <c r="C202" s="65">
        <v>27</v>
      </c>
      <c r="D202" s="8">
        <v>27</v>
      </c>
      <c r="E202" s="8">
        <v>25</v>
      </c>
      <c r="F202" s="8">
        <v>6</v>
      </c>
      <c r="G202" s="8">
        <v>6</v>
      </c>
      <c r="H202" s="8">
        <v>6</v>
      </c>
      <c r="I202" s="8">
        <v>6</v>
      </c>
      <c r="J202" s="8">
        <f t="shared" ref="J202" si="2714">IF(J$8="","",(I202+I203))</f>
        <v>6</v>
      </c>
      <c r="K202" s="8">
        <f t="shared" ref="K202" si="2715">IF(K$8="","",(J202+J203))</f>
        <v>6</v>
      </c>
      <c r="L202" s="8">
        <f>IF(L$8="","",(K202+K203))</f>
        <v>6</v>
      </c>
      <c r="M202" s="8" t="str">
        <f t="shared" ref="M202" si="2716">IF(M$8="","",(L202+L203))</f>
        <v/>
      </c>
      <c r="N202" s="8" t="str">
        <f t="shared" ref="N202" si="2717">IF(N$8="","",(M202+M203))</f>
        <v/>
      </c>
      <c r="O202" s="8" t="str">
        <f t="shared" ref="O202" si="2718">IF(O$8="","",(N202+N203))</f>
        <v/>
      </c>
      <c r="P202" s="8" t="str">
        <f>IF(P$8="","",(O202+O203))</f>
        <v/>
      </c>
      <c r="Q202" s="8" t="str">
        <f t="shared" ref="Q202" si="2719">IF(Q$8="","",(P202+P203))</f>
        <v/>
      </c>
      <c r="R202" s="8" t="str">
        <f t="shared" ref="R202" si="2720">IF(R$8="","",(Q202+Q203))</f>
        <v/>
      </c>
      <c r="S202" s="8" t="str">
        <f>IF(S$8="","",(R202+R203))</f>
        <v/>
      </c>
      <c r="T202" s="8" t="str">
        <f t="shared" ref="T202" si="2721">IF(T$8="","",(S202+S203))</f>
        <v/>
      </c>
      <c r="U202" s="8" t="str">
        <f t="shared" ref="U202" si="2722">IF(U$8="","",(T202+T203))</f>
        <v/>
      </c>
      <c r="V202" s="8" t="str">
        <f t="shared" ref="V202" si="2723">IF(V$8="","",(U202+U203))</f>
        <v/>
      </c>
      <c r="W202" s="8" t="str">
        <f>IF(W$8="","",(V202+V203))</f>
        <v/>
      </c>
      <c r="X202" s="8" t="str">
        <f t="shared" ref="X202" si="2724">IF(X$8="","",(W202+W203))</f>
        <v/>
      </c>
      <c r="Y202" s="8" t="str">
        <f t="shared" ref="Y202" si="2725">IF(Y$8="","",(X202+X203))</f>
        <v/>
      </c>
      <c r="Z202" s="8" t="str">
        <f>IF(Z$8="","",(Y202+Y203))</f>
        <v/>
      </c>
      <c r="AA202" s="8" t="str">
        <f t="shared" ref="AA202" si="2726">IF(AA$8="","",(Z202+Z203))</f>
        <v/>
      </c>
      <c r="AB202" s="8" t="str">
        <f t="shared" ref="AB202" si="2727">IF(AB$8="","",(AA202+AA203))</f>
        <v/>
      </c>
      <c r="AC202" s="8" t="str">
        <f t="shared" ref="AC202" si="2728">IF(AC$8="","",(AB202+AB203))</f>
        <v/>
      </c>
      <c r="AD202" s="8" t="str">
        <f>IF(AD$8="","",(AC202+AC203))</f>
        <v/>
      </c>
      <c r="AE202" s="8" t="str">
        <f t="shared" ref="AE202" si="2729">IF(AE$8="","",(AD202+AD203))</f>
        <v/>
      </c>
      <c r="AF202" s="8" t="str">
        <f t="shared" ref="AF202" si="2730">IF(AF$8="","",(AE202+AE203))</f>
        <v/>
      </c>
      <c r="AG202" s="8" t="str">
        <f>IF(AG$8="","",(AF202+AF203))</f>
        <v/>
      </c>
      <c r="AH202" s="8" t="str">
        <f t="shared" ref="AH202" si="2731">IF(AH$8="","",(AG202+AG203))</f>
        <v/>
      </c>
      <c r="AI202" s="8" t="str">
        <f t="shared" ref="AI202" si="2732">IF(AI$8="","",(AH202+AH203))</f>
        <v/>
      </c>
      <c r="AJ202" s="8" t="str">
        <f t="shared" ref="AJ202" si="2733">IF(AJ$8="","",(AI202+AI203))</f>
        <v/>
      </c>
      <c r="AK202" s="8" t="str">
        <f t="shared" ref="AK202" si="2734">IF(AK$8="","",(AJ202+AJ203))</f>
        <v/>
      </c>
      <c r="AL202" s="8" t="str">
        <f t="shared" ref="AL202" si="2735">IF(AL$8="","",(AK202+AK203))</f>
        <v/>
      </c>
      <c r="AM202" s="8" t="str">
        <f t="shared" ref="AM202" si="2736">IF(AM$8="","",(AL202+AL203))</f>
        <v/>
      </c>
      <c r="AN202" s="8" t="str">
        <f t="shared" ref="AN202" si="2737">IF(AN$8="","",(AM202+AM203))</f>
        <v/>
      </c>
      <c r="AO202" s="8" t="str">
        <f t="shared" ref="AO202:AS202" si="2738">IF(AO$8="","",(AN202+AN203))</f>
        <v/>
      </c>
      <c r="AP202" s="8" t="str">
        <f t="shared" si="2738"/>
        <v/>
      </c>
      <c r="AQ202" s="8" t="str">
        <f t="shared" si="2738"/>
        <v/>
      </c>
      <c r="AR202" s="8" t="str">
        <f t="shared" si="2738"/>
        <v/>
      </c>
      <c r="AS202" s="8" t="str">
        <f t="shared" si="2738"/>
        <v/>
      </c>
    </row>
    <row r="203" spans="1:45" s="1" customFormat="1" ht="11.25" x14ac:dyDescent="0.15">
      <c r="A203" s="14"/>
      <c r="B203" s="9" t="s">
        <v>7</v>
      </c>
      <c r="C203" s="65"/>
      <c r="D203" s="8"/>
      <c r="E203" s="8">
        <v>-19</v>
      </c>
      <c r="F203" s="8"/>
      <c r="G203" s="8"/>
      <c r="H203" s="8"/>
      <c r="I203" s="8"/>
      <c r="J203" s="8"/>
      <c r="K203" s="8"/>
      <c r="L203" s="8">
        <v>3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</row>
    <row r="204" spans="1:45" s="1" customFormat="1" ht="11.25" x14ac:dyDescent="0.15">
      <c r="A204" s="7"/>
      <c r="B204" s="9" t="s">
        <v>8</v>
      </c>
      <c r="C204" s="65">
        <v>800</v>
      </c>
      <c r="D204" s="8">
        <v>800</v>
      </c>
      <c r="E204" s="8">
        <v>800</v>
      </c>
      <c r="F204" s="8">
        <v>800</v>
      </c>
      <c r="G204" s="8">
        <v>800</v>
      </c>
      <c r="H204" s="8">
        <v>800</v>
      </c>
      <c r="I204" s="8">
        <v>800</v>
      </c>
      <c r="J204" s="8">
        <f t="shared" ref="J204:J205" si="2739">IF(J$8="","",I204)</f>
        <v>800</v>
      </c>
      <c r="K204" s="8">
        <f t="shared" ref="K204:K205" si="2740">IF(K$8="","",J204)</f>
        <v>800</v>
      </c>
      <c r="L204" s="8">
        <f t="shared" ref="L204:L205" si="2741">IF(L$8="","",K204)</f>
        <v>800</v>
      </c>
      <c r="M204" s="8" t="str">
        <f t="shared" ref="M204:M205" si="2742">IF(M$8="","",L204)</f>
        <v/>
      </c>
      <c r="N204" s="8" t="str">
        <f t="shared" ref="N204:N205" si="2743">IF(N$8="","",M204)</f>
        <v/>
      </c>
      <c r="O204" s="8" t="str">
        <f t="shared" ref="O204:O205" si="2744">IF(O$8="","",N204)</f>
        <v/>
      </c>
      <c r="P204" s="8" t="str">
        <f t="shared" ref="P204:P205" si="2745">IF(P$8="","",O204)</f>
        <v/>
      </c>
      <c r="Q204" s="8" t="str">
        <f t="shared" ref="Q204:Q205" si="2746">IF(Q$8="","",P204)</f>
        <v/>
      </c>
      <c r="R204" s="8" t="str">
        <f t="shared" ref="R204:R205" si="2747">IF(R$8="","",Q204)</f>
        <v/>
      </c>
      <c r="S204" s="8" t="str">
        <f t="shared" ref="S204:S205" si="2748">IF(S$8="","",R204)</f>
        <v/>
      </c>
      <c r="T204" s="8" t="str">
        <f t="shared" ref="T204:T205" si="2749">IF(T$8="","",S204)</f>
        <v/>
      </c>
      <c r="U204" s="8" t="str">
        <f t="shared" ref="U204:U205" si="2750">IF(U$8="","",T204)</f>
        <v/>
      </c>
      <c r="V204" s="8" t="str">
        <f t="shared" ref="V204:V205" si="2751">IF(V$8="","",U204)</f>
        <v/>
      </c>
      <c r="W204" s="8" t="str">
        <f t="shared" ref="W204:W205" si="2752">IF(W$8="","",V204)</f>
        <v/>
      </c>
      <c r="X204" s="8" t="str">
        <f t="shared" ref="X204:X205" si="2753">IF(X$8="","",W204)</f>
        <v/>
      </c>
      <c r="Y204" s="8" t="str">
        <f t="shared" ref="Y204:Y205" si="2754">IF(Y$8="","",X204)</f>
        <v/>
      </c>
      <c r="Z204" s="8" t="str">
        <f t="shared" ref="Z204:Z205" si="2755">IF(Z$8="","",Y204)</f>
        <v/>
      </c>
      <c r="AA204" s="8" t="str">
        <f t="shared" ref="AA204:AA205" si="2756">IF(AA$8="","",Z204)</f>
        <v/>
      </c>
      <c r="AB204" s="8" t="str">
        <f t="shared" ref="AB204:AB205" si="2757">IF(AB$8="","",AA204)</f>
        <v/>
      </c>
      <c r="AC204" s="8" t="str">
        <f t="shared" ref="AC204:AC205" si="2758">IF(AC$8="","",AB204)</f>
        <v/>
      </c>
      <c r="AD204" s="8" t="str">
        <f t="shared" ref="AD204:AD205" si="2759">IF(AD$8="","",AC204)</f>
        <v/>
      </c>
      <c r="AE204" s="8" t="str">
        <f t="shared" ref="AE204:AE205" si="2760">IF(AE$8="","",AD204)</f>
        <v/>
      </c>
      <c r="AF204" s="8" t="str">
        <f t="shared" ref="AF204:AF205" si="2761">IF(AF$8="","",AE204)</f>
        <v/>
      </c>
      <c r="AG204" s="8" t="str">
        <f t="shared" ref="AG204:AG205" si="2762">IF(AG$8="","",AF204)</f>
        <v/>
      </c>
      <c r="AH204" s="8" t="str">
        <f t="shared" ref="AH204:AH205" si="2763">IF(AH$8="","",AG204)</f>
        <v/>
      </c>
      <c r="AI204" s="8" t="str">
        <f t="shared" ref="AI204:AI205" si="2764">IF(AI$8="","",AH204)</f>
        <v/>
      </c>
      <c r="AJ204" s="8" t="str">
        <f t="shared" ref="AJ204:AJ205" si="2765">IF(AJ$8="","",AI204)</f>
        <v/>
      </c>
      <c r="AK204" s="8" t="str">
        <f t="shared" ref="AK204:AK205" si="2766">IF(AK$8="","",AJ204)</f>
        <v/>
      </c>
      <c r="AL204" s="8" t="str">
        <f t="shared" ref="AL204:AL205" si="2767">IF(AL$8="","",AK204)</f>
        <v/>
      </c>
      <c r="AM204" s="8" t="str">
        <f t="shared" ref="AM204:AM205" si="2768">IF(AM$8="","",AL204)</f>
        <v/>
      </c>
      <c r="AN204" s="8" t="str">
        <f t="shared" ref="AN204:AN205" si="2769">IF(AN$8="","",AM204)</f>
        <v/>
      </c>
      <c r="AO204" s="8" t="str">
        <f t="shared" ref="AO204:AS204" si="2770">IF(AO$8="","",AN204)</f>
        <v/>
      </c>
      <c r="AP204" s="8" t="str">
        <f t="shared" si="2770"/>
        <v/>
      </c>
      <c r="AQ204" s="8" t="str">
        <f t="shared" si="2770"/>
        <v/>
      </c>
      <c r="AR204" s="8" t="str">
        <f t="shared" si="2770"/>
        <v/>
      </c>
      <c r="AS204" s="8" t="str">
        <f t="shared" si="2770"/>
        <v/>
      </c>
    </row>
    <row r="205" spans="1:45" s="85" customFormat="1" ht="11.25" x14ac:dyDescent="0.15">
      <c r="A205" s="14" t="s">
        <v>9</v>
      </c>
      <c r="B205" s="13" t="s">
        <v>10</v>
      </c>
      <c r="C205" s="66" t="s">
        <v>53</v>
      </c>
      <c r="D205" s="12" t="s">
        <v>53</v>
      </c>
      <c r="E205" s="12" t="s">
        <v>363</v>
      </c>
      <c r="F205" s="12" t="s">
        <v>363</v>
      </c>
      <c r="G205" s="12" t="s">
        <v>363</v>
      </c>
      <c r="H205" s="12" t="s">
        <v>363</v>
      </c>
      <c r="I205" s="12" t="s">
        <v>363</v>
      </c>
      <c r="J205" s="12" t="str">
        <f t="shared" si="2739"/>
        <v>たまごっちボアミニポーチ</v>
      </c>
      <c r="K205" s="12" t="str">
        <f t="shared" si="2740"/>
        <v>たまごっちボアミニポーチ</v>
      </c>
      <c r="L205" s="12" t="str">
        <f t="shared" si="2741"/>
        <v>たまごっちボアミニポーチ</v>
      </c>
      <c r="M205" s="12" t="str">
        <f t="shared" si="2742"/>
        <v/>
      </c>
      <c r="N205" s="12" t="str">
        <f t="shared" si="2743"/>
        <v/>
      </c>
      <c r="O205" s="12" t="str">
        <f t="shared" si="2744"/>
        <v/>
      </c>
      <c r="P205" s="12" t="str">
        <f t="shared" si="2745"/>
        <v/>
      </c>
      <c r="Q205" s="12" t="str">
        <f t="shared" si="2746"/>
        <v/>
      </c>
      <c r="R205" s="12" t="str">
        <f t="shared" si="2747"/>
        <v/>
      </c>
      <c r="S205" s="12" t="str">
        <f t="shared" si="2748"/>
        <v/>
      </c>
      <c r="T205" s="12" t="str">
        <f t="shared" si="2749"/>
        <v/>
      </c>
      <c r="U205" s="12" t="str">
        <f t="shared" si="2750"/>
        <v/>
      </c>
      <c r="V205" s="12" t="str">
        <f t="shared" si="2751"/>
        <v/>
      </c>
      <c r="W205" s="12" t="str">
        <f t="shared" si="2752"/>
        <v/>
      </c>
      <c r="X205" s="12" t="str">
        <f t="shared" si="2753"/>
        <v/>
      </c>
      <c r="Y205" s="12" t="str">
        <f t="shared" si="2754"/>
        <v/>
      </c>
      <c r="Z205" s="12" t="str">
        <f t="shared" si="2755"/>
        <v/>
      </c>
      <c r="AA205" s="12" t="str">
        <f t="shared" si="2756"/>
        <v/>
      </c>
      <c r="AB205" s="12" t="str">
        <f t="shared" si="2757"/>
        <v/>
      </c>
      <c r="AC205" s="12" t="str">
        <f t="shared" si="2758"/>
        <v/>
      </c>
      <c r="AD205" s="12" t="str">
        <f t="shared" si="2759"/>
        <v/>
      </c>
      <c r="AE205" s="12" t="str">
        <f t="shared" si="2760"/>
        <v/>
      </c>
      <c r="AF205" s="12" t="str">
        <f t="shared" si="2761"/>
        <v/>
      </c>
      <c r="AG205" s="12" t="str">
        <f>IF(AG$8="","",AF205)</f>
        <v/>
      </c>
      <c r="AH205" s="12" t="str">
        <f t="shared" si="2763"/>
        <v/>
      </c>
      <c r="AI205" s="12" t="str">
        <f t="shared" si="2764"/>
        <v/>
      </c>
      <c r="AJ205" s="12" t="str">
        <f t="shared" si="2765"/>
        <v/>
      </c>
      <c r="AK205" s="12" t="str">
        <f t="shared" si="2766"/>
        <v/>
      </c>
      <c r="AL205" s="12" t="str">
        <f t="shared" si="2767"/>
        <v/>
      </c>
      <c r="AM205" s="12" t="str">
        <f t="shared" si="2768"/>
        <v/>
      </c>
      <c r="AN205" s="12" t="str">
        <f t="shared" si="2769"/>
        <v/>
      </c>
      <c r="AO205" s="12" t="str">
        <f t="shared" ref="AO205:AS205" si="2771">IF(AO$8="","",AN205)</f>
        <v/>
      </c>
      <c r="AP205" s="12" t="str">
        <f t="shared" si="2771"/>
        <v/>
      </c>
      <c r="AQ205" s="12" t="str">
        <f t="shared" si="2771"/>
        <v/>
      </c>
      <c r="AR205" s="12" t="str">
        <f t="shared" si="2771"/>
        <v/>
      </c>
      <c r="AS205" s="12" t="str">
        <f t="shared" si="2771"/>
        <v/>
      </c>
    </row>
    <row r="206" spans="1:45" s="1" customFormat="1" ht="11.25" x14ac:dyDescent="0.15">
      <c r="A206" s="7">
        <f>AVERAGE(C207:AS207)*30*100</f>
        <v>36900</v>
      </c>
      <c r="B206" s="9" t="s">
        <v>12</v>
      </c>
      <c r="C206" s="65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</row>
    <row r="207" spans="1:45" s="1" customFormat="1" ht="11.25" x14ac:dyDescent="0.15">
      <c r="A207" s="7">
        <f>SUM(C207:AS207)</f>
        <v>123</v>
      </c>
      <c r="B207" s="6" t="s">
        <v>13</v>
      </c>
      <c r="C207" s="65">
        <v>0</v>
      </c>
      <c r="D207" s="5">
        <v>0</v>
      </c>
      <c r="E207" s="5">
        <v>23</v>
      </c>
      <c r="F207" s="5">
        <v>0</v>
      </c>
      <c r="G207" s="5">
        <v>0</v>
      </c>
      <c r="H207" s="5">
        <v>0</v>
      </c>
      <c r="I207" s="5">
        <v>38</v>
      </c>
      <c r="J207" s="5">
        <f t="shared" ref="J207:J208" si="2772">IF(J$8="","",J200-I200)</f>
        <v>0</v>
      </c>
      <c r="K207" s="5">
        <f t="shared" ref="K207:K208" si="2773">IF(K$8="","",K200-J200)</f>
        <v>0</v>
      </c>
      <c r="L207" s="5">
        <f t="shared" ref="L207:L208" si="2774">IF(L$8="","",L200-K200)</f>
        <v>62</v>
      </c>
      <c r="M207" s="5" t="str">
        <f t="shared" ref="M207:M208" si="2775">IF(M$8="","",M200-L200)</f>
        <v/>
      </c>
      <c r="N207" s="5" t="str">
        <f t="shared" ref="N207:N208" si="2776">IF(N$8="","",N200-M200)</f>
        <v/>
      </c>
      <c r="O207" s="5" t="str">
        <f t="shared" ref="O207:O208" si="2777">IF(O$8="","",O200-N200)</f>
        <v/>
      </c>
      <c r="P207" s="5" t="str">
        <f t="shared" ref="P207:P208" si="2778">IF(P$8="","",P200-O200)</f>
        <v/>
      </c>
      <c r="Q207" s="5" t="str">
        <f t="shared" ref="Q207:Q208" si="2779">IF(Q$8="","",Q200-P200)</f>
        <v/>
      </c>
      <c r="R207" s="5" t="str">
        <f t="shared" ref="R207:R208" si="2780">IF(R$8="","",R200-Q200)</f>
        <v/>
      </c>
      <c r="S207" s="5" t="str">
        <f t="shared" ref="S207:S208" si="2781">IF(S$8="","",S200-R200)</f>
        <v/>
      </c>
      <c r="T207" s="5" t="str">
        <f t="shared" ref="T207:T208" si="2782">IF(T$8="","",T200-S200)</f>
        <v/>
      </c>
      <c r="U207" s="5" t="str">
        <f t="shared" ref="U207:U208" si="2783">IF(U$8="","",U200-T200)</f>
        <v/>
      </c>
      <c r="V207" s="5" t="str">
        <f t="shared" ref="V207:V208" si="2784">IF(V$8="","",V200-U200)</f>
        <v/>
      </c>
      <c r="W207" s="5" t="str">
        <f t="shared" ref="W207:W208" si="2785">IF(W$8="","",W200-V200)</f>
        <v/>
      </c>
      <c r="X207" s="5" t="str">
        <f t="shared" ref="X207:X208" si="2786">IF(X$8="","",X200-W200)</f>
        <v/>
      </c>
      <c r="Y207" s="5" t="str">
        <f t="shared" ref="Y207:Y208" si="2787">IF(Y$8="","",Y200-X200)</f>
        <v/>
      </c>
      <c r="Z207" s="5" t="str">
        <f t="shared" ref="Z207:Z208" si="2788">IF(Z$8="","",Z200-Y200)</f>
        <v/>
      </c>
      <c r="AA207" s="5" t="str">
        <f t="shared" ref="AA207:AA208" si="2789">IF(AA$8="","",AA200-Z200)</f>
        <v/>
      </c>
      <c r="AB207" s="5" t="str">
        <f t="shared" ref="AB207:AB208" si="2790">IF(AB$8="","",AB200-AA200)</f>
        <v/>
      </c>
      <c r="AC207" s="5" t="str">
        <f t="shared" ref="AC207:AC208" si="2791">IF(AC$8="","",AC200-AB200)</f>
        <v/>
      </c>
      <c r="AD207" s="5" t="str">
        <f t="shared" ref="AD207:AD208" si="2792">IF(AD$8="","",AD200-AC200)</f>
        <v/>
      </c>
      <c r="AE207" s="5" t="str">
        <f t="shared" ref="AE207:AE208" si="2793">IF(AE$8="","",AE200-AD200)</f>
        <v/>
      </c>
      <c r="AF207" s="5" t="str">
        <f t="shared" ref="AF207:AF208" si="2794">IF(AF$8="","",AF200-AE200)</f>
        <v/>
      </c>
      <c r="AG207" s="5" t="str">
        <f t="shared" ref="AG207:AG208" si="2795">IF(AG$8="","",AG200-AF200)</f>
        <v/>
      </c>
      <c r="AH207" s="5" t="str">
        <f t="shared" ref="AH207:AH208" si="2796">IF(AH$8="","",AH200-AG200)</f>
        <v/>
      </c>
      <c r="AI207" s="5" t="str">
        <f t="shared" ref="AI207:AI208" si="2797">IF(AI$8="","",AI200-AH200)</f>
        <v/>
      </c>
      <c r="AJ207" s="5" t="str">
        <f t="shared" ref="AJ207:AJ208" si="2798">IF(AJ$8="","",AJ200-AI200)</f>
        <v/>
      </c>
      <c r="AK207" s="5" t="str">
        <f t="shared" ref="AK207:AK208" si="2799">IF(AK$8="","",AK200-AJ200)</f>
        <v/>
      </c>
      <c r="AL207" s="5" t="str">
        <f t="shared" ref="AL207:AL208" si="2800">IF(AL$8="","",AL200-AK200)</f>
        <v/>
      </c>
      <c r="AM207" s="5" t="str">
        <f t="shared" ref="AM207:AM208" si="2801">IF(AM$8="","",AM200-AL200)</f>
        <v/>
      </c>
      <c r="AN207" s="5" t="str">
        <f t="shared" ref="AN207:AN208" si="2802">IF(AN$8="","",AN200-AM200)</f>
        <v/>
      </c>
      <c r="AO207" s="5" t="str">
        <f t="shared" ref="AO207:AS207" si="2803">IF(AO$8="","",AO200-AN200)</f>
        <v/>
      </c>
      <c r="AP207" s="5" t="str">
        <f t="shared" si="2803"/>
        <v/>
      </c>
      <c r="AQ207" s="5" t="str">
        <f t="shared" si="2803"/>
        <v/>
      </c>
      <c r="AR207" s="5" t="str">
        <f t="shared" si="2803"/>
        <v/>
      </c>
      <c r="AS207" s="5" t="str">
        <f t="shared" si="2803"/>
        <v/>
      </c>
    </row>
    <row r="208" spans="1:45" s="1" customFormat="1" ht="11.25" x14ac:dyDescent="0.15">
      <c r="A208" s="7">
        <f>SUM(C208:AS208)</f>
        <v>3</v>
      </c>
      <c r="B208" s="6" t="s">
        <v>14</v>
      </c>
      <c r="C208" s="65">
        <v>0</v>
      </c>
      <c r="D208" s="5">
        <v>0</v>
      </c>
      <c r="E208" s="5">
        <v>2</v>
      </c>
      <c r="F208" s="5">
        <v>0</v>
      </c>
      <c r="G208" s="5">
        <v>0</v>
      </c>
      <c r="H208" s="5">
        <v>0</v>
      </c>
      <c r="I208" s="5">
        <v>1</v>
      </c>
      <c r="J208" s="5">
        <f t="shared" si="2772"/>
        <v>0</v>
      </c>
      <c r="K208" s="5">
        <f t="shared" si="2773"/>
        <v>0</v>
      </c>
      <c r="L208" s="5">
        <f t="shared" si="2774"/>
        <v>0</v>
      </c>
      <c r="M208" s="5" t="str">
        <f t="shared" si="2775"/>
        <v/>
      </c>
      <c r="N208" s="5" t="str">
        <f t="shared" si="2776"/>
        <v/>
      </c>
      <c r="O208" s="5" t="str">
        <f t="shared" si="2777"/>
        <v/>
      </c>
      <c r="P208" s="5" t="str">
        <f t="shared" si="2778"/>
        <v/>
      </c>
      <c r="Q208" s="5" t="str">
        <f t="shared" si="2779"/>
        <v/>
      </c>
      <c r="R208" s="5" t="str">
        <f t="shared" si="2780"/>
        <v/>
      </c>
      <c r="S208" s="5" t="str">
        <f t="shared" si="2781"/>
        <v/>
      </c>
      <c r="T208" s="5" t="str">
        <f t="shared" si="2782"/>
        <v/>
      </c>
      <c r="U208" s="5" t="str">
        <f t="shared" si="2783"/>
        <v/>
      </c>
      <c r="V208" s="5" t="str">
        <f t="shared" si="2784"/>
        <v/>
      </c>
      <c r="W208" s="5" t="str">
        <f t="shared" si="2785"/>
        <v/>
      </c>
      <c r="X208" s="5" t="str">
        <f t="shared" si="2786"/>
        <v/>
      </c>
      <c r="Y208" s="5" t="str">
        <f t="shared" si="2787"/>
        <v/>
      </c>
      <c r="Z208" s="5" t="str">
        <f t="shared" si="2788"/>
        <v/>
      </c>
      <c r="AA208" s="5" t="str">
        <f t="shared" si="2789"/>
        <v/>
      </c>
      <c r="AB208" s="5" t="str">
        <f t="shared" si="2790"/>
        <v/>
      </c>
      <c r="AC208" s="5" t="str">
        <f t="shared" si="2791"/>
        <v/>
      </c>
      <c r="AD208" s="5" t="str">
        <f t="shared" si="2792"/>
        <v/>
      </c>
      <c r="AE208" s="5" t="str">
        <f t="shared" si="2793"/>
        <v/>
      </c>
      <c r="AF208" s="5" t="str">
        <f t="shared" si="2794"/>
        <v/>
      </c>
      <c r="AG208" s="5" t="str">
        <f t="shared" si="2795"/>
        <v/>
      </c>
      <c r="AH208" s="5" t="str">
        <f t="shared" si="2796"/>
        <v/>
      </c>
      <c r="AI208" s="5" t="str">
        <f t="shared" si="2797"/>
        <v/>
      </c>
      <c r="AJ208" s="5" t="str">
        <f t="shared" si="2798"/>
        <v/>
      </c>
      <c r="AK208" s="5" t="str">
        <f t="shared" si="2799"/>
        <v/>
      </c>
      <c r="AL208" s="5" t="str">
        <f t="shared" si="2800"/>
        <v/>
      </c>
      <c r="AM208" s="5" t="str">
        <f t="shared" si="2801"/>
        <v/>
      </c>
      <c r="AN208" s="5" t="str">
        <f t="shared" si="2802"/>
        <v/>
      </c>
      <c r="AO208" s="5" t="str">
        <f t="shared" ref="AO208:AS208" si="2804">IF(AO$8="","",AO201-AN201)</f>
        <v/>
      </c>
      <c r="AP208" s="5" t="str">
        <f t="shared" si="2804"/>
        <v/>
      </c>
      <c r="AQ208" s="5" t="str">
        <f t="shared" si="2804"/>
        <v/>
      </c>
      <c r="AR208" s="5" t="str">
        <f t="shared" si="2804"/>
        <v/>
      </c>
      <c r="AS208" s="5" t="str">
        <f t="shared" si="2804"/>
        <v/>
      </c>
    </row>
    <row r="209" spans="1:46" s="1" customFormat="1" ht="11.25" x14ac:dyDescent="0.15">
      <c r="A209" s="7">
        <f>SUM(C209:AS209)</f>
        <v>2</v>
      </c>
      <c r="B209" s="6" t="s">
        <v>15</v>
      </c>
      <c r="C209" s="65">
        <v>0</v>
      </c>
      <c r="D209" s="5">
        <v>0</v>
      </c>
      <c r="E209" s="5">
        <v>2</v>
      </c>
      <c r="F209" s="5">
        <v>0</v>
      </c>
      <c r="G209" s="5">
        <v>0</v>
      </c>
      <c r="H209" s="5">
        <v>0</v>
      </c>
      <c r="I209" s="5">
        <v>0</v>
      </c>
      <c r="J209" s="5">
        <f t="shared" ref="J209" si="2805">IF(J$8="","",I202+I203-J202)</f>
        <v>0</v>
      </c>
      <c r="K209" s="5">
        <f t="shared" ref="K209" si="2806">IF(K$8="","",J202+J203-K202)</f>
        <v>0</v>
      </c>
      <c r="L209" s="5">
        <f t="shared" ref="L209" si="2807">IF(L$8="","",K202+K203-L202)</f>
        <v>0</v>
      </c>
      <c r="M209" s="5" t="str">
        <f t="shared" ref="M209" si="2808">IF(M$8="","",L202+L203-M202)</f>
        <v/>
      </c>
      <c r="N209" s="5" t="str">
        <f t="shared" ref="N209" si="2809">IF(N$8="","",M202+M203-N202)</f>
        <v/>
      </c>
      <c r="O209" s="5" t="str">
        <f t="shared" ref="O209" si="2810">IF(O$8="","",N202+N203-O202)</f>
        <v/>
      </c>
      <c r="P209" s="5" t="str">
        <f t="shared" ref="P209" si="2811">IF(P$8="","",O202+O203-P202)</f>
        <v/>
      </c>
      <c r="Q209" s="5" t="str">
        <f t="shared" ref="Q209" si="2812">IF(Q$8="","",P202+P203-Q202)</f>
        <v/>
      </c>
      <c r="R209" s="5" t="str">
        <f t="shared" ref="R209" si="2813">IF(R$8="","",Q202+Q203-R202)</f>
        <v/>
      </c>
      <c r="S209" s="5" t="str">
        <f t="shared" ref="S209" si="2814">IF(S$8="","",R202+R203-S202)</f>
        <v/>
      </c>
      <c r="T209" s="5" t="str">
        <f t="shared" ref="T209" si="2815">IF(T$8="","",S202+S203-T202)</f>
        <v/>
      </c>
      <c r="U209" s="5" t="str">
        <f t="shared" ref="U209" si="2816">IF(U$8="","",T202+T203-U202)</f>
        <v/>
      </c>
      <c r="V209" s="5" t="str">
        <f t="shared" ref="V209" si="2817">IF(V$8="","",U202+U203-V202)</f>
        <v/>
      </c>
      <c r="W209" s="5" t="str">
        <f t="shared" ref="W209" si="2818">IF(W$8="","",V202+V203-W202)</f>
        <v/>
      </c>
      <c r="X209" s="5" t="str">
        <f t="shared" ref="X209" si="2819">IF(X$8="","",W202+W203-X202)</f>
        <v/>
      </c>
      <c r="Y209" s="5" t="str">
        <f t="shared" ref="Y209" si="2820">IF(Y$8="","",X202+X203-Y202)</f>
        <v/>
      </c>
      <c r="Z209" s="5" t="str">
        <f t="shared" ref="Z209" si="2821">IF(Z$8="","",Y202+Y203-Z202)</f>
        <v/>
      </c>
      <c r="AA209" s="5" t="str">
        <f t="shared" ref="AA209" si="2822">IF(AA$8="","",Z202+Z203-AA202)</f>
        <v/>
      </c>
      <c r="AB209" s="5" t="str">
        <f t="shared" ref="AB209" si="2823">IF(AB$8="","",AA202+AA203-AB202)</f>
        <v/>
      </c>
      <c r="AC209" s="5" t="str">
        <f t="shared" ref="AC209" si="2824">IF(AC$8="","",AB202+AB203-AC202)</f>
        <v/>
      </c>
      <c r="AD209" s="5" t="str">
        <f t="shared" ref="AD209" si="2825">IF(AD$8="","",AC202+AC203-AD202)</f>
        <v/>
      </c>
      <c r="AE209" s="5" t="str">
        <f t="shared" ref="AE209" si="2826">IF(AE$8="","",AD202+AD203-AE202)</f>
        <v/>
      </c>
      <c r="AF209" s="5" t="str">
        <f t="shared" ref="AF209" si="2827">IF(AF$8="","",AE202+AE203-AF202)</f>
        <v/>
      </c>
      <c r="AG209" s="5" t="str">
        <f t="shared" ref="AG209" si="2828">IF(AG$8="","",AF202+AF203-AG202)</f>
        <v/>
      </c>
      <c r="AH209" s="5" t="str">
        <f t="shared" ref="AH209" si="2829">IF(AH$8="","",AG202+AG203-AH202)</f>
        <v/>
      </c>
      <c r="AI209" s="5" t="str">
        <f t="shared" ref="AI209" si="2830">IF(AI$8="","",AH202+AH203-AI202)</f>
        <v/>
      </c>
      <c r="AJ209" s="5" t="str">
        <f t="shared" ref="AJ209" si="2831">IF(AJ$8="","",AI202+AI203-AJ202)</f>
        <v/>
      </c>
      <c r="AK209" s="5" t="str">
        <f t="shared" ref="AK209" si="2832">IF(AK$8="","",AJ202+AJ203-AK202)</f>
        <v/>
      </c>
      <c r="AL209" s="5" t="str">
        <f t="shared" ref="AL209" si="2833">IF(AL$8="","",AK202+AK203-AL202)</f>
        <v/>
      </c>
      <c r="AM209" s="5" t="str">
        <f t="shared" ref="AM209" si="2834">IF(AM$8="","",AL202+AL203-AM202)</f>
        <v/>
      </c>
      <c r="AN209" s="5" t="str">
        <f t="shared" ref="AN209" si="2835">IF(AN$8="","",AM202+AM203-AN202)</f>
        <v/>
      </c>
      <c r="AO209" s="5" t="str">
        <f t="shared" ref="AO209:AS209" si="2836">IF(AO$8="","",AN202+AN203-AO202)</f>
        <v/>
      </c>
      <c r="AP209" s="5" t="str">
        <f t="shared" si="2836"/>
        <v/>
      </c>
      <c r="AQ209" s="5" t="str">
        <f t="shared" si="2836"/>
        <v/>
      </c>
      <c r="AR209" s="5" t="str">
        <f t="shared" si="2836"/>
        <v/>
      </c>
      <c r="AS209" s="5" t="str">
        <f t="shared" si="2836"/>
        <v/>
      </c>
    </row>
    <row r="210" spans="1:46" s="1" customFormat="1" ht="11.25" x14ac:dyDescent="0.15">
      <c r="A210" s="7">
        <f>SUM(C210:AS210)</f>
        <v>1600</v>
      </c>
      <c r="B210" s="6" t="s">
        <v>16</v>
      </c>
      <c r="C210" s="65">
        <v>0</v>
      </c>
      <c r="D210" s="5">
        <v>0</v>
      </c>
      <c r="E210" s="5">
        <v>1600</v>
      </c>
      <c r="F210" s="5">
        <v>0</v>
      </c>
      <c r="G210" s="5">
        <v>0</v>
      </c>
      <c r="H210" s="5">
        <v>0</v>
      </c>
      <c r="I210" s="5">
        <v>0</v>
      </c>
      <c r="J210" s="5">
        <f t="shared" ref="D210:AN210" si="2837">IF(J$8="","",J209*J204)</f>
        <v>0</v>
      </c>
      <c r="K210" s="5">
        <f t="shared" si="2837"/>
        <v>0</v>
      </c>
      <c r="L210" s="5">
        <f t="shared" si="2837"/>
        <v>0</v>
      </c>
      <c r="M210" s="5" t="str">
        <f t="shared" si="2837"/>
        <v/>
      </c>
      <c r="N210" s="5" t="str">
        <f t="shared" si="2837"/>
        <v/>
      </c>
      <c r="O210" s="5" t="str">
        <f t="shared" si="2837"/>
        <v/>
      </c>
      <c r="P210" s="5" t="str">
        <f t="shared" si="2837"/>
        <v/>
      </c>
      <c r="Q210" s="5" t="str">
        <f t="shared" si="2837"/>
        <v/>
      </c>
      <c r="R210" s="5" t="str">
        <f t="shared" si="2837"/>
        <v/>
      </c>
      <c r="S210" s="5" t="str">
        <f t="shared" si="2837"/>
        <v/>
      </c>
      <c r="T210" s="5" t="str">
        <f t="shared" si="2837"/>
        <v/>
      </c>
      <c r="U210" s="5" t="str">
        <f t="shared" si="2837"/>
        <v/>
      </c>
      <c r="V210" s="5" t="str">
        <f t="shared" si="2837"/>
        <v/>
      </c>
      <c r="W210" s="5" t="str">
        <f t="shared" si="2837"/>
        <v/>
      </c>
      <c r="X210" s="5" t="str">
        <f t="shared" si="2837"/>
        <v/>
      </c>
      <c r="Y210" s="5" t="str">
        <f t="shared" si="2837"/>
        <v/>
      </c>
      <c r="Z210" s="5" t="str">
        <f t="shared" si="2837"/>
        <v/>
      </c>
      <c r="AA210" s="5" t="str">
        <f t="shared" si="2837"/>
        <v/>
      </c>
      <c r="AB210" s="5" t="str">
        <f t="shared" si="2837"/>
        <v/>
      </c>
      <c r="AC210" s="5" t="str">
        <f t="shared" si="2837"/>
        <v/>
      </c>
      <c r="AD210" s="5" t="str">
        <f t="shared" si="2837"/>
        <v/>
      </c>
      <c r="AE210" s="5" t="str">
        <f t="shared" si="2837"/>
        <v/>
      </c>
      <c r="AF210" s="5" t="str">
        <f t="shared" si="2837"/>
        <v/>
      </c>
      <c r="AG210" s="5" t="str">
        <f t="shared" si="2837"/>
        <v/>
      </c>
      <c r="AH210" s="5" t="str">
        <f t="shared" si="2837"/>
        <v/>
      </c>
      <c r="AI210" s="5" t="str">
        <f t="shared" si="2837"/>
        <v/>
      </c>
      <c r="AJ210" s="5" t="str">
        <f t="shared" si="2837"/>
        <v/>
      </c>
      <c r="AK210" s="5" t="str">
        <f t="shared" si="2837"/>
        <v/>
      </c>
      <c r="AL210" s="5" t="str">
        <f t="shared" si="2837"/>
        <v/>
      </c>
      <c r="AM210" s="5" t="str">
        <f t="shared" si="2837"/>
        <v/>
      </c>
      <c r="AN210" s="5" t="str">
        <f t="shared" si="2837"/>
        <v/>
      </c>
      <c r="AO210" s="5" t="str">
        <f t="shared" ref="AO210:AS210" si="2838">IF(AO$8="","",AO209*AO204)</f>
        <v/>
      </c>
      <c r="AP210" s="5" t="str">
        <f t="shared" si="2838"/>
        <v/>
      </c>
      <c r="AQ210" s="5" t="str">
        <f t="shared" si="2838"/>
        <v/>
      </c>
      <c r="AR210" s="5" t="str">
        <f t="shared" si="2838"/>
        <v/>
      </c>
      <c r="AS210" s="5" t="str">
        <f t="shared" si="2838"/>
        <v/>
      </c>
    </row>
    <row r="211" spans="1:46" s="1" customFormat="1" ht="12" thickBot="1" x14ac:dyDescent="0.2">
      <c r="A211" s="4">
        <f>IF(A210="","",A210/(A207*100))</f>
        <v>0.13008130081300814</v>
      </c>
      <c r="B211" s="87" t="s">
        <v>18</v>
      </c>
      <c r="C211" s="99" t="s">
        <v>19</v>
      </c>
      <c r="D211" s="88" t="s">
        <v>19</v>
      </c>
      <c r="E211" s="88">
        <v>0.69565217391304346</v>
      </c>
      <c r="F211" s="88" t="s">
        <v>19</v>
      </c>
      <c r="G211" s="88" t="s">
        <v>19</v>
      </c>
      <c r="H211" s="88" t="s">
        <v>19</v>
      </c>
      <c r="I211" s="88" t="s">
        <v>19</v>
      </c>
      <c r="J211" s="88" t="str">
        <f t="shared" ref="D211:AN211" si="2839">IF(J$8="","",IF(J210=0,"",J210/(J207*100)))</f>
        <v/>
      </c>
      <c r="K211" s="88" t="str">
        <f t="shared" si="2839"/>
        <v/>
      </c>
      <c r="L211" s="88" t="str">
        <f t="shared" si="2839"/>
        <v/>
      </c>
      <c r="M211" s="88" t="str">
        <f t="shared" si="2839"/>
        <v/>
      </c>
      <c r="N211" s="88" t="str">
        <f t="shared" si="2839"/>
        <v/>
      </c>
      <c r="O211" s="88" t="str">
        <f t="shared" si="2839"/>
        <v/>
      </c>
      <c r="P211" s="88" t="str">
        <f t="shared" si="2839"/>
        <v/>
      </c>
      <c r="Q211" s="88" t="str">
        <f t="shared" si="2839"/>
        <v/>
      </c>
      <c r="R211" s="88" t="str">
        <f t="shared" si="2839"/>
        <v/>
      </c>
      <c r="S211" s="88" t="str">
        <f t="shared" si="2839"/>
        <v/>
      </c>
      <c r="T211" s="88" t="str">
        <f t="shared" si="2839"/>
        <v/>
      </c>
      <c r="U211" s="88" t="str">
        <f t="shared" si="2839"/>
        <v/>
      </c>
      <c r="V211" s="88" t="str">
        <f t="shared" si="2839"/>
        <v/>
      </c>
      <c r="W211" s="88" t="str">
        <f t="shared" si="2839"/>
        <v/>
      </c>
      <c r="X211" s="88" t="str">
        <f t="shared" si="2839"/>
        <v/>
      </c>
      <c r="Y211" s="88" t="str">
        <f t="shared" si="2839"/>
        <v/>
      </c>
      <c r="Z211" s="88" t="str">
        <f t="shared" si="2839"/>
        <v/>
      </c>
      <c r="AA211" s="88" t="str">
        <f t="shared" si="2839"/>
        <v/>
      </c>
      <c r="AB211" s="88" t="str">
        <f t="shared" si="2839"/>
        <v/>
      </c>
      <c r="AC211" s="88" t="str">
        <f t="shared" si="2839"/>
        <v/>
      </c>
      <c r="AD211" s="88" t="str">
        <f t="shared" si="2839"/>
        <v/>
      </c>
      <c r="AE211" s="88" t="str">
        <f t="shared" si="2839"/>
        <v/>
      </c>
      <c r="AF211" s="88" t="str">
        <f t="shared" si="2839"/>
        <v/>
      </c>
      <c r="AG211" s="88" t="str">
        <f t="shared" si="2839"/>
        <v/>
      </c>
      <c r="AH211" s="88" t="str">
        <f t="shared" si="2839"/>
        <v/>
      </c>
      <c r="AI211" s="88" t="str">
        <f t="shared" si="2839"/>
        <v/>
      </c>
      <c r="AJ211" s="88" t="str">
        <f t="shared" si="2839"/>
        <v/>
      </c>
      <c r="AK211" s="88" t="str">
        <f t="shared" si="2839"/>
        <v/>
      </c>
      <c r="AL211" s="88" t="str">
        <f t="shared" si="2839"/>
        <v/>
      </c>
      <c r="AM211" s="88" t="str">
        <f t="shared" si="2839"/>
        <v/>
      </c>
      <c r="AN211" s="88" t="str">
        <f t="shared" si="2839"/>
        <v/>
      </c>
      <c r="AO211" s="88" t="str">
        <f t="shared" ref="AO211:AS211" si="2840">IF(AO$8="","",IF(AO210=0,"",AO210/(AO207*100)))</f>
        <v/>
      </c>
      <c r="AP211" s="88" t="str">
        <f t="shared" si="2840"/>
        <v/>
      </c>
      <c r="AQ211" s="88" t="str">
        <f t="shared" si="2840"/>
        <v/>
      </c>
      <c r="AR211" s="88" t="str">
        <f t="shared" si="2840"/>
        <v/>
      </c>
      <c r="AS211" s="88" t="str">
        <f t="shared" si="2840"/>
        <v/>
      </c>
    </row>
    <row r="212" spans="1:46" s="1" customFormat="1" ht="11.25" x14ac:dyDescent="0.15">
      <c r="A212" s="22" t="s">
        <v>46</v>
      </c>
      <c r="B212" s="21" t="s">
        <v>2</v>
      </c>
      <c r="C212" s="64">
        <v>8059</v>
      </c>
      <c r="D212" s="20">
        <v>8059</v>
      </c>
      <c r="E212" s="20">
        <v>8172</v>
      </c>
      <c r="F212" s="20">
        <v>8172</v>
      </c>
      <c r="G212" s="20">
        <v>8172</v>
      </c>
      <c r="H212" s="20">
        <v>8172</v>
      </c>
      <c r="I212" s="20">
        <v>8322</v>
      </c>
      <c r="J212" s="20">
        <f t="shared" ref="J212:J213" si="2841">IF(J$8="","",I212)</f>
        <v>8322</v>
      </c>
      <c r="K212" s="20">
        <f t="shared" ref="K212:K213" si="2842">IF(K$8="","",J212)</f>
        <v>8322</v>
      </c>
      <c r="L212" s="20">
        <v>8409</v>
      </c>
      <c r="M212" s="20" t="str">
        <f t="shared" ref="M212:M213" si="2843">IF(M$8="","",L212)</f>
        <v/>
      </c>
      <c r="N212" s="20" t="str">
        <f t="shared" ref="N212:N213" si="2844">IF(N$8="","",M212)</f>
        <v/>
      </c>
      <c r="O212" s="20" t="str">
        <f t="shared" ref="O212:O213" si="2845">IF(O$8="","",N212)</f>
        <v/>
      </c>
      <c r="P212" s="20" t="str">
        <f>IF(P$8="","",O212)</f>
        <v/>
      </c>
      <c r="Q212" s="20" t="str">
        <f t="shared" ref="Q212:Q213" si="2846">IF(Q$8="","",P212)</f>
        <v/>
      </c>
      <c r="R212" s="20" t="str">
        <f t="shared" ref="R212:R213" si="2847">IF(R$8="","",Q212)</f>
        <v/>
      </c>
      <c r="S212" s="20" t="str">
        <f>IF(S$8="","",R212)</f>
        <v/>
      </c>
      <c r="T212" s="20" t="str">
        <f t="shared" ref="T212:T213" si="2848">IF(T$8="","",S212)</f>
        <v/>
      </c>
      <c r="U212" s="20" t="str">
        <f t="shared" ref="U212:U213" si="2849">IF(U$8="","",T212)</f>
        <v/>
      </c>
      <c r="V212" s="20" t="str">
        <f t="shared" ref="V212:V213" si="2850">IF(V$8="","",U212)</f>
        <v/>
      </c>
      <c r="W212" s="20" t="str">
        <f>IF(W$8="","",V212)</f>
        <v/>
      </c>
      <c r="X212" s="20" t="str">
        <f t="shared" ref="X212:X213" si="2851">IF(X$8="","",W212)</f>
        <v/>
      </c>
      <c r="Y212" s="20" t="str">
        <f t="shared" ref="Y212:Y213" si="2852">IF(Y$8="","",X212)</f>
        <v/>
      </c>
      <c r="Z212" s="20" t="str">
        <f>IF(Z$8="","",Y212)</f>
        <v/>
      </c>
      <c r="AA212" s="20" t="str">
        <f t="shared" ref="AA212:AA213" si="2853">IF(AA$8="","",Z212)</f>
        <v/>
      </c>
      <c r="AB212" s="20" t="str">
        <f t="shared" ref="AB212:AB213" si="2854">IF(AB$8="","",AA212)</f>
        <v/>
      </c>
      <c r="AC212" s="20" t="str">
        <f t="shared" ref="AC212:AC213" si="2855">IF(AC$8="","",AB212)</f>
        <v/>
      </c>
      <c r="AD212" s="20" t="str">
        <f>IF(AD$8="","",AC212)</f>
        <v/>
      </c>
      <c r="AE212" s="20" t="str">
        <f t="shared" ref="AE212:AE213" si="2856">IF(AE$8="","",AD212)</f>
        <v/>
      </c>
      <c r="AF212" s="20" t="str">
        <f t="shared" ref="AF212:AF213" si="2857">IF(AF$8="","",AE212)</f>
        <v/>
      </c>
      <c r="AG212" s="20" t="str">
        <f>IF(AG$8="","",AF212)</f>
        <v/>
      </c>
      <c r="AH212" s="20" t="str">
        <f t="shared" ref="AH212:AH213" si="2858">IF(AH$8="","",AG212)</f>
        <v/>
      </c>
      <c r="AI212" s="20" t="str">
        <f t="shared" ref="AI212:AI213" si="2859">IF(AI$8="","",AH212)</f>
        <v/>
      </c>
      <c r="AJ212" s="20" t="str">
        <f t="shared" ref="AJ212:AJ213" si="2860">IF(AJ$8="","",AI212)</f>
        <v/>
      </c>
      <c r="AK212" s="20" t="str">
        <f>IF(AK$8="","",AJ212)</f>
        <v/>
      </c>
      <c r="AL212" s="20" t="str">
        <f t="shared" ref="AL212:AL213" si="2861">IF(AL$8="","",AK212)</f>
        <v/>
      </c>
      <c r="AM212" s="20" t="str">
        <f t="shared" ref="AM212:AM213" si="2862">IF(AM$8="","",AL212)</f>
        <v/>
      </c>
      <c r="AN212" s="20" t="str">
        <f t="shared" ref="AN212:AN213" si="2863">IF(AN$8="","",AM212)</f>
        <v/>
      </c>
      <c r="AO212" s="20" t="str">
        <f t="shared" ref="AO212:AS212" si="2864">IF(AO$8="","",AN212)</f>
        <v/>
      </c>
      <c r="AP212" s="20" t="str">
        <f t="shared" si="2864"/>
        <v/>
      </c>
      <c r="AQ212" s="20" t="str">
        <f t="shared" si="2864"/>
        <v/>
      </c>
      <c r="AR212" s="20" t="str">
        <f t="shared" si="2864"/>
        <v/>
      </c>
      <c r="AS212" s="20" t="str">
        <f t="shared" si="2864"/>
        <v/>
      </c>
    </row>
    <row r="213" spans="1:46" s="1" customFormat="1" ht="11.25" x14ac:dyDescent="0.15">
      <c r="A213" s="16" t="s">
        <v>44</v>
      </c>
      <c r="B213" s="9" t="s">
        <v>4</v>
      </c>
      <c r="C213" s="65">
        <v>423</v>
      </c>
      <c r="D213" s="8">
        <v>423</v>
      </c>
      <c r="E213" s="8">
        <v>425</v>
      </c>
      <c r="F213" s="8">
        <v>425</v>
      </c>
      <c r="G213" s="8">
        <v>425</v>
      </c>
      <c r="H213" s="8">
        <v>425</v>
      </c>
      <c r="I213" s="8">
        <v>426</v>
      </c>
      <c r="J213" s="8">
        <f t="shared" si="2841"/>
        <v>426</v>
      </c>
      <c r="K213" s="8">
        <f t="shared" si="2842"/>
        <v>426</v>
      </c>
      <c r="L213" s="8">
        <v>429</v>
      </c>
      <c r="M213" s="8" t="str">
        <f t="shared" si="2843"/>
        <v/>
      </c>
      <c r="N213" s="8" t="str">
        <f t="shared" si="2844"/>
        <v/>
      </c>
      <c r="O213" s="8" t="str">
        <f t="shared" si="2845"/>
        <v/>
      </c>
      <c r="P213" s="8" t="str">
        <f>IF(P$8="","",O213)</f>
        <v/>
      </c>
      <c r="Q213" s="8" t="str">
        <f t="shared" si="2846"/>
        <v/>
      </c>
      <c r="R213" s="8" t="str">
        <f t="shared" si="2847"/>
        <v/>
      </c>
      <c r="S213" s="8" t="str">
        <f>IF(S$8="","",R213)</f>
        <v/>
      </c>
      <c r="T213" s="8" t="str">
        <f t="shared" si="2848"/>
        <v/>
      </c>
      <c r="U213" s="8" t="str">
        <f t="shared" si="2849"/>
        <v/>
      </c>
      <c r="V213" s="8" t="str">
        <f t="shared" si="2850"/>
        <v/>
      </c>
      <c r="W213" s="8" t="str">
        <f>IF(W$8="","",V213)</f>
        <v/>
      </c>
      <c r="X213" s="8" t="str">
        <f t="shared" si="2851"/>
        <v/>
      </c>
      <c r="Y213" s="8" t="str">
        <f t="shared" si="2852"/>
        <v/>
      </c>
      <c r="Z213" s="8" t="str">
        <f>IF(Z$8="","",Y213)</f>
        <v/>
      </c>
      <c r="AA213" s="8" t="str">
        <f t="shared" si="2853"/>
        <v/>
      </c>
      <c r="AB213" s="8" t="str">
        <f t="shared" si="2854"/>
        <v/>
      </c>
      <c r="AC213" s="8" t="str">
        <f t="shared" si="2855"/>
        <v/>
      </c>
      <c r="AD213" s="8" t="str">
        <f t="shared" ref="AD213" si="2865">IF(AD$8="","",AC213)</f>
        <v/>
      </c>
      <c r="AE213" s="8" t="str">
        <f t="shared" si="2856"/>
        <v/>
      </c>
      <c r="AF213" s="8" t="str">
        <f t="shared" si="2857"/>
        <v/>
      </c>
      <c r="AG213" s="8" t="str">
        <f>IF(AG$8="","",AF213)</f>
        <v/>
      </c>
      <c r="AH213" s="8" t="str">
        <f t="shared" si="2858"/>
        <v/>
      </c>
      <c r="AI213" s="8" t="str">
        <f t="shared" si="2859"/>
        <v/>
      </c>
      <c r="AJ213" s="8" t="str">
        <f t="shared" si="2860"/>
        <v/>
      </c>
      <c r="AK213" s="8" t="str">
        <f>IF(AK$8="","",AJ213)</f>
        <v/>
      </c>
      <c r="AL213" s="8" t="str">
        <f t="shared" si="2861"/>
        <v/>
      </c>
      <c r="AM213" s="8" t="str">
        <f t="shared" si="2862"/>
        <v/>
      </c>
      <c r="AN213" s="8" t="str">
        <f t="shared" si="2863"/>
        <v/>
      </c>
      <c r="AO213" s="8" t="str">
        <f t="shared" ref="AO213:AS213" si="2866">IF(AO$8="","",AN213)</f>
        <v/>
      </c>
      <c r="AP213" s="8" t="str">
        <f t="shared" si="2866"/>
        <v/>
      </c>
      <c r="AQ213" s="8" t="str">
        <f t="shared" si="2866"/>
        <v/>
      </c>
      <c r="AR213" s="8" t="str">
        <f t="shared" si="2866"/>
        <v/>
      </c>
      <c r="AS213" s="8" t="str">
        <f t="shared" si="2866"/>
        <v/>
      </c>
    </row>
    <row r="214" spans="1:46" s="1" customFormat="1" ht="11.25" x14ac:dyDescent="0.15">
      <c r="A214" s="15">
        <v>2</v>
      </c>
      <c r="B214" s="9" t="s">
        <v>5</v>
      </c>
      <c r="C214" s="65">
        <v>44</v>
      </c>
      <c r="D214" s="8">
        <v>44</v>
      </c>
      <c r="E214" s="8">
        <v>42</v>
      </c>
      <c r="F214" s="8">
        <v>42</v>
      </c>
      <c r="G214" s="8">
        <v>42</v>
      </c>
      <c r="H214" s="8">
        <v>42</v>
      </c>
      <c r="I214" s="8">
        <v>41</v>
      </c>
      <c r="J214" s="8">
        <f t="shared" ref="J214" si="2867">IF(J$8="","",(I214+I215))</f>
        <v>41</v>
      </c>
      <c r="K214" s="8">
        <f t="shared" ref="K214" si="2868">IF(K$8="","",(J214+J215))</f>
        <v>41</v>
      </c>
      <c r="L214" s="8">
        <v>38</v>
      </c>
      <c r="M214" s="8" t="str">
        <f t="shared" ref="M214" si="2869">IF(M$8="","",(L214+L215))</f>
        <v/>
      </c>
      <c r="N214" s="8" t="str">
        <f t="shared" ref="N214" si="2870">IF(N$8="","",(M214+M215))</f>
        <v/>
      </c>
      <c r="O214" s="8" t="str">
        <f t="shared" ref="O214" si="2871">IF(O$8="","",(N214+N215))</f>
        <v/>
      </c>
      <c r="P214" s="8" t="str">
        <f>IF(P$8="","",(O214+O215))</f>
        <v/>
      </c>
      <c r="Q214" s="8" t="str">
        <f t="shared" ref="Q214" si="2872">IF(Q$8="","",(P214+P215))</f>
        <v/>
      </c>
      <c r="R214" s="8" t="str">
        <f t="shared" ref="R214" si="2873">IF(R$8="","",(Q214+Q215))</f>
        <v/>
      </c>
      <c r="S214" s="8" t="str">
        <f>IF(S$8="","",(R214+R215))</f>
        <v/>
      </c>
      <c r="T214" s="8" t="str">
        <f t="shared" ref="T214" si="2874">IF(T$8="","",(S214+S215))</f>
        <v/>
      </c>
      <c r="U214" s="8" t="str">
        <f t="shared" ref="U214" si="2875">IF(U$8="","",(T214+T215))</f>
        <v/>
      </c>
      <c r="V214" s="8" t="str">
        <f t="shared" ref="V214" si="2876">IF(V$8="","",(U214+U215))</f>
        <v/>
      </c>
      <c r="W214" s="8" t="str">
        <f>IF(W$8="","",(V214+V215))</f>
        <v/>
      </c>
      <c r="X214" s="8" t="str">
        <f t="shared" ref="X214" si="2877">IF(X$8="","",(W214+W215))</f>
        <v/>
      </c>
      <c r="Y214" s="8" t="str">
        <f t="shared" ref="Y214" si="2878">IF(Y$8="","",(X214+X215))</f>
        <v/>
      </c>
      <c r="Z214" s="8" t="str">
        <f>IF(Z$8="","",(Y214+Y215))</f>
        <v/>
      </c>
      <c r="AA214" s="8" t="str">
        <f t="shared" ref="AA214" si="2879">IF(AA$8="","",(Z214+Z215))</f>
        <v/>
      </c>
      <c r="AB214" s="8" t="str">
        <f t="shared" ref="AB214" si="2880">IF(AB$8="","",(AA214+AA215))</f>
        <v/>
      </c>
      <c r="AC214" s="8" t="str">
        <f t="shared" ref="AC214" si="2881">IF(AC$8="","",(AB214+AB215))</f>
        <v/>
      </c>
      <c r="AD214" s="8" t="str">
        <f t="shared" ref="AD214" si="2882">IF(AD$8="","",(AC214+AC215))</f>
        <v/>
      </c>
      <c r="AE214" s="8" t="str">
        <f t="shared" ref="AE214" si="2883">IF(AE$8="","",(AD214+AD215))</f>
        <v/>
      </c>
      <c r="AF214" s="8" t="str">
        <f t="shared" ref="AF214" si="2884">IF(AF$8="","",(AE214+AE215))</f>
        <v/>
      </c>
      <c r="AG214" s="8" t="str">
        <f>IF(AG$8="","",(AF214+AF215))</f>
        <v/>
      </c>
      <c r="AH214" s="8" t="str">
        <f t="shared" ref="AH214" si="2885">IF(AH$8="","",(AG214+AG215))</f>
        <v/>
      </c>
      <c r="AI214" s="8" t="str">
        <f t="shared" ref="AI214" si="2886">IF(AI$8="","",(AH214+AH215))</f>
        <v/>
      </c>
      <c r="AJ214" s="8" t="str">
        <f t="shared" ref="AJ214" si="2887">IF(AJ$8="","",(AI214+AI215))</f>
        <v/>
      </c>
      <c r="AK214" s="8" t="str">
        <f>IF(AK$8="","",(AJ214+AJ215))</f>
        <v/>
      </c>
      <c r="AL214" s="8" t="str">
        <f t="shared" ref="AL214" si="2888">IF(AL$8="","",(AK214+AK215))</f>
        <v/>
      </c>
      <c r="AM214" s="8" t="str">
        <f t="shared" ref="AM214" si="2889">IF(AM$8="","",(AL214+AL215))</f>
        <v/>
      </c>
      <c r="AN214" s="8" t="str">
        <f t="shared" ref="AN214" si="2890">IF(AN$8="","",(AM214+AM215))</f>
        <v/>
      </c>
      <c r="AO214" s="8" t="str">
        <f t="shared" ref="AO214:AS214" si="2891">IF(AO$8="","",(AN214+AN215))</f>
        <v/>
      </c>
      <c r="AP214" s="8" t="str">
        <f t="shared" si="2891"/>
        <v/>
      </c>
      <c r="AQ214" s="8" t="str">
        <f t="shared" si="2891"/>
        <v/>
      </c>
      <c r="AR214" s="8" t="str">
        <f t="shared" si="2891"/>
        <v/>
      </c>
      <c r="AS214" s="8" t="str">
        <f t="shared" si="2891"/>
        <v/>
      </c>
    </row>
    <row r="215" spans="1:46" s="1" customFormat="1" ht="11.25" x14ac:dyDescent="0.15">
      <c r="A215" s="14"/>
      <c r="B215" s="9" t="s">
        <v>7</v>
      </c>
      <c r="C215" s="65"/>
      <c r="D215" s="8"/>
      <c r="E215" s="8"/>
      <c r="F215" s="8"/>
      <c r="G215" s="8"/>
      <c r="H215" s="8"/>
      <c r="I215" s="8"/>
      <c r="J215" s="8"/>
      <c r="K215" s="8"/>
      <c r="L215" s="8">
        <v>4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</row>
    <row r="216" spans="1:46" s="1" customFormat="1" ht="11.25" x14ac:dyDescent="0.15">
      <c r="A216" s="7"/>
      <c r="B216" s="9" t="s">
        <v>8</v>
      </c>
      <c r="C216" s="65">
        <v>1500</v>
      </c>
      <c r="D216" s="8">
        <v>1500</v>
      </c>
      <c r="E216" s="8">
        <v>1500</v>
      </c>
      <c r="F216" s="8">
        <v>1500</v>
      </c>
      <c r="G216" s="8">
        <v>1500</v>
      </c>
      <c r="H216" s="8">
        <v>1500</v>
      </c>
      <c r="I216" s="8">
        <v>1500</v>
      </c>
      <c r="J216" s="8">
        <f t="shared" ref="J216:J217" si="2892">IF(J$8="","",I216)</f>
        <v>1500</v>
      </c>
      <c r="K216" s="8">
        <f t="shared" ref="K216:K217" si="2893">IF(K$8="","",J216)</f>
        <v>1500</v>
      </c>
      <c r="L216" s="8">
        <f t="shared" ref="L216:L217" si="2894">IF(L$8="","",K216)</f>
        <v>1500</v>
      </c>
      <c r="M216" s="8" t="str">
        <f t="shared" ref="M216:M217" si="2895">IF(M$8="","",L216)</f>
        <v/>
      </c>
      <c r="N216" s="8" t="str">
        <f t="shared" ref="N216:N217" si="2896">IF(N$8="","",M216)</f>
        <v/>
      </c>
      <c r="O216" s="8" t="str">
        <f t="shared" ref="O216:O217" si="2897">IF(O$8="","",N216)</f>
        <v/>
      </c>
      <c r="P216" s="8" t="str">
        <f t="shared" ref="P216:P217" si="2898">IF(P$8="","",O216)</f>
        <v/>
      </c>
      <c r="Q216" s="8" t="str">
        <f t="shared" ref="Q216:Q217" si="2899">IF(Q$8="","",P216)</f>
        <v/>
      </c>
      <c r="R216" s="8" t="str">
        <f t="shared" ref="R216:R217" si="2900">IF(R$8="","",Q216)</f>
        <v/>
      </c>
      <c r="S216" s="8" t="str">
        <f t="shared" ref="S216:S217" si="2901">IF(S$8="","",R216)</f>
        <v/>
      </c>
      <c r="T216" s="8" t="str">
        <f t="shared" ref="T216:T217" si="2902">IF(T$8="","",S216)</f>
        <v/>
      </c>
      <c r="U216" s="8" t="str">
        <f t="shared" ref="U216:U217" si="2903">IF(U$8="","",T216)</f>
        <v/>
      </c>
      <c r="V216" s="8" t="str">
        <f t="shared" ref="V216:V217" si="2904">IF(V$8="","",U216)</f>
        <v/>
      </c>
      <c r="W216" s="8" t="str">
        <f t="shared" ref="W216:W217" si="2905">IF(W$8="","",V216)</f>
        <v/>
      </c>
      <c r="X216" s="8" t="str">
        <f t="shared" ref="X216:X217" si="2906">IF(X$8="","",W216)</f>
        <v/>
      </c>
      <c r="Y216" s="8" t="str">
        <f t="shared" ref="Y216:Y217" si="2907">IF(Y$8="","",X216)</f>
        <v/>
      </c>
      <c r="Z216" s="8" t="str">
        <f t="shared" ref="Z216:Z217" si="2908">IF(Z$8="","",Y216)</f>
        <v/>
      </c>
      <c r="AA216" s="8" t="str">
        <f t="shared" ref="AA216:AA217" si="2909">IF(AA$8="","",Z216)</f>
        <v/>
      </c>
      <c r="AB216" s="8" t="str">
        <f t="shared" ref="AB216:AB217" si="2910">IF(AB$8="","",AA216)</f>
        <v/>
      </c>
      <c r="AC216" s="8" t="str">
        <f t="shared" ref="AC216:AC217" si="2911">IF(AC$8="","",AB216)</f>
        <v/>
      </c>
      <c r="AD216" s="8" t="str">
        <f t="shared" ref="AD216:AD217" si="2912">IF(AD$8="","",AC216)</f>
        <v/>
      </c>
      <c r="AE216" s="8" t="str">
        <f t="shared" ref="AE216:AE217" si="2913">IF(AE$8="","",AD216)</f>
        <v/>
      </c>
      <c r="AF216" s="8" t="str">
        <f t="shared" ref="AF216:AF217" si="2914">IF(AF$8="","",AE216)</f>
        <v/>
      </c>
      <c r="AG216" s="8" t="str">
        <f t="shared" ref="AG216:AG217" si="2915">IF(AG$8="","",AF216)</f>
        <v/>
      </c>
      <c r="AH216" s="8" t="str">
        <f t="shared" ref="AH216:AH217" si="2916">IF(AH$8="","",AG216)</f>
        <v/>
      </c>
      <c r="AI216" s="8" t="str">
        <f t="shared" ref="AI216:AI217" si="2917">IF(AI$8="","",AH216)</f>
        <v/>
      </c>
      <c r="AJ216" s="8" t="str">
        <f t="shared" ref="AJ216:AJ217" si="2918">IF(AJ$8="","",AI216)</f>
        <v/>
      </c>
      <c r="AK216" s="8" t="str">
        <f t="shared" ref="AK216:AK217" si="2919">IF(AK$8="","",AJ216)</f>
        <v/>
      </c>
      <c r="AL216" s="8" t="str">
        <f t="shared" ref="AL216:AL217" si="2920">IF(AL$8="","",AK216)</f>
        <v/>
      </c>
      <c r="AM216" s="8" t="str">
        <f t="shared" ref="AM216:AM217" si="2921">IF(AM$8="","",AL216)</f>
        <v/>
      </c>
      <c r="AN216" s="8" t="str">
        <f t="shared" ref="AN216:AN217" si="2922">IF(AN$8="","",AM216)</f>
        <v/>
      </c>
      <c r="AO216" s="8" t="str">
        <f t="shared" ref="AO216:AS216" si="2923">IF(AO$8="","",AN216)</f>
        <v/>
      </c>
      <c r="AP216" s="8" t="str">
        <f t="shared" si="2923"/>
        <v/>
      </c>
      <c r="AQ216" s="8" t="str">
        <f t="shared" si="2923"/>
        <v/>
      </c>
      <c r="AR216" s="8" t="str">
        <f t="shared" si="2923"/>
        <v/>
      </c>
      <c r="AS216" s="8" t="str">
        <f t="shared" si="2923"/>
        <v/>
      </c>
    </row>
    <row r="217" spans="1:46" s="85" customFormat="1" ht="11.25" x14ac:dyDescent="0.15">
      <c r="A217" s="14" t="s">
        <v>9</v>
      </c>
      <c r="B217" s="13" t="s">
        <v>10</v>
      </c>
      <c r="C217" s="66" t="s">
        <v>54</v>
      </c>
      <c r="D217" s="12" t="s">
        <v>54</v>
      </c>
      <c r="E217" s="12" t="s">
        <v>54</v>
      </c>
      <c r="F217" s="12" t="s">
        <v>54</v>
      </c>
      <c r="G217" s="12" t="s">
        <v>54</v>
      </c>
      <c r="H217" s="12" t="s">
        <v>54</v>
      </c>
      <c r="I217" s="12" t="s">
        <v>54</v>
      </c>
      <c r="J217" s="12" t="str">
        <f t="shared" si="2892"/>
        <v>サンリオ着ぐるみマスコット</v>
      </c>
      <c r="K217" s="12" t="str">
        <f t="shared" si="2893"/>
        <v>サンリオ着ぐるみマスコット</v>
      </c>
      <c r="L217" s="12" t="str">
        <f t="shared" si="2894"/>
        <v>サンリオ着ぐるみマスコット</v>
      </c>
      <c r="M217" s="12" t="str">
        <f t="shared" si="2895"/>
        <v/>
      </c>
      <c r="N217" s="12" t="str">
        <f t="shared" si="2896"/>
        <v/>
      </c>
      <c r="O217" s="12" t="str">
        <f t="shared" si="2897"/>
        <v/>
      </c>
      <c r="P217" s="12" t="str">
        <f t="shared" si="2898"/>
        <v/>
      </c>
      <c r="Q217" s="12" t="str">
        <f t="shared" si="2899"/>
        <v/>
      </c>
      <c r="R217" s="12" t="str">
        <f t="shared" si="2900"/>
        <v/>
      </c>
      <c r="S217" s="12" t="str">
        <f t="shared" si="2901"/>
        <v/>
      </c>
      <c r="T217" s="12" t="str">
        <f t="shared" si="2902"/>
        <v/>
      </c>
      <c r="U217" s="12" t="str">
        <f t="shared" si="2903"/>
        <v/>
      </c>
      <c r="V217" s="12" t="str">
        <f t="shared" si="2904"/>
        <v/>
      </c>
      <c r="W217" s="12" t="str">
        <f t="shared" si="2905"/>
        <v/>
      </c>
      <c r="X217" s="12" t="str">
        <f t="shared" si="2906"/>
        <v/>
      </c>
      <c r="Y217" s="12" t="str">
        <f t="shared" si="2907"/>
        <v/>
      </c>
      <c r="Z217" s="12" t="str">
        <f t="shared" si="2908"/>
        <v/>
      </c>
      <c r="AA217" s="12" t="str">
        <f t="shared" si="2909"/>
        <v/>
      </c>
      <c r="AB217" s="12" t="str">
        <f t="shared" si="2910"/>
        <v/>
      </c>
      <c r="AC217" s="12" t="str">
        <f t="shared" si="2911"/>
        <v/>
      </c>
      <c r="AD217" s="12" t="str">
        <f t="shared" si="2912"/>
        <v/>
      </c>
      <c r="AE217" s="12" t="str">
        <f t="shared" si="2913"/>
        <v/>
      </c>
      <c r="AF217" s="12" t="str">
        <f t="shared" si="2914"/>
        <v/>
      </c>
      <c r="AG217" s="12" t="str">
        <f t="shared" si="2915"/>
        <v/>
      </c>
      <c r="AH217" s="12" t="str">
        <f t="shared" si="2916"/>
        <v/>
      </c>
      <c r="AI217" s="12" t="str">
        <f t="shared" si="2917"/>
        <v/>
      </c>
      <c r="AJ217" s="12" t="str">
        <f t="shared" si="2918"/>
        <v/>
      </c>
      <c r="AK217" s="12" t="str">
        <f t="shared" si="2919"/>
        <v/>
      </c>
      <c r="AL217" s="12" t="str">
        <f t="shared" si="2920"/>
        <v/>
      </c>
      <c r="AM217" s="12" t="str">
        <f t="shared" si="2921"/>
        <v/>
      </c>
      <c r="AN217" s="12" t="str">
        <f t="shared" si="2922"/>
        <v/>
      </c>
      <c r="AO217" s="12" t="str">
        <f t="shared" ref="AO217:AS217" si="2924">IF(AO$8="","",AN217)</f>
        <v/>
      </c>
      <c r="AP217" s="12" t="str">
        <f t="shared" si="2924"/>
        <v/>
      </c>
      <c r="AQ217" s="12" t="str">
        <f t="shared" si="2924"/>
        <v/>
      </c>
      <c r="AR217" s="12" t="str">
        <f t="shared" si="2924"/>
        <v/>
      </c>
      <c r="AS217" s="12" t="str">
        <f t="shared" si="2924"/>
        <v/>
      </c>
      <c r="AT217" s="11"/>
    </row>
    <row r="218" spans="1:46" s="1" customFormat="1" ht="11.25" x14ac:dyDescent="0.15">
      <c r="A218" s="7">
        <f>AVERAGE(C219:AS219)*30*100</f>
        <v>105000</v>
      </c>
      <c r="B218" s="9" t="s">
        <v>12</v>
      </c>
      <c r="C218" s="65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</row>
    <row r="219" spans="1:46" s="1" customFormat="1" ht="11.25" x14ac:dyDescent="0.15">
      <c r="A219" s="7">
        <f>SUM(C219:AS219)</f>
        <v>350</v>
      </c>
      <c r="B219" s="6" t="s">
        <v>13</v>
      </c>
      <c r="C219" s="65">
        <v>0</v>
      </c>
      <c r="D219" s="5">
        <v>0</v>
      </c>
      <c r="E219" s="5">
        <v>113</v>
      </c>
      <c r="F219" s="5">
        <v>0</v>
      </c>
      <c r="G219" s="5">
        <v>0</v>
      </c>
      <c r="H219" s="5">
        <v>0</v>
      </c>
      <c r="I219" s="5">
        <v>150</v>
      </c>
      <c r="J219" s="5">
        <f t="shared" ref="J219:J220" si="2925">IF(J$8="","",J212-I212)</f>
        <v>0</v>
      </c>
      <c r="K219" s="5">
        <f t="shared" ref="K219:K220" si="2926">IF(K$8="","",K212-J212)</f>
        <v>0</v>
      </c>
      <c r="L219" s="5">
        <f t="shared" ref="L219:L220" si="2927">IF(L$8="","",L212-K212)</f>
        <v>87</v>
      </c>
      <c r="M219" s="5" t="str">
        <f t="shared" ref="M219:M220" si="2928">IF(M$8="","",M212-L212)</f>
        <v/>
      </c>
      <c r="N219" s="5" t="str">
        <f t="shared" ref="N219:N220" si="2929">IF(N$8="","",N212-M212)</f>
        <v/>
      </c>
      <c r="O219" s="5" t="str">
        <f t="shared" ref="O219:O220" si="2930">IF(O$8="","",O212-N212)</f>
        <v/>
      </c>
      <c r="P219" s="5" t="str">
        <f t="shared" ref="P219:P220" si="2931">IF(P$8="","",P212-O212)</f>
        <v/>
      </c>
      <c r="Q219" s="5" t="str">
        <f t="shared" ref="Q219:Q220" si="2932">IF(Q$8="","",Q212-P212)</f>
        <v/>
      </c>
      <c r="R219" s="5" t="str">
        <f t="shared" ref="R219:R220" si="2933">IF(R$8="","",R212-Q212)</f>
        <v/>
      </c>
      <c r="S219" s="5" t="str">
        <f t="shared" ref="S219:S220" si="2934">IF(S$8="","",S212-R212)</f>
        <v/>
      </c>
      <c r="T219" s="5" t="str">
        <f t="shared" ref="T219:T220" si="2935">IF(T$8="","",T212-S212)</f>
        <v/>
      </c>
      <c r="U219" s="5" t="str">
        <f t="shared" ref="U219:U220" si="2936">IF(U$8="","",U212-T212)</f>
        <v/>
      </c>
      <c r="V219" s="5" t="str">
        <f t="shared" ref="V219:V220" si="2937">IF(V$8="","",V212-U212)</f>
        <v/>
      </c>
      <c r="W219" s="5" t="str">
        <f t="shared" ref="W219:W220" si="2938">IF(W$8="","",W212-V212)</f>
        <v/>
      </c>
      <c r="X219" s="5" t="str">
        <f t="shared" ref="X219:X220" si="2939">IF(X$8="","",X212-W212)</f>
        <v/>
      </c>
      <c r="Y219" s="5" t="str">
        <f t="shared" ref="Y219:Y220" si="2940">IF(Y$8="","",Y212-X212)</f>
        <v/>
      </c>
      <c r="Z219" s="5" t="str">
        <f t="shared" ref="Z219:Z220" si="2941">IF(Z$8="","",Z212-Y212)</f>
        <v/>
      </c>
      <c r="AA219" s="5" t="str">
        <f t="shared" ref="AA219:AA220" si="2942">IF(AA$8="","",AA212-Z212)</f>
        <v/>
      </c>
      <c r="AB219" s="5" t="str">
        <f t="shared" ref="AB219:AB220" si="2943">IF(AB$8="","",AB212-AA212)</f>
        <v/>
      </c>
      <c r="AC219" s="5" t="str">
        <f t="shared" ref="AC219:AC220" si="2944">IF(AC$8="","",AC212-AB212)</f>
        <v/>
      </c>
      <c r="AD219" s="5" t="str">
        <f t="shared" ref="AD219:AD220" si="2945">IF(AD$8="","",AD212-AC212)</f>
        <v/>
      </c>
      <c r="AE219" s="5" t="str">
        <f t="shared" ref="AE219:AE220" si="2946">IF(AE$8="","",AE212-AD212)</f>
        <v/>
      </c>
      <c r="AF219" s="5" t="str">
        <f t="shared" ref="AF219:AF220" si="2947">IF(AF$8="","",AF212-AE212)</f>
        <v/>
      </c>
      <c r="AG219" s="5" t="str">
        <f t="shared" ref="AG219:AG220" si="2948">IF(AG$8="","",AG212-AF212)</f>
        <v/>
      </c>
      <c r="AH219" s="5" t="str">
        <f t="shared" ref="AH219:AH220" si="2949">IF(AH$8="","",AH212-AG212)</f>
        <v/>
      </c>
      <c r="AI219" s="5" t="str">
        <f t="shared" ref="AI219:AI220" si="2950">IF(AI$8="","",AI212-AH212)</f>
        <v/>
      </c>
      <c r="AJ219" s="5" t="str">
        <f t="shared" ref="AJ219:AJ220" si="2951">IF(AJ$8="","",AJ212-AI212)</f>
        <v/>
      </c>
      <c r="AK219" s="5" t="str">
        <f t="shared" ref="AK219:AK220" si="2952">IF(AK$8="","",AK212-AJ212)</f>
        <v/>
      </c>
      <c r="AL219" s="5" t="str">
        <f t="shared" ref="AL219:AL220" si="2953">IF(AL$8="","",AL212-AK212)</f>
        <v/>
      </c>
      <c r="AM219" s="5" t="str">
        <f t="shared" ref="AM219:AM220" si="2954">IF(AM$8="","",AM212-AL212)</f>
        <v/>
      </c>
      <c r="AN219" s="5" t="str">
        <f t="shared" ref="AN219:AN220" si="2955">IF(AN$8="","",AN212-AM212)</f>
        <v/>
      </c>
      <c r="AO219" s="5" t="str">
        <f t="shared" ref="AO219:AS219" si="2956">IF(AO$8="","",AO212-AN212)</f>
        <v/>
      </c>
      <c r="AP219" s="5" t="str">
        <f t="shared" si="2956"/>
        <v/>
      </c>
      <c r="AQ219" s="5" t="str">
        <f t="shared" si="2956"/>
        <v/>
      </c>
      <c r="AR219" s="5" t="str">
        <f t="shared" si="2956"/>
        <v/>
      </c>
      <c r="AS219" s="5" t="str">
        <f t="shared" si="2956"/>
        <v/>
      </c>
    </row>
    <row r="220" spans="1:46" s="1" customFormat="1" ht="11.25" x14ac:dyDescent="0.15">
      <c r="A220" s="7">
        <f>SUM(C220:AS220)</f>
        <v>6</v>
      </c>
      <c r="B220" s="6" t="s">
        <v>14</v>
      </c>
      <c r="C220" s="65">
        <v>0</v>
      </c>
      <c r="D220" s="5">
        <v>0</v>
      </c>
      <c r="E220" s="5">
        <v>2</v>
      </c>
      <c r="F220" s="5">
        <v>0</v>
      </c>
      <c r="G220" s="5">
        <v>0</v>
      </c>
      <c r="H220" s="5">
        <v>0</v>
      </c>
      <c r="I220" s="5">
        <v>1</v>
      </c>
      <c r="J220" s="5">
        <f t="shared" si="2925"/>
        <v>0</v>
      </c>
      <c r="K220" s="5">
        <f t="shared" si="2926"/>
        <v>0</v>
      </c>
      <c r="L220" s="5">
        <f t="shared" si="2927"/>
        <v>3</v>
      </c>
      <c r="M220" s="5" t="str">
        <f t="shared" si="2928"/>
        <v/>
      </c>
      <c r="N220" s="5" t="str">
        <f t="shared" si="2929"/>
        <v/>
      </c>
      <c r="O220" s="5" t="str">
        <f t="shared" si="2930"/>
        <v/>
      </c>
      <c r="P220" s="5" t="str">
        <f t="shared" si="2931"/>
        <v/>
      </c>
      <c r="Q220" s="5" t="str">
        <f t="shared" si="2932"/>
        <v/>
      </c>
      <c r="R220" s="5" t="str">
        <f t="shared" si="2933"/>
        <v/>
      </c>
      <c r="S220" s="5" t="str">
        <f t="shared" si="2934"/>
        <v/>
      </c>
      <c r="T220" s="5" t="str">
        <f t="shared" si="2935"/>
        <v/>
      </c>
      <c r="U220" s="5" t="str">
        <f t="shared" si="2936"/>
        <v/>
      </c>
      <c r="V220" s="5" t="str">
        <f t="shared" si="2937"/>
        <v/>
      </c>
      <c r="W220" s="5" t="str">
        <f t="shared" si="2938"/>
        <v/>
      </c>
      <c r="X220" s="5" t="str">
        <f t="shared" si="2939"/>
        <v/>
      </c>
      <c r="Y220" s="5" t="str">
        <f t="shared" si="2940"/>
        <v/>
      </c>
      <c r="Z220" s="5" t="str">
        <f t="shared" si="2941"/>
        <v/>
      </c>
      <c r="AA220" s="5" t="str">
        <f t="shared" si="2942"/>
        <v/>
      </c>
      <c r="AB220" s="5" t="str">
        <f t="shared" si="2943"/>
        <v/>
      </c>
      <c r="AC220" s="5" t="str">
        <f t="shared" si="2944"/>
        <v/>
      </c>
      <c r="AD220" s="5" t="str">
        <f t="shared" si="2945"/>
        <v/>
      </c>
      <c r="AE220" s="5" t="str">
        <f t="shared" si="2946"/>
        <v/>
      </c>
      <c r="AF220" s="5" t="str">
        <f t="shared" si="2947"/>
        <v/>
      </c>
      <c r="AG220" s="5" t="str">
        <f t="shared" si="2948"/>
        <v/>
      </c>
      <c r="AH220" s="5" t="str">
        <f t="shared" si="2949"/>
        <v/>
      </c>
      <c r="AI220" s="5" t="str">
        <f t="shared" si="2950"/>
        <v/>
      </c>
      <c r="AJ220" s="5" t="str">
        <f t="shared" si="2951"/>
        <v/>
      </c>
      <c r="AK220" s="5" t="str">
        <f t="shared" si="2952"/>
        <v/>
      </c>
      <c r="AL220" s="5" t="str">
        <f t="shared" si="2953"/>
        <v/>
      </c>
      <c r="AM220" s="5" t="str">
        <f t="shared" si="2954"/>
        <v/>
      </c>
      <c r="AN220" s="5" t="str">
        <f t="shared" si="2955"/>
        <v/>
      </c>
      <c r="AO220" s="5" t="str">
        <f t="shared" ref="AO220:AS220" si="2957">IF(AO$8="","",AO213-AN213)</f>
        <v/>
      </c>
      <c r="AP220" s="5" t="str">
        <f t="shared" si="2957"/>
        <v/>
      </c>
      <c r="AQ220" s="5" t="str">
        <f t="shared" si="2957"/>
        <v/>
      </c>
      <c r="AR220" s="5" t="str">
        <f t="shared" si="2957"/>
        <v/>
      </c>
      <c r="AS220" s="5" t="str">
        <f t="shared" si="2957"/>
        <v/>
      </c>
    </row>
    <row r="221" spans="1:46" s="1" customFormat="1" ht="11.25" x14ac:dyDescent="0.15">
      <c r="A221" s="7">
        <f>SUM(C221:AS221)</f>
        <v>6</v>
      </c>
      <c r="B221" s="6" t="s">
        <v>15</v>
      </c>
      <c r="C221" s="65">
        <v>0</v>
      </c>
      <c r="D221" s="5">
        <v>0</v>
      </c>
      <c r="E221" s="5">
        <v>2</v>
      </c>
      <c r="F221" s="5">
        <v>0</v>
      </c>
      <c r="G221" s="5">
        <v>0</v>
      </c>
      <c r="H221" s="5">
        <v>0</v>
      </c>
      <c r="I221" s="5">
        <v>1</v>
      </c>
      <c r="J221" s="5">
        <f t="shared" ref="J221" si="2958">IF(J$8="","",I214+I215-J214)</f>
        <v>0</v>
      </c>
      <c r="K221" s="5">
        <f t="shared" ref="K221" si="2959">IF(K$8="","",J214+J215-K214)</f>
        <v>0</v>
      </c>
      <c r="L221" s="5">
        <f t="shared" ref="L221" si="2960">IF(L$8="","",K214+K215-L214)</f>
        <v>3</v>
      </c>
      <c r="M221" s="5" t="str">
        <f t="shared" ref="M221" si="2961">IF(M$8="","",L214+L215-M214)</f>
        <v/>
      </c>
      <c r="N221" s="5" t="str">
        <f t="shared" ref="N221" si="2962">IF(N$8="","",M214+M215-N214)</f>
        <v/>
      </c>
      <c r="O221" s="5" t="str">
        <f t="shared" ref="O221" si="2963">IF(O$8="","",N214+N215-O214)</f>
        <v/>
      </c>
      <c r="P221" s="5" t="str">
        <f t="shared" ref="P221" si="2964">IF(P$8="","",O214+O215-P214)</f>
        <v/>
      </c>
      <c r="Q221" s="5" t="str">
        <f t="shared" ref="Q221" si="2965">IF(Q$8="","",P214+P215-Q214)</f>
        <v/>
      </c>
      <c r="R221" s="5" t="str">
        <f t="shared" ref="R221" si="2966">IF(R$8="","",Q214+Q215-R214)</f>
        <v/>
      </c>
      <c r="S221" s="5" t="str">
        <f t="shared" ref="S221" si="2967">IF(S$8="","",R214+R215-S214)</f>
        <v/>
      </c>
      <c r="T221" s="5" t="str">
        <f t="shared" ref="T221" si="2968">IF(T$8="","",S214+S215-T214)</f>
        <v/>
      </c>
      <c r="U221" s="5" t="str">
        <f t="shared" ref="U221" si="2969">IF(U$8="","",T214+T215-U214)</f>
        <v/>
      </c>
      <c r="V221" s="5" t="str">
        <f t="shared" ref="V221" si="2970">IF(V$8="","",U214+U215-V214)</f>
        <v/>
      </c>
      <c r="W221" s="5" t="str">
        <f t="shared" ref="W221" si="2971">IF(W$8="","",V214+V215-W214)</f>
        <v/>
      </c>
      <c r="X221" s="5" t="str">
        <f t="shared" ref="X221" si="2972">IF(X$8="","",W214+W215-X214)</f>
        <v/>
      </c>
      <c r="Y221" s="5" t="str">
        <f t="shared" ref="Y221" si="2973">IF(Y$8="","",X214+X215-Y214)</f>
        <v/>
      </c>
      <c r="Z221" s="5" t="str">
        <f t="shared" ref="Z221" si="2974">IF(Z$8="","",Y214+Y215-Z214)</f>
        <v/>
      </c>
      <c r="AA221" s="5" t="str">
        <f t="shared" ref="AA221" si="2975">IF(AA$8="","",Z214+Z215-AA214)</f>
        <v/>
      </c>
      <c r="AB221" s="5" t="str">
        <f t="shared" ref="AB221" si="2976">IF(AB$8="","",AA214+AA215-AB214)</f>
        <v/>
      </c>
      <c r="AC221" s="5" t="str">
        <f t="shared" ref="AC221" si="2977">IF(AC$8="","",AB214+AB215-AC214)</f>
        <v/>
      </c>
      <c r="AD221" s="5" t="str">
        <f t="shared" ref="AD221" si="2978">IF(AD$8="","",AC214+AC215-AD214)</f>
        <v/>
      </c>
      <c r="AE221" s="5" t="str">
        <f t="shared" ref="AE221" si="2979">IF(AE$8="","",AD214+AD215-AE214)</f>
        <v/>
      </c>
      <c r="AF221" s="5" t="str">
        <f t="shared" ref="AF221" si="2980">IF(AF$8="","",AE214+AE215-AF214)</f>
        <v/>
      </c>
      <c r="AG221" s="5" t="str">
        <f t="shared" ref="AG221" si="2981">IF(AG$8="","",AF214+AF215-AG214)</f>
        <v/>
      </c>
      <c r="AH221" s="5" t="str">
        <f t="shared" ref="AH221" si="2982">IF(AH$8="","",AG214+AG215-AH214)</f>
        <v/>
      </c>
      <c r="AI221" s="5" t="str">
        <f t="shared" ref="AI221" si="2983">IF(AI$8="","",AH214+AH215-AI214)</f>
        <v/>
      </c>
      <c r="AJ221" s="5" t="str">
        <f t="shared" ref="AJ221" si="2984">IF(AJ$8="","",AI214+AI215-AJ214)</f>
        <v/>
      </c>
      <c r="AK221" s="5" t="str">
        <f t="shared" ref="AK221" si="2985">IF(AK$8="","",AJ214+AJ215-AK214)</f>
        <v/>
      </c>
      <c r="AL221" s="5" t="str">
        <f t="shared" ref="AL221" si="2986">IF(AL$8="","",AK214+AK215-AL214)</f>
        <v/>
      </c>
      <c r="AM221" s="5" t="str">
        <f t="shared" ref="AM221" si="2987">IF(AM$8="","",AL214+AL215-AM214)</f>
        <v/>
      </c>
      <c r="AN221" s="5" t="str">
        <f t="shared" ref="AN221" si="2988">IF(AN$8="","",AM214+AM215-AN214)</f>
        <v/>
      </c>
      <c r="AO221" s="5" t="str">
        <f t="shared" ref="AO221:AS221" si="2989">IF(AO$8="","",AN214+AN215-AO214)</f>
        <v/>
      </c>
      <c r="AP221" s="5" t="str">
        <f t="shared" si="2989"/>
        <v/>
      </c>
      <c r="AQ221" s="5" t="str">
        <f t="shared" si="2989"/>
        <v/>
      </c>
      <c r="AR221" s="5" t="str">
        <f t="shared" si="2989"/>
        <v/>
      </c>
      <c r="AS221" s="5" t="str">
        <f t="shared" si="2989"/>
        <v/>
      </c>
    </row>
    <row r="222" spans="1:46" s="1" customFormat="1" ht="11.25" x14ac:dyDescent="0.15">
      <c r="A222" s="7">
        <f>SUM(C222:AS222)</f>
        <v>9000</v>
      </c>
      <c r="B222" s="6" t="s">
        <v>16</v>
      </c>
      <c r="C222" s="65">
        <v>0</v>
      </c>
      <c r="D222" s="5">
        <v>0</v>
      </c>
      <c r="E222" s="5">
        <v>3000</v>
      </c>
      <c r="F222" s="5">
        <v>0</v>
      </c>
      <c r="G222" s="5">
        <v>0</v>
      </c>
      <c r="H222" s="5">
        <v>0</v>
      </c>
      <c r="I222" s="5">
        <v>1500</v>
      </c>
      <c r="J222" s="5">
        <f t="shared" ref="D222:AN222" si="2990">IF(J$8="","",J221*J216)</f>
        <v>0</v>
      </c>
      <c r="K222" s="5">
        <f t="shared" si="2990"/>
        <v>0</v>
      </c>
      <c r="L222" s="5">
        <f t="shared" si="2990"/>
        <v>4500</v>
      </c>
      <c r="M222" s="5" t="str">
        <f t="shared" si="2990"/>
        <v/>
      </c>
      <c r="N222" s="5" t="str">
        <f t="shared" si="2990"/>
        <v/>
      </c>
      <c r="O222" s="5" t="str">
        <f t="shared" si="2990"/>
        <v/>
      </c>
      <c r="P222" s="5" t="str">
        <f t="shared" si="2990"/>
        <v/>
      </c>
      <c r="Q222" s="5" t="str">
        <f t="shared" si="2990"/>
        <v/>
      </c>
      <c r="R222" s="5" t="str">
        <f t="shared" si="2990"/>
        <v/>
      </c>
      <c r="S222" s="5" t="str">
        <f t="shared" si="2990"/>
        <v/>
      </c>
      <c r="T222" s="5" t="str">
        <f t="shared" si="2990"/>
        <v/>
      </c>
      <c r="U222" s="5" t="str">
        <f t="shared" si="2990"/>
        <v/>
      </c>
      <c r="V222" s="5" t="str">
        <f t="shared" si="2990"/>
        <v/>
      </c>
      <c r="W222" s="5" t="str">
        <f t="shared" si="2990"/>
        <v/>
      </c>
      <c r="X222" s="5" t="str">
        <f t="shared" si="2990"/>
        <v/>
      </c>
      <c r="Y222" s="5" t="str">
        <f t="shared" si="2990"/>
        <v/>
      </c>
      <c r="Z222" s="5" t="str">
        <f t="shared" si="2990"/>
        <v/>
      </c>
      <c r="AA222" s="5" t="str">
        <f t="shared" si="2990"/>
        <v/>
      </c>
      <c r="AB222" s="5" t="str">
        <f t="shared" si="2990"/>
        <v/>
      </c>
      <c r="AC222" s="5" t="str">
        <f t="shared" si="2990"/>
        <v/>
      </c>
      <c r="AD222" s="5" t="str">
        <f t="shared" si="2990"/>
        <v/>
      </c>
      <c r="AE222" s="5" t="str">
        <f t="shared" si="2990"/>
        <v/>
      </c>
      <c r="AF222" s="5" t="str">
        <f t="shared" si="2990"/>
        <v/>
      </c>
      <c r="AG222" s="5" t="str">
        <f t="shared" si="2990"/>
        <v/>
      </c>
      <c r="AH222" s="5" t="str">
        <f t="shared" si="2990"/>
        <v/>
      </c>
      <c r="AI222" s="5" t="str">
        <f t="shared" si="2990"/>
        <v/>
      </c>
      <c r="AJ222" s="5" t="str">
        <f t="shared" si="2990"/>
        <v/>
      </c>
      <c r="AK222" s="5" t="str">
        <f t="shared" si="2990"/>
        <v/>
      </c>
      <c r="AL222" s="5" t="str">
        <f t="shared" si="2990"/>
        <v/>
      </c>
      <c r="AM222" s="5" t="str">
        <f t="shared" si="2990"/>
        <v/>
      </c>
      <c r="AN222" s="5" t="str">
        <f t="shared" si="2990"/>
        <v/>
      </c>
      <c r="AO222" s="5" t="str">
        <f t="shared" ref="AO222:AS222" si="2991">IF(AO$8="","",AO221*AO216)</f>
        <v/>
      </c>
      <c r="AP222" s="5" t="str">
        <f t="shared" si="2991"/>
        <v/>
      </c>
      <c r="AQ222" s="5" t="str">
        <f t="shared" si="2991"/>
        <v/>
      </c>
      <c r="AR222" s="5" t="str">
        <f t="shared" si="2991"/>
        <v/>
      </c>
      <c r="AS222" s="5" t="str">
        <f t="shared" si="2991"/>
        <v/>
      </c>
    </row>
    <row r="223" spans="1:46" s="1" customFormat="1" ht="12" thickBot="1" x14ac:dyDescent="0.2">
      <c r="A223" s="4">
        <f>IF(A222="","",A222/(A219*100))</f>
        <v>0.25714285714285712</v>
      </c>
      <c r="B223" s="3" t="s">
        <v>18</v>
      </c>
      <c r="C223" s="68" t="s">
        <v>19</v>
      </c>
      <c r="D223" s="2" t="s">
        <v>19</v>
      </c>
      <c r="E223" s="2">
        <v>0.26548672566371684</v>
      </c>
      <c r="F223" s="2" t="s">
        <v>19</v>
      </c>
      <c r="G223" s="2" t="s">
        <v>19</v>
      </c>
      <c r="H223" s="2" t="s">
        <v>19</v>
      </c>
      <c r="I223" s="2">
        <v>0.1</v>
      </c>
      <c r="J223" s="2" t="str">
        <f t="shared" ref="D223:AN223" si="2992">IF(J$8="","",IF(J222=0,"",J222/(J219*100)))</f>
        <v/>
      </c>
      <c r="K223" s="2" t="str">
        <f t="shared" si="2992"/>
        <v/>
      </c>
      <c r="L223" s="2">
        <f t="shared" si="2992"/>
        <v>0.51724137931034486</v>
      </c>
      <c r="M223" s="2" t="str">
        <f t="shared" si="2992"/>
        <v/>
      </c>
      <c r="N223" s="2" t="str">
        <f t="shared" si="2992"/>
        <v/>
      </c>
      <c r="O223" s="2" t="str">
        <f t="shared" si="2992"/>
        <v/>
      </c>
      <c r="P223" s="2" t="str">
        <f t="shared" si="2992"/>
        <v/>
      </c>
      <c r="Q223" s="2" t="str">
        <f t="shared" si="2992"/>
        <v/>
      </c>
      <c r="R223" s="2" t="str">
        <f t="shared" si="2992"/>
        <v/>
      </c>
      <c r="S223" s="2" t="str">
        <f t="shared" si="2992"/>
        <v/>
      </c>
      <c r="T223" s="2" t="str">
        <f t="shared" si="2992"/>
        <v/>
      </c>
      <c r="U223" s="2" t="str">
        <f t="shared" si="2992"/>
        <v/>
      </c>
      <c r="V223" s="2" t="str">
        <f t="shared" si="2992"/>
        <v/>
      </c>
      <c r="W223" s="2" t="str">
        <f t="shared" si="2992"/>
        <v/>
      </c>
      <c r="X223" s="2" t="str">
        <f t="shared" si="2992"/>
        <v/>
      </c>
      <c r="Y223" s="2" t="str">
        <f t="shared" si="2992"/>
        <v/>
      </c>
      <c r="Z223" s="2" t="str">
        <f t="shared" si="2992"/>
        <v/>
      </c>
      <c r="AA223" s="2" t="str">
        <f t="shared" si="2992"/>
        <v/>
      </c>
      <c r="AB223" s="2" t="str">
        <f t="shared" si="2992"/>
        <v/>
      </c>
      <c r="AC223" s="2" t="str">
        <f t="shared" si="2992"/>
        <v/>
      </c>
      <c r="AD223" s="2" t="str">
        <f t="shared" si="2992"/>
        <v/>
      </c>
      <c r="AE223" s="2" t="str">
        <f t="shared" si="2992"/>
        <v/>
      </c>
      <c r="AF223" s="2" t="str">
        <f t="shared" si="2992"/>
        <v/>
      </c>
      <c r="AG223" s="2" t="str">
        <f t="shared" si="2992"/>
        <v/>
      </c>
      <c r="AH223" s="2" t="str">
        <f t="shared" si="2992"/>
        <v/>
      </c>
      <c r="AI223" s="2" t="str">
        <f t="shared" si="2992"/>
        <v/>
      </c>
      <c r="AJ223" s="2" t="str">
        <f t="shared" si="2992"/>
        <v/>
      </c>
      <c r="AK223" s="2" t="str">
        <f t="shared" si="2992"/>
        <v/>
      </c>
      <c r="AL223" s="2" t="str">
        <f t="shared" si="2992"/>
        <v/>
      </c>
      <c r="AM223" s="2" t="str">
        <f t="shared" si="2992"/>
        <v/>
      </c>
      <c r="AN223" s="2" t="str">
        <f t="shared" si="2992"/>
        <v/>
      </c>
      <c r="AO223" s="2" t="str">
        <f t="shared" ref="AO223:AS223" si="2993">IF(AO$8="","",IF(AO222=0,"",AO222/(AO219*100)))</f>
        <v/>
      </c>
      <c r="AP223" s="2" t="str">
        <f t="shared" si="2993"/>
        <v/>
      </c>
      <c r="AQ223" s="2" t="str">
        <f t="shared" si="2993"/>
        <v/>
      </c>
      <c r="AR223" s="2" t="str">
        <f t="shared" si="2993"/>
        <v/>
      </c>
      <c r="AS223" s="2" t="str">
        <f t="shared" si="2993"/>
        <v/>
      </c>
    </row>
    <row r="224" spans="1:46" s="1" customFormat="1" ht="11.25" x14ac:dyDescent="0.15">
      <c r="A224" s="89" t="s">
        <v>46</v>
      </c>
      <c r="B224" s="90" t="s">
        <v>2</v>
      </c>
      <c r="C224" s="100">
        <v>11886</v>
      </c>
      <c r="D224" s="91">
        <v>11886</v>
      </c>
      <c r="E224" s="91">
        <v>11981</v>
      </c>
      <c r="F224" s="91">
        <v>11981</v>
      </c>
      <c r="G224" s="91">
        <v>11981</v>
      </c>
      <c r="H224" s="91">
        <v>11981</v>
      </c>
      <c r="I224" s="91">
        <v>12069</v>
      </c>
      <c r="J224" s="91">
        <f t="shared" ref="J224:J225" si="2994">IF(J$8="","",I224)</f>
        <v>12069</v>
      </c>
      <c r="K224" s="91">
        <f t="shared" ref="K224:K225" si="2995">IF(K$8="","",J224)</f>
        <v>12069</v>
      </c>
      <c r="L224" s="91">
        <v>12177</v>
      </c>
      <c r="M224" s="91" t="str">
        <f t="shared" ref="M224:M225" si="2996">IF(M$8="","",L224)</f>
        <v/>
      </c>
      <c r="N224" s="91" t="str">
        <f t="shared" ref="N224:N225" si="2997">IF(N$8="","",M224)</f>
        <v/>
      </c>
      <c r="O224" s="91" t="str">
        <f t="shared" ref="O224:O225" si="2998">IF(O$8="","",N224)</f>
        <v/>
      </c>
      <c r="P224" s="91" t="str">
        <f>IF(P$8="","",O224)</f>
        <v/>
      </c>
      <c r="Q224" s="91" t="str">
        <f t="shared" ref="Q224:Q225" si="2999">IF(Q$8="","",P224)</f>
        <v/>
      </c>
      <c r="R224" s="91" t="str">
        <f t="shared" ref="R224:R225" si="3000">IF(R$8="","",Q224)</f>
        <v/>
      </c>
      <c r="S224" s="91" t="str">
        <f>IF(S$8="","",R224)</f>
        <v/>
      </c>
      <c r="T224" s="91" t="str">
        <f t="shared" ref="T224:T225" si="3001">IF(T$8="","",S224)</f>
        <v/>
      </c>
      <c r="U224" s="91" t="str">
        <f t="shared" ref="U224:U225" si="3002">IF(U$8="","",T224)</f>
        <v/>
      </c>
      <c r="V224" s="91" t="str">
        <f t="shared" ref="V224:V225" si="3003">IF(V$8="","",U224)</f>
        <v/>
      </c>
      <c r="W224" s="91" t="str">
        <f>IF(W$8="","",V224)</f>
        <v/>
      </c>
      <c r="X224" s="91" t="str">
        <f t="shared" ref="X224:X225" si="3004">IF(X$8="","",W224)</f>
        <v/>
      </c>
      <c r="Y224" s="91" t="str">
        <f t="shared" ref="Y224:Y225" si="3005">IF(Y$8="","",X224)</f>
        <v/>
      </c>
      <c r="Z224" s="91" t="str">
        <f>IF(Z$8="","",Y224)</f>
        <v/>
      </c>
      <c r="AA224" s="91" t="str">
        <f t="shared" ref="AA224:AA225" si="3006">IF(AA$8="","",Z224)</f>
        <v/>
      </c>
      <c r="AB224" s="91" t="str">
        <f t="shared" ref="AB224:AB225" si="3007">IF(AB$8="","",AA224)</f>
        <v/>
      </c>
      <c r="AC224" s="91" t="str">
        <f t="shared" ref="AC224:AC225" si="3008">IF(AC$8="","",AB224)</f>
        <v/>
      </c>
      <c r="AD224" s="91" t="str">
        <f>IF(AD$8="","",AC224)</f>
        <v/>
      </c>
      <c r="AE224" s="91" t="str">
        <f t="shared" ref="AE224:AE225" si="3009">IF(AE$8="","",AD224)</f>
        <v/>
      </c>
      <c r="AF224" s="91" t="str">
        <f t="shared" ref="AF224:AF225" si="3010">IF(AF$8="","",AE224)</f>
        <v/>
      </c>
      <c r="AG224" s="91" t="str">
        <f>IF(AG$8="","",AF224)</f>
        <v/>
      </c>
      <c r="AH224" s="91" t="str">
        <f t="shared" ref="AH224:AH225" si="3011">IF(AH$8="","",AG224)</f>
        <v/>
      </c>
      <c r="AI224" s="91" t="str">
        <f t="shared" ref="AI224:AI225" si="3012">IF(AI$8="","",AH224)</f>
        <v/>
      </c>
      <c r="AJ224" s="91" t="str">
        <f t="shared" ref="AJ224:AJ225" si="3013">IF(AJ$8="","",AI224)</f>
        <v/>
      </c>
      <c r="AK224" s="91" t="str">
        <f>IF(AK$8="","",AJ224)</f>
        <v/>
      </c>
      <c r="AL224" s="91" t="str">
        <f t="shared" ref="AL224:AL225" si="3014">IF(AL$8="","",AK224)</f>
        <v/>
      </c>
      <c r="AM224" s="91" t="str">
        <f t="shared" ref="AM224:AM225" si="3015">IF(AM$8="","",AL224)</f>
        <v/>
      </c>
      <c r="AN224" s="91" t="str">
        <f t="shared" ref="AN224:AN225" si="3016">IF(AN$8="","",AM224)</f>
        <v/>
      </c>
      <c r="AO224" s="91" t="str">
        <f t="shared" ref="AO224:AS224" si="3017">IF(AO$8="","",AN224)</f>
        <v/>
      </c>
      <c r="AP224" s="91" t="str">
        <f t="shared" si="3017"/>
        <v/>
      </c>
      <c r="AQ224" s="91" t="str">
        <f t="shared" si="3017"/>
        <v/>
      </c>
      <c r="AR224" s="91" t="str">
        <f t="shared" si="3017"/>
        <v/>
      </c>
      <c r="AS224" s="91" t="str">
        <f t="shared" si="3017"/>
        <v/>
      </c>
    </row>
    <row r="225" spans="1:46" s="1" customFormat="1" ht="11.25" x14ac:dyDescent="0.15">
      <c r="A225" s="16" t="s">
        <v>55</v>
      </c>
      <c r="B225" s="9" t="s">
        <v>4</v>
      </c>
      <c r="C225" s="65">
        <v>443</v>
      </c>
      <c r="D225" s="8">
        <v>443</v>
      </c>
      <c r="E225" s="8">
        <v>444</v>
      </c>
      <c r="F225" s="8">
        <v>444</v>
      </c>
      <c r="G225" s="8">
        <v>444</v>
      </c>
      <c r="H225" s="8">
        <v>444</v>
      </c>
      <c r="I225" s="8">
        <v>445</v>
      </c>
      <c r="J225" s="8">
        <f t="shared" si="2994"/>
        <v>445</v>
      </c>
      <c r="K225" s="8">
        <f t="shared" si="2995"/>
        <v>445</v>
      </c>
      <c r="L225" s="8">
        <f t="shared" ref="L225" si="3018">IF(L$8="","",K225)</f>
        <v>445</v>
      </c>
      <c r="M225" s="8" t="str">
        <f t="shared" si="2996"/>
        <v/>
      </c>
      <c r="N225" s="8" t="str">
        <f t="shared" si="2997"/>
        <v/>
      </c>
      <c r="O225" s="8" t="str">
        <f t="shared" si="2998"/>
        <v/>
      </c>
      <c r="P225" s="8" t="str">
        <f>IF(P$8="","",O225)</f>
        <v/>
      </c>
      <c r="Q225" s="8" t="str">
        <f t="shared" si="2999"/>
        <v/>
      </c>
      <c r="R225" s="8" t="str">
        <f t="shared" si="3000"/>
        <v/>
      </c>
      <c r="S225" s="8" t="str">
        <f>IF(S$8="","",R225)</f>
        <v/>
      </c>
      <c r="T225" s="8" t="str">
        <f t="shared" si="3001"/>
        <v/>
      </c>
      <c r="U225" s="8" t="str">
        <f t="shared" si="3002"/>
        <v/>
      </c>
      <c r="V225" s="8" t="str">
        <f t="shared" si="3003"/>
        <v/>
      </c>
      <c r="W225" s="8" t="str">
        <f>IF(W$8="","",V225)</f>
        <v/>
      </c>
      <c r="X225" s="8" t="str">
        <f t="shared" si="3004"/>
        <v/>
      </c>
      <c r="Y225" s="8" t="str">
        <f t="shared" si="3005"/>
        <v/>
      </c>
      <c r="Z225" s="8" t="str">
        <f>IF(Z$8="","",Y225)</f>
        <v/>
      </c>
      <c r="AA225" s="8" t="str">
        <f t="shared" si="3006"/>
        <v/>
      </c>
      <c r="AB225" s="8" t="str">
        <f t="shared" si="3007"/>
        <v/>
      </c>
      <c r="AC225" s="8" t="str">
        <f t="shared" si="3008"/>
        <v/>
      </c>
      <c r="AD225" s="8" t="str">
        <f>IF(AD$8="","",AC225)</f>
        <v/>
      </c>
      <c r="AE225" s="8" t="str">
        <f t="shared" si="3009"/>
        <v/>
      </c>
      <c r="AF225" s="8" t="str">
        <f t="shared" si="3010"/>
        <v/>
      </c>
      <c r="AG225" s="8" t="str">
        <f>IF(AG$8="","",AF225)</f>
        <v/>
      </c>
      <c r="AH225" s="8" t="str">
        <f t="shared" si="3011"/>
        <v/>
      </c>
      <c r="AI225" s="8" t="str">
        <f t="shared" si="3012"/>
        <v/>
      </c>
      <c r="AJ225" s="8" t="str">
        <f t="shared" si="3013"/>
        <v/>
      </c>
      <c r="AK225" s="8" t="str">
        <f>IF(AK$8="","",AJ225)</f>
        <v/>
      </c>
      <c r="AL225" s="8" t="str">
        <f t="shared" si="3014"/>
        <v/>
      </c>
      <c r="AM225" s="8" t="str">
        <f t="shared" si="3015"/>
        <v/>
      </c>
      <c r="AN225" s="8" t="str">
        <f t="shared" si="3016"/>
        <v/>
      </c>
      <c r="AO225" s="8" t="str">
        <f t="shared" ref="AO225:AS225" si="3019">IF(AO$8="","",AN225)</f>
        <v/>
      </c>
      <c r="AP225" s="8" t="str">
        <f t="shared" si="3019"/>
        <v/>
      </c>
      <c r="AQ225" s="8" t="str">
        <f t="shared" si="3019"/>
        <v/>
      </c>
      <c r="AR225" s="8" t="str">
        <f t="shared" si="3019"/>
        <v/>
      </c>
      <c r="AS225" s="8" t="str">
        <f t="shared" si="3019"/>
        <v/>
      </c>
    </row>
    <row r="226" spans="1:46" s="1" customFormat="1" ht="11.25" x14ac:dyDescent="0.15">
      <c r="A226" s="15">
        <v>3</v>
      </c>
      <c r="B226" s="9" t="s">
        <v>5</v>
      </c>
      <c r="C226" s="65">
        <v>6</v>
      </c>
      <c r="D226" s="8">
        <v>6</v>
      </c>
      <c r="E226" s="8">
        <v>2</v>
      </c>
      <c r="F226" s="8">
        <v>6</v>
      </c>
      <c r="G226" s="8">
        <v>6</v>
      </c>
      <c r="H226" s="8">
        <v>6</v>
      </c>
      <c r="I226" s="8">
        <v>3</v>
      </c>
      <c r="J226" s="8">
        <f t="shared" ref="J226" si="3020">IF(J$8="","",(I226+I227))</f>
        <v>7</v>
      </c>
      <c r="K226" s="8">
        <f t="shared" ref="K226" si="3021">IF(K$8="","",(J226+J227))</f>
        <v>7</v>
      </c>
      <c r="L226" s="8">
        <f t="shared" ref="L226" si="3022">IF(L$8="","",(K226+K227))</f>
        <v>7</v>
      </c>
      <c r="M226" s="8" t="str">
        <f t="shared" ref="M226" si="3023">IF(M$8="","",(L226+L227))</f>
        <v/>
      </c>
      <c r="N226" s="8" t="str">
        <f t="shared" ref="N226" si="3024">IF(N$8="","",(M226+M227))</f>
        <v/>
      </c>
      <c r="O226" s="8" t="str">
        <f t="shared" ref="O226" si="3025">IF(O$8="","",(N226+N227))</f>
        <v/>
      </c>
      <c r="P226" s="8" t="str">
        <f>IF(P$8="","",(O226+O227))</f>
        <v/>
      </c>
      <c r="Q226" s="8" t="str">
        <f t="shared" ref="Q226" si="3026">IF(Q$8="","",(P226+P227))</f>
        <v/>
      </c>
      <c r="R226" s="8" t="str">
        <f t="shared" ref="R226" si="3027">IF(R$8="","",(Q226+Q227))</f>
        <v/>
      </c>
      <c r="S226" s="8" t="str">
        <f>IF(S$8="","",(R226+R227))</f>
        <v/>
      </c>
      <c r="T226" s="8" t="str">
        <f t="shared" ref="T226" si="3028">IF(T$8="","",(S226+S227))</f>
        <v/>
      </c>
      <c r="U226" s="8" t="str">
        <f t="shared" ref="U226" si="3029">IF(U$8="","",(T226+T227))</f>
        <v/>
      </c>
      <c r="V226" s="8" t="str">
        <f t="shared" ref="V226" si="3030">IF(V$8="","",(U226+U227))</f>
        <v/>
      </c>
      <c r="W226" s="8" t="str">
        <f>IF(W$8="","",(V226+V227))</f>
        <v/>
      </c>
      <c r="X226" s="8" t="str">
        <f t="shared" ref="X226" si="3031">IF(X$8="","",(W226+W227))</f>
        <v/>
      </c>
      <c r="Y226" s="8" t="str">
        <f t="shared" ref="Y226" si="3032">IF(Y$8="","",(X226+X227))</f>
        <v/>
      </c>
      <c r="Z226" s="8" t="str">
        <f>IF(Z$8="","",(Y226+Y227))</f>
        <v/>
      </c>
      <c r="AA226" s="8" t="str">
        <f t="shared" ref="AA226" si="3033">IF(AA$8="","",(Z226+Z227))</f>
        <v/>
      </c>
      <c r="AB226" s="8" t="str">
        <f t="shared" ref="AB226" si="3034">IF(AB$8="","",(AA226+AA227))</f>
        <v/>
      </c>
      <c r="AC226" s="8" t="str">
        <f t="shared" ref="AC226" si="3035">IF(AC$8="","",(AB226+AB227))</f>
        <v/>
      </c>
      <c r="AD226" s="8" t="str">
        <f>IF(AD$8="","",(AC226+AC227))</f>
        <v/>
      </c>
      <c r="AE226" s="8" t="str">
        <f t="shared" ref="AE226" si="3036">IF(AE$8="","",(AD226+AD227))</f>
        <v/>
      </c>
      <c r="AF226" s="8" t="str">
        <f t="shared" ref="AF226" si="3037">IF(AF$8="","",(AE226+AE227))</f>
        <v/>
      </c>
      <c r="AG226" s="8" t="str">
        <f>IF(AG$8="","",(AF226+AF227))</f>
        <v/>
      </c>
      <c r="AH226" s="8" t="str">
        <f t="shared" ref="AH226" si="3038">IF(AH$8="","",(AG226+AG227))</f>
        <v/>
      </c>
      <c r="AI226" s="8" t="str">
        <f t="shared" ref="AI226" si="3039">IF(AI$8="","",(AH226+AH227))</f>
        <v/>
      </c>
      <c r="AJ226" s="8" t="str">
        <f t="shared" ref="AJ226" si="3040">IF(AJ$8="","",(AI226+AI227))</f>
        <v/>
      </c>
      <c r="AK226" s="8" t="str">
        <f>IF(AK$8="","",(AJ226+AJ227))</f>
        <v/>
      </c>
      <c r="AL226" s="8" t="str">
        <f t="shared" ref="AL226" si="3041">IF(AL$8="","",(AK226+AK227))</f>
        <v/>
      </c>
      <c r="AM226" s="8" t="str">
        <f t="shared" ref="AM226" si="3042">IF(AM$8="","",(AL226+AL227))</f>
        <v/>
      </c>
      <c r="AN226" s="8" t="str">
        <f t="shared" ref="AN226" si="3043">IF(AN$8="","",(AM226+AM227))</f>
        <v/>
      </c>
      <c r="AO226" s="8" t="str">
        <f t="shared" ref="AO226:AS226" si="3044">IF(AO$8="","",(AN226+AN227))</f>
        <v/>
      </c>
      <c r="AP226" s="8" t="str">
        <f t="shared" si="3044"/>
        <v/>
      </c>
      <c r="AQ226" s="8" t="str">
        <f t="shared" si="3044"/>
        <v/>
      </c>
      <c r="AR226" s="8" t="str">
        <f t="shared" si="3044"/>
        <v/>
      </c>
      <c r="AS226" s="8" t="str">
        <f t="shared" si="3044"/>
        <v/>
      </c>
    </row>
    <row r="227" spans="1:46" s="1" customFormat="1" ht="11.25" x14ac:dyDescent="0.15">
      <c r="A227" s="14"/>
      <c r="B227" s="9" t="s">
        <v>7</v>
      </c>
      <c r="C227" s="65"/>
      <c r="D227" s="8"/>
      <c r="E227" s="8">
        <v>4</v>
      </c>
      <c r="F227" s="8"/>
      <c r="G227" s="8"/>
      <c r="H227" s="8"/>
      <c r="I227" s="8">
        <v>4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</row>
    <row r="228" spans="1:46" s="1" customFormat="1" ht="11.25" x14ac:dyDescent="0.15">
      <c r="A228" s="7"/>
      <c r="B228" s="9" t="s">
        <v>8</v>
      </c>
      <c r="C228" s="65">
        <v>750</v>
      </c>
      <c r="D228" s="8">
        <v>750</v>
      </c>
      <c r="E228" s="8">
        <v>750</v>
      </c>
      <c r="F228" s="8">
        <v>750</v>
      </c>
      <c r="G228" s="8">
        <v>750</v>
      </c>
      <c r="H228" s="8">
        <v>750</v>
      </c>
      <c r="I228" s="8">
        <v>750</v>
      </c>
      <c r="J228" s="8">
        <f t="shared" ref="J228:J229" si="3045">IF(J$8="","",I228)</f>
        <v>750</v>
      </c>
      <c r="K228" s="8">
        <f t="shared" ref="K228:K229" si="3046">IF(K$8="","",J228)</f>
        <v>750</v>
      </c>
      <c r="L228" s="8">
        <f t="shared" ref="L228:L229" si="3047">IF(L$8="","",K228)</f>
        <v>750</v>
      </c>
      <c r="M228" s="8" t="str">
        <f t="shared" ref="M228:M229" si="3048">IF(M$8="","",L228)</f>
        <v/>
      </c>
      <c r="N228" s="8" t="str">
        <f t="shared" ref="N228:N229" si="3049">IF(N$8="","",M228)</f>
        <v/>
      </c>
      <c r="O228" s="8" t="str">
        <f t="shared" ref="O228:O229" si="3050">IF(O$8="","",N228)</f>
        <v/>
      </c>
      <c r="P228" s="8" t="str">
        <f t="shared" ref="P228:P229" si="3051">IF(P$8="","",O228)</f>
        <v/>
      </c>
      <c r="Q228" s="8" t="str">
        <f t="shared" ref="Q228:Q229" si="3052">IF(Q$8="","",P228)</f>
        <v/>
      </c>
      <c r="R228" s="8" t="str">
        <f t="shared" ref="R228:R229" si="3053">IF(R$8="","",Q228)</f>
        <v/>
      </c>
      <c r="S228" s="8" t="str">
        <f t="shared" ref="S228:S229" si="3054">IF(S$8="","",R228)</f>
        <v/>
      </c>
      <c r="T228" s="8" t="str">
        <f t="shared" ref="T228:T229" si="3055">IF(T$8="","",S228)</f>
        <v/>
      </c>
      <c r="U228" s="8" t="str">
        <f t="shared" ref="U228:U229" si="3056">IF(U$8="","",T228)</f>
        <v/>
      </c>
      <c r="V228" s="8" t="str">
        <f t="shared" ref="V228:V229" si="3057">IF(V$8="","",U228)</f>
        <v/>
      </c>
      <c r="W228" s="8" t="str">
        <f t="shared" ref="W228:W229" si="3058">IF(W$8="","",V228)</f>
        <v/>
      </c>
      <c r="X228" s="8" t="str">
        <f t="shared" ref="X228:X229" si="3059">IF(X$8="","",W228)</f>
        <v/>
      </c>
      <c r="Y228" s="8" t="str">
        <f t="shared" ref="Y228:Y229" si="3060">IF(Y$8="","",X228)</f>
        <v/>
      </c>
      <c r="Z228" s="8" t="str">
        <f t="shared" ref="Z228:Z229" si="3061">IF(Z$8="","",Y228)</f>
        <v/>
      </c>
      <c r="AA228" s="8" t="str">
        <f t="shared" ref="AA228:AA229" si="3062">IF(AA$8="","",Z228)</f>
        <v/>
      </c>
      <c r="AB228" s="8" t="str">
        <f t="shared" ref="AB228:AB229" si="3063">IF(AB$8="","",AA228)</f>
        <v/>
      </c>
      <c r="AC228" s="8" t="str">
        <f t="shared" ref="AC228:AC229" si="3064">IF(AC$8="","",AB228)</f>
        <v/>
      </c>
      <c r="AD228" s="8" t="str">
        <f t="shared" ref="AD228:AD229" si="3065">IF(AD$8="","",AC228)</f>
        <v/>
      </c>
      <c r="AE228" s="8" t="str">
        <f t="shared" ref="AE228:AE229" si="3066">IF(AE$8="","",AD228)</f>
        <v/>
      </c>
      <c r="AF228" s="8" t="str">
        <f t="shared" ref="AF228:AF229" si="3067">IF(AF$8="","",AE228)</f>
        <v/>
      </c>
      <c r="AG228" s="8" t="str">
        <f t="shared" ref="AG228:AG229" si="3068">IF(AG$8="","",AF228)</f>
        <v/>
      </c>
      <c r="AH228" s="8" t="str">
        <f t="shared" ref="AH228:AH229" si="3069">IF(AH$8="","",AG228)</f>
        <v/>
      </c>
      <c r="AI228" s="8" t="str">
        <f t="shared" ref="AI228:AI229" si="3070">IF(AI$8="","",AH228)</f>
        <v/>
      </c>
      <c r="AJ228" s="8" t="str">
        <f t="shared" ref="AJ228:AJ229" si="3071">IF(AJ$8="","",AI228)</f>
        <v/>
      </c>
      <c r="AK228" s="8" t="str">
        <f t="shared" ref="AK228:AK229" si="3072">IF(AK$8="","",AJ228)</f>
        <v/>
      </c>
      <c r="AL228" s="8" t="str">
        <f t="shared" ref="AL228:AL229" si="3073">IF(AL$8="","",AK228)</f>
        <v/>
      </c>
      <c r="AM228" s="8" t="str">
        <f t="shared" ref="AM228:AM229" si="3074">IF(AM$8="","",AL228)</f>
        <v/>
      </c>
      <c r="AN228" s="8" t="str">
        <f t="shared" ref="AN228:AN229" si="3075">IF(AN$8="","",AM228)</f>
        <v/>
      </c>
      <c r="AO228" s="8" t="str">
        <f t="shared" ref="AO228:AS228" si="3076">IF(AO$8="","",AN228)</f>
        <v/>
      </c>
      <c r="AP228" s="8" t="str">
        <f t="shared" si="3076"/>
        <v/>
      </c>
      <c r="AQ228" s="8" t="str">
        <f t="shared" si="3076"/>
        <v/>
      </c>
      <c r="AR228" s="8" t="str">
        <f t="shared" si="3076"/>
        <v/>
      </c>
      <c r="AS228" s="8" t="str">
        <f t="shared" si="3076"/>
        <v/>
      </c>
    </row>
    <row r="229" spans="1:46" s="85" customFormat="1" ht="11.25" x14ac:dyDescent="0.15">
      <c r="A229" s="14" t="s">
        <v>9</v>
      </c>
      <c r="B229" s="13" t="s">
        <v>10</v>
      </c>
      <c r="C229" s="66" t="s">
        <v>86</v>
      </c>
      <c r="D229" s="12" t="s">
        <v>86</v>
      </c>
      <c r="E229" s="12" t="s">
        <v>86</v>
      </c>
      <c r="F229" s="12" t="s">
        <v>86</v>
      </c>
      <c r="G229" s="12" t="s">
        <v>86</v>
      </c>
      <c r="H229" s="12" t="s">
        <v>86</v>
      </c>
      <c r="I229" s="12" t="s">
        <v>86</v>
      </c>
      <c r="J229" s="12" t="str">
        <f t="shared" si="3045"/>
        <v>ジャグラーサウンドフラッシュボタン</v>
      </c>
      <c r="K229" s="12" t="str">
        <f t="shared" si="3046"/>
        <v>ジャグラーサウンドフラッシュボタン</v>
      </c>
      <c r="L229" s="12" t="str">
        <f t="shared" si="3047"/>
        <v>ジャグラーサウンドフラッシュボタン</v>
      </c>
      <c r="M229" s="12" t="str">
        <f t="shared" si="3048"/>
        <v/>
      </c>
      <c r="N229" s="12" t="str">
        <f t="shared" si="3049"/>
        <v/>
      </c>
      <c r="O229" s="12" t="str">
        <f t="shared" si="3050"/>
        <v/>
      </c>
      <c r="P229" s="12" t="str">
        <f t="shared" si="3051"/>
        <v/>
      </c>
      <c r="Q229" s="12" t="str">
        <f t="shared" si="3052"/>
        <v/>
      </c>
      <c r="R229" s="12" t="str">
        <f t="shared" si="3053"/>
        <v/>
      </c>
      <c r="S229" s="12" t="str">
        <f t="shared" si="3054"/>
        <v/>
      </c>
      <c r="T229" s="12" t="str">
        <f t="shared" si="3055"/>
        <v/>
      </c>
      <c r="U229" s="12" t="str">
        <f t="shared" si="3056"/>
        <v/>
      </c>
      <c r="V229" s="12" t="str">
        <f t="shared" si="3057"/>
        <v/>
      </c>
      <c r="W229" s="12" t="str">
        <f t="shared" si="3058"/>
        <v/>
      </c>
      <c r="X229" s="12" t="str">
        <f t="shared" si="3059"/>
        <v/>
      </c>
      <c r="Y229" s="12" t="str">
        <f t="shared" si="3060"/>
        <v/>
      </c>
      <c r="Z229" s="12" t="str">
        <f>IF(Z$8="","",Y229)</f>
        <v/>
      </c>
      <c r="AA229" s="12" t="str">
        <f t="shared" si="3062"/>
        <v/>
      </c>
      <c r="AB229" s="12" t="str">
        <f t="shared" si="3063"/>
        <v/>
      </c>
      <c r="AC229" s="12" t="str">
        <f t="shared" si="3064"/>
        <v/>
      </c>
      <c r="AD229" s="12" t="str">
        <f t="shared" si="3065"/>
        <v/>
      </c>
      <c r="AE229" s="12" t="str">
        <f t="shared" si="3066"/>
        <v/>
      </c>
      <c r="AF229" s="12" t="str">
        <f t="shared" si="3067"/>
        <v/>
      </c>
      <c r="AG229" s="12" t="str">
        <f t="shared" si="3068"/>
        <v/>
      </c>
      <c r="AH229" s="12" t="str">
        <f t="shared" si="3069"/>
        <v/>
      </c>
      <c r="AI229" s="12" t="str">
        <f t="shared" si="3070"/>
        <v/>
      </c>
      <c r="AJ229" s="12" t="str">
        <f t="shared" si="3071"/>
        <v/>
      </c>
      <c r="AK229" s="12" t="str">
        <f t="shared" si="3072"/>
        <v/>
      </c>
      <c r="AL229" s="12" t="str">
        <f t="shared" si="3073"/>
        <v/>
      </c>
      <c r="AM229" s="12" t="str">
        <f t="shared" si="3074"/>
        <v/>
      </c>
      <c r="AN229" s="12" t="str">
        <f t="shared" si="3075"/>
        <v/>
      </c>
      <c r="AO229" s="12" t="str">
        <f t="shared" ref="AO229:AS229" si="3077">IF(AO$8="","",AN229)</f>
        <v/>
      </c>
      <c r="AP229" s="12" t="str">
        <f t="shared" si="3077"/>
        <v/>
      </c>
      <c r="AQ229" s="12" t="str">
        <f t="shared" si="3077"/>
        <v/>
      </c>
      <c r="AR229" s="12" t="str">
        <f t="shared" si="3077"/>
        <v/>
      </c>
      <c r="AS229" s="12" t="str">
        <f t="shared" si="3077"/>
        <v/>
      </c>
      <c r="AT229" s="11"/>
    </row>
    <row r="230" spans="1:46" s="1" customFormat="1" ht="11.25" x14ac:dyDescent="0.15">
      <c r="A230" s="7">
        <f>AVERAGE(C231:AS231)*30*100</f>
        <v>87300</v>
      </c>
      <c r="B230" s="9" t="s">
        <v>12</v>
      </c>
      <c r="C230" s="65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</row>
    <row r="231" spans="1:46" s="1" customFormat="1" ht="11.25" x14ac:dyDescent="0.15">
      <c r="A231" s="7">
        <f>SUM(C231:AS231)</f>
        <v>291</v>
      </c>
      <c r="B231" s="6" t="s">
        <v>13</v>
      </c>
      <c r="C231" s="65">
        <v>0</v>
      </c>
      <c r="D231" s="5">
        <v>0</v>
      </c>
      <c r="E231" s="5">
        <v>95</v>
      </c>
      <c r="F231" s="5">
        <v>0</v>
      </c>
      <c r="G231" s="5">
        <v>0</v>
      </c>
      <c r="H231" s="5">
        <v>0</v>
      </c>
      <c r="I231" s="5">
        <v>88</v>
      </c>
      <c r="J231" s="5">
        <f t="shared" ref="J231:J232" si="3078">IF(J$8="","",J224-I224)</f>
        <v>0</v>
      </c>
      <c r="K231" s="5">
        <f t="shared" ref="K231:K232" si="3079">IF(K$8="","",K224-J224)</f>
        <v>0</v>
      </c>
      <c r="L231" s="5">
        <f t="shared" ref="L231:L232" si="3080">IF(L$8="","",L224-K224)</f>
        <v>108</v>
      </c>
      <c r="M231" s="5" t="str">
        <f t="shared" ref="M231:M232" si="3081">IF(M$8="","",M224-L224)</f>
        <v/>
      </c>
      <c r="N231" s="5" t="str">
        <f t="shared" ref="N231:N232" si="3082">IF(N$8="","",N224-M224)</f>
        <v/>
      </c>
      <c r="O231" s="5" t="str">
        <f t="shared" ref="O231:O232" si="3083">IF(O$8="","",O224-N224)</f>
        <v/>
      </c>
      <c r="P231" s="5" t="str">
        <f t="shared" ref="P231:P232" si="3084">IF(P$8="","",P224-O224)</f>
        <v/>
      </c>
      <c r="Q231" s="5" t="str">
        <f t="shared" ref="Q231:Q232" si="3085">IF(Q$8="","",Q224-P224)</f>
        <v/>
      </c>
      <c r="R231" s="5" t="str">
        <f t="shared" ref="R231:R232" si="3086">IF(R$8="","",R224-Q224)</f>
        <v/>
      </c>
      <c r="S231" s="5" t="str">
        <f t="shared" ref="S231:S232" si="3087">IF(S$8="","",S224-R224)</f>
        <v/>
      </c>
      <c r="T231" s="5" t="str">
        <f t="shared" ref="T231:T232" si="3088">IF(T$8="","",T224-S224)</f>
        <v/>
      </c>
      <c r="U231" s="5" t="str">
        <f t="shared" ref="U231:U232" si="3089">IF(U$8="","",U224-T224)</f>
        <v/>
      </c>
      <c r="V231" s="5" t="str">
        <f t="shared" ref="V231:V232" si="3090">IF(V$8="","",V224-U224)</f>
        <v/>
      </c>
      <c r="W231" s="5" t="str">
        <f t="shared" ref="W231:W232" si="3091">IF(W$8="","",W224-V224)</f>
        <v/>
      </c>
      <c r="X231" s="5" t="str">
        <f t="shared" ref="X231:X232" si="3092">IF(X$8="","",X224-W224)</f>
        <v/>
      </c>
      <c r="Y231" s="5" t="str">
        <f t="shared" ref="Y231:Y232" si="3093">IF(Y$8="","",Y224-X224)</f>
        <v/>
      </c>
      <c r="Z231" s="5" t="str">
        <f t="shared" ref="Z231:Z232" si="3094">IF(Z$8="","",Z224-Y224)</f>
        <v/>
      </c>
      <c r="AA231" s="5" t="str">
        <f t="shared" ref="AA231:AA232" si="3095">IF(AA$8="","",AA224-Z224)</f>
        <v/>
      </c>
      <c r="AB231" s="5" t="str">
        <f t="shared" ref="AB231:AB232" si="3096">IF(AB$8="","",AB224-AA224)</f>
        <v/>
      </c>
      <c r="AC231" s="5" t="str">
        <f t="shared" ref="AC231:AC232" si="3097">IF(AC$8="","",AC224-AB224)</f>
        <v/>
      </c>
      <c r="AD231" s="5" t="str">
        <f t="shared" ref="AD231:AD232" si="3098">IF(AD$8="","",AD224-AC224)</f>
        <v/>
      </c>
      <c r="AE231" s="5" t="str">
        <f t="shared" ref="AE231:AE232" si="3099">IF(AE$8="","",AE224-AD224)</f>
        <v/>
      </c>
      <c r="AF231" s="5" t="str">
        <f t="shared" ref="AF231:AF232" si="3100">IF(AF$8="","",AF224-AE224)</f>
        <v/>
      </c>
      <c r="AG231" s="5" t="str">
        <f t="shared" ref="AG231:AG232" si="3101">IF(AG$8="","",AG224-AF224)</f>
        <v/>
      </c>
      <c r="AH231" s="5" t="str">
        <f t="shared" ref="AH231:AH232" si="3102">IF(AH$8="","",AH224-AG224)</f>
        <v/>
      </c>
      <c r="AI231" s="5" t="str">
        <f t="shared" ref="AI231:AI232" si="3103">IF(AI$8="","",AI224-AH224)</f>
        <v/>
      </c>
      <c r="AJ231" s="5" t="str">
        <f t="shared" ref="AJ231:AJ232" si="3104">IF(AJ$8="","",AJ224-AI224)</f>
        <v/>
      </c>
      <c r="AK231" s="5" t="str">
        <f t="shared" ref="AK231:AK232" si="3105">IF(AK$8="","",AK224-AJ224)</f>
        <v/>
      </c>
      <c r="AL231" s="5" t="str">
        <f t="shared" ref="AL231:AL232" si="3106">IF(AL$8="","",AL224-AK224)</f>
        <v/>
      </c>
      <c r="AM231" s="5" t="str">
        <f t="shared" ref="AM231:AM232" si="3107">IF(AM$8="","",AM224-AL224)</f>
        <v/>
      </c>
      <c r="AN231" s="5" t="str">
        <f t="shared" ref="AN231:AN232" si="3108">IF(AN$8="","",AN224-AM224)</f>
        <v/>
      </c>
      <c r="AO231" s="5" t="str">
        <f t="shared" ref="AO231:AS231" si="3109">IF(AO$8="","",AO224-AN224)</f>
        <v/>
      </c>
      <c r="AP231" s="5" t="str">
        <f t="shared" si="3109"/>
        <v/>
      </c>
      <c r="AQ231" s="5" t="str">
        <f t="shared" si="3109"/>
        <v/>
      </c>
      <c r="AR231" s="5" t="str">
        <f t="shared" si="3109"/>
        <v/>
      </c>
      <c r="AS231" s="5" t="str">
        <f t="shared" si="3109"/>
        <v/>
      </c>
    </row>
    <row r="232" spans="1:46" s="1" customFormat="1" ht="11.25" x14ac:dyDescent="0.15">
      <c r="A232" s="7">
        <f>SUM(C232:AS232)</f>
        <v>2</v>
      </c>
      <c r="B232" s="6" t="s">
        <v>14</v>
      </c>
      <c r="C232" s="65">
        <v>0</v>
      </c>
      <c r="D232" s="5">
        <v>0</v>
      </c>
      <c r="E232" s="5">
        <v>1</v>
      </c>
      <c r="F232" s="5">
        <v>0</v>
      </c>
      <c r="G232" s="5">
        <v>0</v>
      </c>
      <c r="H232" s="5">
        <v>0</v>
      </c>
      <c r="I232" s="5">
        <v>1</v>
      </c>
      <c r="J232" s="5">
        <f t="shared" si="3078"/>
        <v>0</v>
      </c>
      <c r="K232" s="5">
        <f t="shared" si="3079"/>
        <v>0</v>
      </c>
      <c r="L232" s="5">
        <f t="shared" si="3080"/>
        <v>0</v>
      </c>
      <c r="M232" s="5" t="str">
        <f t="shared" si="3081"/>
        <v/>
      </c>
      <c r="N232" s="5" t="str">
        <f t="shared" si="3082"/>
        <v/>
      </c>
      <c r="O232" s="5" t="str">
        <f t="shared" si="3083"/>
        <v/>
      </c>
      <c r="P232" s="5" t="str">
        <f t="shared" si="3084"/>
        <v/>
      </c>
      <c r="Q232" s="5" t="str">
        <f t="shared" si="3085"/>
        <v/>
      </c>
      <c r="R232" s="5" t="str">
        <f t="shared" si="3086"/>
        <v/>
      </c>
      <c r="S232" s="5" t="str">
        <f t="shared" si="3087"/>
        <v/>
      </c>
      <c r="T232" s="5" t="str">
        <f t="shared" si="3088"/>
        <v/>
      </c>
      <c r="U232" s="5" t="str">
        <f t="shared" si="3089"/>
        <v/>
      </c>
      <c r="V232" s="5" t="str">
        <f t="shared" si="3090"/>
        <v/>
      </c>
      <c r="W232" s="5" t="str">
        <f t="shared" si="3091"/>
        <v/>
      </c>
      <c r="X232" s="5" t="str">
        <f t="shared" si="3092"/>
        <v/>
      </c>
      <c r="Y232" s="5" t="str">
        <f t="shared" si="3093"/>
        <v/>
      </c>
      <c r="Z232" s="5" t="str">
        <f t="shared" si="3094"/>
        <v/>
      </c>
      <c r="AA232" s="5" t="str">
        <f t="shared" si="3095"/>
        <v/>
      </c>
      <c r="AB232" s="5" t="str">
        <f t="shared" si="3096"/>
        <v/>
      </c>
      <c r="AC232" s="5" t="str">
        <f t="shared" si="3097"/>
        <v/>
      </c>
      <c r="AD232" s="5" t="str">
        <f t="shared" si="3098"/>
        <v/>
      </c>
      <c r="AE232" s="5" t="str">
        <f t="shared" si="3099"/>
        <v/>
      </c>
      <c r="AF232" s="5" t="str">
        <f t="shared" si="3100"/>
        <v/>
      </c>
      <c r="AG232" s="5" t="str">
        <f t="shared" si="3101"/>
        <v/>
      </c>
      <c r="AH232" s="5" t="str">
        <f t="shared" si="3102"/>
        <v/>
      </c>
      <c r="AI232" s="5" t="str">
        <f t="shared" si="3103"/>
        <v/>
      </c>
      <c r="AJ232" s="5" t="str">
        <f t="shared" si="3104"/>
        <v/>
      </c>
      <c r="AK232" s="5" t="str">
        <f t="shared" si="3105"/>
        <v/>
      </c>
      <c r="AL232" s="5" t="str">
        <f t="shared" si="3106"/>
        <v/>
      </c>
      <c r="AM232" s="5" t="str">
        <f t="shared" si="3107"/>
        <v/>
      </c>
      <c r="AN232" s="5" t="str">
        <f t="shared" si="3108"/>
        <v/>
      </c>
      <c r="AO232" s="5" t="str">
        <f t="shared" ref="AO232:AS232" si="3110">IF(AO$8="","",AO225-AN225)</f>
        <v/>
      </c>
      <c r="AP232" s="5" t="str">
        <f t="shared" si="3110"/>
        <v/>
      </c>
      <c r="AQ232" s="5" t="str">
        <f t="shared" si="3110"/>
        <v/>
      </c>
      <c r="AR232" s="5" t="str">
        <f t="shared" si="3110"/>
        <v/>
      </c>
      <c r="AS232" s="5" t="str">
        <f t="shared" si="3110"/>
        <v/>
      </c>
    </row>
    <row r="233" spans="1:46" s="1" customFormat="1" ht="11.25" x14ac:dyDescent="0.15">
      <c r="A233" s="7">
        <f>SUM(C233:AS233)</f>
        <v>7</v>
      </c>
      <c r="B233" s="6" t="s">
        <v>15</v>
      </c>
      <c r="C233" s="65">
        <v>0</v>
      </c>
      <c r="D233" s="5">
        <v>0</v>
      </c>
      <c r="E233" s="5">
        <v>4</v>
      </c>
      <c r="F233" s="5">
        <v>0</v>
      </c>
      <c r="G233" s="5">
        <v>0</v>
      </c>
      <c r="H233" s="5">
        <v>0</v>
      </c>
      <c r="I233" s="5">
        <v>3</v>
      </c>
      <c r="J233" s="5">
        <f t="shared" ref="J233" si="3111">IF(J$8="","",I226+I227-J226)</f>
        <v>0</v>
      </c>
      <c r="K233" s="5">
        <f t="shared" ref="K233" si="3112">IF(K$8="","",J226+J227-K226)</f>
        <v>0</v>
      </c>
      <c r="L233" s="5">
        <f t="shared" ref="L233" si="3113">IF(L$8="","",K226+K227-L226)</f>
        <v>0</v>
      </c>
      <c r="M233" s="5" t="str">
        <f t="shared" ref="M233" si="3114">IF(M$8="","",L226+L227-M226)</f>
        <v/>
      </c>
      <c r="N233" s="5" t="str">
        <f t="shared" ref="N233" si="3115">IF(N$8="","",M226+M227-N226)</f>
        <v/>
      </c>
      <c r="O233" s="5" t="str">
        <f t="shared" ref="O233" si="3116">IF(O$8="","",N226+N227-O226)</f>
        <v/>
      </c>
      <c r="P233" s="5" t="str">
        <f t="shared" ref="P233" si="3117">IF(P$8="","",O226+O227-P226)</f>
        <v/>
      </c>
      <c r="Q233" s="5" t="str">
        <f t="shared" ref="Q233" si="3118">IF(Q$8="","",P226+P227-Q226)</f>
        <v/>
      </c>
      <c r="R233" s="5" t="str">
        <f t="shared" ref="R233" si="3119">IF(R$8="","",Q226+Q227-R226)</f>
        <v/>
      </c>
      <c r="S233" s="5" t="str">
        <f t="shared" ref="S233" si="3120">IF(S$8="","",R226+R227-S226)</f>
        <v/>
      </c>
      <c r="T233" s="5" t="str">
        <f t="shared" ref="T233" si="3121">IF(T$8="","",S226+S227-T226)</f>
        <v/>
      </c>
      <c r="U233" s="5" t="str">
        <f t="shared" ref="U233" si="3122">IF(U$8="","",T226+T227-U226)</f>
        <v/>
      </c>
      <c r="V233" s="5" t="str">
        <f t="shared" ref="V233" si="3123">IF(V$8="","",U226+U227-V226)</f>
        <v/>
      </c>
      <c r="W233" s="5" t="str">
        <f t="shared" ref="W233" si="3124">IF(W$8="","",V226+V227-W226)</f>
        <v/>
      </c>
      <c r="X233" s="5" t="str">
        <f t="shared" ref="X233" si="3125">IF(X$8="","",W226+W227-X226)</f>
        <v/>
      </c>
      <c r="Y233" s="5" t="str">
        <f t="shared" ref="Y233" si="3126">IF(Y$8="","",X226+X227-Y226)</f>
        <v/>
      </c>
      <c r="Z233" s="5" t="str">
        <f t="shared" ref="Z233" si="3127">IF(Z$8="","",Y226+Y227-Z226)</f>
        <v/>
      </c>
      <c r="AA233" s="5" t="str">
        <f t="shared" ref="AA233" si="3128">IF(AA$8="","",Z226+Z227-AA226)</f>
        <v/>
      </c>
      <c r="AB233" s="5" t="str">
        <f t="shared" ref="AB233" si="3129">IF(AB$8="","",AA226+AA227-AB226)</f>
        <v/>
      </c>
      <c r="AC233" s="5" t="str">
        <f t="shared" ref="AC233" si="3130">IF(AC$8="","",AB226+AB227-AC226)</f>
        <v/>
      </c>
      <c r="AD233" s="5" t="str">
        <f t="shared" ref="AD233" si="3131">IF(AD$8="","",AC226+AC227-AD226)</f>
        <v/>
      </c>
      <c r="AE233" s="5" t="str">
        <f t="shared" ref="AE233" si="3132">IF(AE$8="","",AD226+AD227-AE226)</f>
        <v/>
      </c>
      <c r="AF233" s="5" t="str">
        <f t="shared" ref="AF233" si="3133">IF(AF$8="","",AE226+AE227-AF226)</f>
        <v/>
      </c>
      <c r="AG233" s="5" t="str">
        <f t="shared" ref="AG233" si="3134">IF(AG$8="","",AF226+AF227-AG226)</f>
        <v/>
      </c>
      <c r="AH233" s="5" t="str">
        <f t="shared" ref="AH233" si="3135">IF(AH$8="","",AG226+AG227-AH226)</f>
        <v/>
      </c>
      <c r="AI233" s="5" t="str">
        <f t="shared" ref="AI233" si="3136">IF(AI$8="","",AH226+AH227-AI226)</f>
        <v/>
      </c>
      <c r="AJ233" s="5" t="str">
        <f t="shared" ref="AJ233" si="3137">IF(AJ$8="","",AI226+AI227-AJ226)</f>
        <v/>
      </c>
      <c r="AK233" s="5" t="str">
        <f t="shared" ref="AK233" si="3138">IF(AK$8="","",AJ226+AJ227-AK226)</f>
        <v/>
      </c>
      <c r="AL233" s="5" t="str">
        <f t="shared" ref="AL233" si="3139">IF(AL$8="","",AK226+AK227-AL226)</f>
        <v/>
      </c>
      <c r="AM233" s="5" t="str">
        <f t="shared" ref="AM233" si="3140">IF(AM$8="","",AL226+AL227-AM226)</f>
        <v/>
      </c>
      <c r="AN233" s="5" t="str">
        <f t="shared" ref="AN233" si="3141">IF(AN$8="","",AM226+AM227-AN226)</f>
        <v/>
      </c>
      <c r="AO233" s="5" t="str">
        <f t="shared" ref="AO233:AS233" si="3142">IF(AO$8="","",AN226+AN227-AO226)</f>
        <v/>
      </c>
      <c r="AP233" s="5" t="str">
        <f t="shared" si="3142"/>
        <v/>
      </c>
      <c r="AQ233" s="5" t="str">
        <f t="shared" si="3142"/>
        <v/>
      </c>
      <c r="AR233" s="5" t="str">
        <f t="shared" si="3142"/>
        <v/>
      </c>
      <c r="AS233" s="5" t="str">
        <f t="shared" si="3142"/>
        <v/>
      </c>
    </row>
    <row r="234" spans="1:46" s="1" customFormat="1" ht="11.25" x14ac:dyDescent="0.15">
      <c r="A234" s="7">
        <f>SUM(C234:AS234)</f>
        <v>5250</v>
      </c>
      <c r="B234" s="6" t="s">
        <v>16</v>
      </c>
      <c r="C234" s="65">
        <v>0</v>
      </c>
      <c r="D234" s="5">
        <v>0</v>
      </c>
      <c r="E234" s="5">
        <v>3000</v>
      </c>
      <c r="F234" s="5">
        <v>0</v>
      </c>
      <c r="G234" s="5">
        <v>0</v>
      </c>
      <c r="H234" s="5">
        <v>0</v>
      </c>
      <c r="I234" s="5">
        <v>2250</v>
      </c>
      <c r="J234" s="5">
        <f t="shared" ref="D234:AN234" si="3143">IF(J$8="","",J233*J228)</f>
        <v>0</v>
      </c>
      <c r="K234" s="5">
        <f t="shared" si="3143"/>
        <v>0</v>
      </c>
      <c r="L234" s="5">
        <f t="shared" si="3143"/>
        <v>0</v>
      </c>
      <c r="M234" s="5" t="str">
        <f t="shared" si="3143"/>
        <v/>
      </c>
      <c r="N234" s="5" t="str">
        <f t="shared" si="3143"/>
        <v/>
      </c>
      <c r="O234" s="5" t="str">
        <f t="shared" si="3143"/>
        <v/>
      </c>
      <c r="P234" s="5" t="str">
        <f t="shared" si="3143"/>
        <v/>
      </c>
      <c r="Q234" s="5" t="str">
        <f t="shared" si="3143"/>
        <v/>
      </c>
      <c r="R234" s="5" t="str">
        <f t="shared" si="3143"/>
        <v/>
      </c>
      <c r="S234" s="5" t="str">
        <f t="shared" si="3143"/>
        <v/>
      </c>
      <c r="T234" s="5" t="str">
        <f t="shared" si="3143"/>
        <v/>
      </c>
      <c r="U234" s="5" t="str">
        <f t="shared" si="3143"/>
        <v/>
      </c>
      <c r="V234" s="5" t="str">
        <f t="shared" si="3143"/>
        <v/>
      </c>
      <c r="W234" s="5" t="str">
        <f t="shared" si="3143"/>
        <v/>
      </c>
      <c r="X234" s="5" t="str">
        <f t="shared" si="3143"/>
        <v/>
      </c>
      <c r="Y234" s="5" t="str">
        <f t="shared" si="3143"/>
        <v/>
      </c>
      <c r="Z234" s="5" t="str">
        <f t="shared" si="3143"/>
        <v/>
      </c>
      <c r="AA234" s="5" t="str">
        <f t="shared" si="3143"/>
        <v/>
      </c>
      <c r="AB234" s="5" t="str">
        <f t="shared" si="3143"/>
        <v/>
      </c>
      <c r="AC234" s="5" t="str">
        <f t="shared" si="3143"/>
        <v/>
      </c>
      <c r="AD234" s="5" t="str">
        <f t="shared" si="3143"/>
        <v/>
      </c>
      <c r="AE234" s="5" t="str">
        <f t="shared" si="3143"/>
        <v/>
      </c>
      <c r="AF234" s="5" t="str">
        <f t="shared" si="3143"/>
        <v/>
      </c>
      <c r="AG234" s="5" t="str">
        <f t="shared" si="3143"/>
        <v/>
      </c>
      <c r="AH234" s="5" t="str">
        <f t="shared" si="3143"/>
        <v/>
      </c>
      <c r="AI234" s="5" t="str">
        <f t="shared" si="3143"/>
        <v/>
      </c>
      <c r="AJ234" s="5" t="str">
        <f t="shared" si="3143"/>
        <v/>
      </c>
      <c r="AK234" s="5" t="str">
        <f t="shared" si="3143"/>
        <v/>
      </c>
      <c r="AL234" s="5" t="str">
        <f t="shared" si="3143"/>
        <v/>
      </c>
      <c r="AM234" s="5" t="str">
        <f t="shared" si="3143"/>
        <v/>
      </c>
      <c r="AN234" s="5" t="str">
        <f t="shared" si="3143"/>
        <v/>
      </c>
      <c r="AO234" s="5" t="str">
        <f t="shared" ref="AO234:AS234" si="3144">IF(AO$8="","",AO233*AO228)</f>
        <v/>
      </c>
      <c r="AP234" s="5" t="str">
        <f t="shared" si="3144"/>
        <v/>
      </c>
      <c r="AQ234" s="5" t="str">
        <f t="shared" si="3144"/>
        <v/>
      </c>
      <c r="AR234" s="5" t="str">
        <f t="shared" si="3144"/>
        <v/>
      </c>
      <c r="AS234" s="5" t="str">
        <f t="shared" si="3144"/>
        <v/>
      </c>
    </row>
    <row r="235" spans="1:46" s="1" customFormat="1" ht="12" thickBot="1" x14ac:dyDescent="0.2">
      <c r="A235" s="4">
        <f>IF(A234="","",A234/(A231*100))</f>
        <v>0.18041237113402062</v>
      </c>
      <c r="B235" s="3" t="s">
        <v>18</v>
      </c>
      <c r="C235" s="68" t="s">
        <v>19</v>
      </c>
      <c r="D235" s="2" t="s">
        <v>19</v>
      </c>
      <c r="E235" s="2">
        <v>0.31578947368421051</v>
      </c>
      <c r="F235" s="2" t="s">
        <v>19</v>
      </c>
      <c r="G235" s="2" t="s">
        <v>19</v>
      </c>
      <c r="H235" s="2" t="s">
        <v>19</v>
      </c>
      <c r="I235" s="2">
        <v>0.25568181818181818</v>
      </c>
      <c r="J235" s="2" t="str">
        <f t="shared" ref="D235:AN235" si="3145">IF(J$8="","",IF(J234=0,"",J234/(J231*100)))</f>
        <v/>
      </c>
      <c r="K235" s="2" t="str">
        <f t="shared" si="3145"/>
        <v/>
      </c>
      <c r="L235" s="2" t="str">
        <f t="shared" si="3145"/>
        <v/>
      </c>
      <c r="M235" s="2" t="str">
        <f t="shared" si="3145"/>
        <v/>
      </c>
      <c r="N235" s="2" t="str">
        <f t="shared" si="3145"/>
        <v/>
      </c>
      <c r="O235" s="2" t="str">
        <f t="shared" si="3145"/>
        <v/>
      </c>
      <c r="P235" s="2" t="str">
        <f t="shared" si="3145"/>
        <v/>
      </c>
      <c r="Q235" s="2" t="str">
        <f t="shared" si="3145"/>
        <v/>
      </c>
      <c r="R235" s="2" t="str">
        <f t="shared" si="3145"/>
        <v/>
      </c>
      <c r="S235" s="2" t="str">
        <f t="shared" si="3145"/>
        <v/>
      </c>
      <c r="T235" s="2" t="str">
        <f t="shared" si="3145"/>
        <v/>
      </c>
      <c r="U235" s="2" t="str">
        <f t="shared" si="3145"/>
        <v/>
      </c>
      <c r="V235" s="2" t="str">
        <f t="shared" si="3145"/>
        <v/>
      </c>
      <c r="W235" s="2" t="str">
        <f t="shared" si="3145"/>
        <v/>
      </c>
      <c r="X235" s="2" t="str">
        <f t="shared" si="3145"/>
        <v/>
      </c>
      <c r="Y235" s="2" t="str">
        <f t="shared" si="3145"/>
        <v/>
      </c>
      <c r="Z235" s="2" t="str">
        <f t="shared" si="3145"/>
        <v/>
      </c>
      <c r="AA235" s="2" t="str">
        <f t="shared" si="3145"/>
        <v/>
      </c>
      <c r="AB235" s="2" t="str">
        <f t="shared" si="3145"/>
        <v/>
      </c>
      <c r="AC235" s="2" t="str">
        <f t="shared" si="3145"/>
        <v/>
      </c>
      <c r="AD235" s="2" t="str">
        <f t="shared" si="3145"/>
        <v/>
      </c>
      <c r="AE235" s="2" t="str">
        <f t="shared" si="3145"/>
        <v/>
      </c>
      <c r="AF235" s="2" t="str">
        <f t="shared" si="3145"/>
        <v/>
      </c>
      <c r="AG235" s="2" t="str">
        <f t="shared" si="3145"/>
        <v/>
      </c>
      <c r="AH235" s="2" t="str">
        <f t="shared" si="3145"/>
        <v/>
      </c>
      <c r="AI235" s="2" t="str">
        <f t="shared" si="3145"/>
        <v/>
      </c>
      <c r="AJ235" s="2" t="str">
        <f t="shared" si="3145"/>
        <v/>
      </c>
      <c r="AK235" s="2" t="str">
        <f t="shared" si="3145"/>
        <v/>
      </c>
      <c r="AL235" s="2" t="str">
        <f t="shared" si="3145"/>
        <v/>
      </c>
      <c r="AM235" s="2" t="str">
        <f t="shared" si="3145"/>
        <v/>
      </c>
      <c r="AN235" s="2" t="str">
        <f t="shared" si="3145"/>
        <v/>
      </c>
      <c r="AO235" s="2" t="str">
        <f t="shared" ref="AO235:AS235" si="3146">IF(AO$8="","",IF(AO234=0,"",AO234/(AO231*100)))</f>
        <v/>
      </c>
      <c r="AP235" s="2" t="str">
        <f t="shared" si="3146"/>
        <v/>
      </c>
      <c r="AQ235" s="2" t="str">
        <f t="shared" si="3146"/>
        <v/>
      </c>
      <c r="AR235" s="2" t="str">
        <f t="shared" si="3146"/>
        <v/>
      </c>
      <c r="AS235" s="2" t="str">
        <f t="shared" si="3146"/>
        <v/>
      </c>
    </row>
    <row r="236" spans="1:46" s="1" customFormat="1" ht="11.25" x14ac:dyDescent="0.15">
      <c r="A236" s="89" t="s">
        <v>46</v>
      </c>
      <c r="B236" s="90" t="s">
        <v>2</v>
      </c>
      <c r="C236" s="100">
        <v>16170</v>
      </c>
      <c r="D236" s="91">
        <v>16170</v>
      </c>
      <c r="E236" s="91">
        <v>16297</v>
      </c>
      <c r="F236" s="91">
        <v>16297</v>
      </c>
      <c r="G236" s="91">
        <v>16297</v>
      </c>
      <c r="H236" s="91">
        <v>16297</v>
      </c>
      <c r="I236" s="91">
        <v>16415</v>
      </c>
      <c r="J236" s="91">
        <f t="shared" ref="J236:J237" si="3147">IF(J$8="","",I236)</f>
        <v>16415</v>
      </c>
      <c r="K236" s="91">
        <f t="shared" ref="K236:K237" si="3148">IF(K$8="","",J236)</f>
        <v>16415</v>
      </c>
      <c r="L236" s="91">
        <v>16614</v>
      </c>
      <c r="M236" s="91" t="str">
        <f t="shared" ref="M236:M237" si="3149">IF(M$8="","",L236)</f>
        <v/>
      </c>
      <c r="N236" s="91" t="str">
        <f t="shared" ref="N236:N237" si="3150">IF(N$8="","",M236)</f>
        <v/>
      </c>
      <c r="O236" s="91" t="str">
        <f t="shared" ref="O236:O237" si="3151">IF(O$8="","",N236)</f>
        <v/>
      </c>
      <c r="P236" s="91" t="str">
        <f>IF(P$8="","",O236)</f>
        <v/>
      </c>
      <c r="Q236" s="91" t="str">
        <f t="shared" ref="Q236:Q237" si="3152">IF(Q$8="","",P236)</f>
        <v/>
      </c>
      <c r="R236" s="91" t="str">
        <f t="shared" ref="R236:R237" si="3153">IF(R$8="","",Q236)</f>
        <v/>
      </c>
      <c r="S236" s="91" t="str">
        <f>IF(S$8="","",R236)</f>
        <v/>
      </c>
      <c r="T236" s="91" t="str">
        <f t="shared" ref="T236:T237" si="3154">IF(T$8="","",S236)</f>
        <v/>
      </c>
      <c r="U236" s="91" t="str">
        <f>IF(U$8="","",T236)</f>
        <v/>
      </c>
      <c r="V236" s="91" t="str">
        <f t="shared" ref="V236:V237" si="3155">IF(V$8="","",U236)</f>
        <v/>
      </c>
      <c r="W236" s="91" t="str">
        <f>IF(W$8="","",V236)</f>
        <v/>
      </c>
      <c r="X236" s="91" t="str">
        <f t="shared" ref="X236:X237" si="3156">IF(X$8="","",W236)</f>
        <v/>
      </c>
      <c r="Y236" s="91" t="str">
        <f t="shared" ref="Y236:Y237" si="3157">IF(Y$8="","",X236)</f>
        <v/>
      </c>
      <c r="Z236" s="91" t="str">
        <f>IF(Z$8="","",Y236)</f>
        <v/>
      </c>
      <c r="AA236" s="91" t="str">
        <f t="shared" ref="AA236:AA237" si="3158">IF(AA$8="","",Z236)</f>
        <v/>
      </c>
      <c r="AB236" s="91" t="str">
        <f t="shared" ref="AB236:AB237" si="3159">IF(AB$8="","",AA236)</f>
        <v/>
      </c>
      <c r="AC236" s="91" t="str">
        <f t="shared" ref="AC236:AC237" si="3160">IF(AC$8="","",AB236)</f>
        <v/>
      </c>
      <c r="AD236" s="91" t="str">
        <f>IF(AD$8="","",AC236)</f>
        <v/>
      </c>
      <c r="AE236" s="91" t="str">
        <f t="shared" ref="AE236:AE237" si="3161">IF(AE$8="","",AD236)</f>
        <v/>
      </c>
      <c r="AF236" s="91" t="str">
        <f t="shared" ref="AF236:AF237" si="3162">IF(AF$8="","",AE236)</f>
        <v/>
      </c>
      <c r="AG236" s="91" t="str">
        <f>IF(AG$8="","",AF236)</f>
        <v/>
      </c>
      <c r="AH236" s="91" t="str">
        <f t="shared" ref="AH236:AH237" si="3163">IF(AH$8="","",AG236)</f>
        <v/>
      </c>
      <c r="AI236" s="91" t="str">
        <f t="shared" ref="AI236:AI237" si="3164">IF(AI$8="","",AH236)</f>
        <v/>
      </c>
      <c r="AJ236" s="91" t="str">
        <f t="shared" ref="AJ236:AJ237" si="3165">IF(AJ$8="","",AI236)</f>
        <v/>
      </c>
      <c r="AK236" s="91" t="str">
        <f>IF(AK$8="","",AJ236)</f>
        <v/>
      </c>
      <c r="AL236" s="91" t="str">
        <f t="shared" ref="AL236:AL237" si="3166">IF(AL$8="","",AK236)</f>
        <v/>
      </c>
      <c r="AM236" s="91" t="str">
        <f t="shared" ref="AM236:AM237" si="3167">IF(AM$8="","",AL236)</f>
        <v/>
      </c>
      <c r="AN236" s="91" t="str">
        <f t="shared" ref="AN236:AN237" si="3168">IF(AN$8="","",AM236)</f>
        <v/>
      </c>
      <c r="AO236" s="91" t="str">
        <f t="shared" ref="AO236:AS236" si="3169">IF(AO$8="","",AN236)</f>
        <v/>
      </c>
      <c r="AP236" s="91" t="str">
        <f t="shared" si="3169"/>
        <v/>
      </c>
      <c r="AQ236" s="91" t="str">
        <f t="shared" si="3169"/>
        <v/>
      </c>
      <c r="AR236" s="91" t="str">
        <f t="shared" si="3169"/>
        <v/>
      </c>
      <c r="AS236" s="91" t="str">
        <f t="shared" si="3169"/>
        <v/>
      </c>
    </row>
    <row r="237" spans="1:46" s="1" customFormat="1" ht="11.25" x14ac:dyDescent="0.15">
      <c r="A237" s="16" t="s">
        <v>57</v>
      </c>
      <c r="B237" s="9" t="s">
        <v>4</v>
      </c>
      <c r="C237" s="65">
        <v>67</v>
      </c>
      <c r="D237" s="8">
        <v>67</v>
      </c>
      <c r="E237" s="8">
        <v>69</v>
      </c>
      <c r="F237" s="8">
        <v>69</v>
      </c>
      <c r="G237" s="8">
        <v>69</v>
      </c>
      <c r="H237" s="8">
        <v>69</v>
      </c>
      <c r="I237" s="8">
        <v>69</v>
      </c>
      <c r="J237" s="8">
        <f t="shared" si="3147"/>
        <v>69</v>
      </c>
      <c r="K237" s="8">
        <f t="shared" si="3148"/>
        <v>69</v>
      </c>
      <c r="L237" s="8">
        <v>70</v>
      </c>
      <c r="M237" s="8" t="str">
        <f t="shared" si="3149"/>
        <v/>
      </c>
      <c r="N237" s="8" t="str">
        <f t="shared" si="3150"/>
        <v/>
      </c>
      <c r="O237" s="8" t="str">
        <f t="shared" si="3151"/>
        <v/>
      </c>
      <c r="P237" s="8" t="str">
        <f>IF(P$8="","",O237)</f>
        <v/>
      </c>
      <c r="Q237" s="8" t="str">
        <f t="shared" si="3152"/>
        <v/>
      </c>
      <c r="R237" s="8" t="str">
        <f t="shared" si="3153"/>
        <v/>
      </c>
      <c r="S237" s="8" t="str">
        <f>IF(S$8="","",R237)</f>
        <v/>
      </c>
      <c r="T237" s="8" t="str">
        <f t="shared" si="3154"/>
        <v/>
      </c>
      <c r="U237" s="8" t="str">
        <f>IF(U$8="","",T237)</f>
        <v/>
      </c>
      <c r="V237" s="8" t="str">
        <f t="shared" si="3155"/>
        <v/>
      </c>
      <c r="W237" s="8" t="str">
        <f>IF(W$8="","",V237)</f>
        <v/>
      </c>
      <c r="X237" s="8" t="str">
        <f t="shared" si="3156"/>
        <v/>
      </c>
      <c r="Y237" s="8" t="str">
        <f t="shared" si="3157"/>
        <v/>
      </c>
      <c r="Z237" s="8" t="str">
        <f>IF(Z$8="","",Y237)</f>
        <v/>
      </c>
      <c r="AA237" s="8" t="str">
        <f t="shared" si="3158"/>
        <v/>
      </c>
      <c r="AB237" s="8" t="str">
        <f t="shared" si="3159"/>
        <v/>
      </c>
      <c r="AC237" s="8" t="str">
        <f t="shared" si="3160"/>
        <v/>
      </c>
      <c r="AD237" s="8" t="str">
        <f>IF(AD$8="","",AC237)</f>
        <v/>
      </c>
      <c r="AE237" s="8" t="str">
        <f t="shared" si="3161"/>
        <v/>
      </c>
      <c r="AF237" s="8" t="str">
        <f t="shared" si="3162"/>
        <v/>
      </c>
      <c r="AG237" s="8" t="str">
        <f>IF(AG$8="","",AF237)</f>
        <v/>
      </c>
      <c r="AH237" s="8" t="str">
        <f t="shared" si="3163"/>
        <v/>
      </c>
      <c r="AI237" s="8" t="str">
        <f t="shared" si="3164"/>
        <v/>
      </c>
      <c r="AJ237" s="8" t="str">
        <f t="shared" si="3165"/>
        <v/>
      </c>
      <c r="AK237" s="8" t="str">
        <f>IF(AK$8="","",AJ237)</f>
        <v/>
      </c>
      <c r="AL237" s="8" t="str">
        <f t="shared" si="3166"/>
        <v/>
      </c>
      <c r="AM237" s="8" t="str">
        <f t="shared" si="3167"/>
        <v/>
      </c>
      <c r="AN237" s="8" t="str">
        <f t="shared" si="3168"/>
        <v/>
      </c>
      <c r="AO237" s="8" t="str">
        <f t="shared" ref="AO237:AS237" si="3170">IF(AO$8="","",AN237)</f>
        <v/>
      </c>
      <c r="AP237" s="8" t="str">
        <f t="shared" si="3170"/>
        <v/>
      </c>
      <c r="AQ237" s="8" t="str">
        <f t="shared" si="3170"/>
        <v/>
      </c>
      <c r="AR237" s="8" t="str">
        <f t="shared" si="3170"/>
        <v/>
      </c>
      <c r="AS237" s="8" t="str">
        <f t="shared" si="3170"/>
        <v/>
      </c>
    </row>
    <row r="238" spans="1:46" s="1" customFormat="1" ht="11.25" x14ac:dyDescent="0.15">
      <c r="A238" s="15">
        <v>4</v>
      </c>
      <c r="B238" s="9" t="s">
        <v>5</v>
      </c>
      <c r="C238" s="65">
        <v>10</v>
      </c>
      <c r="D238" s="8">
        <v>10</v>
      </c>
      <c r="E238" s="8">
        <v>8</v>
      </c>
      <c r="F238" s="8">
        <v>10</v>
      </c>
      <c r="G238" s="8">
        <v>10</v>
      </c>
      <c r="H238" s="8">
        <v>10</v>
      </c>
      <c r="I238" s="8">
        <v>10</v>
      </c>
      <c r="J238" s="8">
        <f t="shared" ref="J238" si="3171">IF(J$8="","",(I238+I239))</f>
        <v>10</v>
      </c>
      <c r="K238" s="8">
        <f t="shared" ref="K238" si="3172">IF(K$8="","",(J238+J239))</f>
        <v>10</v>
      </c>
      <c r="L238" s="8">
        <v>9</v>
      </c>
      <c r="M238" s="8" t="str">
        <f t="shared" ref="M238" si="3173">IF(M$8="","",(L238+L239))</f>
        <v/>
      </c>
      <c r="N238" s="8" t="str">
        <f t="shared" ref="N238" si="3174">IF(N$8="","",(M238+M239))</f>
        <v/>
      </c>
      <c r="O238" s="8" t="str">
        <f t="shared" ref="O238" si="3175">IF(O$8="","",(N238+N239))</f>
        <v/>
      </c>
      <c r="P238" s="8" t="str">
        <f>IF(P$8="","",(O238+O239))</f>
        <v/>
      </c>
      <c r="Q238" s="8" t="str">
        <f t="shared" ref="Q238" si="3176">IF(Q$8="","",(P238+P239))</f>
        <v/>
      </c>
      <c r="R238" s="8" t="str">
        <f t="shared" ref="R238" si="3177">IF(R$8="","",(Q238+Q239))</f>
        <v/>
      </c>
      <c r="S238" s="8" t="str">
        <f>IF(S$8="","",(R238+R239))</f>
        <v/>
      </c>
      <c r="T238" s="8" t="str">
        <f t="shared" ref="T238" si="3178">IF(T$8="","",(S238+S239))</f>
        <v/>
      </c>
      <c r="U238" s="8" t="str">
        <f>IF(U$8="","",(T238+T239))</f>
        <v/>
      </c>
      <c r="V238" s="8" t="str">
        <f t="shared" ref="V238" si="3179">IF(V$8="","",(U238+U239))</f>
        <v/>
      </c>
      <c r="W238" s="8" t="str">
        <f>IF(W$8="","",(V238+V239))</f>
        <v/>
      </c>
      <c r="X238" s="8" t="str">
        <f t="shared" ref="X238" si="3180">IF(X$8="","",(W238+W239))</f>
        <v/>
      </c>
      <c r="Y238" s="8" t="str">
        <f t="shared" ref="Y238" si="3181">IF(Y$8="","",(X238+X239))</f>
        <v/>
      </c>
      <c r="Z238" s="8" t="str">
        <f>IF(Z$8="","",(Y238+Y239))</f>
        <v/>
      </c>
      <c r="AA238" s="8" t="str">
        <f t="shared" ref="AA238" si="3182">IF(AA$8="","",(Z238+Z239))</f>
        <v/>
      </c>
      <c r="AB238" s="8" t="str">
        <f t="shared" ref="AB238" si="3183">IF(AB$8="","",(AA238+AA239))</f>
        <v/>
      </c>
      <c r="AC238" s="8" t="str">
        <f t="shared" ref="AC238" si="3184">IF(AC$8="","",(AB238+AB239))</f>
        <v/>
      </c>
      <c r="AD238" s="8" t="str">
        <f>IF(AD$8="","",(AC238+AC239))</f>
        <v/>
      </c>
      <c r="AE238" s="8" t="str">
        <f t="shared" ref="AE238" si="3185">IF(AE$8="","",(AD238+AD239))</f>
        <v/>
      </c>
      <c r="AF238" s="8" t="str">
        <f t="shared" ref="AF238" si="3186">IF(AF$8="","",(AE238+AE239))</f>
        <v/>
      </c>
      <c r="AG238" s="8" t="str">
        <f>IF(AG$8="","",(AF238+AF239))</f>
        <v/>
      </c>
      <c r="AH238" s="8" t="str">
        <f t="shared" ref="AH238" si="3187">IF(AH$8="","",(AG238+AG239))</f>
        <v/>
      </c>
      <c r="AI238" s="8" t="str">
        <f t="shared" ref="AI238" si="3188">IF(AI$8="","",(AH238+AH239))</f>
        <v/>
      </c>
      <c r="AJ238" s="8" t="str">
        <f t="shared" ref="AJ238" si="3189">IF(AJ$8="","",(AI238+AI239))</f>
        <v/>
      </c>
      <c r="AK238" s="8" t="str">
        <f>IF(AK$8="","",(AJ238+AJ239))</f>
        <v/>
      </c>
      <c r="AL238" s="8" t="str">
        <f t="shared" ref="AL238" si="3190">IF(AL$8="","",(AK238+AK239))</f>
        <v/>
      </c>
      <c r="AM238" s="8" t="str">
        <f t="shared" ref="AM238" si="3191">IF(AM$8="","",(AL238+AL239))</f>
        <v/>
      </c>
      <c r="AN238" s="8" t="str">
        <f t="shared" ref="AN238" si="3192">IF(AN$8="","",(AM238+AM239))</f>
        <v/>
      </c>
      <c r="AO238" s="8" t="str">
        <f t="shared" ref="AO238:AS238" si="3193">IF(AO$8="","",(AN238+AN239))</f>
        <v/>
      </c>
      <c r="AP238" s="8" t="str">
        <f t="shared" si="3193"/>
        <v/>
      </c>
      <c r="AQ238" s="8" t="str">
        <f t="shared" si="3193"/>
        <v/>
      </c>
      <c r="AR238" s="8" t="str">
        <f t="shared" si="3193"/>
        <v/>
      </c>
      <c r="AS238" s="8" t="str">
        <f t="shared" si="3193"/>
        <v/>
      </c>
    </row>
    <row r="239" spans="1:46" s="1" customFormat="1" ht="11.25" x14ac:dyDescent="0.15">
      <c r="A239" s="14"/>
      <c r="B239" s="9" t="s">
        <v>7</v>
      </c>
      <c r="C239" s="65"/>
      <c r="D239" s="8"/>
      <c r="E239" s="8">
        <v>2</v>
      </c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</row>
    <row r="240" spans="1:46" s="1" customFormat="1" ht="11.25" x14ac:dyDescent="0.15">
      <c r="A240" s="7"/>
      <c r="B240" s="9" t="s">
        <v>8</v>
      </c>
      <c r="C240" s="65">
        <v>600</v>
      </c>
      <c r="D240" s="8">
        <v>600</v>
      </c>
      <c r="E240" s="8">
        <v>600</v>
      </c>
      <c r="F240" s="8">
        <v>600</v>
      </c>
      <c r="G240" s="8">
        <v>600</v>
      </c>
      <c r="H240" s="8">
        <v>600</v>
      </c>
      <c r="I240" s="8">
        <v>600</v>
      </c>
      <c r="J240" s="8">
        <f t="shared" ref="J240:J241" si="3194">IF(J$8="","",I240)</f>
        <v>600</v>
      </c>
      <c r="K240" s="8">
        <f t="shared" ref="K240:K241" si="3195">IF(K$8="","",J240)</f>
        <v>600</v>
      </c>
      <c r="L240" s="8">
        <f t="shared" ref="L240:L241" si="3196">IF(L$8="","",K240)</f>
        <v>600</v>
      </c>
      <c r="M240" s="8" t="str">
        <f t="shared" ref="M240:M241" si="3197">IF(M$8="","",L240)</f>
        <v/>
      </c>
      <c r="N240" s="8" t="str">
        <f t="shared" ref="N240:N241" si="3198">IF(N$8="","",M240)</f>
        <v/>
      </c>
      <c r="O240" s="8" t="str">
        <f t="shared" ref="O240:O241" si="3199">IF(O$8="","",N240)</f>
        <v/>
      </c>
      <c r="P240" s="8" t="str">
        <f t="shared" ref="P240:P241" si="3200">IF(P$8="","",O240)</f>
        <v/>
      </c>
      <c r="Q240" s="8" t="str">
        <f t="shared" ref="Q240:Q241" si="3201">IF(Q$8="","",P240)</f>
        <v/>
      </c>
      <c r="R240" s="8" t="str">
        <f t="shared" ref="R240:R241" si="3202">IF(R$8="","",Q240)</f>
        <v/>
      </c>
      <c r="S240" s="8" t="str">
        <f t="shared" ref="S240:S241" si="3203">IF(S$8="","",R240)</f>
        <v/>
      </c>
      <c r="T240" s="8" t="str">
        <f t="shared" ref="T240:T241" si="3204">IF(T$8="","",S240)</f>
        <v/>
      </c>
      <c r="U240" s="8" t="str">
        <f t="shared" ref="U240:U241" si="3205">IF(U$8="","",T240)</f>
        <v/>
      </c>
      <c r="V240" s="8" t="str">
        <f t="shared" ref="V240:V241" si="3206">IF(V$8="","",U240)</f>
        <v/>
      </c>
      <c r="W240" s="8" t="str">
        <f t="shared" ref="W240:W241" si="3207">IF(W$8="","",V240)</f>
        <v/>
      </c>
      <c r="X240" s="8" t="str">
        <f t="shared" ref="X240:X241" si="3208">IF(X$8="","",W240)</f>
        <v/>
      </c>
      <c r="Y240" s="8" t="str">
        <f t="shared" ref="Y240:Y241" si="3209">IF(Y$8="","",X240)</f>
        <v/>
      </c>
      <c r="Z240" s="8" t="str">
        <f t="shared" ref="Z240:Z241" si="3210">IF(Z$8="","",Y240)</f>
        <v/>
      </c>
      <c r="AA240" s="8" t="str">
        <f t="shared" ref="AA240:AA241" si="3211">IF(AA$8="","",Z240)</f>
        <v/>
      </c>
      <c r="AB240" s="8" t="str">
        <f t="shared" ref="AB240:AB241" si="3212">IF(AB$8="","",AA240)</f>
        <v/>
      </c>
      <c r="AC240" s="8" t="str">
        <f t="shared" ref="AC240:AC241" si="3213">IF(AC$8="","",AB240)</f>
        <v/>
      </c>
      <c r="AD240" s="8" t="str">
        <f t="shared" ref="AD240:AD241" si="3214">IF(AD$8="","",AC240)</f>
        <v/>
      </c>
      <c r="AE240" s="8" t="str">
        <f t="shared" ref="AE240:AE241" si="3215">IF(AE$8="","",AD240)</f>
        <v/>
      </c>
      <c r="AF240" s="8" t="str">
        <f t="shared" ref="AF240:AF241" si="3216">IF(AF$8="","",AE240)</f>
        <v/>
      </c>
      <c r="AG240" s="8" t="str">
        <f t="shared" ref="AG240:AG241" si="3217">IF(AG$8="","",AF240)</f>
        <v/>
      </c>
      <c r="AH240" s="8" t="str">
        <f t="shared" ref="AH240:AH241" si="3218">IF(AH$8="","",AG240)</f>
        <v/>
      </c>
      <c r="AI240" s="8" t="str">
        <f t="shared" ref="AI240:AI241" si="3219">IF(AI$8="","",AH240)</f>
        <v/>
      </c>
      <c r="AJ240" s="8" t="str">
        <f t="shared" ref="AJ240:AJ241" si="3220">IF(AJ$8="","",AI240)</f>
        <v/>
      </c>
      <c r="AK240" s="8" t="str">
        <f t="shared" ref="AK240:AK241" si="3221">IF(AK$8="","",AJ240)</f>
        <v/>
      </c>
      <c r="AL240" s="8" t="str">
        <f t="shared" ref="AL240:AL241" si="3222">IF(AL$8="","",AK240)</f>
        <v/>
      </c>
      <c r="AM240" s="8" t="str">
        <f t="shared" ref="AM240:AM241" si="3223">IF(AM$8="","",AL240)</f>
        <v/>
      </c>
      <c r="AN240" s="8" t="str">
        <f t="shared" ref="AN240:AN241" si="3224">IF(AN$8="","",AM240)</f>
        <v/>
      </c>
      <c r="AO240" s="8" t="str">
        <f t="shared" ref="AO240:AS240" si="3225">IF(AO$8="","",AN240)</f>
        <v/>
      </c>
      <c r="AP240" s="8" t="str">
        <f t="shared" si="3225"/>
        <v/>
      </c>
      <c r="AQ240" s="8" t="str">
        <f t="shared" si="3225"/>
        <v/>
      </c>
      <c r="AR240" s="8" t="str">
        <f t="shared" si="3225"/>
        <v/>
      </c>
      <c r="AS240" s="8" t="str">
        <f t="shared" si="3225"/>
        <v/>
      </c>
    </row>
    <row r="241" spans="1:45" s="85" customFormat="1" ht="11.25" x14ac:dyDescent="0.15">
      <c r="A241" s="14" t="s">
        <v>9</v>
      </c>
      <c r="B241" s="13" t="s">
        <v>10</v>
      </c>
      <c r="C241" s="66" t="s">
        <v>58</v>
      </c>
      <c r="D241" s="12" t="s">
        <v>58</v>
      </c>
      <c r="E241" s="12" t="s">
        <v>58</v>
      </c>
      <c r="F241" s="12" t="s">
        <v>58</v>
      </c>
      <c r="G241" s="12" t="s">
        <v>58</v>
      </c>
      <c r="H241" s="12" t="s">
        <v>58</v>
      </c>
      <c r="I241" s="12" t="s">
        <v>58</v>
      </c>
      <c r="J241" s="12" t="str">
        <f t="shared" si="3194"/>
        <v>ボンドロ</v>
      </c>
      <c r="K241" s="12" t="str">
        <f t="shared" si="3195"/>
        <v>ボンドロ</v>
      </c>
      <c r="L241" s="12" t="str">
        <f t="shared" si="3196"/>
        <v>ボンドロ</v>
      </c>
      <c r="M241" s="12" t="str">
        <f t="shared" si="3197"/>
        <v/>
      </c>
      <c r="N241" s="12" t="str">
        <f t="shared" si="3198"/>
        <v/>
      </c>
      <c r="O241" s="12" t="str">
        <f t="shared" si="3199"/>
        <v/>
      </c>
      <c r="P241" s="12" t="str">
        <f t="shared" si="3200"/>
        <v/>
      </c>
      <c r="Q241" s="12" t="str">
        <f t="shared" si="3201"/>
        <v/>
      </c>
      <c r="R241" s="12" t="str">
        <f t="shared" si="3202"/>
        <v/>
      </c>
      <c r="S241" s="12" t="str">
        <f t="shared" si="3203"/>
        <v/>
      </c>
      <c r="T241" s="12" t="str">
        <f t="shared" si="3204"/>
        <v/>
      </c>
      <c r="U241" s="12" t="str">
        <f t="shared" si="3205"/>
        <v/>
      </c>
      <c r="V241" s="12" t="str">
        <f t="shared" si="3206"/>
        <v/>
      </c>
      <c r="W241" s="12" t="str">
        <f t="shared" si="3207"/>
        <v/>
      </c>
      <c r="X241" s="12" t="str">
        <f t="shared" si="3208"/>
        <v/>
      </c>
      <c r="Y241" s="12" t="str">
        <f t="shared" si="3209"/>
        <v/>
      </c>
      <c r="Z241" s="12" t="str">
        <f t="shared" si="3210"/>
        <v/>
      </c>
      <c r="AA241" s="12" t="str">
        <f t="shared" si="3211"/>
        <v/>
      </c>
      <c r="AB241" s="12" t="str">
        <f t="shared" si="3212"/>
        <v/>
      </c>
      <c r="AC241" s="12" t="str">
        <f t="shared" si="3213"/>
        <v/>
      </c>
      <c r="AD241" s="12" t="str">
        <f t="shared" si="3214"/>
        <v/>
      </c>
      <c r="AE241" s="12" t="str">
        <f t="shared" si="3215"/>
        <v/>
      </c>
      <c r="AF241" s="12" t="str">
        <f t="shared" si="3216"/>
        <v/>
      </c>
      <c r="AG241" s="12" t="str">
        <f t="shared" si="3217"/>
        <v/>
      </c>
      <c r="AH241" s="12" t="str">
        <f t="shared" si="3218"/>
        <v/>
      </c>
      <c r="AI241" s="12" t="str">
        <f t="shared" si="3219"/>
        <v/>
      </c>
      <c r="AJ241" s="12" t="str">
        <f t="shared" si="3220"/>
        <v/>
      </c>
      <c r="AK241" s="12" t="str">
        <f t="shared" si="3221"/>
        <v/>
      </c>
      <c r="AL241" s="12" t="str">
        <f t="shared" si="3222"/>
        <v/>
      </c>
      <c r="AM241" s="12" t="str">
        <f t="shared" si="3223"/>
        <v/>
      </c>
      <c r="AN241" s="12" t="str">
        <f t="shared" si="3224"/>
        <v/>
      </c>
      <c r="AO241" s="12" t="str">
        <f t="shared" ref="AO241:AS241" si="3226">IF(AO$8="","",AN241)</f>
        <v/>
      </c>
      <c r="AP241" s="12" t="str">
        <f t="shared" si="3226"/>
        <v/>
      </c>
      <c r="AQ241" s="12" t="str">
        <f t="shared" si="3226"/>
        <v/>
      </c>
      <c r="AR241" s="12" t="str">
        <f t="shared" si="3226"/>
        <v/>
      </c>
      <c r="AS241" s="12" t="str">
        <f t="shared" si="3226"/>
        <v/>
      </c>
    </row>
    <row r="242" spans="1:45" s="1" customFormat="1" ht="11.25" x14ac:dyDescent="0.15">
      <c r="A242" s="7">
        <f>AVERAGE(C243:AS243)*30*100</f>
        <v>133200</v>
      </c>
      <c r="B242" s="9" t="s">
        <v>12</v>
      </c>
      <c r="C242" s="65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</row>
    <row r="243" spans="1:45" s="1" customFormat="1" ht="11.25" x14ac:dyDescent="0.15">
      <c r="A243" s="7">
        <f>SUM(C243:AS243)</f>
        <v>444</v>
      </c>
      <c r="B243" s="6" t="s">
        <v>13</v>
      </c>
      <c r="C243" s="65">
        <v>0</v>
      </c>
      <c r="D243" s="5">
        <v>0</v>
      </c>
      <c r="E243" s="5">
        <v>127</v>
      </c>
      <c r="F243" s="5">
        <v>0</v>
      </c>
      <c r="G243" s="5">
        <v>0</v>
      </c>
      <c r="H243" s="5">
        <v>0</v>
      </c>
      <c r="I243" s="5">
        <v>118</v>
      </c>
      <c r="J243" s="5">
        <f t="shared" ref="J243:J244" si="3227">IF(J$8="","",J236-I236)</f>
        <v>0</v>
      </c>
      <c r="K243" s="5">
        <f t="shared" ref="K243:K244" si="3228">IF(K$8="","",K236-J236)</f>
        <v>0</v>
      </c>
      <c r="L243" s="5">
        <f t="shared" ref="L243:L244" si="3229">IF(L$8="","",L236-K236)</f>
        <v>199</v>
      </c>
      <c r="M243" s="5" t="str">
        <f t="shared" ref="M243:M244" si="3230">IF(M$8="","",M236-L236)</f>
        <v/>
      </c>
      <c r="N243" s="5" t="str">
        <f t="shared" ref="N243:N244" si="3231">IF(N$8="","",N236-M236)</f>
        <v/>
      </c>
      <c r="O243" s="5" t="str">
        <f t="shared" ref="O243:O244" si="3232">IF(O$8="","",O236-N236)</f>
        <v/>
      </c>
      <c r="P243" s="5" t="str">
        <f t="shared" ref="P243:P244" si="3233">IF(P$8="","",P236-O236)</f>
        <v/>
      </c>
      <c r="Q243" s="5" t="str">
        <f t="shared" ref="Q243:Q244" si="3234">IF(Q$8="","",Q236-P236)</f>
        <v/>
      </c>
      <c r="R243" s="5" t="str">
        <f t="shared" ref="R243:R244" si="3235">IF(R$8="","",R236-Q236)</f>
        <v/>
      </c>
      <c r="S243" s="5" t="str">
        <f t="shared" ref="S243:S244" si="3236">IF(S$8="","",S236-R236)</f>
        <v/>
      </c>
      <c r="T243" s="5" t="str">
        <f t="shared" ref="T243:T244" si="3237">IF(T$8="","",T236-S236)</f>
        <v/>
      </c>
      <c r="U243" s="5" t="str">
        <f t="shared" ref="U243:U244" si="3238">IF(U$8="","",U236-T236)</f>
        <v/>
      </c>
      <c r="V243" s="5" t="str">
        <f t="shared" ref="V243:V244" si="3239">IF(V$8="","",V236-U236)</f>
        <v/>
      </c>
      <c r="W243" s="5" t="str">
        <f t="shared" ref="W243:W244" si="3240">IF(W$8="","",W236-V236)</f>
        <v/>
      </c>
      <c r="X243" s="5" t="str">
        <f t="shared" ref="X243:X244" si="3241">IF(X$8="","",X236-W236)</f>
        <v/>
      </c>
      <c r="Y243" s="5" t="str">
        <f t="shared" ref="Y243:Y244" si="3242">IF(Y$8="","",Y236-X236)</f>
        <v/>
      </c>
      <c r="Z243" s="5" t="str">
        <f t="shared" ref="Z243:Z244" si="3243">IF(Z$8="","",Z236-Y236)</f>
        <v/>
      </c>
      <c r="AA243" s="5" t="str">
        <f t="shared" ref="AA243:AA244" si="3244">IF(AA$8="","",AA236-Z236)</f>
        <v/>
      </c>
      <c r="AB243" s="5" t="str">
        <f t="shared" ref="AB243:AB244" si="3245">IF(AB$8="","",AB236-AA236)</f>
        <v/>
      </c>
      <c r="AC243" s="5" t="str">
        <f t="shared" ref="AC243:AC244" si="3246">IF(AC$8="","",AC236-AB236)</f>
        <v/>
      </c>
      <c r="AD243" s="5" t="str">
        <f t="shared" ref="AD243:AD244" si="3247">IF(AD$8="","",AD236-AC236)</f>
        <v/>
      </c>
      <c r="AE243" s="5" t="str">
        <f t="shared" ref="AE243:AE244" si="3248">IF(AE$8="","",AE236-AD236)</f>
        <v/>
      </c>
      <c r="AF243" s="5" t="str">
        <f t="shared" ref="AF243:AF244" si="3249">IF(AF$8="","",AF236-AE236)</f>
        <v/>
      </c>
      <c r="AG243" s="5" t="str">
        <f t="shared" ref="AG243:AG244" si="3250">IF(AG$8="","",AG236-AF236)</f>
        <v/>
      </c>
      <c r="AH243" s="5" t="str">
        <f t="shared" ref="AH243:AH244" si="3251">IF(AH$8="","",AH236-AG236)</f>
        <v/>
      </c>
      <c r="AI243" s="5" t="str">
        <f t="shared" ref="AI243:AI244" si="3252">IF(AI$8="","",AI236-AH236)</f>
        <v/>
      </c>
      <c r="AJ243" s="5" t="str">
        <f t="shared" ref="AJ243:AJ244" si="3253">IF(AJ$8="","",AJ236-AI236)</f>
        <v/>
      </c>
      <c r="AK243" s="5" t="str">
        <f t="shared" ref="AK243:AK244" si="3254">IF(AK$8="","",AK236-AJ236)</f>
        <v/>
      </c>
      <c r="AL243" s="5" t="str">
        <f t="shared" ref="AL243:AL244" si="3255">IF(AL$8="","",AL236-AK236)</f>
        <v/>
      </c>
      <c r="AM243" s="5" t="str">
        <f t="shared" ref="AM243:AM244" si="3256">IF(AM$8="","",AM236-AL236)</f>
        <v/>
      </c>
      <c r="AN243" s="5" t="str">
        <f t="shared" ref="AN243:AN244" si="3257">IF(AN$8="","",AN236-AM236)</f>
        <v/>
      </c>
      <c r="AO243" s="5" t="str">
        <f t="shared" ref="AO243:AS243" si="3258">IF(AO$8="","",AO236-AN236)</f>
        <v/>
      </c>
      <c r="AP243" s="5" t="str">
        <f t="shared" si="3258"/>
        <v/>
      </c>
      <c r="AQ243" s="5" t="str">
        <f t="shared" si="3258"/>
        <v/>
      </c>
      <c r="AR243" s="5" t="str">
        <f t="shared" si="3258"/>
        <v/>
      </c>
      <c r="AS243" s="5" t="str">
        <f t="shared" si="3258"/>
        <v/>
      </c>
    </row>
    <row r="244" spans="1:45" s="1" customFormat="1" ht="11.25" x14ac:dyDescent="0.15">
      <c r="A244" s="7">
        <f>SUM(C244:AS244)</f>
        <v>3</v>
      </c>
      <c r="B244" s="6" t="s">
        <v>14</v>
      </c>
      <c r="C244" s="65">
        <v>0</v>
      </c>
      <c r="D244" s="5">
        <v>0</v>
      </c>
      <c r="E244" s="5">
        <v>2</v>
      </c>
      <c r="F244" s="5">
        <v>0</v>
      </c>
      <c r="G244" s="5">
        <v>0</v>
      </c>
      <c r="H244" s="5">
        <v>0</v>
      </c>
      <c r="I244" s="5">
        <v>0</v>
      </c>
      <c r="J244" s="5">
        <f t="shared" si="3227"/>
        <v>0</v>
      </c>
      <c r="K244" s="5">
        <f t="shared" si="3228"/>
        <v>0</v>
      </c>
      <c r="L244" s="5">
        <f t="shared" si="3229"/>
        <v>1</v>
      </c>
      <c r="M244" s="5" t="str">
        <f t="shared" si="3230"/>
        <v/>
      </c>
      <c r="N244" s="5" t="str">
        <f t="shared" si="3231"/>
        <v/>
      </c>
      <c r="O244" s="5" t="str">
        <f t="shared" si="3232"/>
        <v/>
      </c>
      <c r="P244" s="5" t="str">
        <f t="shared" si="3233"/>
        <v/>
      </c>
      <c r="Q244" s="5" t="str">
        <f t="shared" si="3234"/>
        <v/>
      </c>
      <c r="R244" s="5" t="str">
        <f t="shared" si="3235"/>
        <v/>
      </c>
      <c r="S244" s="5" t="str">
        <f t="shared" si="3236"/>
        <v/>
      </c>
      <c r="T244" s="5" t="str">
        <f t="shared" si="3237"/>
        <v/>
      </c>
      <c r="U244" s="5" t="str">
        <f t="shared" si="3238"/>
        <v/>
      </c>
      <c r="V244" s="5" t="str">
        <f t="shared" si="3239"/>
        <v/>
      </c>
      <c r="W244" s="5" t="str">
        <f t="shared" si="3240"/>
        <v/>
      </c>
      <c r="X244" s="5" t="str">
        <f t="shared" si="3241"/>
        <v/>
      </c>
      <c r="Y244" s="5" t="str">
        <f t="shared" si="3242"/>
        <v/>
      </c>
      <c r="Z244" s="5" t="str">
        <f t="shared" si="3243"/>
        <v/>
      </c>
      <c r="AA244" s="5" t="str">
        <f t="shared" si="3244"/>
        <v/>
      </c>
      <c r="AB244" s="5" t="str">
        <f t="shared" si="3245"/>
        <v/>
      </c>
      <c r="AC244" s="5" t="str">
        <f t="shared" si="3246"/>
        <v/>
      </c>
      <c r="AD244" s="5" t="str">
        <f t="shared" si="3247"/>
        <v/>
      </c>
      <c r="AE244" s="5" t="str">
        <f t="shared" si="3248"/>
        <v/>
      </c>
      <c r="AF244" s="5" t="str">
        <f t="shared" si="3249"/>
        <v/>
      </c>
      <c r="AG244" s="5" t="str">
        <f t="shared" si="3250"/>
        <v/>
      </c>
      <c r="AH244" s="5" t="str">
        <f t="shared" si="3251"/>
        <v/>
      </c>
      <c r="AI244" s="5" t="str">
        <f t="shared" si="3252"/>
        <v/>
      </c>
      <c r="AJ244" s="5" t="str">
        <f t="shared" si="3253"/>
        <v/>
      </c>
      <c r="AK244" s="5" t="str">
        <f t="shared" si="3254"/>
        <v/>
      </c>
      <c r="AL244" s="5" t="str">
        <f t="shared" si="3255"/>
        <v/>
      </c>
      <c r="AM244" s="5" t="str">
        <f t="shared" si="3256"/>
        <v/>
      </c>
      <c r="AN244" s="5" t="str">
        <f t="shared" si="3257"/>
        <v/>
      </c>
      <c r="AO244" s="5" t="str">
        <f t="shared" ref="AO244:AS244" si="3259">IF(AO$8="","",AO237-AN237)</f>
        <v/>
      </c>
      <c r="AP244" s="5" t="str">
        <f t="shared" si="3259"/>
        <v/>
      </c>
      <c r="AQ244" s="5" t="str">
        <f t="shared" si="3259"/>
        <v/>
      </c>
      <c r="AR244" s="5" t="str">
        <f t="shared" si="3259"/>
        <v/>
      </c>
      <c r="AS244" s="5" t="str">
        <f t="shared" si="3259"/>
        <v/>
      </c>
    </row>
    <row r="245" spans="1:45" s="1" customFormat="1" ht="11.25" x14ac:dyDescent="0.15">
      <c r="A245" s="7">
        <f>SUM(C245:AS245)</f>
        <v>3</v>
      </c>
      <c r="B245" s="6" t="s">
        <v>15</v>
      </c>
      <c r="C245" s="65">
        <v>0</v>
      </c>
      <c r="D245" s="5">
        <v>0</v>
      </c>
      <c r="E245" s="5">
        <v>2</v>
      </c>
      <c r="F245" s="5">
        <v>0</v>
      </c>
      <c r="G245" s="5">
        <v>0</v>
      </c>
      <c r="H245" s="5">
        <v>0</v>
      </c>
      <c r="I245" s="5">
        <v>0</v>
      </c>
      <c r="J245" s="5">
        <f t="shared" ref="J245" si="3260">IF(J$8="","",I238+I239-J238)</f>
        <v>0</v>
      </c>
      <c r="K245" s="5">
        <f t="shared" ref="K245" si="3261">IF(K$8="","",J238+J239-K238)</f>
        <v>0</v>
      </c>
      <c r="L245" s="5">
        <f t="shared" ref="L245" si="3262">IF(L$8="","",K238+K239-L238)</f>
        <v>1</v>
      </c>
      <c r="M245" s="5" t="str">
        <f t="shared" ref="M245" si="3263">IF(M$8="","",L238+L239-M238)</f>
        <v/>
      </c>
      <c r="N245" s="5" t="str">
        <f t="shared" ref="N245" si="3264">IF(N$8="","",M238+M239-N238)</f>
        <v/>
      </c>
      <c r="O245" s="5" t="str">
        <f t="shared" ref="O245" si="3265">IF(O$8="","",N238+N239-O238)</f>
        <v/>
      </c>
      <c r="P245" s="5" t="str">
        <f t="shared" ref="P245" si="3266">IF(P$8="","",O238+O239-P238)</f>
        <v/>
      </c>
      <c r="Q245" s="5" t="str">
        <f t="shared" ref="Q245" si="3267">IF(Q$8="","",P238+P239-Q238)</f>
        <v/>
      </c>
      <c r="R245" s="5" t="str">
        <f t="shared" ref="R245" si="3268">IF(R$8="","",Q238+Q239-R238)</f>
        <v/>
      </c>
      <c r="S245" s="5" t="str">
        <f t="shared" ref="S245" si="3269">IF(S$8="","",R238+R239-S238)</f>
        <v/>
      </c>
      <c r="T245" s="5" t="str">
        <f t="shared" ref="T245" si="3270">IF(T$8="","",S238+S239-T238)</f>
        <v/>
      </c>
      <c r="U245" s="5" t="str">
        <f t="shared" ref="U245" si="3271">IF(U$8="","",T238+T239-U238)</f>
        <v/>
      </c>
      <c r="V245" s="5" t="str">
        <f t="shared" ref="V245" si="3272">IF(V$8="","",U238+U239-V238)</f>
        <v/>
      </c>
      <c r="W245" s="5" t="str">
        <f t="shared" ref="W245" si="3273">IF(W$8="","",V238+V239-W238)</f>
        <v/>
      </c>
      <c r="X245" s="5" t="str">
        <f t="shared" ref="X245" si="3274">IF(X$8="","",W238+W239-X238)</f>
        <v/>
      </c>
      <c r="Y245" s="5" t="str">
        <f t="shared" ref="Y245" si="3275">IF(Y$8="","",X238+X239-Y238)</f>
        <v/>
      </c>
      <c r="Z245" s="5" t="str">
        <f t="shared" ref="Z245" si="3276">IF(Z$8="","",Y238+Y239-Z238)</f>
        <v/>
      </c>
      <c r="AA245" s="5" t="str">
        <f t="shared" ref="AA245" si="3277">IF(AA$8="","",Z238+Z239-AA238)</f>
        <v/>
      </c>
      <c r="AB245" s="5" t="str">
        <f t="shared" ref="AB245" si="3278">IF(AB$8="","",AA238+AA239-AB238)</f>
        <v/>
      </c>
      <c r="AC245" s="5" t="str">
        <f t="shared" ref="AC245" si="3279">IF(AC$8="","",AB238+AB239-AC238)</f>
        <v/>
      </c>
      <c r="AD245" s="5" t="str">
        <f t="shared" ref="AD245" si="3280">IF(AD$8="","",AC238+AC239-AD238)</f>
        <v/>
      </c>
      <c r="AE245" s="5" t="str">
        <f t="shared" ref="AE245" si="3281">IF(AE$8="","",AD238+AD239-AE238)</f>
        <v/>
      </c>
      <c r="AF245" s="5" t="str">
        <f t="shared" ref="AF245" si="3282">IF(AF$8="","",AE238+AE239-AF238)</f>
        <v/>
      </c>
      <c r="AG245" s="5" t="str">
        <f t="shared" ref="AG245" si="3283">IF(AG$8="","",AF238+AF239-AG238)</f>
        <v/>
      </c>
      <c r="AH245" s="5" t="str">
        <f t="shared" ref="AH245" si="3284">IF(AH$8="","",AG238+AG239-AH238)</f>
        <v/>
      </c>
      <c r="AI245" s="5" t="str">
        <f t="shared" ref="AI245" si="3285">IF(AI$8="","",AH238+AH239-AI238)</f>
        <v/>
      </c>
      <c r="AJ245" s="5" t="str">
        <f t="shared" ref="AJ245" si="3286">IF(AJ$8="","",AI238+AI239-AJ238)</f>
        <v/>
      </c>
      <c r="AK245" s="5" t="str">
        <f t="shared" ref="AK245" si="3287">IF(AK$8="","",AJ238+AJ239-AK238)</f>
        <v/>
      </c>
      <c r="AL245" s="5" t="str">
        <f t="shared" ref="AL245" si="3288">IF(AL$8="","",AK238+AK239-AL238)</f>
        <v/>
      </c>
      <c r="AM245" s="5" t="str">
        <f t="shared" ref="AM245" si="3289">IF(AM$8="","",AL238+AL239-AM238)</f>
        <v/>
      </c>
      <c r="AN245" s="5" t="str">
        <f t="shared" ref="AN245" si="3290">IF(AN$8="","",AM238+AM239-AN238)</f>
        <v/>
      </c>
      <c r="AO245" s="5" t="str">
        <f t="shared" ref="AO245:AS245" si="3291">IF(AO$8="","",AN238+AN239-AO238)</f>
        <v/>
      </c>
      <c r="AP245" s="5" t="str">
        <f t="shared" si="3291"/>
        <v/>
      </c>
      <c r="AQ245" s="5" t="str">
        <f t="shared" si="3291"/>
        <v/>
      </c>
      <c r="AR245" s="5" t="str">
        <f t="shared" si="3291"/>
        <v/>
      </c>
      <c r="AS245" s="5" t="str">
        <f t="shared" si="3291"/>
        <v/>
      </c>
    </row>
    <row r="246" spans="1:45" s="1" customFormat="1" ht="11.25" x14ac:dyDescent="0.15">
      <c r="A246" s="7">
        <f>SUM(C246:AS246)</f>
        <v>1800</v>
      </c>
      <c r="B246" s="6" t="s">
        <v>16</v>
      </c>
      <c r="C246" s="65">
        <v>0</v>
      </c>
      <c r="D246" s="5">
        <v>0</v>
      </c>
      <c r="E246" s="5">
        <v>1200</v>
      </c>
      <c r="F246" s="5">
        <v>0</v>
      </c>
      <c r="G246" s="5">
        <v>0</v>
      </c>
      <c r="H246" s="5">
        <v>0</v>
      </c>
      <c r="I246" s="5">
        <v>0</v>
      </c>
      <c r="J246" s="5">
        <f t="shared" ref="D246:AN246" si="3292">IF(J$8="","",J245*J240)</f>
        <v>0</v>
      </c>
      <c r="K246" s="5">
        <f t="shared" si="3292"/>
        <v>0</v>
      </c>
      <c r="L246" s="5">
        <f t="shared" si="3292"/>
        <v>600</v>
      </c>
      <c r="M246" s="5" t="str">
        <f t="shared" si="3292"/>
        <v/>
      </c>
      <c r="N246" s="5" t="str">
        <f t="shared" si="3292"/>
        <v/>
      </c>
      <c r="O246" s="5" t="str">
        <f t="shared" si="3292"/>
        <v/>
      </c>
      <c r="P246" s="5" t="str">
        <f t="shared" si="3292"/>
        <v/>
      </c>
      <c r="Q246" s="5" t="str">
        <f t="shared" si="3292"/>
        <v/>
      </c>
      <c r="R246" s="5" t="str">
        <f t="shared" si="3292"/>
        <v/>
      </c>
      <c r="S246" s="5" t="str">
        <f t="shared" si="3292"/>
        <v/>
      </c>
      <c r="T246" s="5" t="str">
        <f t="shared" si="3292"/>
        <v/>
      </c>
      <c r="U246" s="5" t="str">
        <f t="shared" si="3292"/>
        <v/>
      </c>
      <c r="V246" s="5" t="str">
        <f t="shared" si="3292"/>
        <v/>
      </c>
      <c r="W246" s="5" t="str">
        <f t="shared" si="3292"/>
        <v/>
      </c>
      <c r="X246" s="5" t="str">
        <f t="shared" si="3292"/>
        <v/>
      </c>
      <c r="Y246" s="5" t="str">
        <f t="shared" si="3292"/>
        <v/>
      </c>
      <c r="Z246" s="5" t="str">
        <f t="shared" si="3292"/>
        <v/>
      </c>
      <c r="AA246" s="5" t="str">
        <f t="shared" si="3292"/>
        <v/>
      </c>
      <c r="AB246" s="5" t="str">
        <f t="shared" si="3292"/>
        <v/>
      </c>
      <c r="AC246" s="5" t="str">
        <f t="shared" si="3292"/>
        <v/>
      </c>
      <c r="AD246" s="5" t="str">
        <f t="shared" si="3292"/>
        <v/>
      </c>
      <c r="AE246" s="5" t="str">
        <f t="shared" si="3292"/>
        <v/>
      </c>
      <c r="AF246" s="5" t="str">
        <f t="shared" si="3292"/>
        <v/>
      </c>
      <c r="AG246" s="5" t="str">
        <f t="shared" si="3292"/>
        <v/>
      </c>
      <c r="AH246" s="5" t="str">
        <f t="shared" si="3292"/>
        <v/>
      </c>
      <c r="AI246" s="5" t="str">
        <f t="shared" si="3292"/>
        <v/>
      </c>
      <c r="AJ246" s="5" t="str">
        <f t="shared" si="3292"/>
        <v/>
      </c>
      <c r="AK246" s="5" t="str">
        <f t="shared" si="3292"/>
        <v/>
      </c>
      <c r="AL246" s="5" t="str">
        <f t="shared" si="3292"/>
        <v/>
      </c>
      <c r="AM246" s="5" t="str">
        <f t="shared" si="3292"/>
        <v/>
      </c>
      <c r="AN246" s="5" t="str">
        <f t="shared" si="3292"/>
        <v/>
      </c>
      <c r="AO246" s="5" t="str">
        <f t="shared" ref="AO246:AS246" si="3293">IF(AO$8="","",AO245*AO240)</f>
        <v/>
      </c>
      <c r="AP246" s="5" t="str">
        <f t="shared" si="3293"/>
        <v/>
      </c>
      <c r="AQ246" s="5" t="str">
        <f t="shared" si="3293"/>
        <v/>
      </c>
      <c r="AR246" s="5" t="str">
        <f t="shared" si="3293"/>
        <v/>
      </c>
      <c r="AS246" s="5" t="str">
        <f t="shared" si="3293"/>
        <v/>
      </c>
    </row>
    <row r="247" spans="1:45" s="1" customFormat="1" ht="12" thickBot="1" x14ac:dyDescent="0.2">
      <c r="A247" s="4">
        <f>IF(A246="","",A246/(A243*100))</f>
        <v>4.0540540540540543E-2</v>
      </c>
      <c r="B247" s="3" t="s">
        <v>18</v>
      </c>
      <c r="C247" s="68" t="s">
        <v>19</v>
      </c>
      <c r="D247" s="2" t="s">
        <v>19</v>
      </c>
      <c r="E247" s="2">
        <v>9.4488188976377951E-2</v>
      </c>
      <c r="F247" s="2" t="s">
        <v>19</v>
      </c>
      <c r="G247" s="2" t="s">
        <v>19</v>
      </c>
      <c r="H247" s="2" t="s">
        <v>19</v>
      </c>
      <c r="I247" s="2" t="s">
        <v>19</v>
      </c>
      <c r="J247" s="2" t="str">
        <f t="shared" ref="D247:AN247" si="3294">IF(J$8="","",IF(J246=0,"",J246/(J243*100)))</f>
        <v/>
      </c>
      <c r="K247" s="2" t="str">
        <f t="shared" si="3294"/>
        <v/>
      </c>
      <c r="L247" s="2">
        <f t="shared" si="3294"/>
        <v>3.015075376884422E-2</v>
      </c>
      <c r="M247" s="2" t="str">
        <f t="shared" si="3294"/>
        <v/>
      </c>
      <c r="N247" s="2" t="str">
        <f t="shared" si="3294"/>
        <v/>
      </c>
      <c r="O247" s="2" t="str">
        <f t="shared" si="3294"/>
        <v/>
      </c>
      <c r="P247" s="2" t="str">
        <f t="shared" si="3294"/>
        <v/>
      </c>
      <c r="Q247" s="2" t="str">
        <f t="shared" si="3294"/>
        <v/>
      </c>
      <c r="R247" s="2" t="str">
        <f t="shared" si="3294"/>
        <v/>
      </c>
      <c r="S247" s="2" t="str">
        <f t="shared" si="3294"/>
        <v/>
      </c>
      <c r="T247" s="2" t="str">
        <f t="shared" si="3294"/>
        <v/>
      </c>
      <c r="U247" s="2" t="str">
        <f t="shared" si="3294"/>
        <v/>
      </c>
      <c r="V247" s="2" t="str">
        <f t="shared" si="3294"/>
        <v/>
      </c>
      <c r="W247" s="2" t="str">
        <f t="shared" si="3294"/>
        <v/>
      </c>
      <c r="X247" s="2" t="str">
        <f t="shared" si="3294"/>
        <v/>
      </c>
      <c r="Y247" s="2" t="str">
        <f t="shared" si="3294"/>
        <v/>
      </c>
      <c r="Z247" s="2" t="str">
        <f t="shared" si="3294"/>
        <v/>
      </c>
      <c r="AA247" s="2" t="str">
        <f t="shared" si="3294"/>
        <v/>
      </c>
      <c r="AB247" s="2" t="str">
        <f t="shared" si="3294"/>
        <v/>
      </c>
      <c r="AC247" s="2" t="str">
        <f t="shared" si="3294"/>
        <v/>
      </c>
      <c r="AD247" s="2" t="str">
        <f t="shared" si="3294"/>
        <v/>
      </c>
      <c r="AE247" s="2" t="str">
        <f t="shared" si="3294"/>
        <v/>
      </c>
      <c r="AF247" s="2" t="str">
        <f t="shared" si="3294"/>
        <v/>
      </c>
      <c r="AG247" s="2" t="str">
        <f t="shared" si="3294"/>
        <v/>
      </c>
      <c r="AH247" s="2" t="str">
        <f t="shared" si="3294"/>
        <v/>
      </c>
      <c r="AI247" s="2" t="str">
        <f t="shared" si="3294"/>
        <v/>
      </c>
      <c r="AJ247" s="2" t="str">
        <f t="shared" si="3294"/>
        <v/>
      </c>
      <c r="AK247" s="2" t="str">
        <f t="shared" si="3294"/>
        <v/>
      </c>
      <c r="AL247" s="2" t="str">
        <f t="shared" si="3294"/>
        <v/>
      </c>
      <c r="AM247" s="2" t="str">
        <f t="shared" si="3294"/>
        <v/>
      </c>
      <c r="AN247" s="2" t="str">
        <f t="shared" si="3294"/>
        <v/>
      </c>
      <c r="AO247" s="2" t="str">
        <f t="shared" ref="AO247:AS247" si="3295">IF(AO$8="","",IF(AO246=0,"",AO246/(AO243*100)))</f>
        <v/>
      </c>
      <c r="AP247" s="2" t="str">
        <f t="shared" si="3295"/>
        <v/>
      </c>
      <c r="AQ247" s="2" t="str">
        <f t="shared" si="3295"/>
        <v/>
      </c>
      <c r="AR247" s="2" t="str">
        <f t="shared" si="3295"/>
        <v/>
      </c>
      <c r="AS247" s="2" t="str">
        <f t="shared" si="3295"/>
        <v/>
      </c>
    </row>
  </sheetData>
  <phoneticPr fontId="2"/>
  <conditionalFormatting sqref="A19">
    <cfRule type="cellIs" dxfId="94" priority="2" operator="greaterThan">
      <formula>0.25</formula>
    </cfRule>
  </conditionalFormatting>
  <conditionalFormatting sqref="A31">
    <cfRule type="cellIs" dxfId="93" priority="5" operator="greaterThan">
      <formula>0.25</formula>
    </cfRule>
  </conditionalFormatting>
  <conditionalFormatting sqref="A43">
    <cfRule type="cellIs" dxfId="92" priority="1" operator="greaterThan">
      <formula>0.25</formula>
    </cfRule>
  </conditionalFormatting>
  <conditionalFormatting sqref="A55">
    <cfRule type="cellIs" dxfId="91" priority="6" operator="greaterThan">
      <formula>0.25</formula>
    </cfRule>
  </conditionalFormatting>
  <conditionalFormatting sqref="A67">
    <cfRule type="cellIs" dxfId="90" priority="3" operator="greaterThan">
      <formula>0.25</formula>
    </cfRule>
  </conditionalFormatting>
  <conditionalFormatting sqref="A79">
    <cfRule type="cellIs" dxfId="89" priority="7" operator="greaterThan">
      <formula>0.25</formula>
    </cfRule>
  </conditionalFormatting>
  <conditionalFormatting sqref="A91">
    <cfRule type="cellIs" dxfId="88" priority="8" operator="greaterThan">
      <formula>0.25</formula>
    </cfRule>
  </conditionalFormatting>
  <conditionalFormatting sqref="A103">
    <cfRule type="cellIs" dxfId="87" priority="9" operator="greaterThan">
      <formula>0.25</formula>
    </cfRule>
  </conditionalFormatting>
  <conditionalFormatting sqref="A115">
    <cfRule type="cellIs" dxfId="86" priority="4" operator="greaterThan">
      <formula>0.25</formula>
    </cfRule>
  </conditionalFormatting>
  <conditionalFormatting sqref="A127">
    <cfRule type="cellIs" dxfId="85" priority="10" operator="greaterThan">
      <formula>0.25</formula>
    </cfRule>
  </conditionalFormatting>
  <conditionalFormatting sqref="A139">
    <cfRule type="cellIs" dxfId="84" priority="11" operator="greaterThan">
      <formula>0.25</formula>
    </cfRule>
  </conditionalFormatting>
  <conditionalFormatting sqref="A151">
    <cfRule type="cellIs" dxfId="83" priority="12" operator="greaterThan">
      <formula>0.25</formula>
    </cfRule>
  </conditionalFormatting>
  <conditionalFormatting sqref="A163">
    <cfRule type="cellIs" dxfId="82" priority="13" operator="greaterThan">
      <formula>0.25</formula>
    </cfRule>
  </conditionalFormatting>
  <conditionalFormatting sqref="A175">
    <cfRule type="cellIs" dxfId="81" priority="14" operator="greaterThan">
      <formula>0.25</formula>
    </cfRule>
  </conditionalFormatting>
  <conditionalFormatting sqref="A187">
    <cfRule type="cellIs" dxfId="80" priority="15" operator="greaterThan">
      <formula>0.25</formula>
    </cfRule>
  </conditionalFormatting>
  <conditionalFormatting sqref="A199">
    <cfRule type="cellIs" dxfId="79" priority="16" operator="greaterThan">
      <formula>0.25</formula>
    </cfRule>
  </conditionalFormatting>
  <conditionalFormatting sqref="A211">
    <cfRule type="cellIs" dxfId="78" priority="17" operator="greaterThan">
      <formula>0.25</formula>
    </cfRule>
  </conditionalFormatting>
  <conditionalFormatting sqref="A223">
    <cfRule type="cellIs" dxfId="77" priority="18" operator="greaterThan">
      <formula>0.25</formula>
    </cfRule>
  </conditionalFormatting>
  <conditionalFormatting sqref="A235">
    <cfRule type="cellIs" dxfId="76" priority="19" operator="greaterThan">
      <formula>0.25</formula>
    </cfRule>
  </conditionalFormatting>
  <conditionalFormatting sqref="A247">
    <cfRule type="cellIs" dxfId="75" priority="20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09E3-80CE-4544-B910-CB19698DEE2B}">
  <dimension ref="A1:AS259"/>
  <sheetViews>
    <sheetView zoomScale="110" zoomScaleNormal="110" workbookViewId="0">
      <pane xSplit="2" ySplit="2" topLeftCell="Y232" activePane="bottomRight" state="frozen"/>
      <selection pane="bottomLeft" activeCell="C11" sqref="C11"/>
      <selection pane="topRight" activeCell="C11" sqref="C11"/>
      <selection pane="bottomRight" activeCell="S161" sqref="S161"/>
    </sheetView>
  </sheetViews>
  <sheetFormatPr defaultColWidth="10.89453125" defaultRowHeight="11.25" x14ac:dyDescent="0.15"/>
  <cols>
    <col min="1" max="1" width="11.43359375" style="84" customWidth="1"/>
    <col min="2" max="2" width="7.26171875" style="84" customWidth="1"/>
    <col min="3" max="45" width="8.203125" style="84" customWidth="1"/>
    <col min="46" max="16384" width="10.89453125" style="84"/>
  </cols>
  <sheetData>
    <row r="1" spans="1:45" x14ac:dyDescent="0.15">
      <c r="A1" s="349">
        <f>SUM(A14,A50,A62,A74,A86,A98,A110,A122,A134,A158,A146,A170,A182,A194,A206,A218,A230,A38,A26,A242,A254)</f>
        <v>1064181.8181818181</v>
      </c>
      <c r="B1" s="47" t="s">
        <v>0</v>
      </c>
      <c r="C1" s="46">
        <v>46156</v>
      </c>
      <c r="D1" s="46">
        <v>46157</v>
      </c>
      <c r="E1" s="46">
        <v>46158</v>
      </c>
      <c r="F1" s="46">
        <v>46159</v>
      </c>
      <c r="G1" s="46">
        <v>46160</v>
      </c>
      <c r="H1" s="46">
        <v>46161</v>
      </c>
      <c r="I1" s="46">
        <v>46162</v>
      </c>
      <c r="J1" s="46">
        <v>46163</v>
      </c>
      <c r="K1" s="46">
        <f t="shared" ref="K1" si="0">J1+1</f>
        <v>46164</v>
      </c>
      <c r="L1" s="46">
        <f t="shared" ref="L1" si="1">K1+1</f>
        <v>46165</v>
      </c>
      <c r="M1" s="46">
        <f t="shared" ref="M1" si="2">L1+1</f>
        <v>46166</v>
      </c>
      <c r="N1" s="46">
        <f t="shared" ref="N1" si="3">M1+1</f>
        <v>46167</v>
      </c>
      <c r="O1" s="46">
        <f t="shared" ref="O1" si="4">N1+1</f>
        <v>46168</v>
      </c>
      <c r="P1" s="46">
        <f t="shared" ref="P1" si="5">O1+1</f>
        <v>46169</v>
      </c>
      <c r="Q1" s="46">
        <f t="shared" ref="Q1" si="6">P1+1</f>
        <v>46170</v>
      </c>
      <c r="R1" s="46">
        <f t="shared" ref="R1" si="7">Q1+1</f>
        <v>46171</v>
      </c>
      <c r="S1" s="46">
        <f t="shared" ref="S1" si="8">R1+1</f>
        <v>46172</v>
      </c>
      <c r="T1" s="46">
        <f t="shared" ref="T1" si="9">S1+1</f>
        <v>46173</v>
      </c>
      <c r="U1" s="46">
        <f t="shared" ref="U1" si="10">T1+1</f>
        <v>46174</v>
      </c>
      <c r="V1" s="46">
        <f t="shared" ref="V1" si="11">U1+1</f>
        <v>46175</v>
      </c>
      <c r="W1" s="46">
        <f t="shared" ref="W1" si="12">V1+1</f>
        <v>46176</v>
      </c>
      <c r="X1" s="46">
        <f t="shared" ref="X1" si="13">W1+1</f>
        <v>46177</v>
      </c>
      <c r="Y1" s="46">
        <f t="shared" ref="Y1" si="14">X1+1</f>
        <v>46178</v>
      </c>
      <c r="Z1" s="46">
        <f t="shared" ref="Z1" si="15">Y1+1</f>
        <v>46179</v>
      </c>
      <c r="AA1" s="46">
        <f t="shared" ref="AA1" si="16">Z1+1</f>
        <v>46180</v>
      </c>
      <c r="AB1" s="46">
        <f t="shared" ref="AB1" si="17">AA1+1</f>
        <v>46181</v>
      </c>
      <c r="AC1" s="46">
        <f t="shared" ref="AC1" si="18">AB1+1</f>
        <v>46182</v>
      </c>
      <c r="AD1" s="46">
        <f t="shared" ref="AD1" si="19">AC1+1</f>
        <v>46183</v>
      </c>
      <c r="AE1" s="46">
        <f t="shared" ref="AE1" si="20">AD1+1</f>
        <v>46184</v>
      </c>
      <c r="AF1" s="46">
        <f t="shared" ref="AF1" si="21">AE1+1</f>
        <v>46185</v>
      </c>
      <c r="AG1" s="46">
        <f t="shared" ref="AG1" si="22">AF1+1</f>
        <v>46186</v>
      </c>
      <c r="AH1" s="46">
        <f t="shared" ref="AH1" si="23">AG1+1</f>
        <v>46187</v>
      </c>
      <c r="AI1" s="46">
        <f t="shared" ref="AI1" si="24">AH1+1</f>
        <v>46188</v>
      </c>
      <c r="AJ1" s="46">
        <f t="shared" ref="AJ1" si="25">AI1+1</f>
        <v>46189</v>
      </c>
      <c r="AK1" s="46">
        <f t="shared" ref="AK1" si="26">AJ1+1</f>
        <v>46190</v>
      </c>
      <c r="AL1" s="46">
        <f t="shared" ref="AL1" si="27">AK1+1</f>
        <v>46191</v>
      </c>
      <c r="AM1" s="46">
        <f t="shared" ref="AM1" si="28">AL1+1</f>
        <v>46192</v>
      </c>
      <c r="AN1" s="46">
        <f t="shared" ref="AN1" si="29">AM1+1</f>
        <v>46193</v>
      </c>
      <c r="AO1" s="46">
        <f t="shared" ref="AO1" si="30">AN1+1</f>
        <v>46194</v>
      </c>
      <c r="AP1" s="46">
        <f t="shared" ref="AP1:AS1" si="31">AO1+1</f>
        <v>46195</v>
      </c>
      <c r="AQ1" s="46">
        <f t="shared" si="31"/>
        <v>46196</v>
      </c>
      <c r="AR1" s="46">
        <f t="shared" si="31"/>
        <v>46197</v>
      </c>
      <c r="AS1" s="46">
        <f t="shared" si="31"/>
        <v>46198</v>
      </c>
    </row>
    <row r="2" spans="1:45" x14ac:dyDescent="0.15">
      <c r="A2" s="349"/>
      <c r="B2" s="44">
        <f>SUM(C2:AO2)</f>
        <v>3902</v>
      </c>
      <c r="C2" s="43">
        <v>0</v>
      </c>
      <c r="D2" s="43">
        <v>0</v>
      </c>
      <c r="E2" s="43">
        <v>0</v>
      </c>
      <c r="F2" s="43">
        <v>1436</v>
      </c>
      <c r="G2" s="43">
        <v>0</v>
      </c>
      <c r="H2" s="43">
        <v>0</v>
      </c>
      <c r="I2" s="43">
        <v>0</v>
      </c>
      <c r="J2" s="43">
        <v>1178</v>
      </c>
      <c r="K2" s="43">
        <f t="shared" ref="I2:AO2" si="32">SUM(K15,K255,K243,K27,K39,K231,K219,K207,K195,K183,K171,K159,K147,K135,K123,,K111,K99,K87,K75,K63,K51)</f>
        <v>0</v>
      </c>
      <c r="L2" s="43">
        <f t="shared" si="32"/>
        <v>0</v>
      </c>
      <c r="M2" s="43">
        <f t="shared" si="32"/>
        <v>1288</v>
      </c>
      <c r="N2" s="43">
        <f t="shared" si="32"/>
        <v>0</v>
      </c>
      <c r="O2" s="43">
        <f t="shared" si="32"/>
        <v>0</v>
      </c>
      <c r="P2" s="43">
        <f t="shared" si="32"/>
        <v>0</v>
      </c>
      <c r="Q2" s="43">
        <f t="shared" si="32"/>
        <v>0</v>
      </c>
      <c r="R2" s="43">
        <f t="shared" si="32"/>
        <v>0</v>
      </c>
      <c r="S2" s="43">
        <f t="shared" si="32"/>
        <v>0</v>
      </c>
      <c r="T2" s="43">
        <f t="shared" si="32"/>
        <v>0</v>
      </c>
      <c r="U2" s="43">
        <f t="shared" si="32"/>
        <v>0</v>
      </c>
      <c r="V2" s="43">
        <f t="shared" si="32"/>
        <v>0</v>
      </c>
      <c r="W2" s="43">
        <f t="shared" si="32"/>
        <v>0</v>
      </c>
      <c r="X2" s="43">
        <f t="shared" si="32"/>
        <v>0</v>
      </c>
      <c r="Y2" s="43">
        <f t="shared" si="32"/>
        <v>0</v>
      </c>
      <c r="Z2" s="43">
        <f t="shared" si="32"/>
        <v>0</v>
      </c>
      <c r="AA2" s="43">
        <f t="shared" si="32"/>
        <v>0</v>
      </c>
      <c r="AB2" s="43">
        <f t="shared" si="32"/>
        <v>0</v>
      </c>
      <c r="AC2" s="43">
        <f t="shared" si="32"/>
        <v>0</v>
      </c>
      <c r="AD2" s="43">
        <f t="shared" si="32"/>
        <v>0</v>
      </c>
      <c r="AE2" s="43">
        <f t="shared" si="32"/>
        <v>0</v>
      </c>
      <c r="AF2" s="43">
        <f t="shared" si="32"/>
        <v>0</v>
      </c>
      <c r="AG2" s="43">
        <f t="shared" si="32"/>
        <v>0</v>
      </c>
      <c r="AH2" s="43">
        <f t="shared" si="32"/>
        <v>0</v>
      </c>
      <c r="AI2" s="43">
        <f t="shared" si="32"/>
        <v>0</v>
      </c>
      <c r="AJ2" s="43">
        <f t="shared" si="32"/>
        <v>0</v>
      </c>
      <c r="AK2" s="43">
        <f t="shared" si="32"/>
        <v>0</v>
      </c>
      <c r="AL2" s="43">
        <f t="shared" si="32"/>
        <v>0</v>
      </c>
      <c r="AM2" s="43">
        <f t="shared" si="32"/>
        <v>0</v>
      </c>
      <c r="AN2" s="43">
        <f t="shared" si="32"/>
        <v>0</v>
      </c>
      <c r="AO2" s="43">
        <f t="shared" si="32"/>
        <v>0</v>
      </c>
      <c r="AP2" s="43">
        <f t="shared" ref="AP2:AS2" si="33">SUM(AP15,AP255,AP243,AP27,AP39,AP231,AP219,AP207,AP195,AP183,AP171,AP159,AP147,AP135,AP123,,AP111,AP99,AP87,AP75,AP63,AP51)</f>
        <v>0</v>
      </c>
      <c r="AQ2" s="43">
        <f t="shared" si="33"/>
        <v>0</v>
      </c>
      <c r="AR2" s="43">
        <f t="shared" si="33"/>
        <v>0</v>
      </c>
      <c r="AS2" s="43">
        <f t="shared" si="33"/>
        <v>0</v>
      </c>
    </row>
    <row r="3" spans="1:45" s="388" customFormat="1" x14ac:dyDescent="0.15">
      <c r="A3" s="385" t="s">
        <v>342</v>
      </c>
      <c r="B3" s="386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7"/>
      <c r="AJ3" s="387"/>
      <c r="AK3" s="387"/>
      <c r="AL3" s="387"/>
      <c r="AM3" s="387"/>
      <c r="AN3" s="387"/>
      <c r="AO3" s="387"/>
      <c r="AP3" s="387"/>
      <c r="AQ3" s="387"/>
      <c r="AR3" s="387"/>
      <c r="AS3" s="387"/>
    </row>
    <row r="4" spans="1:45" s="388" customFormat="1" x14ac:dyDescent="0.15">
      <c r="A4" s="385" t="s">
        <v>343</v>
      </c>
      <c r="B4" s="386"/>
      <c r="C4" s="387"/>
      <c r="D4" s="387"/>
      <c r="E4" s="387"/>
      <c r="F4" s="387"/>
      <c r="G4" s="387"/>
      <c r="H4" s="387"/>
      <c r="I4" s="387"/>
      <c r="J4" s="387"/>
      <c r="K4" s="387"/>
      <c r="L4" s="387"/>
      <c r="M4" s="387"/>
      <c r="N4" s="387"/>
      <c r="O4" s="387"/>
      <c r="P4" s="387"/>
      <c r="Q4" s="387"/>
      <c r="R4" s="387"/>
      <c r="S4" s="387"/>
      <c r="T4" s="387"/>
      <c r="U4" s="387"/>
      <c r="V4" s="387"/>
      <c r="W4" s="387"/>
      <c r="X4" s="387"/>
      <c r="Y4" s="387"/>
      <c r="Z4" s="387"/>
      <c r="AA4" s="387"/>
      <c r="AB4" s="387"/>
      <c r="AC4" s="387"/>
      <c r="AD4" s="387"/>
      <c r="AE4" s="387"/>
      <c r="AF4" s="387"/>
      <c r="AG4" s="387"/>
      <c r="AH4" s="387"/>
      <c r="AI4" s="387"/>
      <c r="AJ4" s="387"/>
      <c r="AK4" s="387"/>
      <c r="AL4" s="387"/>
      <c r="AM4" s="387"/>
      <c r="AN4" s="387"/>
      <c r="AO4" s="387"/>
      <c r="AP4" s="387"/>
      <c r="AQ4" s="387"/>
      <c r="AR4" s="387"/>
      <c r="AS4" s="387"/>
    </row>
    <row r="5" spans="1:45" s="388" customFormat="1" x14ac:dyDescent="0.15">
      <c r="A5" s="385" t="s">
        <v>344</v>
      </c>
      <c r="B5" s="386"/>
      <c r="C5" s="387"/>
      <c r="D5" s="387"/>
      <c r="E5" s="387"/>
      <c r="F5" s="387">
        <v>1635</v>
      </c>
      <c r="G5" s="387"/>
      <c r="H5" s="387"/>
      <c r="I5" s="387"/>
      <c r="J5" s="387">
        <v>2715</v>
      </c>
      <c r="K5" s="387"/>
      <c r="L5" s="387"/>
      <c r="M5" s="387">
        <v>4075</v>
      </c>
      <c r="N5" s="387"/>
      <c r="O5" s="387"/>
      <c r="P5" s="387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  <c r="AK5" s="387"/>
      <c r="AL5" s="387"/>
      <c r="AM5" s="387"/>
      <c r="AN5" s="387"/>
      <c r="AO5" s="387"/>
      <c r="AP5" s="387"/>
      <c r="AQ5" s="387"/>
      <c r="AR5" s="387"/>
      <c r="AS5" s="387"/>
    </row>
    <row r="6" spans="1:45" s="388" customFormat="1" x14ac:dyDescent="0.15">
      <c r="A6" s="385" t="s">
        <v>345</v>
      </c>
      <c r="B6" s="386"/>
      <c r="C6" s="387"/>
      <c r="D6" s="387"/>
      <c r="E6" s="387"/>
      <c r="F6" s="387">
        <v>131</v>
      </c>
      <c r="G6" s="387"/>
      <c r="H6" s="387"/>
      <c r="I6" s="387"/>
      <c r="J6" s="387">
        <v>230</v>
      </c>
      <c r="K6" s="387"/>
      <c r="L6" s="387"/>
      <c r="M6" s="387">
        <v>336</v>
      </c>
      <c r="N6" s="387"/>
      <c r="O6" s="387"/>
      <c r="P6" s="387"/>
      <c r="Q6" s="387"/>
      <c r="R6" s="387"/>
      <c r="S6" s="387"/>
      <c r="T6" s="387"/>
      <c r="U6" s="387"/>
      <c r="V6" s="387"/>
      <c r="W6" s="387"/>
      <c r="X6" s="387"/>
      <c r="Y6" s="387"/>
      <c r="Z6" s="387"/>
      <c r="AA6" s="387"/>
      <c r="AB6" s="387"/>
      <c r="AC6" s="387"/>
      <c r="AD6" s="387"/>
      <c r="AE6" s="387"/>
      <c r="AF6" s="387"/>
      <c r="AG6" s="387"/>
      <c r="AH6" s="387"/>
      <c r="AI6" s="387"/>
      <c r="AJ6" s="387"/>
      <c r="AK6" s="387"/>
      <c r="AL6" s="387"/>
      <c r="AM6" s="387"/>
      <c r="AN6" s="387"/>
      <c r="AO6" s="387"/>
      <c r="AP6" s="387"/>
      <c r="AQ6" s="387"/>
      <c r="AR6" s="387"/>
      <c r="AS6" s="387"/>
    </row>
    <row r="7" spans="1:45" s="388" customFormat="1" ht="12" thickBot="1" x14ac:dyDescent="0.2">
      <c r="A7" s="385" t="s">
        <v>346</v>
      </c>
      <c r="B7" s="386"/>
      <c r="C7" s="387"/>
      <c r="D7" s="387"/>
      <c r="E7" s="387"/>
      <c r="F7" s="387">
        <v>65</v>
      </c>
      <c r="G7" s="387"/>
      <c r="H7" s="387"/>
      <c r="I7" s="387"/>
      <c r="J7" s="387">
        <v>83</v>
      </c>
      <c r="K7" s="387"/>
      <c r="L7" s="387"/>
      <c r="M7" s="387">
        <v>143</v>
      </c>
      <c r="N7" s="387"/>
      <c r="O7" s="387"/>
      <c r="P7" s="387"/>
      <c r="Q7" s="387"/>
      <c r="R7" s="387"/>
      <c r="S7" s="387"/>
      <c r="T7" s="387"/>
      <c r="U7" s="387"/>
      <c r="V7" s="387"/>
      <c r="W7" s="387"/>
      <c r="X7" s="387"/>
      <c r="Y7" s="387"/>
      <c r="Z7" s="387"/>
      <c r="AA7" s="387"/>
      <c r="AB7" s="387"/>
      <c r="AC7" s="387"/>
      <c r="AD7" s="387"/>
      <c r="AE7" s="387"/>
      <c r="AF7" s="387"/>
      <c r="AG7" s="387"/>
      <c r="AH7" s="387"/>
      <c r="AI7" s="387"/>
      <c r="AJ7" s="387"/>
      <c r="AK7" s="387"/>
      <c r="AL7" s="387"/>
      <c r="AM7" s="387"/>
      <c r="AN7" s="387"/>
      <c r="AO7" s="387"/>
      <c r="AP7" s="387"/>
      <c r="AQ7" s="387"/>
      <c r="AR7" s="387"/>
      <c r="AS7" s="387"/>
    </row>
    <row r="8" spans="1:45" x14ac:dyDescent="0.15">
      <c r="A8" s="40" t="s">
        <v>59</v>
      </c>
      <c r="B8" s="39" t="s">
        <v>2</v>
      </c>
      <c r="C8" s="38">
        <v>23405</v>
      </c>
      <c r="D8" s="38">
        <v>23405</v>
      </c>
      <c r="E8" s="38">
        <v>23405</v>
      </c>
      <c r="F8" s="38">
        <v>23450</v>
      </c>
      <c r="G8" s="38">
        <v>23450</v>
      </c>
      <c r="H8" s="38">
        <v>23450</v>
      </c>
      <c r="I8" s="38">
        <v>23450</v>
      </c>
      <c r="J8" s="38">
        <v>23513</v>
      </c>
      <c r="K8" s="38">
        <v>23513</v>
      </c>
      <c r="L8" s="38">
        <v>23513</v>
      </c>
      <c r="M8" s="38">
        <v>23553</v>
      </c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</row>
    <row r="9" spans="1:45" x14ac:dyDescent="0.15">
      <c r="A9" s="37" t="s">
        <v>60</v>
      </c>
      <c r="B9" s="30" t="s">
        <v>4</v>
      </c>
      <c r="C9" s="29">
        <v>379</v>
      </c>
      <c r="D9" s="29">
        <v>379</v>
      </c>
      <c r="E9" s="29">
        <v>379</v>
      </c>
      <c r="F9" s="29">
        <v>379</v>
      </c>
      <c r="G9" s="29">
        <v>379</v>
      </c>
      <c r="H9" s="29">
        <v>379</v>
      </c>
      <c r="I9" s="29">
        <v>379</v>
      </c>
      <c r="J9" s="29">
        <v>382</v>
      </c>
      <c r="K9" s="29">
        <f t="shared" ref="K9" si="34">IF(K$8="","",J9)</f>
        <v>382</v>
      </c>
      <c r="L9" s="29">
        <f t="shared" ref="L9" si="35">IF(L$8="","",K9)</f>
        <v>382</v>
      </c>
      <c r="M9" s="29">
        <v>383</v>
      </c>
      <c r="N9" s="29" t="str">
        <f t="shared" ref="N9" si="36">IF(N$8="","",M9)</f>
        <v/>
      </c>
      <c r="O9" s="29" t="str">
        <f t="shared" ref="O9" si="37">IF(O$8="","",N9)</f>
        <v/>
      </c>
      <c r="P9" s="29" t="str">
        <f t="shared" ref="P9" si="38">IF(P$8="","",O9)</f>
        <v/>
      </c>
      <c r="Q9" s="29" t="str">
        <f t="shared" ref="Q9:S9" si="39">IF(Q$8="","",P9)</f>
        <v/>
      </c>
      <c r="R9" s="29" t="str">
        <f>IF(R$8="","",Q9)</f>
        <v/>
      </c>
      <c r="S9" s="29" t="str">
        <f t="shared" ref="S9" si="40">IF(S$8="","",R9)</f>
        <v/>
      </c>
      <c r="T9" s="29" t="str">
        <f>IF(T$8="","",S9)</f>
        <v/>
      </c>
      <c r="U9" s="29" t="str">
        <f t="shared" ref="U9" si="41">IF(U$8="","",T9)</f>
        <v/>
      </c>
      <c r="V9" s="29" t="str">
        <f t="shared" ref="V9" si="42">IF(V$8="","",U9)</f>
        <v/>
      </c>
      <c r="W9" s="29" t="str">
        <f t="shared" ref="W9" si="43">IF(W$8="","",V9)</f>
        <v/>
      </c>
      <c r="X9" s="29" t="str">
        <f>IF(X$8="","",W9)</f>
        <v/>
      </c>
      <c r="Y9" s="29" t="str">
        <f t="shared" ref="Y9" si="44">IF(Y$8="","",X9)</f>
        <v/>
      </c>
      <c r="Z9" s="29" t="str">
        <f t="shared" ref="Z9" si="45">IF(Z$8="","",Y9)</f>
        <v/>
      </c>
      <c r="AA9" s="29" t="str">
        <f>IF(AA$8="","",Z9)</f>
        <v/>
      </c>
      <c r="AB9" s="29" t="str">
        <f t="shared" ref="AB9" si="46">IF(AB$8="","",AA9)</f>
        <v/>
      </c>
      <c r="AC9" s="29" t="str">
        <f t="shared" ref="AC9" si="47">IF(AC$8="","",AB9)</f>
        <v/>
      </c>
      <c r="AD9" s="29" t="str">
        <f>IF(AD$8="","",AC9)</f>
        <v/>
      </c>
      <c r="AE9" s="29" t="str">
        <f t="shared" ref="AE9" si="48">IF(AE$8="","",AD9)</f>
        <v/>
      </c>
      <c r="AF9" s="29" t="str">
        <f t="shared" ref="AF9" si="49">IF(AF$8="","",AE9)</f>
        <v/>
      </c>
      <c r="AG9" s="29" t="str">
        <f t="shared" ref="AG9" si="50">IF(AG$8="","",AF9)</f>
        <v/>
      </c>
      <c r="AH9" s="29" t="str">
        <f t="shared" ref="AH9" si="51">IF(AH$8="","",AG9)</f>
        <v/>
      </c>
      <c r="AI9" s="29" t="str">
        <f t="shared" ref="AI9" si="52">IF(AI$8="","",AH9)</f>
        <v/>
      </c>
      <c r="AJ9" s="29" t="str">
        <f t="shared" ref="AJ9" si="53">IF(AJ$8="","",AI9)</f>
        <v/>
      </c>
      <c r="AK9" s="29" t="str">
        <f t="shared" ref="AK9" si="54">IF(AK$8="","",AJ9)</f>
        <v/>
      </c>
      <c r="AL9" s="29" t="str">
        <f>IF(AL$8="","",AK9)</f>
        <v/>
      </c>
      <c r="AM9" s="29" t="str">
        <f t="shared" ref="AM9" si="55">IF(AM$8="","",AL9)</f>
        <v/>
      </c>
      <c r="AN9" s="29" t="str">
        <f t="shared" ref="AN9" si="56">IF(AN$8="","",AM9)</f>
        <v/>
      </c>
      <c r="AO9" s="29" t="str">
        <f t="shared" ref="AO9" si="57">IF(AO$8="","",AN9)</f>
        <v/>
      </c>
      <c r="AP9" s="29" t="str">
        <f t="shared" ref="AP9:AS9" si="58">IF(AP$8="","",AO9)</f>
        <v/>
      </c>
      <c r="AQ9" s="29" t="str">
        <f t="shared" si="58"/>
        <v/>
      </c>
      <c r="AR9" s="29" t="str">
        <f t="shared" si="58"/>
        <v/>
      </c>
      <c r="AS9" s="29" t="str">
        <f t="shared" si="58"/>
        <v/>
      </c>
    </row>
    <row r="10" spans="1:45" x14ac:dyDescent="0.15">
      <c r="A10" s="34"/>
      <c r="B10" s="30" t="s">
        <v>5</v>
      </c>
      <c r="C10" s="29">
        <v>7</v>
      </c>
      <c r="D10" s="29">
        <v>7</v>
      </c>
      <c r="E10" s="29">
        <v>7</v>
      </c>
      <c r="F10" s="29">
        <v>7</v>
      </c>
      <c r="G10" s="29">
        <v>7</v>
      </c>
      <c r="H10" s="29">
        <v>7</v>
      </c>
      <c r="I10" s="29">
        <v>7</v>
      </c>
      <c r="J10" s="29">
        <v>4</v>
      </c>
      <c r="K10" s="29">
        <f t="shared" ref="K10" si="59">IF(K8="","",(J10+J11))</f>
        <v>8</v>
      </c>
      <c r="L10" s="29">
        <f t="shared" ref="L10" si="60">IF(L8="","",(K10+K11))</f>
        <v>8</v>
      </c>
      <c r="M10" s="29">
        <v>6</v>
      </c>
      <c r="N10" s="29" t="str">
        <f t="shared" ref="N10" si="61">IF(N8="","",(M10+M11))</f>
        <v/>
      </c>
      <c r="O10" s="29" t="str">
        <f t="shared" ref="O10" si="62">IF(O8="","",(N10+N11))</f>
        <v/>
      </c>
      <c r="P10" s="29" t="str">
        <f t="shared" ref="P10" si="63">IF(P8="","",(O10+O11))</f>
        <v/>
      </c>
      <c r="Q10" s="29" t="str">
        <f t="shared" ref="Q10:S10" si="64">IF(Q8="","",(P10+P11))</f>
        <v/>
      </c>
      <c r="R10" s="29" t="str">
        <f t="shared" ref="R10" si="65">IF(R8="","",(Q10+Q11))</f>
        <v/>
      </c>
      <c r="S10" s="29" t="str">
        <f t="shared" ref="S10" si="66">IF(S8="","",(R10+R11))</f>
        <v/>
      </c>
      <c r="T10" s="29" t="str">
        <f>IF(T8="","",(S10+S11))</f>
        <v/>
      </c>
      <c r="U10" s="29" t="str">
        <f t="shared" ref="U10" si="67">IF(U8="","",(T10+T11))</f>
        <v/>
      </c>
      <c r="V10" s="29" t="str">
        <f t="shared" ref="V10" si="68">IF(V8="","",(U10+U11))</f>
        <v/>
      </c>
      <c r="W10" s="29" t="str">
        <f t="shared" ref="W10" si="69">IF(W8="","",(V10+V11))</f>
        <v/>
      </c>
      <c r="X10" s="29" t="str">
        <f>IF(X8="","",(W10+W11))</f>
        <v/>
      </c>
      <c r="Y10" s="29" t="str">
        <f t="shared" ref="Y10" si="70">IF(Y8="","",(X10+X11))</f>
        <v/>
      </c>
      <c r="Z10" s="29" t="str">
        <f t="shared" ref="Z10" si="71">IF(Z8="","",(Y10+Y11))</f>
        <v/>
      </c>
      <c r="AA10" s="29" t="str">
        <f>IF(AA8="","",(Z10+Z11))</f>
        <v/>
      </c>
      <c r="AB10" s="29" t="str">
        <f t="shared" ref="AB10" si="72">IF(AB8="","",(AA10+AA11))</f>
        <v/>
      </c>
      <c r="AC10" s="29" t="str">
        <f t="shared" ref="AC10" si="73">IF(AC8="","",(AB10+AB11))</f>
        <v/>
      </c>
      <c r="AD10" s="29" t="str">
        <f>IF(AD8="","",(AC10+AC11))</f>
        <v/>
      </c>
      <c r="AE10" s="29" t="str">
        <f t="shared" ref="AE10" si="74">IF(AE8="","",(AD10+AD11))</f>
        <v/>
      </c>
      <c r="AF10" s="29" t="str">
        <f t="shared" ref="AF10" si="75">IF(AF8="","",(AE10+AE11))</f>
        <v/>
      </c>
      <c r="AG10" s="29" t="str">
        <f t="shared" ref="AG10" si="76">IF(AG8="","",(AF10+AF11))</f>
        <v/>
      </c>
      <c r="AH10" s="29" t="str">
        <f t="shared" ref="AH10" si="77">IF(AH8="","",(AG10+AG11))</f>
        <v/>
      </c>
      <c r="AI10" s="29" t="str">
        <f t="shared" ref="AI10" si="78">IF(AI8="","",(AH10+AH11))</f>
        <v/>
      </c>
      <c r="AJ10" s="29" t="str">
        <f t="shared" ref="AJ10" si="79">IF(AJ8="","",(AI10+AI11))</f>
        <v/>
      </c>
      <c r="AK10" s="29" t="str">
        <f t="shared" ref="AK10" si="80">IF(AK8="","",(AJ10+AJ11))</f>
        <v/>
      </c>
      <c r="AL10" s="29" t="str">
        <f>IF(AL8="","",(AK10+AK11))</f>
        <v/>
      </c>
      <c r="AM10" s="29" t="str">
        <f>IF(AM8="","",(AL10+AL11))</f>
        <v/>
      </c>
      <c r="AN10" s="29" t="str">
        <f t="shared" ref="AN10" si="81">IF(AN8="","",(AM10+AM11))</f>
        <v/>
      </c>
      <c r="AO10" s="29" t="str">
        <f t="shared" ref="AO10" si="82">IF(AO8="","",(AN10+AN11))</f>
        <v/>
      </c>
      <c r="AP10" s="29" t="str">
        <f t="shared" ref="AP10:AS10" si="83">IF(AP8="","",(AO10+AO11))</f>
        <v/>
      </c>
      <c r="AQ10" s="29" t="str">
        <f t="shared" si="83"/>
        <v/>
      </c>
      <c r="AR10" s="29" t="str">
        <f t="shared" si="83"/>
        <v/>
      </c>
      <c r="AS10" s="29" t="str">
        <f t="shared" si="83"/>
        <v/>
      </c>
    </row>
    <row r="11" spans="1:45" x14ac:dyDescent="0.15">
      <c r="A11" s="14"/>
      <c r="B11" s="30" t="s">
        <v>7</v>
      </c>
      <c r="C11" s="29"/>
      <c r="D11" s="29"/>
      <c r="E11" s="29"/>
      <c r="F11" s="29"/>
      <c r="G11" s="29"/>
      <c r="H11" s="29"/>
      <c r="I11" s="29"/>
      <c r="J11" s="29">
        <v>4</v>
      </c>
      <c r="K11" s="29"/>
      <c r="L11" s="29"/>
      <c r="M11" s="29">
        <v>2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</row>
    <row r="12" spans="1:45" x14ac:dyDescent="0.15">
      <c r="A12" s="7"/>
      <c r="B12" s="30" t="s">
        <v>8</v>
      </c>
      <c r="C12" s="35">
        <v>715</v>
      </c>
      <c r="D12" s="35">
        <v>715</v>
      </c>
      <c r="E12" s="35">
        <v>715</v>
      </c>
      <c r="F12" s="35">
        <v>715</v>
      </c>
      <c r="G12" s="35">
        <v>715</v>
      </c>
      <c r="H12" s="35">
        <v>715</v>
      </c>
      <c r="I12" s="35">
        <v>715</v>
      </c>
      <c r="J12" s="35">
        <v>715</v>
      </c>
      <c r="K12" s="35">
        <f t="shared" ref="K12" si="84">IF(K8="","",J12)</f>
        <v>715</v>
      </c>
      <c r="L12" s="35">
        <f t="shared" ref="L12" si="85">IF(L8="","",K12)</f>
        <v>715</v>
      </c>
      <c r="M12" s="35">
        <f t="shared" ref="M12" si="86">IF(M8="","",L12)</f>
        <v>715</v>
      </c>
      <c r="N12" s="35" t="str">
        <f t="shared" ref="N12" si="87">IF(N8="","",M12)</f>
        <v/>
      </c>
      <c r="O12" s="35" t="str">
        <f t="shared" ref="O12" si="88">IF(O8="","",N12)</f>
        <v/>
      </c>
      <c r="P12" s="35" t="str">
        <f t="shared" ref="P12" si="89">IF(P8="","",O12)</f>
        <v/>
      </c>
      <c r="Q12" s="35" t="str">
        <f t="shared" ref="Q12" si="90">IF(Q8="","",P12)</f>
        <v/>
      </c>
      <c r="R12" s="35" t="str">
        <f t="shared" ref="R12" si="91">IF(R8="","",Q12)</f>
        <v/>
      </c>
      <c r="S12" s="35" t="str">
        <f t="shared" ref="S12" si="92">IF(S8="","",R12)</f>
        <v/>
      </c>
      <c r="T12" s="35" t="str">
        <f t="shared" ref="T12" si="93">IF(T8="","",S12)</f>
        <v/>
      </c>
      <c r="U12" s="35" t="str">
        <f t="shared" ref="U12" si="94">IF(U8="","",T12)</f>
        <v/>
      </c>
      <c r="V12" s="35" t="str">
        <f t="shared" ref="V12" si="95">IF(V8="","",U12)</f>
        <v/>
      </c>
      <c r="W12" s="35" t="str">
        <f t="shared" ref="W12" si="96">IF(W8="","",V12)</f>
        <v/>
      </c>
      <c r="X12" s="35" t="str">
        <f t="shared" ref="X12" si="97">IF(X8="","",W12)</f>
        <v/>
      </c>
      <c r="Y12" s="35" t="str">
        <f t="shared" ref="Y12" si="98">IF(Y8="","",X12)</f>
        <v/>
      </c>
      <c r="Z12" s="35" t="str">
        <f t="shared" ref="Z12" si="99">IF(Z8="","",Y12)</f>
        <v/>
      </c>
      <c r="AA12" s="35" t="str">
        <f t="shared" ref="AA12" si="100">IF(AA8="","",Z12)</f>
        <v/>
      </c>
      <c r="AB12" s="35" t="str">
        <f t="shared" ref="AB12" si="101">IF(AB8="","",AA12)</f>
        <v/>
      </c>
      <c r="AC12" s="35" t="str">
        <f t="shared" ref="AC12" si="102">IF(AC8="","",AB12)</f>
        <v/>
      </c>
      <c r="AD12" s="35" t="str">
        <f t="shared" ref="AD12" si="103">IF(AD8="","",AC12)</f>
        <v/>
      </c>
      <c r="AE12" s="35" t="str">
        <f t="shared" ref="AE12" si="104">IF(AE8="","",AD12)</f>
        <v/>
      </c>
      <c r="AF12" s="35" t="str">
        <f t="shared" ref="AF12" si="105">IF(AF8="","",AE12)</f>
        <v/>
      </c>
      <c r="AG12" s="35" t="str">
        <f t="shared" ref="AG12" si="106">IF(AG8="","",AF12)</f>
        <v/>
      </c>
      <c r="AH12" s="35" t="str">
        <f t="shared" ref="AH12" si="107">IF(AH8="","",AG12)</f>
        <v/>
      </c>
      <c r="AI12" s="35" t="str">
        <f t="shared" ref="AI12" si="108">IF(AI8="","",AH12)</f>
        <v/>
      </c>
      <c r="AJ12" s="35" t="str">
        <f t="shared" ref="AJ12" si="109">IF(AJ8="","",AI12)</f>
        <v/>
      </c>
      <c r="AK12" s="35" t="str">
        <f t="shared" ref="AK12" si="110">IF(AK8="","",AJ12)</f>
        <v/>
      </c>
      <c r="AL12" s="35" t="str">
        <f t="shared" ref="AL12" si="111">IF(AL8="","",AK12)</f>
        <v/>
      </c>
      <c r="AM12" s="35" t="str">
        <f t="shared" ref="AM12" si="112">IF(AM8="","",AL12)</f>
        <v/>
      </c>
      <c r="AN12" s="35" t="str">
        <f t="shared" ref="AN12" si="113">IF(AN8="","",AM12)</f>
        <v/>
      </c>
      <c r="AO12" s="35" t="str">
        <f t="shared" ref="AO12" si="114">IF(AO8="","",AN12)</f>
        <v/>
      </c>
      <c r="AP12" s="35" t="str">
        <f t="shared" ref="AP12:AS12" si="115">IF(AP8="","",AO12)</f>
        <v/>
      </c>
      <c r="AQ12" s="35" t="str">
        <f t="shared" si="115"/>
        <v/>
      </c>
      <c r="AR12" s="35" t="str">
        <f t="shared" si="115"/>
        <v/>
      </c>
      <c r="AS12" s="35" t="str">
        <f t="shared" si="115"/>
        <v/>
      </c>
    </row>
    <row r="13" spans="1:45" s="85" customFormat="1" x14ac:dyDescent="0.15">
      <c r="A13" s="14" t="s">
        <v>9</v>
      </c>
      <c r="B13" s="33" t="s">
        <v>10</v>
      </c>
      <c r="C13" s="32" t="s">
        <v>353</v>
      </c>
      <c r="D13" s="32" t="s">
        <v>353</v>
      </c>
      <c r="E13" s="32" t="s">
        <v>353</v>
      </c>
      <c r="F13" s="32" t="s">
        <v>353</v>
      </c>
      <c r="G13" s="32" t="s">
        <v>353</v>
      </c>
      <c r="H13" s="32" t="s">
        <v>353</v>
      </c>
      <c r="I13" s="32" t="s">
        <v>353</v>
      </c>
      <c r="J13" s="32" t="s">
        <v>353</v>
      </c>
      <c r="K13" s="32" t="str">
        <f t="shared" ref="K13" si="116">IF(K8="","",J13)</f>
        <v>ミニファン</v>
      </c>
      <c r="L13" s="32" t="str">
        <f t="shared" ref="L13" si="117">IF(L8="","",K13)</f>
        <v>ミニファン</v>
      </c>
      <c r="M13" s="32" t="str">
        <f t="shared" ref="M13" si="118">IF(M8="","",L13)</f>
        <v>ミニファン</v>
      </c>
      <c r="N13" s="32" t="str">
        <f t="shared" ref="N13" si="119">IF(N8="","",M13)</f>
        <v/>
      </c>
      <c r="O13" s="32" t="str">
        <f t="shared" ref="O13" si="120">IF(O8="","",N13)</f>
        <v/>
      </c>
      <c r="P13" s="32" t="str">
        <f t="shared" ref="P13" si="121">IF(P8="","",O13)</f>
        <v/>
      </c>
      <c r="Q13" s="32" t="str">
        <f t="shared" ref="Q13" si="122">IF(Q8="","",P13)</f>
        <v/>
      </c>
      <c r="R13" s="32" t="str">
        <f t="shared" ref="R13" si="123">IF(R8="","",Q13)</f>
        <v/>
      </c>
      <c r="S13" s="32" t="str">
        <f t="shared" ref="S13" si="124">IF(S8="","",R13)</f>
        <v/>
      </c>
      <c r="T13" s="32" t="str">
        <f t="shared" ref="T13" si="125">IF(T8="","",S13)</f>
        <v/>
      </c>
      <c r="U13" s="32" t="str">
        <f t="shared" ref="U13" si="126">IF(U8="","",T13)</f>
        <v/>
      </c>
      <c r="V13" s="32" t="str">
        <f t="shared" ref="V13" si="127">IF(V8="","",U13)</f>
        <v/>
      </c>
      <c r="W13" s="32" t="str">
        <f t="shared" ref="W13" si="128">IF(W8="","",V13)</f>
        <v/>
      </c>
      <c r="X13" s="32" t="str">
        <f t="shared" ref="X13" si="129">IF(X8="","",W13)</f>
        <v/>
      </c>
      <c r="Y13" s="32" t="str">
        <f t="shared" ref="Y13" si="130">IF(Y8="","",X13)</f>
        <v/>
      </c>
      <c r="Z13" s="32" t="str">
        <f t="shared" ref="Z13" si="131">IF(Z8="","",Y13)</f>
        <v/>
      </c>
      <c r="AA13" s="32" t="str">
        <f t="shared" ref="AA13" si="132">IF(AA8="","",Z13)</f>
        <v/>
      </c>
      <c r="AB13" s="32" t="str">
        <f t="shared" ref="AB13" si="133">IF(AB8="","",AA13)</f>
        <v/>
      </c>
      <c r="AC13" s="32" t="str">
        <f t="shared" ref="AC13" si="134">IF(AC8="","",AB13)</f>
        <v/>
      </c>
      <c r="AD13" s="32" t="str">
        <f t="shared" ref="AD13" si="135">IF(AD8="","",AC13)</f>
        <v/>
      </c>
      <c r="AE13" s="32" t="str">
        <f t="shared" ref="AE13" si="136">IF(AE8="","",AD13)</f>
        <v/>
      </c>
      <c r="AF13" s="32" t="str">
        <f t="shared" ref="AF13" si="137">IF(AF8="","",AE13)</f>
        <v/>
      </c>
      <c r="AG13" s="32" t="str">
        <f t="shared" ref="AG13" si="138">IF(AG8="","",AF13)</f>
        <v/>
      </c>
      <c r="AH13" s="32" t="str">
        <f t="shared" ref="AH13" si="139">IF(AH8="","",AG13)</f>
        <v/>
      </c>
      <c r="AI13" s="32" t="str">
        <f t="shared" ref="AI13" si="140">IF(AI8="","",AH13)</f>
        <v/>
      </c>
      <c r="AJ13" s="32" t="str">
        <f t="shared" ref="AJ13" si="141">IF(AJ8="","",AI13)</f>
        <v/>
      </c>
      <c r="AK13" s="32" t="str">
        <f t="shared" ref="AK13" si="142">IF(AK8="","",AJ13)</f>
        <v/>
      </c>
      <c r="AL13" s="32" t="str">
        <f t="shared" ref="AL13" si="143">IF(AL8="","",AK13)</f>
        <v/>
      </c>
      <c r="AM13" s="32" t="str">
        <f t="shared" ref="AM13" si="144">IF(AM8="","",AL13)</f>
        <v/>
      </c>
      <c r="AN13" s="32" t="str">
        <f t="shared" ref="AN13" si="145">IF(AN8="","",AM13)</f>
        <v/>
      </c>
      <c r="AO13" s="32" t="str">
        <f t="shared" ref="AO13" si="146">IF(AO8="","",AN13)</f>
        <v/>
      </c>
      <c r="AP13" s="32" t="str">
        <f t="shared" ref="AP13:AS13" si="147">IF(AP8="","",AO13)</f>
        <v/>
      </c>
      <c r="AQ13" s="32" t="str">
        <f t="shared" si="147"/>
        <v/>
      </c>
      <c r="AR13" s="32" t="str">
        <f t="shared" si="147"/>
        <v/>
      </c>
      <c r="AS13" s="32" t="str">
        <f t="shared" si="147"/>
        <v/>
      </c>
    </row>
    <row r="14" spans="1:45" x14ac:dyDescent="0.15">
      <c r="A14" s="7">
        <f>AVERAGE(C15:AS15)*30*100</f>
        <v>40363.63636363636</v>
      </c>
      <c r="B14" s="30" t="s">
        <v>61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</row>
    <row r="15" spans="1:45" x14ac:dyDescent="0.15">
      <c r="A15" s="7">
        <f>SUM(C15:AS15)</f>
        <v>148</v>
      </c>
      <c r="B15" s="27" t="s">
        <v>13</v>
      </c>
      <c r="C15" s="26">
        <v>0</v>
      </c>
      <c r="D15" s="26">
        <v>0</v>
      </c>
      <c r="E15" s="26">
        <v>0</v>
      </c>
      <c r="F15" s="26">
        <v>45</v>
      </c>
      <c r="G15" s="26">
        <v>0</v>
      </c>
      <c r="H15" s="26">
        <v>0</v>
      </c>
      <c r="I15" s="26">
        <v>0</v>
      </c>
      <c r="J15" s="26">
        <v>63</v>
      </c>
      <c r="K15" s="26">
        <f t="shared" ref="K15:K16" si="148">IF(K8="","",K8-J8)</f>
        <v>0</v>
      </c>
      <c r="L15" s="26">
        <f t="shared" ref="L15:L16" si="149">IF(L8="","",L8-K8)</f>
        <v>0</v>
      </c>
      <c r="M15" s="26">
        <f t="shared" ref="M15:M16" si="150">IF(M8="","",M8-L8)</f>
        <v>40</v>
      </c>
      <c r="N15" s="26" t="str">
        <f t="shared" ref="N15:N16" si="151">IF(N8="","",N8-M8)</f>
        <v/>
      </c>
      <c r="O15" s="26" t="str">
        <f t="shared" ref="O15:O16" si="152">IF(O8="","",O8-N8)</f>
        <v/>
      </c>
      <c r="P15" s="26" t="str">
        <f t="shared" ref="P15:P16" si="153">IF(P8="","",P8-O8)</f>
        <v/>
      </c>
      <c r="Q15" s="26" t="str">
        <f t="shared" ref="Q15:Q16" si="154">IF(Q8="","",Q8-P8)</f>
        <v/>
      </c>
      <c r="R15" s="26" t="str">
        <f t="shared" ref="R15:R16" si="155">IF(R8="","",R8-Q8)</f>
        <v/>
      </c>
      <c r="S15" s="26" t="str">
        <f t="shared" ref="S15:S16" si="156">IF(S8="","",S8-R8)</f>
        <v/>
      </c>
      <c r="T15" s="26" t="str">
        <f t="shared" ref="T15:T16" si="157">IF(T8="","",T8-S8)</f>
        <v/>
      </c>
      <c r="U15" s="26" t="str">
        <f t="shared" ref="U15:U16" si="158">IF(U8="","",U8-T8)</f>
        <v/>
      </c>
      <c r="V15" s="26" t="str">
        <f t="shared" ref="V15:V16" si="159">IF(V8="","",V8-U8)</f>
        <v/>
      </c>
      <c r="W15" s="26" t="str">
        <f t="shared" ref="W15:W16" si="160">IF(W8="","",W8-V8)</f>
        <v/>
      </c>
      <c r="X15" s="26" t="str">
        <f t="shared" ref="X15:X16" si="161">IF(X8="","",X8-W8)</f>
        <v/>
      </c>
      <c r="Y15" s="26" t="str">
        <f t="shared" ref="Y15:Y16" si="162">IF(Y8="","",Y8-X8)</f>
        <v/>
      </c>
      <c r="Z15" s="26" t="str">
        <f t="shared" ref="Z15:Z16" si="163">IF(Z8="","",Z8-Y8)</f>
        <v/>
      </c>
      <c r="AA15" s="26" t="str">
        <f t="shared" ref="AA15:AA16" si="164">IF(AA8="","",AA8-Z8)</f>
        <v/>
      </c>
      <c r="AB15" s="26" t="str">
        <f t="shared" ref="AB15:AB16" si="165">IF(AB8="","",AB8-AA8)</f>
        <v/>
      </c>
      <c r="AC15" s="26" t="str">
        <f t="shared" ref="AC15:AC16" si="166">IF(AC8="","",AC8-AB8)</f>
        <v/>
      </c>
      <c r="AD15" s="26" t="str">
        <f t="shared" ref="AD15:AD16" si="167">IF(AD8="","",AD8-AC8)</f>
        <v/>
      </c>
      <c r="AE15" s="26" t="str">
        <f t="shared" ref="AE15:AE16" si="168">IF(AE8="","",AE8-AD8)</f>
        <v/>
      </c>
      <c r="AF15" s="26" t="str">
        <f t="shared" ref="AF15:AF16" si="169">IF(AF8="","",AF8-AE8)</f>
        <v/>
      </c>
      <c r="AG15" s="26" t="str">
        <f t="shared" ref="AG15:AG16" si="170">IF(AG8="","",AG8-AF8)</f>
        <v/>
      </c>
      <c r="AH15" s="26" t="str">
        <f t="shared" ref="AH15:AH16" si="171">IF(AH8="","",AH8-AG8)</f>
        <v/>
      </c>
      <c r="AI15" s="26" t="str">
        <f t="shared" ref="AI15:AI16" si="172">IF(AI8="","",AI8-AH8)</f>
        <v/>
      </c>
      <c r="AJ15" s="26" t="str">
        <f t="shared" ref="AJ15:AJ16" si="173">IF(AJ8="","",AJ8-AI8)</f>
        <v/>
      </c>
      <c r="AK15" s="26" t="str">
        <f t="shared" ref="AK15:AK16" si="174">IF(AK8="","",AK8-AJ8)</f>
        <v/>
      </c>
      <c r="AL15" s="26" t="str">
        <f t="shared" ref="AL15:AL16" si="175">IF(AL8="","",AL8-AK8)</f>
        <v/>
      </c>
      <c r="AM15" s="26" t="str">
        <f t="shared" ref="AM15:AM16" si="176">IF(AM8="","",AM8-AL8)</f>
        <v/>
      </c>
      <c r="AN15" s="26" t="str">
        <f t="shared" ref="AN15:AN16" si="177">IF(AN8="","",AN8-AM8)</f>
        <v/>
      </c>
      <c r="AO15" s="26" t="str">
        <f t="shared" ref="AO15:AO16" si="178">IF(AO8="","",AO8-AN8)</f>
        <v/>
      </c>
      <c r="AP15" s="26" t="str">
        <f t="shared" ref="AP15:AS15" si="179">IF(AP8="","",AP8-AO8)</f>
        <v/>
      </c>
      <c r="AQ15" s="26" t="str">
        <f t="shared" si="179"/>
        <v/>
      </c>
      <c r="AR15" s="26" t="str">
        <f t="shared" si="179"/>
        <v/>
      </c>
      <c r="AS15" s="26" t="str">
        <f t="shared" si="179"/>
        <v/>
      </c>
    </row>
    <row r="16" spans="1:45" x14ac:dyDescent="0.15">
      <c r="A16" s="7">
        <f>SUM(C16:AS16)</f>
        <v>4</v>
      </c>
      <c r="B16" s="27" t="s">
        <v>14</v>
      </c>
      <c r="C16" s="26">
        <v>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3</v>
      </c>
      <c r="K16" s="26">
        <f t="shared" si="148"/>
        <v>0</v>
      </c>
      <c r="L16" s="26">
        <f t="shared" si="149"/>
        <v>0</v>
      </c>
      <c r="M16" s="26">
        <f t="shared" si="150"/>
        <v>1</v>
      </c>
      <c r="N16" s="26" t="str">
        <f t="shared" si="151"/>
        <v/>
      </c>
      <c r="O16" s="26" t="str">
        <f t="shared" si="152"/>
        <v/>
      </c>
      <c r="P16" s="26" t="str">
        <f t="shared" si="153"/>
        <v/>
      </c>
      <c r="Q16" s="26" t="str">
        <f t="shared" si="154"/>
        <v/>
      </c>
      <c r="R16" s="26" t="str">
        <f t="shared" si="155"/>
        <v/>
      </c>
      <c r="S16" s="26" t="str">
        <f t="shared" si="156"/>
        <v/>
      </c>
      <c r="T16" s="26" t="str">
        <f t="shared" si="157"/>
        <v/>
      </c>
      <c r="U16" s="26" t="str">
        <f t="shared" si="158"/>
        <v/>
      </c>
      <c r="V16" s="26" t="str">
        <f t="shared" si="159"/>
        <v/>
      </c>
      <c r="W16" s="26" t="str">
        <f t="shared" si="160"/>
        <v/>
      </c>
      <c r="X16" s="26" t="str">
        <f t="shared" si="161"/>
        <v/>
      </c>
      <c r="Y16" s="26" t="str">
        <f t="shared" si="162"/>
        <v/>
      </c>
      <c r="Z16" s="26" t="str">
        <f t="shared" si="163"/>
        <v/>
      </c>
      <c r="AA16" s="26" t="str">
        <f t="shared" si="164"/>
        <v/>
      </c>
      <c r="AB16" s="26" t="str">
        <f t="shared" si="165"/>
        <v/>
      </c>
      <c r="AC16" s="26" t="str">
        <f t="shared" si="166"/>
        <v/>
      </c>
      <c r="AD16" s="26" t="str">
        <f t="shared" si="167"/>
        <v/>
      </c>
      <c r="AE16" s="26" t="str">
        <f t="shared" si="168"/>
        <v/>
      </c>
      <c r="AF16" s="26" t="str">
        <f t="shared" si="169"/>
        <v/>
      </c>
      <c r="AG16" s="26" t="str">
        <f t="shared" si="170"/>
        <v/>
      </c>
      <c r="AH16" s="26" t="str">
        <f t="shared" si="171"/>
        <v/>
      </c>
      <c r="AI16" s="26" t="str">
        <f t="shared" si="172"/>
        <v/>
      </c>
      <c r="AJ16" s="26" t="str">
        <f t="shared" si="173"/>
        <v/>
      </c>
      <c r="AK16" s="26" t="str">
        <f t="shared" si="174"/>
        <v/>
      </c>
      <c r="AL16" s="26" t="str">
        <f t="shared" si="175"/>
        <v/>
      </c>
      <c r="AM16" s="26" t="str">
        <f t="shared" si="176"/>
        <v/>
      </c>
      <c r="AN16" s="26" t="str">
        <f t="shared" si="177"/>
        <v/>
      </c>
      <c r="AO16" s="26" t="str">
        <f t="shared" si="178"/>
        <v/>
      </c>
      <c r="AP16" s="26" t="str">
        <f t="shared" ref="AP16:AS16" si="180">IF(AP9="","",AP9-AO9)</f>
        <v/>
      </c>
      <c r="AQ16" s="26" t="str">
        <f t="shared" si="180"/>
        <v/>
      </c>
      <c r="AR16" s="26" t="str">
        <f t="shared" si="180"/>
        <v/>
      </c>
      <c r="AS16" s="26" t="str">
        <f t="shared" si="180"/>
        <v/>
      </c>
    </row>
    <row r="17" spans="1:45" x14ac:dyDescent="0.15">
      <c r="A17" s="7">
        <f>SUM(C17:AS17)</f>
        <v>5</v>
      </c>
      <c r="B17" s="27" t="s">
        <v>15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3</v>
      </c>
      <c r="K17" s="26">
        <f t="shared" ref="K17" si="181">IF(K10="","",J10+J11-K10)</f>
        <v>0</v>
      </c>
      <c r="L17" s="26">
        <f t="shared" ref="L17" si="182">IF(L10="","",K10+K11-L10)</f>
        <v>0</v>
      </c>
      <c r="M17" s="26">
        <f t="shared" ref="M17" si="183">IF(M10="","",L10+L11-M10)</f>
        <v>2</v>
      </c>
      <c r="N17" s="26" t="str">
        <f t="shared" ref="N17" si="184">IF(N10="","",M10+M11-N10)</f>
        <v/>
      </c>
      <c r="O17" s="26" t="str">
        <f t="shared" ref="O17" si="185">IF(O10="","",N10+N11-O10)</f>
        <v/>
      </c>
      <c r="P17" s="26" t="str">
        <f t="shared" ref="P17" si="186">IF(P10="","",O10+O11-P10)</f>
        <v/>
      </c>
      <c r="Q17" s="26" t="str">
        <f t="shared" ref="Q17" si="187">IF(Q10="","",P10+P11-Q10)</f>
        <v/>
      </c>
      <c r="R17" s="26" t="str">
        <f t="shared" ref="R17" si="188">IF(R10="","",Q10+Q11-R10)</f>
        <v/>
      </c>
      <c r="S17" s="26" t="str">
        <f t="shared" ref="S17" si="189">IF(S10="","",R10+R11-S10)</f>
        <v/>
      </c>
      <c r="T17" s="26" t="str">
        <f t="shared" ref="T17" si="190">IF(T10="","",S10+S11-T10)</f>
        <v/>
      </c>
      <c r="U17" s="26" t="str">
        <f t="shared" ref="U17" si="191">IF(U10="","",T10+T11-U10)</f>
        <v/>
      </c>
      <c r="V17" s="26" t="str">
        <f t="shared" ref="V17" si="192">IF(V10="","",U10+U11-V10)</f>
        <v/>
      </c>
      <c r="W17" s="26" t="str">
        <f t="shared" ref="W17" si="193">IF(W10="","",V10+V11-W10)</f>
        <v/>
      </c>
      <c r="X17" s="26" t="str">
        <f t="shared" ref="X17" si="194">IF(X10="","",W10+W11-X10)</f>
        <v/>
      </c>
      <c r="Y17" s="26" t="str">
        <f t="shared" ref="Y17" si="195">IF(Y10="","",X10+X11-Y10)</f>
        <v/>
      </c>
      <c r="Z17" s="26" t="str">
        <f t="shared" ref="Z17" si="196">IF(Z10="","",Y10+Y11-Z10)</f>
        <v/>
      </c>
      <c r="AA17" s="26" t="str">
        <f t="shared" ref="AA17" si="197">IF(AA10="","",Z10+Z11-AA10)</f>
        <v/>
      </c>
      <c r="AB17" s="26" t="str">
        <f t="shared" ref="AB17" si="198">IF(AB10="","",AA10+AA11-AB10)</f>
        <v/>
      </c>
      <c r="AC17" s="26" t="str">
        <f t="shared" ref="AC17" si="199">IF(AC10="","",AB10+AB11-AC10)</f>
        <v/>
      </c>
      <c r="AD17" s="26" t="str">
        <f t="shared" ref="AD17" si="200">IF(AD10="","",AC10+AC11-AD10)</f>
        <v/>
      </c>
      <c r="AE17" s="26" t="str">
        <f t="shared" ref="AE17" si="201">IF(AE10="","",AD10+AD11-AE10)</f>
        <v/>
      </c>
      <c r="AF17" s="26" t="str">
        <f t="shared" ref="AF17" si="202">IF(AF10="","",AE10+AE11-AF10)</f>
        <v/>
      </c>
      <c r="AG17" s="26" t="str">
        <f t="shared" ref="AG17" si="203">IF(AG10="","",AF10+AF11-AG10)</f>
        <v/>
      </c>
      <c r="AH17" s="26" t="str">
        <f t="shared" ref="AH17" si="204">IF(AH10="","",AG10+AG11-AH10)</f>
        <v/>
      </c>
      <c r="AI17" s="26" t="str">
        <f t="shared" ref="AI17" si="205">IF(AI10="","",AH10+AH11-AI10)</f>
        <v/>
      </c>
      <c r="AJ17" s="26" t="str">
        <f t="shared" ref="AJ17" si="206">IF(AJ10="","",AI10+AI11-AJ10)</f>
        <v/>
      </c>
      <c r="AK17" s="26" t="str">
        <f t="shared" ref="AK17" si="207">IF(AK10="","",AJ10+AJ11-AK10)</f>
        <v/>
      </c>
      <c r="AL17" s="26" t="str">
        <f t="shared" ref="AL17" si="208">IF(AL10="","",AK10+AK11-AL10)</f>
        <v/>
      </c>
      <c r="AM17" s="26" t="str">
        <f t="shared" ref="AM17" si="209">IF(AM10="","",AL10+AL11-AM10)</f>
        <v/>
      </c>
      <c r="AN17" s="26" t="str">
        <f t="shared" ref="AN17" si="210">IF(AN10="","",AM10+AM11-AN10)</f>
        <v/>
      </c>
      <c r="AO17" s="26" t="str">
        <f t="shared" ref="AO17" si="211">IF(AO10="","",AN10+AN11-AO10)</f>
        <v/>
      </c>
      <c r="AP17" s="26" t="str">
        <f t="shared" ref="AP17:AS17" si="212">IF(AP10="","",AO10+AO11-AP10)</f>
        <v/>
      </c>
      <c r="AQ17" s="26" t="str">
        <f t="shared" si="212"/>
        <v/>
      </c>
      <c r="AR17" s="26" t="str">
        <f t="shared" si="212"/>
        <v/>
      </c>
      <c r="AS17" s="26" t="str">
        <f t="shared" si="212"/>
        <v/>
      </c>
    </row>
    <row r="18" spans="1:45" x14ac:dyDescent="0.15">
      <c r="A18" s="7">
        <f>SUM(C18:AS18)</f>
        <v>3575</v>
      </c>
      <c r="B18" s="27" t="s">
        <v>16</v>
      </c>
      <c r="C18" s="26">
        <v>0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2145</v>
      </c>
      <c r="K18" s="26">
        <f t="shared" ref="I18:AO18" si="213">IF(K8="","",K17*K12)</f>
        <v>0</v>
      </c>
      <c r="L18" s="26">
        <f t="shared" si="213"/>
        <v>0</v>
      </c>
      <c r="M18" s="26">
        <f t="shared" si="213"/>
        <v>1430</v>
      </c>
      <c r="N18" s="26" t="str">
        <f t="shared" si="213"/>
        <v/>
      </c>
      <c r="O18" s="26" t="str">
        <f t="shared" si="213"/>
        <v/>
      </c>
      <c r="P18" s="26" t="str">
        <f t="shared" si="213"/>
        <v/>
      </c>
      <c r="Q18" s="26" t="str">
        <f t="shared" si="213"/>
        <v/>
      </c>
      <c r="R18" s="26" t="str">
        <f t="shared" si="213"/>
        <v/>
      </c>
      <c r="S18" s="26" t="str">
        <f t="shared" si="213"/>
        <v/>
      </c>
      <c r="T18" s="26" t="str">
        <f t="shared" si="213"/>
        <v/>
      </c>
      <c r="U18" s="26" t="str">
        <f t="shared" si="213"/>
        <v/>
      </c>
      <c r="V18" s="26" t="str">
        <f t="shared" si="213"/>
        <v/>
      </c>
      <c r="W18" s="26" t="str">
        <f t="shared" si="213"/>
        <v/>
      </c>
      <c r="X18" s="26" t="str">
        <f t="shared" si="213"/>
        <v/>
      </c>
      <c r="Y18" s="26" t="str">
        <f t="shared" si="213"/>
        <v/>
      </c>
      <c r="Z18" s="26" t="str">
        <f t="shared" si="213"/>
        <v/>
      </c>
      <c r="AA18" s="26" t="str">
        <f t="shared" si="213"/>
        <v/>
      </c>
      <c r="AB18" s="26" t="str">
        <f t="shared" si="213"/>
        <v/>
      </c>
      <c r="AC18" s="26" t="str">
        <f t="shared" si="213"/>
        <v/>
      </c>
      <c r="AD18" s="26" t="str">
        <f t="shared" si="213"/>
        <v/>
      </c>
      <c r="AE18" s="26" t="str">
        <f t="shared" si="213"/>
        <v/>
      </c>
      <c r="AF18" s="26" t="str">
        <f t="shared" si="213"/>
        <v/>
      </c>
      <c r="AG18" s="26" t="str">
        <f t="shared" si="213"/>
        <v/>
      </c>
      <c r="AH18" s="26" t="str">
        <f t="shared" si="213"/>
        <v/>
      </c>
      <c r="AI18" s="26" t="str">
        <f t="shared" si="213"/>
        <v/>
      </c>
      <c r="AJ18" s="26" t="str">
        <f t="shared" si="213"/>
        <v/>
      </c>
      <c r="AK18" s="26" t="str">
        <f t="shared" si="213"/>
        <v/>
      </c>
      <c r="AL18" s="26" t="str">
        <f t="shared" si="213"/>
        <v/>
      </c>
      <c r="AM18" s="26" t="str">
        <f t="shared" si="213"/>
        <v/>
      </c>
      <c r="AN18" s="26" t="str">
        <f t="shared" si="213"/>
        <v/>
      </c>
      <c r="AO18" s="26" t="str">
        <f t="shared" si="213"/>
        <v/>
      </c>
      <c r="AP18" s="26" t="str">
        <f t="shared" ref="AP18:AS18" si="214">IF(AP8="","",AP17*AP12)</f>
        <v/>
      </c>
      <c r="AQ18" s="26" t="str">
        <f t="shared" si="214"/>
        <v/>
      </c>
      <c r="AR18" s="26" t="str">
        <f t="shared" si="214"/>
        <v/>
      </c>
      <c r="AS18" s="26" t="str">
        <f t="shared" si="214"/>
        <v/>
      </c>
    </row>
    <row r="19" spans="1:45" ht="12" thickBot="1" x14ac:dyDescent="0.2">
      <c r="A19" s="4">
        <f>IF(A18="","",A18/(A15*100))</f>
        <v>0.24155405405405406</v>
      </c>
      <c r="B19" s="24" t="s">
        <v>18</v>
      </c>
      <c r="C19" s="23" t="s">
        <v>19</v>
      </c>
      <c r="D19" s="23" t="s">
        <v>19</v>
      </c>
      <c r="E19" s="23" t="s">
        <v>19</v>
      </c>
      <c r="F19" s="23" t="s">
        <v>19</v>
      </c>
      <c r="G19" s="23" t="s">
        <v>19</v>
      </c>
      <c r="H19" s="23" t="s">
        <v>19</v>
      </c>
      <c r="I19" s="23" t="s">
        <v>19</v>
      </c>
      <c r="J19" s="23">
        <v>0.34047619047619049</v>
      </c>
      <c r="K19" s="23" t="str">
        <f t="shared" ref="I19:AO19" si="215">IF(K18="","",IF(K18=0,"",K18/(K15*100)))</f>
        <v/>
      </c>
      <c r="L19" s="23" t="str">
        <f t="shared" si="215"/>
        <v/>
      </c>
      <c r="M19" s="23">
        <f t="shared" si="215"/>
        <v>0.35749999999999998</v>
      </c>
      <c r="N19" s="23" t="str">
        <f t="shared" si="215"/>
        <v/>
      </c>
      <c r="O19" s="23" t="str">
        <f t="shared" si="215"/>
        <v/>
      </c>
      <c r="P19" s="23" t="str">
        <f t="shared" si="215"/>
        <v/>
      </c>
      <c r="Q19" s="23" t="str">
        <f t="shared" si="215"/>
        <v/>
      </c>
      <c r="R19" s="23" t="str">
        <f t="shared" si="215"/>
        <v/>
      </c>
      <c r="S19" s="23" t="str">
        <f t="shared" si="215"/>
        <v/>
      </c>
      <c r="T19" s="23" t="str">
        <f t="shared" si="215"/>
        <v/>
      </c>
      <c r="U19" s="23" t="str">
        <f t="shared" si="215"/>
        <v/>
      </c>
      <c r="V19" s="23" t="str">
        <f t="shared" si="215"/>
        <v/>
      </c>
      <c r="W19" s="23" t="str">
        <f t="shared" si="215"/>
        <v/>
      </c>
      <c r="X19" s="23" t="str">
        <f t="shared" si="215"/>
        <v/>
      </c>
      <c r="Y19" s="23" t="str">
        <f t="shared" si="215"/>
        <v/>
      </c>
      <c r="Z19" s="23" t="str">
        <f t="shared" si="215"/>
        <v/>
      </c>
      <c r="AA19" s="23" t="str">
        <f t="shared" si="215"/>
        <v/>
      </c>
      <c r="AB19" s="23" t="str">
        <f t="shared" si="215"/>
        <v/>
      </c>
      <c r="AC19" s="23" t="str">
        <f t="shared" si="215"/>
        <v/>
      </c>
      <c r="AD19" s="23" t="str">
        <f t="shared" si="215"/>
        <v/>
      </c>
      <c r="AE19" s="23" t="str">
        <f t="shared" si="215"/>
        <v/>
      </c>
      <c r="AF19" s="23" t="str">
        <f t="shared" si="215"/>
        <v/>
      </c>
      <c r="AG19" s="23" t="str">
        <f t="shared" si="215"/>
        <v/>
      </c>
      <c r="AH19" s="23" t="str">
        <f t="shared" si="215"/>
        <v/>
      </c>
      <c r="AI19" s="23" t="str">
        <f t="shared" si="215"/>
        <v/>
      </c>
      <c r="AJ19" s="23" t="str">
        <f t="shared" si="215"/>
        <v/>
      </c>
      <c r="AK19" s="23" t="str">
        <f t="shared" si="215"/>
        <v/>
      </c>
      <c r="AL19" s="23" t="str">
        <f t="shared" si="215"/>
        <v/>
      </c>
      <c r="AM19" s="23" t="str">
        <f t="shared" si="215"/>
        <v/>
      </c>
      <c r="AN19" s="23" t="str">
        <f t="shared" si="215"/>
        <v/>
      </c>
      <c r="AO19" s="23" t="str">
        <f t="shared" si="215"/>
        <v/>
      </c>
      <c r="AP19" s="23" t="str">
        <f t="shared" ref="AP19:AS19" si="216">IF(AP18="","",IF(AP18=0,"",AP18/(AP15*100)))</f>
        <v/>
      </c>
      <c r="AQ19" s="23" t="str">
        <f t="shared" si="216"/>
        <v/>
      </c>
      <c r="AR19" s="23" t="str">
        <f t="shared" si="216"/>
        <v/>
      </c>
      <c r="AS19" s="23" t="str">
        <f t="shared" si="216"/>
        <v/>
      </c>
    </row>
    <row r="20" spans="1:45" x14ac:dyDescent="0.15">
      <c r="A20" s="40" t="s">
        <v>59</v>
      </c>
      <c r="B20" s="39" t="s">
        <v>2</v>
      </c>
      <c r="C20" s="38">
        <v>18534</v>
      </c>
      <c r="D20" s="38">
        <v>18534</v>
      </c>
      <c r="E20" s="38">
        <v>18534</v>
      </c>
      <c r="F20" s="38">
        <v>18555</v>
      </c>
      <c r="G20" s="38">
        <v>18555</v>
      </c>
      <c r="H20" s="38">
        <v>18555</v>
      </c>
      <c r="I20" s="38">
        <v>18555</v>
      </c>
      <c r="J20" s="38">
        <v>18730</v>
      </c>
      <c r="K20" s="38">
        <f t="shared" ref="K20:K21" si="217">IF(K$8="","",J20)</f>
        <v>18730</v>
      </c>
      <c r="L20" s="38">
        <f t="shared" ref="L20:L21" si="218">IF(L$8="","",K20)</f>
        <v>18730</v>
      </c>
      <c r="M20" s="38">
        <v>18881</v>
      </c>
      <c r="N20" s="38" t="str">
        <f t="shared" ref="N20:N21" si="219">IF(N$8="","",M20)</f>
        <v/>
      </c>
      <c r="O20" s="38" t="str">
        <f t="shared" ref="O20:O21" si="220">IF(O$8="","",N20)</f>
        <v/>
      </c>
      <c r="P20" s="38" t="str">
        <f t="shared" ref="P20:P21" si="221">IF(P$8="","",O20)</f>
        <v/>
      </c>
      <c r="Q20" s="38" t="str">
        <f>IF(Q$8="","",P20)</f>
        <v/>
      </c>
      <c r="R20" s="38" t="str">
        <f t="shared" ref="R20:R21" si="222">IF(R$8="","",Q20)</f>
        <v/>
      </c>
      <c r="S20" s="38" t="str">
        <f t="shared" ref="S20:S21" si="223">IF(S$8="","",R20)</f>
        <v/>
      </c>
      <c r="T20" s="38" t="str">
        <f>IF(T$8="","",S20)</f>
        <v/>
      </c>
      <c r="U20" s="38" t="str">
        <f t="shared" ref="U20:U21" si="224">IF(U$8="","",T20)</f>
        <v/>
      </c>
      <c r="V20" s="38" t="str">
        <f t="shared" ref="V20:V21" si="225">IF(V$8="","",U20)</f>
        <v/>
      </c>
      <c r="W20" s="38" t="str">
        <f t="shared" ref="W20:W21" si="226">IF(W$8="","",V20)</f>
        <v/>
      </c>
      <c r="X20" s="38" t="str">
        <f>IF(X$8="","",W20)</f>
        <v/>
      </c>
      <c r="Y20" s="38" t="str">
        <f t="shared" ref="Y20:Y21" si="227">IF(Y$8="","",X20)</f>
        <v/>
      </c>
      <c r="Z20" s="38" t="str">
        <f t="shared" ref="Z20:Z21" si="228">IF(Z$8="","",Y20)</f>
        <v/>
      </c>
      <c r="AA20" s="38" t="str">
        <f>IF(AA$8="","",Z20)</f>
        <v/>
      </c>
      <c r="AB20" s="38" t="str">
        <f t="shared" ref="AB20:AB21" si="229">IF(AB$8="","",AA20)</f>
        <v/>
      </c>
      <c r="AC20" s="38" t="str">
        <f t="shared" ref="AC20:AC21" si="230">IF(AC$8="","",AB20)</f>
        <v/>
      </c>
      <c r="AD20" s="38" t="str">
        <f>IF(AD$8="","",AC20)</f>
        <v/>
      </c>
      <c r="AE20" s="38" t="str">
        <f t="shared" ref="AE20:AE21" si="231">IF(AE$8="","",AD20)</f>
        <v/>
      </c>
      <c r="AF20" s="38" t="str">
        <f t="shared" ref="AF20:AF21" si="232">IF(AF$8="","",AE20)</f>
        <v/>
      </c>
      <c r="AG20" s="38" t="str">
        <f t="shared" ref="AG20:AG21" si="233">IF(AG$8="","",AF20)</f>
        <v/>
      </c>
      <c r="AH20" s="38" t="str">
        <f>IF(AH$8="","",AG20)</f>
        <v/>
      </c>
      <c r="AI20" s="38" t="str">
        <f t="shared" ref="AI20:AI21" si="234">IF(AI$8="","",AH20)</f>
        <v/>
      </c>
      <c r="AJ20" s="38" t="str">
        <f t="shared" ref="AJ20:AJ21" si="235">IF(AJ$8="","",AI20)</f>
        <v/>
      </c>
      <c r="AK20" s="38" t="str">
        <f t="shared" ref="AK20:AK21" si="236">IF(AK$8="","",AJ20)</f>
        <v/>
      </c>
      <c r="AL20" s="38" t="str">
        <f>IF(AL$8="","",AK20)</f>
        <v/>
      </c>
      <c r="AM20" s="38" t="str">
        <f t="shared" ref="AM20:AM21" si="237">IF(AM$8="","",AL20)</f>
        <v/>
      </c>
      <c r="AN20" s="38" t="str">
        <f t="shared" ref="AN20:AN21" si="238">IF(AN$8="","",AM20)</f>
        <v/>
      </c>
      <c r="AO20" s="38" t="str">
        <f t="shared" ref="AO20:AO21" si="239">IF(AO$8="","",AN20)</f>
        <v/>
      </c>
      <c r="AP20" s="38" t="str">
        <f t="shared" ref="AP20:AS20" si="240">IF(AP$8="","",AO20)</f>
        <v/>
      </c>
      <c r="AQ20" s="38" t="str">
        <f t="shared" si="240"/>
        <v/>
      </c>
      <c r="AR20" s="38" t="str">
        <f t="shared" si="240"/>
        <v/>
      </c>
      <c r="AS20" s="38" t="str">
        <f t="shared" si="240"/>
        <v/>
      </c>
    </row>
    <row r="21" spans="1:45" x14ac:dyDescent="0.15">
      <c r="A21" s="37" t="s">
        <v>62</v>
      </c>
      <c r="B21" s="30" t="s">
        <v>4</v>
      </c>
      <c r="C21" s="29">
        <v>462</v>
      </c>
      <c r="D21" s="29">
        <v>462</v>
      </c>
      <c r="E21" s="29">
        <v>462</v>
      </c>
      <c r="F21" s="29">
        <v>462</v>
      </c>
      <c r="G21" s="29">
        <v>462</v>
      </c>
      <c r="H21" s="29">
        <v>462</v>
      </c>
      <c r="I21" s="29">
        <v>462</v>
      </c>
      <c r="J21" s="29">
        <v>467</v>
      </c>
      <c r="K21" s="29">
        <f t="shared" si="217"/>
        <v>467</v>
      </c>
      <c r="L21" s="29">
        <f t="shared" si="218"/>
        <v>467</v>
      </c>
      <c r="M21" s="29">
        <v>468</v>
      </c>
      <c r="N21" s="29" t="str">
        <f t="shared" si="219"/>
        <v/>
      </c>
      <c r="O21" s="29" t="str">
        <f t="shared" si="220"/>
        <v/>
      </c>
      <c r="P21" s="29" t="str">
        <f t="shared" si="221"/>
        <v/>
      </c>
      <c r="Q21" s="29" t="str">
        <f>IF(Q$8="","",P21)</f>
        <v/>
      </c>
      <c r="R21" s="29" t="str">
        <f t="shared" si="222"/>
        <v/>
      </c>
      <c r="S21" s="29" t="str">
        <f t="shared" si="223"/>
        <v/>
      </c>
      <c r="T21" s="29" t="str">
        <f>IF(T$8="","",S21)</f>
        <v/>
      </c>
      <c r="U21" s="29" t="str">
        <f t="shared" si="224"/>
        <v/>
      </c>
      <c r="V21" s="29" t="str">
        <f t="shared" si="225"/>
        <v/>
      </c>
      <c r="W21" s="29" t="str">
        <f t="shared" si="226"/>
        <v/>
      </c>
      <c r="X21" s="29" t="str">
        <f>IF(X$8="","",W21)</f>
        <v/>
      </c>
      <c r="Y21" s="29" t="str">
        <f t="shared" si="227"/>
        <v/>
      </c>
      <c r="Z21" s="29" t="str">
        <f t="shared" si="228"/>
        <v/>
      </c>
      <c r="AA21" s="29" t="str">
        <f>IF(AA$8="","",Z21)</f>
        <v/>
      </c>
      <c r="AB21" s="29" t="str">
        <f t="shared" si="229"/>
        <v/>
      </c>
      <c r="AC21" s="29" t="str">
        <f t="shared" si="230"/>
        <v/>
      </c>
      <c r="AD21" s="29" t="str">
        <f>IF(AD$8="","",AC21)</f>
        <v/>
      </c>
      <c r="AE21" s="29" t="str">
        <f t="shared" si="231"/>
        <v/>
      </c>
      <c r="AF21" s="29" t="str">
        <f t="shared" si="232"/>
        <v/>
      </c>
      <c r="AG21" s="29" t="str">
        <f t="shared" si="233"/>
        <v/>
      </c>
      <c r="AH21" s="29" t="str">
        <f t="shared" ref="AH20:AH21" si="241">IF(AH$8="","",AG21)</f>
        <v/>
      </c>
      <c r="AI21" s="29" t="str">
        <f t="shared" si="234"/>
        <v/>
      </c>
      <c r="AJ21" s="29" t="str">
        <f t="shared" si="235"/>
        <v/>
      </c>
      <c r="AK21" s="29" t="str">
        <f t="shared" si="236"/>
        <v/>
      </c>
      <c r="AL21" s="29" t="str">
        <f>IF(AL$8="","",AK21)</f>
        <v/>
      </c>
      <c r="AM21" s="29" t="str">
        <f t="shared" si="237"/>
        <v/>
      </c>
      <c r="AN21" s="29" t="str">
        <f t="shared" si="238"/>
        <v/>
      </c>
      <c r="AO21" s="29" t="str">
        <f t="shared" si="239"/>
        <v/>
      </c>
      <c r="AP21" s="29" t="str">
        <f t="shared" ref="AP21:AS21" si="242">IF(AP$8="","",AO21)</f>
        <v/>
      </c>
      <c r="AQ21" s="29" t="str">
        <f t="shared" si="242"/>
        <v/>
      </c>
      <c r="AR21" s="29" t="str">
        <f t="shared" si="242"/>
        <v/>
      </c>
      <c r="AS21" s="29" t="str">
        <f t="shared" si="242"/>
        <v/>
      </c>
    </row>
    <row r="22" spans="1:45" x14ac:dyDescent="0.15">
      <c r="A22" s="34"/>
      <c r="B22" s="30" t="s">
        <v>5</v>
      </c>
      <c r="C22" s="29">
        <v>33</v>
      </c>
      <c r="D22" s="29">
        <v>33</v>
      </c>
      <c r="E22" s="29">
        <v>33</v>
      </c>
      <c r="F22" s="29">
        <v>33</v>
      </c>
      <c r="G22" s="29">
        <v>9</v>
      </c>
      <c r="H22" s="29">
        <v>9</v>
      </c>
      <c r="I22" s="29">
        <v>9</v>
      </c>
      <c r="J22" s="29">
        <v>6</v>
      </c>
      <c r="K22" s="29">
        <f t="shared" ref="K22" si="243">IF(K20="","",(J22+J23))</f>
        <v>6</v>
      </c>
      <c r="L22" s="29">
        <f t="shared" ref="L22" si="244">IF(L20="","",(K22+K23))</f>
        <v>6</v>
      </c>
      <c r="M22" s="29">
        <v>5</v>
      </c>
      <c r="N22" s="29" t="str">
        <f t="shared" ref="N22" si="245">IF(N20="","",(M22+M23))</f>
        <v/>
      </c>
      <c r="O22" s="29" t="str">
        <f t="shared" ref="O22" si="246">IF(O20="","",(N22+N23))</f>
        <v/>
      </c>
      <c r="P22" s="29" t="str">
        <f t="shared" ref="P22" si="247">IF(P20="","",(O22+O23))</f>
        <v/>
      </c>
      <c r="Q22" s="29" t="str">
        <f>IF(Q20="","",(P22+P23))</f>
        <v/>
      </c>
      <c r="R22" s="29" t="str">
        <f t="shared" ref="R22" si="248">IF(R20="","",(Q22+Q23))</f>
        <v/>
      </c>
      <c r="S22" s="29" t="str">
        <f t="shared" ref="S22" si="249">IF(S20="","",(R22+R23))</f>
        <v/>
      </c>
      <c r="T22" s="29" t="str">
        <f>IF(T20="","",(S22+S23))</f>
        <v/>
      </c>
      <c r="U22" s="29" t="str">
        <f t="shared" ref="U22" si="250">IF(U20="","",(T22+T23))</f>
        <v/>
      </c>
      <c r="V22" s="29" t="str">
        <f t="shared" ref="V22" si="251">IF(V20="","",(U22+U23))</f>
        <v/>
      </c>
      <c r="W22" s="29" t="str">
        <f t="shared" ref="W22" si="252">IF(W20="","",(V22+V23))</f>
        <v/>
      </c>
      <c r="X22" s="29" t="str">
        <f>IF(X20="","",(W22+W23))</f>
        <v/>
      </c>
      <c r="Y22" s="29" t="str">
        <f t="shared" ref="Y22" si="253">IF(Y20="","",(X22+X23))</f>
        <v/>
      </c>
      <c r="Z22" s="29" t="str">
        <f t="shared" ref="Z22" si="254">IF(Z20="","",(Y22+Y23))</f>
        <v/>
      </c>
      <c r="AA22" s="29" t="str">
        <f>IF(AA20="","",(Z22+Z23))</f>
        <v/>
      </c>
      <c r="AB22" s="29" t="str">
        <f t="shared" ref="AB22" si="255">IF(AB20="","",(AA22+AA23))</f>
        <v/>
      </c>
      <c r="AC22" s="29" t="str">
        <f t="shared" ref="AC22" si="256">IF(AC20="","",(AB22+AB23))</f>
        <v/>
      </c>
      <c r="AD22" s="29" t="str">
        <f>IF(AD20="","",(AC22+AC23))</f>
        <v/>
      </c>
      <c r="AE22" s="29" t="str">
        <f t="shared" ref="AE22" si="257">IF(AE20="","",(AD22+AD23))</f>
        <v/>
      </c>
      <c r="AF22" s="29" t="str">
        <f t="shared" ref="AF22" si="258">IF(AF20="","",(AE22+AE23))</f>
        <v/>
      </c>
      <c r="AG22" s="29" t="str">
        <f t="shared" ref="AG22" si="259">IF(AG20="","",(AF22+AF23))</f>
        <v/>
      </c>
      <c r="AH22" s="29" t="str">
        <f t="shared" ref="AH22" si="260">IF(AH20="","",(AG22+AG23))</f>
        <v/>
      </c>
      <c r="AI22" s="29" t="str">
        <f t="shared" ref="AI22" si="261">IF(AI20="","",(AH22+AH23))</f>
        <v/>
      </c>
      <c r="AJ22" s="29" t="str">
        <f t="shared" ref="AJ22" si="262">IF(AJ20="","",(AI22+AI23))</f>
        <v/>
      </c>
      <c r="AK22" s="29" t="str">
        <f t="shared" ref="AK22" si="263">IF(AK20="","",(AJ22+AJ23))</f>
        <v/>
      </c>
      <c r="AL22" s="29" t="str">
        <f>IF(AL20="","",(AK22+AK23))</f>
        <v/>
      </c>
      <c r="AM22" s="29" t="str">
        <f t="shared" ref="AM22" si="264">IF(AM20="","",(AL22+AL23))</f>
        <v/>
      </c>
      <c r="AN22" s="29" t="str">
        <f t="shared" ref="AN22" si="265">IF(AN20="","",(AM22+AM23))</f>
        <v/>
      </c>
      <c r="AO22" s="29" t="str">
        <f t="shared" ref="AO22" si="266">IF(AO20="","",(AN22+AN23))</f>
        <v/>
      </c>
      <c r="AP22" s="29" t="str">
        <f t="shared" ref="AP22:AS22" si="267">IF(AP20="","",(AO22+AO23))</f>
        <v/>
      </c>
      <c r="AQ22" s="29" t="str">
        <f t="shared" si="267"/>
        <v/>
      </c>
      <c r="AR22" s="29" t="str">
        <f t="shared" si="267"/>
        <v/>
      </c>
      <c r="AS22" s="29" t="str">
        <f t="shared" si="267"/>
        <v/>
      </c>
    </row>
    <row r="23" spans="1:45" x14ac:dyDescent="0.15">
      <c r="A23" s="14"/>
      <c r="B23" s="30" t="s">
        <v>7</v>
      </c>
      <c r="C23" s="29"/>
      <c r="D23" s="29"/>
      <c r="E23" s="29"/>
      <c r="F23" s="29">
        <v>-24</v>
      </c>
      <c r="G23" s="29"/>
      <c r="H23" s="29"/>
      <c r="I23" s="29"/>
      <c r="J23" s="29"/>
      <c r="K23" s="29"/>
      <c r="L23" s="29"/>
      <c r="M23" s="29">
        <v>4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</row>
    <row r="24" spans="1:45" x14ac:dyDescent="0.15">
      <c r="A24" s="7"/>
      <c r="B24" s="30" t="s">
        <v>8</v>
      </c>
      <c r="C24" s="35">
        <v>700</v>
      </c>
      <c r="D24" s="35">
        <v>700</v>
      </c>
      <c r="E24" s="35">
        <v>700</v>
      </c>
      <c r="F24" s="35">
        <v>700</v>
      </c>
      <c r="G24" s="35">
        <v>700</v>
      </c>
      <c r="H24" s="35">
        <v>700</v>
      </c>
      <c r="I24" s="35">
        <v>700</v>
      </c>
      <c r="J24" s="35">
        <v>700</v>
      </c>
      <c r="K24" s="35">
        <f t="shared" ref="K24" si="268">IF(K20="","",J24)</f>
        <v>700</v>
      </c>
      <c r="L24" s="35">
        <f t="shared" ref="L24" si="269">IF(L20="","",K24)</f>
        <v>700</v>
      </c>
      <c r="M24" s="35">
        <f t="shared" ref="M24" si="270">IF(M20="","",L24)</f>
        <v>700</v>
      </c>
      <c r="N24" s="35" t="str">
        <f t="shared" ref="N24" si="271">IF(N20="","",M24)</f>
        <v/>
      </c>
      <c r="O24" s="35" t="str">
        <f t="shared" ref="O24" si="272">IF(O20="","",N24)</f>
        <v/>
      </c>
      <c r="P24" s="35" t="str">
        <f t="shared" ref="P24" si="273">IF(P20="","",O24)</f>
        <v/>
      </c>
      <c r="Q24" s="35" t="str">
        <f t="shared" ref="Q24" si="274">IF(Q20="","",P24)</f>
        <v/>
      </c>
      <c r="R24" s="35" t="str">
        <f t="shared" ref="R24" si="275">IF(R20="","",Q24)</f>
        <v/>
      </c>
      <c r="S24" s="35" t="str">
        <f t="shared" ref="S24" si="276">IF(S20="","",R24)</f>
        <v/>
      </c>
      <c r="T24" s="35" t="str">
        <f t="shared" ref="T24" si="277">IF(T20="","",S24)</f>
        <v/>
      </c>
      <c r="U24" s="35" t="str">
        <f t="shared" ref="U24" si="278">IF(U20="","",T24)</f>
        <v/>
      </c>
      <c r="V24" s="35" t="str">
        <f t="shared" ref="V24" si="279">IF(V20="","",U24)</f>
        <v/>
      </c>
      <c r="W24" s="35" t="str">
        <f t="shared" ref="W24" si="280">IF(W20="","",V24)</f>
        <v/>
      </c>
      <c r="X24" s="35" t="str">
        <f t="shared" ref="X24" si="281">IF(X20="","",W24)</f>
        <v/>
      </c>
      <c r="Y24" s="35" t="str">
        <f t="shared" ref="Y24" si="282">IF(Y20="","",X24)</f>
        <v/>
      </c>
      <c r="Z24" s="35" t="str">
        <f t="shared" ref="Z24" si="283">IF(Z20="","",Y24)</f>
        <v/>
      </c>
      <c r="AA24" s="35" t="str">
        <f t="shared" ref="AA24" si="284">IF(AA20="","",Z24)</f>
        <v/>
      </c>
      <c r="AB24" s="35" t="str">
        <f t="shared" ref="AB24" si="285">IF(AB20="","",AA24)</f>
        <v/>
      </c>
      <c r="AC24" s="35" t="str">
        <f t="shared" ref="AC24" si="286">IF(AC20="","",AB24)</f>
        <v/>
      </c>
      <c r="AD24" s="35" t="str">
        <f t="shared" ref="AD24" si="287">IF(AD20="","",AC24)</f>
        <v/>
      </c>
      <c r="AE24" s="35" t="str">
        <f t="shared" ref="AE24" si="288">IF(AE20="","",AD24)</f>
        <v/>
      </c>
      <c r="AF24" s="35" t="str">
        <f t="shared" ref="AF24" si="289">IF(AF20="","",AE24)</f>
        <v/>
      </c>
      <c r="AG24" s="35" t="str">
        <f t="shared" ref="AG24" si="290">IF(AG20="","",AF24)</f>
        <v/>
      </c>
      <c r="AH24" s="35" t="str">
        <f t="shared" ref="AH24" si="291">IF(AH20="","",AG24)</f>
        <v/>
      </c>
      <c r="AI24" s="35" t="str">
        <f t="shared" ref="AI24" si="292">IF(AI20="","",AH24)</f>
        <v/>
      </c>
      <c r="AJ24" s="35" t="str">
        <f t="shared" ref="AJ24" si="293">IF(AJ20="","",AI24)</f>
        <v/>
      </c>
      <c r="AK24" s="35" t="str">
        <f t="shared" ref="AK24" si="294">IF(AK20="","",AJ24)</f>
        <v/>
      </c>
      <c r="AL24" s="35" t="str">
        <f t="shared" ref="AL24" si="295">IF(AL20="","",AK24)</f>
        <v/>
      </c>
      <c r="AM24" s="35" t="str">
        <f t="shared" ref="AM24" si="296">IF(AM20="","",AL24)</f>
        <v/>
      </c>
      <c r="AN24" s="35" t="str">
        <f t="shared" ref="AN24" si="297">IF(AN20="","",AM24)</f>
        <v/>
      </c>
      <c r="AO24" s="35" t="str">
        <f t="shared" ref="AO24" si="298">IF(AO20="","",AN24)</f>
        <v/>
      </c>
      <c r="AP24" s="35" t="str">
        <f t="shared" ref="AP24:AS24" si="299">IF(AP20="","",AO24)</f>
        <v/>
      </c>
      <c r="AQ24" s="35" t="str">
        <f t="shared" si="299"/>
        <v/>
      </c>
      <c r="AR24" s="35" t="str">
        <f t="shared" si="299"/>
        <v/>
      </c>
      <c r="AS24" s="35" t="str">
        <f t="shared" si="299"/>
        <v/>
      </c>
    </row>
    <row r="25" spans="1:45" s="85" customFormat="1" x14ac:dyDescent="0.15">
      <c r="A25" s="14" t="s">
        <v>9</v>
      </c>
      <c r="B25" s="33" t="s">
        <v>10</v>
      </c>
      <c r="C25" s="32" t="s">
        <v>340</v>
      </c>
      <c r="D25" s="32" t="s">
        <v>340</v>
      </c>
      <c r="E25" s="32" t="s">
        <v>340</v>
      </c>
      <c r="F25" s="32" t="s">
        <v>362</v>
      </c>
      <c r="G25" s="32" t="s">
        <v>362</v>
      </c>
      <c r="H25" s="32" t="s">
        <v>362</v>
      </c>
      <c r="I25" s="32" t="s">
        <v>362</v>
      </c>
      <c r="J25" s="32" t="s">
        <v>362</v>
      </c>
      <c r="K25" s="32" t="str">
        <f t="shared" ref="K25" si="300">IF(K20="","",J25)</f>
        <v>たまごっちボアケース</v>
      </c>
      <c r="L25" s="32" t="str">
        <f t="shared" ref="L25" si="301">IF(L20="","",K25)</f>
        <v>たまごっちボアケース</v>
      </c>
      <c r="M25" s="32" t="str">
        <f t="shared" ref="M25" si="302">IF(M20="","",L25)</f>
        <v>たまごっちボアケース</v>
      </c>
      <c r="N25" s="32" t="str">
        <f t="shared" ref="N25" si="303">IF(N20="","",M25)</f>
        <v/>
      </c>
      <c r="O25" s="32" t="str">
        <f t="shared" ref="O25" si="304">IF(O20="","",N25)</f>
        <v/>
      </c>
      <c r="P25" s="32" t="str">
        <f t="shared" ref="P25" si="305">IF(P20="","",O25)</f>
        <v/>
      </c>
      <c r="Q25" s="32" t="str">
        <f>IF(Q20="","",P25)</f>
        <v/>
      </c>
      <c r="R25" s="32" t="str">
        <f t="shared" ref="R25" si="306">IF(R20="","",Q25)</f>
        <v/>
      </c>
      <c r="S25" s="32" t="str">
        <f t="shared" ref="S25" si="307">IF(S20="","",R25)</f>
        <v/>
      </c>
      <c r="T25" s="32" t="str">
        <f t="shared" ref="T25" si="308">IF(T20="","",S25)</f>
        <v/>
      </c>
      <c r="U25" s="32" t="str">
        <f t="shared" ref="U25" si="309">IF(U20="","",T25)</f>
        <v/>
      </c>
      <c r="V25" s="32" t="str">
        <f t="shared" ref="V25" si="310">IF(V20="","",U25)</f>
        <v/>
      </c>
      <c r="W25" s="32" t="str">
        <f t="shared" ref="W25" si="311">IF(W20="","",V25)</f>
        <v/>
      </c>
      <c r="X25" s="32" t="str">
        <f t="shared" ref="X25" si="312">IF(X20="","",W25)</f>
        <v/>
      </c>
      <c r="Y25" s="32" t="str">
        <f t="shared" ref="Y25" si="313">IF(Y20="","",X25)</f>
        <v/>
      </c>
      <c r="Z25" s="32" t="str">
        <f t="shared" ref="Z25" si="314">IF(Z20="","",Y25)</f>
        <v/>
      </c>
      <c r="AA25" s="32" t="str">
        <f t="shared" ref="AA25" si="315">IF(AA20="","",Z25)</f>
        <v/>
      </c>
      <c r="AB25" s="32" t="str">
        <f t="shared" ref="AB25" si="316">IF(AB20="","",AA25)</f>
        <v/>
      </c>
      <c r="AC25" s="32" t="str">
        <f t="shared" ref="AC25" si="317">IF(AC20="","",AB25)</f>
        <v/>
      </c>
      <c r="AD25" s="32" t="str">
        <f t="shared" ref="AD25" si="318">IF(AD20="","",AC25)</f>
        <v/>
      </c>
      <c r="AE25" s="32" t="str">
        <f t="shared" ref="AE25" si="319">IF(AE20="","",AD25)</f>
        <v/>
      </c>
      <c r="AF25" s="32" t="str">
        <f t="shared" ref="AF25" si="320">IF(AF20="","",AE25)</f>
        <v/>
      </c>
      <c r="AG25" s="32" t="str">
        <f t="shared" ref="AG25" si="321">IF(AG20="","",AF25)</f>
        <v/>
      </c>
      <c r="AH25" s="32" t="str">
        <f>IF(AH20="","",AG25)</f>
        <v/>
      </c>
      <c r="AI25" s="32" t="str">
        <f t="shared" ref="AI25" si="322">IF(AI20="","",AH25)</f>
        <v/>
      </c>
      <c r="AJ25" s="32" t="str">
        <f t="shared" ref="AJ25" si="323">IF(AJ20="","",AI25)</f>
        <v/>
      </c>
      <c r="AK25" s="32" t="str">
        <f t="shared" ref="AK25" si="324">IF(AK20="","",AJ25)</f>
        <v/>
      </c>
      <c r="AL25" s="32" t="str">
        <f t="shared" ref="AL25" si="325">IF(AL20="","",AK25)</f>
        <v/>
      </c>
      <c r="AM25" s="32" t="str">
        <f t="shared" ref="AM25" si="326">IF(AM20="","",AL25)</f>
        <v/>
      </c>
      <c r="AN25" s="32" t="str">
        <f t="shared" ref="AN25" si="327">IF(AN20="","",AM25)</f>
        <v/>
      </c>
      <c r="AO25" s="32" t="str">
        <f t="shared" ref="AO25" si="328">IF(AO20="","",AN25)</f>
        <v/>
      </c>
      <c r="AP25" s="32" t="str">
        <f t="shared" ref="AP25:AS25" si="329">IF(AP20="","",AO25)</f>
        <v/>
      </c>
      <c r="AQ25" s="32" t="str">
        <f t="shared" si="329"/>
        <v/>
      </c>
      <c r="AR25" s="32" t="str">
        <f t="shared" si="329"/>
        <v/>
      </c>
      <c r="AS25" s="32" t="str">
        <f t="shared" si="329"/>
        <v/>
      </c>
    </row>
    <row r="26" spans="1:45" x14ac:dyDescent="0.15">
      <c r="A26" s="7">
        <f>AVERAGE(C27:AS27)*30*100</f>
        <v>94636.363636363632</v>
      </c>
      <c r="B26" s="30" t="s">
        <v>12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</row>
    <row r="27" spans="1:45" x14ac:dyDescent="0.15">
      <c r="A27" s="7">
        <f>SUM(C27:AS27)</f>
        <v>347</v>
      </c>
      <c r="B27" s="27" t="s">
        <v>13</v>
      </c>
      <c r="C27" s="26">
        <v>0</v>
      </c>
      <c r="D27" s="26">
        <v>0</v>
      </c>
      <c r="E27" s="26">
        <v>0</v>
      </c>
      <c r="F27" s="26">
        <v>21</v>
      </c>
      <c r="G27" s="26">
        <v>0</v>
      </c>
      <c r="H27" s="26">
        <v>0</v>
      </c>
      <c r="I27" s="26">
        <v>0</v>
      </c>
      <c r="J27" s="26">
        <v>175</v>
      </c>
      <c r="K27" s="26">
        <f t="shared" ref="K27:K28" si="330">IF(K20="","",K20-J20)</f>
        <v>0</v>
      </c>
      <c r="L27" s="26">
        <f t="shared" ref="L27:L28" si="331">IF(L20="","",L20-K20)</f>
        <v>0</v>
      </c>
      <c r="M27" s="26">
        <f t="shared" ref="M27:M28" si="332">IF(M20="","",M20-L20)</f>
        <v>151</v>
      </c>
      <c r="N27" s="26" t="str">
        <f t="shared" ref="N27:N28" si="333">IF(N20="","",N20-M20)</f>
        <v/>
      </c>
      <c r="O27" s="26" t="str">
        <f t="shared" ref="O27:O28" si="334">IF(O20="","",O20-N20)</f>
        <v/>
      </c>
      <c r="P27" s="26" t="str">
        <f t="shared" ref="P27:P28" si="335">IF(P20="","",P20-O20)</f>
        <v/>
      </c>
      <c r="Q27" s="26" t="str">
        <f t="shared" ref="Q27:Q28" si="336">IF(Q20="","",Q20-P20)</f>
        <v/>
      </c>
      <c r="R27" s="26" t="str">
        <f t="shared" ref="R27:R28" si="337">IF(R20="","",R20-Q20)</f>
        <v/>
      </c>
      <c r="S27" s="26" t="str">
        <f t="shared" ref="S27:S28" si="338">IF(S20="","",S20-R20)</f>
        <v/>
      </c>
      <c r="T27" s="26" t="str">
        <f t="shared" ref="T27:T28" si="339">IF(T20="","",T20-S20)</f>
        <v/>
      </c>
      <c r="U27" s="26" t="str">
        <f t="shared" ref="U27:U28" si="340">IF(U20="","",U20-T20)</f>
        <v/>
      </c>
      <c r="V27" s="26" t="str">
        <f t="shared" ref="V27:V28" si="341">IF(V20="","",V20-U20)</f>
        <v/>
      </c>
      <c r="W27" s="26" t="str">
        <f t="shared" ref="W27:W28" si="342">IF(W20="","",W20-V20)</f>
        <v/>
      </c>
      <c r="X27" s="26" t="str">
        <f t="shared" ref="X27:X28" si="343">IF(X20="","",X20-W20)</f>
        <v/>
      </c>
      <c r="Y27" s="26" t="str">
        <f t="shared" ref="Y27:Y28" si="344">IF(Y20="","",Y20-X20)</f>
        <v/>
      </c>
      <c r="Z27" s="26" t="str">
        <f t="shared" ref="Z27:Z28" si="345">IF(Z20="","",Z20-Y20)</f>
        <v/>
      </c>
      <c r="AA27" s="26" t="str">
        <f t="shared" ref="AA27:AA28" si="346">IF(AA20="","",AA20-Z20)</f>
        <v/>
      </c>
      <c r="AB27" s="26" t="str">
        <f t="shared" ref="AB27:AB28" si="347">IF(AB20="","",AB20-AA20)</f>
        <v/>
      </c>
      <c r="AC27" s="26" t="str">
        <f t="shared" ref="AC27:AC28" si="348">IF(AC20="","",AC20-AB20)</f>
        <v/>
      </c>
      <c r="AD27" s="26" t="str">
        <f t="shared" ref="AD27:AD28" si="349">IF(AD20="","",AD20-AC20)</f>
        <v/>
      </c>
      <c r="AE27" s="26" t="str">
        <f t="shared" ref="AE27:AE28" si="350">IF(AE20="","",AE20-AD20)</f>
        <v/>
      </c>
      <c r="AF27" s="26" t="str">
        <f t="shared" ref="AF27:AF28" si="351">IF(AF20="","",AF20-AE20)</f>
        <v/>
      </c>
      <c r="AG27" s="26" t="str">
        <f t="shared" ref="AG27:AG28" si="352">IF(AG20="","",AG20-AF20)</f>
        <v/>
      </c>
      <c r="AH27" s="26" t="str">
        <f t="shared" ref="AH27:AH28" si="353">IF(AH20="","",AH20-AG20)</f>
        <v/>
      </c>
      <c r="AI27" s="26" t="str">
        <f t="shared" ref="AI27:AI28" si="354">IF(AI20="","",AI20-AH20)</f>
        <v/>
      </c>
      <c r="AJ27" s="26" t="str">
        <f t="shared" ref="AJ27:AJ28" si="355">IF(AJ20="","",AJ20-AI20)</f>
        <v/>
      </c>
      <c r="AK27" s="26" t="str">
        <f t="shared" ref="AK27:AK28" si="356">IF(AK20="","",AK20-AJ20)</f>
        <v/>
      </c>
      <c r="AL27" s="26" t="str">
        <f t="shared" ref="AL27:AL28" si="357">IF(AL20="","",AL20-AK20)</f>
        <v/>
      </c>
      <c r="AM27" s="26" t="str">
        <f t="shared" ref="AM27:AM28" si="358">IF(AM20="","",AM20-AL20)</f>
        <v/>
      </c>
      <c r="AN27" s="26" t="str">
        <f t="shared" ref="AN27:AN28" si="359">IF(AN20="","",AN20-AM20)</f>
        <v/>
      </c>
      <c r="AO27" s="26" t="str">
        <f t="shared" ref="AO27:AO28" si="360">IF(AO20="","",AO20-AN20)</f>
        <v/>
      </c>
      <c r="AP27" s="26" t="str">
        <f t="shared" ref="AP27:AS27" si="361">IF(AP20="","",AP20-AO20)</f>
        <v/>
      </c>
      <c r="AQ27" s="26" t="str">
        <f t="shared" si="361"/>
        <v/>
      </c>
      <c r="AR27" s="26" t="str">
        <f t="shared" si="361"/>
        <v/>
      </c>
      <c r="AS27" s="26" t="str">
        <f t="shared" si="361"/>
        <v/>
      </c>
    </row>
    <row r="28" spans="1:45" x14ac:dyDescent="0.15">
      <c r="A28" s="7">
        <f>SUM(C28:AS28)</f>
        <v>6</v>
      </c>
      <c r="B28" s="27" t="s">
        <v>14</v>
      </c>
      <c r="C28" s="26">
        <v>0</v>
      </c>
      <c r="D28" s="26">
        <v>0</v>
      </c>
      <c r="E28" s="26">
        <v>0</v>
      </c>
      <c r="F28" s="26">
        <v>0</v>
      </c>
      <c r="G28" s="26">
        <v>0</v>
      </c>
      <c r="H28" s="26">
        <v>0</v>
      </c>
      <c r="I28" s="26">
        <v>0</v>
      </c>
      <c r="J28" s="26">
        <v>5</v>
      </c>
      <c r="K28" s="26">
        <f t="shared" si="330"/>
        <v>0</v>
      </c>
      <c r="L28" s="26">
        <f t="shared" si="331"/>
        <v>0</v>
      </c>
      <c r="M28" s="26">
        <f t="shared" si="332"/>
        <v>1</v>
      </c>
      <c r="N28" s="26" t="str">
        <f t="shared" si="333"/>
        <v/>
      </c>
      <c r="O28" s="26" t="str">
        <f t="shared" si="334"/>
        <v/>
      </c>
      <c r="P28" s="26" t="str">
        <f t="shared" si="335"/>
        <v/>
      </c>
      <c r="Q28" s="26" t="str">
        <f t="shared" si="336"/>
        <v/>
      </c>
      <c r="R28" s="26" t="str">
        <f t="shared" si="337"/>
        <v/>
      </c>
      <c r="S28" s="26" t="str">
        <f t="shared" si="338"/>
        <v/>
      </c>
      <c r="T28" s="26" t="str">
        <f t="shared" si="339"/>
        <v/>
      </c>
      <c r="U28" s="26" t="str">
        <f t="shared" si="340"/>
        <v/>
      </c>
      <c r="V28" s="26" t="str">
        <f t="shared" si="341"/>
        <v/>
      </c>
      <c r="W28" s="26" t="str">
        <f t="shared" si="342"/>
        <v/>
      </c>
      <c r="X28" s="26" t="str">
        <f t="shared" si="343"/>
        <v/>
      </c>
      <c r="Y28" s="26" t="str">
        <f t="shared" si="344"/>
        <v/>
      </c>
      <c r="Z28" s="26" t="str">
        <f t="shared" si="345"/>
        <v/>
      </c>
      <c r="AA28" s="26" t="str">
        <f t="shared" si="346"/>
        <v/>
      </c>
      <c r="AB28" s="26" t="str">
        <f t="shared" si="347"/>
        <v/>
      </c>
      <c r="AC28" s="26" t="str">
        <f t="shared" si="348"/>
        <v/>
      </c>
      <c r="AD28" s="26" t="str">
        <f t="shared" si="349"/>
        <v/>
      </c>
      <c r="AE28" s="26" t="str">
        <f t="shared" si="350"/>
        <v/>
      </c>
      <c r="AF28" s="26" t="str">
        <f t="shared" si="351"/>
        <v/>
      </c>
      <c r="AG28" s="26" t="str">
        <f t="shared" si="352"/>
        <v/>
      </c>
      <c r="AH28" s="26" t="str">
        <f t="shared" si="353"/>
        <v/>
      </c>
      <c r="AI28" s="26" t="str">
        <f t="shared" si="354"/>
        <v/>
      </c>
      <c r="AJ28" s="26" t="str">
        <f t="shared" si="355"/>
        <v/>
      </c>
      <c r="AK28" s="26" t="str">
        <f t="shared" si="356"/>
        <v/>
      </c>
      <c r="AL28" s="26" t="str">
        <f t="shared" si="357"/>
        <v/>
      </c>
      <c r="AM28" s="26" t="str">
        <f t="shared" si="358"/>
        <v/>
      </c>
      <c r="AN28" s="26" t="str">
        <f t="shared" si="359"/>
        <v/>
      </c>
      <c r="AO28" s="26" t="str">
        <f t="shared" si="360"/>
        <v/>
      </c>
      <c r="AP28" s="26" t="str">
        <f t="shared" ref="AP28:AS28" si="362">IF(AP21="","",AP21-AO21)</f>
        <v/>
      </c>
      <c r="AQ28" s="26" t="str">
        <f t="shared" si="362"/>
        <v/>
      </c>
      <c r="AR28" s="26" t="str">
        <f t="shared" si="362"/>
        <v/>
      </c>
      <c r="AS28" s="26" t="str">
        <f t="shared" si="362"/>
        <v/>
      </c>
    </row>
    <row r="29" spans="1:45" x14ac:dyDescent="0.15">
      <c r="A29" s="7">
        <f>SUM(C29:AS29)</f>
        <v>4</v>
      </c>
      <c r="B29" s="27" t="s">
        <v>15</v>
      </c>
      <c r="C29" s="26">
        <v>0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3</v>
      </c>
      <c r="K29" s="26">
        <f t="shared" ref="K29" si="363">IF(K22="","",J22+J23-K22)</f>
        <v>0</v>
      </c>
      <c r="L29" s="26">
        <f t="shared" ref="L29" si="364">IF(L22="","",K22+K23-L22)</f>
        <v>0</v>
      </c>
      <c r="M29" s="26">
        <f t="shared" ref="M29" si="365">IF(M22="","",L22+L23-M22)</f>
        <v>1</v>
      </c>
      <c r="N29" s="26" t="str">
        <f t="shared" ref="N29" si="366">IF(N22="","",M22+M23-N22)</f>
        <v/>
      </c>
      <c r="O29" s="26" t="str">
        <f t="shared" ref="O29" si="367">IF(O22="","",N22+N23-O22)</f>
        <v/>
      </c>
      <c r="P29" s="26" t="str">
        <f t="shared" ref="P29" si="368">IF(P22="","",O22+O23-P22)</f>
        <v/>
      </c>
      <c r="Q29" s="26" t="str">
        <f t="shared" ref="Q29" si="369">IF(Q22="","",P22+P23-Q22)</f>
        <v/>
      </c>
      <c r="R29" s="26" t="str">
        <f t="shared" ref="R29" si="370">IF(R22="","",Q22+Q23-R22)</f>
        <v/>
      </c>
      <c r="S29" s="26" t="str">
        <f t="shared" ref="S29" si="371">IF(S22="","",R22+R23-S22)</f>
        <v/>
      </c>
      <c r="T29" s="26" t="str">
        <f t="shared" ref="T29" si="372">IF(T22="","",S22+S23-T22)</f>
        <v/>
      </c>
      <c r="U29" s="26" t="str">
        <f t="shared" ref="U29" si="373">IF(U22="","",T22+T23-U22)</f>
        <v/>
      </c>
      <c r="V29" s="26" t="str">
        <f t="shared" ref="V29" si="374">IF(V22="","",U22+U23-V22)</f>
        <v/>
      </c>
      <c r="W29" s="26" t="str">
        <f t="shared" ref="W29" si="375">IF(W22="","",V22+V23-W22)</f>
        <v/>
      </c>
      <c r="X29" s="26" t="str">
        <f t="shared" ref="X29" si="376">IF(X22="","",W22+W23-X22)</f>
        <v/>
      </c>
      <c r="Y29" s="26" t="str">
        <f t="shared" ref="Y29" si="377">IF(Y22="","",X22+X23-Y22)</f>
        <v/>
      </c>
      <c r="Z29" s="26" t="str">
        <f t="shared" ref="Z29" si="378">IF(Z22="","",Y22+Y23-Z22)</f>
        <v/>
      </c>
      <c r="AA29" s="26" t="str">
        <f t="shared" ref="AA29" si="379">IF(AA22="","",Z22+Z23-AA22)</f>
        <v/>
      </c>
      <c r="AB29" s="26" t="str">
        <f t="shared" ref="AB29" si="380">IF(AB22="","",AA22+AA23-AB22)</f>
        <v/>
      </c>
      <c r="AC29" s="26" t="str">
        <f t="shared" ref="AC29" si="381">IF(AC22="","",AB22+AB23-AC22)</f>
        <v/>
      </c>
      <c r="AD29" s="26" t="str">
        <f t="shared" ref="AD29" si="382">IF(AD22="","",AC22+AC23-AD22)</f>
        <v/>
      </c>
      <c r="AE29" s="26" t="str">
        <f t="shared" ref="AE29" si="383">IF(AE22="","",AD22+AD23-AE22)</f>
        <v/>
      </c>
      <c r="AF29" s="26" t="str">
        <f t="shared" ref="AF29" si="384">IF(AF22="","",AE22+AE23-AF22)</f>
        <v/>
      </c>
      <c r="AG29" s="26" t="str">
        <f t="shared" ref="AG29" si="385">IF(AG22="","",AF22+AF23-AG22)</f>
        <v/>
      </c>
      <c r="AH29" s="26" t="str">
        <f t="shared" ref="AH29" si="386">IF(AH22="","",AG22+AG23-AH22)</f>
        <v/>
      </c>
      <c r="AI29" s="26" t="str">
        <f t="shared" ref="AI29" si="387">IF(AI22="","",AH22+AH23-AI22)</f>
        <v/>
      </c>
      <c r="AJ29" s="26" t="str">
        <f t="shared" ref="AJ29" si="388">IF(AJ22="","",AI22+AI23-AJ22)</f>
        <v/>
      </c>
      <c r="AK29" s="26" t="str">
        <f t="shared" ref="AK29" si="389">IF(AK22="","",AJ22+AJ23-AK22)</f>
        <v/>
      </c>
      <c r="AL29" s="26" t="str">
        <f t="shared" ref="AL29" si="390">IF(AL22="","",AK22+AK23-AL22)</f>
        <v/>
      </c>
      <c r="AM29" s="26" t="str">
        <f t="shared" ref="AM29" si="391">IF(AM22="","",AL22+AL23-AM22)</f>
        <v/>
      </c>
      <c r="AN29" s="26" t="str">
        <f t="shared" ref="AN29" si="392">IF(AN22="","",AM22+AM23-AN22)</f>
        <v/>
      </c>
      <c r="AO29" s="26" t="str">
        <f t="shared" ref="AO29" si="393">IF(AO22="","",AN22+AN23-AO22)</f>
        <v/>
      </c>
      <c r="AP29" s="26" t="str">
        <f t="shared" ref="AP29:AS29" si="394">IF(AP22="","",AO22+AO23-AP22)</f>
        <v/>
      </c>
      <c r="AQ29" s="26" t="str">
        <f t="shared" si="394"/>
        <v/>
      </c>
      <c r="AR29" s="26" t="str">
        <f t="shared" si="394"/>
        <v/>
      </c>
      <c r="AS29" s="26" t="str">
        <f t="shared" si="394"/>
        <v/>
      </c>
    </row>
    <row r="30" spans="1:45" x14ac:dyDescent="0.15">
      <c r="A30" s="7">
        <f>SUM(C30:AS30)</f>
        <v>2800</v>
      </c>
      <c r="B30" s="27" t="s">
        <v>16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2100</v>
      </c>
      <c r="K30" s="26">
        <f t="shared" ref="I30:AO30" si="395">IF(K20="","",K29*K24)</f>
        <v>0</v>
      </c>
      <c r="L30" s="26">
        <f t="shared" si="395"/>
        <v>0</v>
      </c>
      <c r="M30" s="26">
        <f t="shared" si="395"/>
        <v>700</v>
      </c>
      <c r="N30" s="26" t="str">
        <f t="shared" si="395"/>
        <v/>
      </c>
      <c r="O30" s="26" t="str">
        <f t="shared" si="395"/>
        <v/>
      </c>
      <c r="P30" s="26" t="str">
        <f t="shared" si="395"/>
        <v/>
      </c>
      <c r="Q30" s="26" t="str">
        <f t="shared" si="395"/>
        <v/>
      </c>
      <c r="R30" s="26" t="str">
        <f t="shared" si="395"/>
        <v/>
      </c>
      <c r="S30" s="26" t="str">
        <f t="shared" si="395"/>
        <v/>
      </c>
      <c r="T30" s="26" t="str">
        <f t="shared" si="395"/>
        <v/>
      </c>
      <c r="U30" s="26" t="str">
        <f t="shared" si="395"/>
        <v/>
      </c>
      <c r="V30" s="26" t="str">
        <f t="shared" si="395"/>
        <v/>
      </c>
      <c r="W30" s="26" t="str">
        <f t="shared" si="395"/>
        <v/>
      </c>
      <c r="X30" s="26" t="str">
        <f t="shared" si="395"/>
        <v/>
      </c>
      <c r="Y30" s="26" t="str">
        <f t="shared" si="395"/>
        <v/>
      </c>
      <c r="Z30" s="26" t="str">
        <f t="shared" si="395"/>
        <v/>
      </c>
      <c r="AA30" s="26" t="str">
        <f t="shared" si="395"/>
        <v/>
      </c>
      <c r="AB30" s="26" t="str">
        <f t="shared" si="395"/>
        <v/>
      </c>
      <c r="AC30" s="26" t="str">
        <f t="shared" si="395"/>
        <v/>
      </c>
      <c r="AD30" s="26" t="str">
        <f t="shared" si="395"/>
        <v/>
      </c>
      <c r="AE30" s="26" t="str">
        <f t="shared" si="395"/>
        <v/>
      </c>
      <c r="AF30" s="26" t="str">
        <f t="shared" si="395"/>
        <v/>
      </c>
      <c r="AG30" s="26" t="str">
        <f t="shared" si="395"/>
        <v/>
      </c>
      <c r="AH30" s="26" t="str">
        <f t="shared" si="395"/>
        <v/>
      </c>
      <c r="AI30" s="26" t="str">
        <f t="shared" si="395"/>
        <v/>
      </c>
      <c r="AJ30" s="26" t="str">
        <f t="shared" si="395"/>
        <v/>
      </c>
      <c r="AK30" s="26" t="str">
        <f t="shared" si="395"/>
        <v/>
      </c>
      <c r="AL30" s="26" t="str">
        <f t="shared" si="395"/>
        <v/>
      </c>
      <c r="AM30" s="26" t="str">
        <f t="shared" si="395"/>
        <v/>
      </c>
      <c r="AN30" s="26" t="str">
        <f t="shared" si="395"/>
        <v/>
      </c>
      <c r="AO30" s="26" t="str">
        <f t="shared" si="395"/>
        <v/>
      </c>
      <c r="AP30" s="26" t="str">
        <f t="shared" ref="AP30:AS30" si="396">IF(AP20="","",AP29*AP24)</f>
        <v/>
      </c>
      <c r="AQ30" s="26" t="str">
        <f t="shared" si="396"/>
        <v/>
      </c>
      <c r="AR30" s="26" t="str">
        <f t="shared" si="396"/>
        <v/>
      </c>
      <c r="AS30" s="26" t="str">
        <f t="shared" si="396"/>
        <v/>
      </c>
    </row>
    <row r="31" spans="1:45" ht="12" thickBot="1" x14ac:dyDescent="0.2">
      <c r="A31" s="4">
        <f>IF(A30="","",A30/(A27*100))</f>
        <v>8.069164265129683E-2</v>
      </c>
      <c r="B31" s="24" t="s">
        <v>18</v>
      </c>
      <c r="C31" s="23" t="s">
        <v>19</v>
      </c>
      <c r="D31" s="23" t="s">
        <v>19</v>
      </c>
      <c r="E31" s="23" t="s">
        <v>19</v>
      </c>
      <c r="F31" s="23" t="s">
        <v>19</v>
      </c>
      <c r="G31" s="23" t="s">
        <v>19</v>
      </c>
      <c r="H31" s="23" t="s">
        <v>19</v>
      </c>
      <c r="I31" s="23" t="s">
        <v>19</v>
      </c>
      <c r="J31" s="23">
        <v>0.12</v>
      </c>
      <c r="K31" s="23" t="str">
        <f t="shared" ref="I31:AO31" si="397">IF(K30="","",IF(K30=0,"",K30/(K27*100)))</f>
        <v/>
      </c>
      <c r="L31" s="23" t="str">
        <f t="shared" si="397"/>
        <v/>
      </c>
      <c r="M31" s="23">
        <f t="shared" si="397"/>
        <v>4.6357615894039736E-2</v>
      </c>
      <c r="N31" s="23" t="str">
        <f t="shared" si="397"/>
        <v/>
      </c>
      <c r="O31" s="23" t="str">
        <f t="shared" si="397"/>
        <v/>
      </c>
      <c r="P31" s="23" t="str">
        <f t="shared" si="397"/>
        <v/>
      </c>
      <c r="Q31" s="23" t="str">
        <f t="shared" si="397"/>
        <v/>
      </c>
      <c r="R31" s="23" t="str">
        <f t="shared" si="397"/>
        <v/>
      </c>
      <c r="S31" s="23" t="str">
        <f t="shared" si="397"/>
        <v/>
      </c>
      <c r="T31" s="23" t="str">
        <f t="shared" si="397"/>
        <v/>
      </c>
      <c r="U31" s="23" t="str">
        <f t="shared" si="397"/>
        <v/>
      </c>
      <c r="V31" s="23" t="str">
        <f t="shared" si="397"/>
        <v/>
      </c>
      <c r="W31" s="23" t="str">
        <f t="shared" si="397"/>
        <v/>
      </c>
      <c r="X31" s="23" t="str">
        <f t="shared" si="397"/>
        <v/>
      </c>
      <c r="Y31" s="23" t="str">
        <f t="shared" si="397"/>
        <v/>
      </c>
      <c r="Z31" s="23" t="str">
        <f t="shared" si="397"/>
        <v/>
      </c>
      <c r="AA31" s="23" t="str">
        <f t="shared" si="397"/>
        <v/>
      </c>
      <c r="AB31" s="23" t="str">
        <f t="shared" si="397"/>
        <v/>
      </c>
      <c r="AC31" s="23" t="str">
        <f t="shared" si="397"/>
        <v/>
      </c>
      <c r="AD31" s="23" t="str">
        <f t="shared" si="397"/>
        <v/>
      </c>
      <c r="AE31" s="23" t="str">
        <f t="shared" si="397"/>
        <v/>
      </c>
      <c r="AF31" s="23" t="str">
        <f t="shared" si="397"/>
        <v/>
      </c>
      <c r="AG31" s="23" t="str">
        <f t="shared" si="397"/>
        <v/>
      </c>
      <c r="AH31" s="23" t="str">
        <f t="shared" si="397"/>
        <v/>
      </c>
      <c r="AI31" s="23" t="str">
        <f t="shared" si="397"/>
        <v/>
      </c>
      <c r="AJ31" s="23" t="str">
        <f t="shared" si="397"/>
        <v/>
      </c>
      <c r="AK31" s="23" t="str">
        <f t="shared" si="397"/>
        <v/>
      </c>
      <c r="AL31" s="23" t="str">
        <f t="shared" si="397"/>
        <v/>
      </c>
      <c r="AM31" s="23" t="str">
        <f t="shared" si="397"/>
        <v/>
      </c>
      <c r="AN31" s="23" t="str">
        <f t="shared" si="397"/>
        <v/>
      </c>
      <c r="AO31" s="23" t="str">
        <f t="shared" si="397"/>
        <v/>
      </c>
      <c r="AP31" s="23" t="str">
        <f t="shared" ref="AP31:AS31" si="398">IF(AP30="","",IF(AP30=0,"",AP30/(AP27*100)))</f>
        <v/>
      </c>
      <c r="AQ31" s="23" t="str">
        <f t="shared" si="398"/>
        <v/>
      </c>
      <c r="AR31" s="23" t="str">
        <f t="shared" si="398"/>
        <v/>
      </c>
      <c r="AS31" s="23" t="str">
        <f t="shared" si="398"/>
        <v/>
      </c>
    </row>
    <row r="32" spans="1:45" x14ac:dyDescent="0.15">
      <c r="A32" s="40" t="s">
        <v>59</v>
      </c>
      <c r="B32" s="39" t="s">
        <v>2</v>
      </c>
      <c r="C32" s="38">
        <v>39813</v>
      </c>
      <c r="D32" s="38">
        <v>39813</v>
      </c>
      <c r="E32" s="38">
        <v>39813</v>
      </c>
      <c r="F32" s="38">
        <v>39875</v>
      </c>
      <c r="G32" s="38">
        <v>39875</v>
      </c>
      <c r="H32" s="38">
        <v>39875</v>
      </c>
      <c r="I32" s="38">
        <v>39875</v>
      </c>
      <c r="J32" s="38">
        <v>39953</v>
      </c>
      <c r="K32" s="38">
        <f t="shared" ref="K32:K33" si="399">IF(K$8="","",J32)</f>
        <v>39953</v>
      </c>
      <c r="L32" s="38">
        <f t="shared" ref="L32:L33" si="400">IF(L$8="","",K32)</f>
        <v>39953</v>
      </c>
      <c r="M32" s="38">
        <v>40023</v>
      </c>
      <c r="N32" s="38" t="str">
        <f t="shared" ref="N32:N33" si="401">IF(N$8="","",M32)</f>
        <v/>
      </c>
      <c r="O32" s="38" t="str">
        <f t="shared" ref="O32:O33" si="402">IF(O$8="","",N32)</f>
        <v/>
      </c>
      <c r="P32" s="38" t="str">
        <f t="shared" ref="P32:P33" si="403">IF(P$8="","",O32)</f>
        <v/>
      </c>
      <c r="Q32" s="38" t="str">
        <f>IF(Q$8="","",P32)</f>
        <v/>
      </c>
      <c r="R32" s="38" t="str">
        <f t="shared" ref="R32:R33" si="404">IF(R$8="","",Q32)</f>
        <v/>
      </c>
      <c r="S32" s="38" t="str">
        <f t="shared" ref="S32:S33" si="405">IF(S$8="","",R32)</f>
        <v/>
      </c>
      <c r="T32" s="38" t="str">
        <f>IF(T$8="","",S32)</f>
        <v/>
      </c>
      <c r="U32" s="38" t="str">
        <f t="shared" ref="U32:U33" si="406">IF(U$8="","",T32)</f>
        <v/>
      </c>
      <c r="V32" s="38" t="str">
        <f t="shared" ref="V32:V33" si="407">IF(V$8="","",U32)</f>
        <v/>
      </c>
      <c r="W32" s="38" t="str">
        <f t="shared" ref="W32:W33" si="408">IF(W$8="","",V32)</f>
        <v/>
      </c>
      <c r="X32" s="38" t="str">
        <f>IF(X$8="","",W32)</f>
        <v/>
      </c>
      <c r="Y32" s="38" t="str">
        <f t="shared" ref="Y32:Y33" si="409">IF(Y$8="","",X32)</f>
        <v/>
      </c>
      <c r="Z32" s="38" t="str">
        <f t="shared" ref="Z32:Z33" si="410">IF(Z$8="","",Y32)</f>
        <v/>
      </c>
      <c r="AA32" s="38" t="str">
        <f>IF(AA$8="","",Z32)</f>
        <v/>
      </c>
      <c r="AB32" s="38" t="str">
        <f t="shared" ref="AB32:AB33" si="411">IF(AB$8="","",AA32)</f>
        <v/>
      </c>
      <c r="AC32" s="38" t="str">
        <f t="shared" ref="AC32:AC33" si="412">IF(AC$8="","",AB32)</f>
        <v/>
      </c>
      <c r="AD32" s="38" t="str">
        <f>IF(AD$8="","",AC32)</f>
        <v/>
      </c>
      <c r="AE32" s="38" t="str">
        <f t="shared" ref="AE32:AE33" si="413">IF(AE$8="","",AD32)</f>
        <v/>
      </c>
      <c r="AF32" s="38" t="str">
        <f t="shared" ref="AF32:AF33" si="414">IF(AF$8="","",AE32)</f>
        <v/>
      </c>
      <c r="AG32" s="38" t="str">
        <f t="shared" ref="AG32:AG33" si="415">IF(AG$8="","",AF32)</f>
        <v/>
      </c>
      <c r="AH32" s="38" t="str">
        <f>IF(AH$8="","",AG32)</f>
        <v/>
      </c>
      <c r="AI32" s="38" t="str">
        <f t="shared" ref="AI32:AI33" si="416">IF(AI$8="","",AH32)</f>
        <v/>
      </c>
      <c r="AJ32" s="38" t="str">
        <f t="shared" ref="AJ32:AJ33" si="417">IF(AJ$8="","",AI32)</f>
        <v/>
      </c>
      <c r="AK32" s="38" t="str">
        <f t="shared" ref="AK32:AK33" si="418">IF(AK$8="","",AJ32)</f>
        <v/>
      </c>
      <c r="AL32" s="38" t="str">
        <f>IF(AL$8="","",AK32)</f>
        <v/>
      </c>
      <c r="AM32" s="38" t="str">
        <f t="shared" ref="AM32:AM33" si="419">IF(AM$8="","",AL32)</f>
        <v/>
      </c>
      <c r="AN32" s="38" t="str">
        <f t="shared" ref="AN32:AN33" si="420">IF(AN$8="","",AM32)</f>
        <v/>
      </c>
      <c r="AO32" s="38" t="str">
        <f t="shared" ref="AO32:AO33" si="421">IF(AO$8="","",AN32)</f>
        <v/>
      </c>
      <c r="AP32" s="38" t="str">
        <f t="shared" ref="AP32:AS32" si="422">IF(AP$8="","",AO32)</f>
        <v/>
      </c>
      <c r="AQ32" s="38" t="str">
        <f t="shared" si="422"/>
        <v/>
      </c>
      <c r="AR32" s="38" t="str">
        <f t="shared" si="422"/>
        <v/>
      </c>
      <c r="AS32" s="38" t="str">
        <f t="shared" si="422"/>
        <v/>
      </c>
    </row>
    <row r="33" spans="1:45" x14ac:dyDescent="0.15">
      <c r="A33" s="37" t="s">
        <v>64</v>
      </c>
      <c r="B33" s="30" t="s">
        <v>4</v>
      </c>
      <c r="C33" s="29">
        <v>1061</v>
      </c>
      <c r="D33" s="29">
        <v>1061</v>
      </c>
      <c r="E33" s="29">
        <v>1061</v>
      </c>
      <c r="F33" s="29">
        <v>1065</v>
      </c>
      <c r="G33" s="29">
        <v>1065</v>
      </c>
      <c r="H33" s="29">
        <v>1065</v>
      </c>
      <c r="I33" s="29">
        <v>1065</v>
      </c>
      <c r="J33" s="29">
        <v>1069</v>
      </c>
      <c r="K33" s="29">
        <f t="shared" si="399"/>
        <v>1069</v>
      </c>
      <c r="L33" s="29">
        <f t="shared" si="400"/>
        <v>1069</v>
      </c>
      <c r="M33" s="29">
        <v>1072</v>
      </c>
      <c r="N33" s="29" t="str">
        <f t="shared" si="401"/>
        <v/>
      </c>
      <c r="O33" s="29" t="str">
        <f t="shared" si="402"/>
        <v/>
      </c>
      <c r="P33" s="29" t="str">
        <f t="shared" si="403"/>
        <v/>
      </c>
      <c r="Q33" s="29" t="str">
        <f>IF(Q$8="","",P33)</f>
        <v/>
      </c>
      <c r="R33" s="29" t="str">
        <f t="shared" si="404"/>
        <v/>
      </c>
      <c r="S33" s="29" t="str">
        <f t="shared" si="405"/>
        <v/>
      </c>
      <c r="T33" s="29" t="str">
        <f>IF(T$8="","",S33)</f>
        <v/>
      </c>
      <c r="U33" s="29" t="str">
        <f t="shared" si="406"/>
        <v/>
      </c>
      <c r="V33" s="29" t="str">
        <f t="shared" si="407"/>
        <v/>
      </c>
      <c r="W33" s="29" t="str">
        <f t="shared" si="408"/>
        <v/>
      </c>
      <c r="X33" s="29" t="str">
        <f>IF(X$8="","",W33)</f>
        <v/>
      </c>
      <c r="Y33" s="29" t="str">
        <f t="shared" si="409"/>
        <v/>
      </c>
      <c r="Z33" s="29" t="str">
        <f t="shared" si="410"/>
        <v/>
      </c>
      <c r="AA33" s="29" t="str">
        <f>IF(AA$8="","",Z33)</f>
        <v/>
      </c>
      <c r="AB33" s="29" t="str">
        <f t="shared" si="411"/>
        <v/>
      </c>
      <c r="AC33" s="29" t="str">
        <f t="shared" si="412"/>
        <v/>
      </c>
      <c r="AD33" s="29" t="str">
        <f t="shared" ref="AD33" si="423">IF(AD$8="","",AC33)</f>
        <v/>
      </c>
      <c r="AE33" s="29" t="str">
        <f t="shared" si="413"/>
        <v/>
      </c>
      <c r="AF33" s="29" t="str">
        <f t="shared" si="414"/>
        <v/>
      </c>
      <c r="AG33" s="29" t="str">
        <f t="shared" si="415"/>
        <v/>
      </c>
      <c r="AH33" s="29" t="str">
        <f>IF(AH$8="","",AG33)</f>
        <v/>
      </c>
      <c r="AI33" s="29" t="str">
        <f t="shared" si="416"/>
        <v/>
      </c>
      <c r="AJ33" s="29" t="str">
        <f t="shared" si="417"/>
        <v/>
      </c>
      <c r="AK33" s="29" t="str">
        <f t="shared" si="418"/>
        <v/>
      </c>
      <c r="AL33" s="29" t="str">
        <f>IF(AL$8="","",AK33)</f>
        <v/>
      </c>
      <c r="AM33" s="29" t="str">
        <f t="shared" si="419"/>
        <v/>
      </c>
      <c r="AN33" s="29" t="str">
        <f t="shared" si="420"/>
        <v/>
      </c>
      <c r="AO33" s="29" t="str">
        <f t="shared" si="421"/>
        <v/>
      </c>
      <c r="AP33" s="29" t="str">
        <f t="shared" ref="AP33:AS33" si="424">IF(AP$8="","",AO33)</f>
        <v/>
      </c>
      <c r="AQ33" s="29" t="str">
        <f t="shared" si="424"/>
        <v/>
      </c>
      <c r="AR33" s="29" t="str">
        <f t="shared" si="424"/>
        <v/>
      </c>
      <c r="AS33" s="29" t="str">
        <f t="shared" si="424"/>
        <v/>
      </c>
    </row>
    <row r="34" spans="1:45" x14ac:dyDescent="0.15">
      <c r="A34" s="34"/>
      <c r="B34" s="30" t="s">
        <v>5</v>
      </c>
      <c r="C34" s="29">
        <v>39</v>
      </c>
      <c r="D34" s="29">
        <v>39</v>
      </c>
      <c r="E34" s="29">
        <v>39</v>
      </c>
      <c r="F34" s="29">
        <v>35</v>
      </c>
      <c r="G34" s="29">
        <v>35</v>
      </c>
      <c r="H34" s="29">
        <v>35</v>
      </c>
      <c r="I34" s="29">
        <v>35</v>
      </c>
      <c r="J34" s="29">
        <v>31</v>
      </c>
      <c r="K34" s="29">
        <f t="shared" ref="K34" si="425">IF(K32="","",(J34+J35))</f>
        <v>31</v>
      </c>
      <c r="L34" s="29">
        <f t="shared" ref="L34" si="426">IF(L32="","",(K34+K35))</f>
        <v>31</v>
      </c>
      <c r="M34" s="29">
        <v>28</v>
      </c>
      <c r="N34" s="29" t="str">
        <f t="shared" ref="N34" si="427">IF(N32="","",(M34+M35))</f>
        <v/>
      </c>
      <c r="O34" s="29" t="str">
        <f t="shared" ref="O34" si="428">IF(O32="","",(N34+N35))</f>
        <v/>
      </c>
      <c r="P34" s="29" t="str">
        <f t="shared" ref="P34" si="429">IF(P32="","",(O34+O35))</f>
        <v/>
      </c>
      <c r="Q34" s="29" t="str">
        <f>IF(Q32="","",(P34+P35))</f>
        <v/>
      </c>
      <c r="R34" s="29" t="str">
        <f t="shared" ref="R34" si="430">IF(R32="","",(Q34+Q35))</f>
        <v/>
      </c>
      <c r="S34" s="29" t="str">
        <f t="shared" ref="S34" si="431">IF(S32="","",(R34+R35))</f>
        <v/>
      </c>
      <c r="T34" s="29" t="str">
        <f>IF(T32="","",(S34+S35))</f>
        <v/>
      </c>
      <c r="U34" s="29" t="str">
        <f t="shared" ref="U34" si="432">IF(U32="","",(T34+T35))</f>
        <v/>
      </c>
      <c r="V34" s="29" t="str">
        <f t="shared" ref="V34" si="433">IF(V32="","",(U34+U35))</f>
        <v/>
      </c>
      <c r="W34" s="29" t="str">
        <f t="shared" ref="W34" si="434">IF(W32="","",(V34+V35))</f>
        <v/>
      </c>
      <c r="X34" s="29" t="str">
        <f>IF(X32="","",(W34+W35))</f>
        <v/>
      </c>
      <c r="Y34" s="29" t="str">
        <f t="shared" ref="Y34" si="435">IF(Y32="","",(X34+X35))</f>
        <v/>
      </c>
      <c r="Z34" s="29" t="str">
        <f t="shared" ref="Z34" si="436">IF(Z32="","",(Y34+Y35))</f>
        <v/>
      </c>
      <c r="AA34" s="29" t="str">
        <f>IF(AA32="","",(Z34+Z35))</f>
        <v/>
      </c>
      <c r="AB34" s="29" t="str">
        <f t="shared" ref="AB34" si="437">IF(AB32="","",(AA34+AA35))</f>
        <v/>
      </c>
      <c r="AC34" s="29" t="str">
        <f t="shared" ref="AC34" si="438">IF(AC32="","",(AB34+AB35))</f>
        <v/>
      </c>
      <c r="AD34" s="29" t="str">
        <f t="shared" ref="AD34" si="439">IF(AD32="","",(AC34+AC35))</f>
        <v/>
      </c>
      <c r="AE34" s="29" t="str">
        <f t="shared" ref="AE34" si="440">IF(AE32="","",(AD34+AD35))</f>
        <v/>
      </c>
      <c r="AF34" s="29" t="str">
        <f t="shared" ref="AF34" si="441">IF(AF32="","",(AE34+AE35))</f>
        <v/>
      </c>
      <c r="AG34" s="29" t="str">
        <f t="shared" ref="AG34" si="442">IF(AG32="","",(AF34+AF35))</f>
        <v/>
      </c>
      <c r="AH34" s="29" t="str">
        <f>IF(AH32="","",(AG34+AG35))</f>
        <v/>
      </c>
      <c r="AI34" s="29" t="str">
        <f t="shared" ref="AI34" si="443">IF(AI32="","",(AH34+AH35))</f>
        <v/>
      </c>
      <c r="AJ34" s="29" t="str">
        <f t="shared" ref="AJ34" si="444">IF(AJ32="","",(AI34+AI35))</f>
        <v/>
      </c>
      <c r="AK34" s="29" t="str">
        <f t="shared" ref="AK34" si="445">IF(AK32="","",(AJ34+AJ35))</f>
        <v/>
      </c>
      <c r="AL34" s="29" t="str">
        <f>IF(AL32="","",(AK34+AK35))</f>
        <v/>
      </c>
      <c r="AM34" s="29" t="str">
        <f t="shared" ref="AM34" si="446">IF(AM32="","",(AL34+AL35))</f>
        <v/>
      </c>
      <c r="AN34" s="29" t="str">
        <f t="shared" ref="AN34" si="447">IF(AN32="","",(AM34+AM35))</f>
        <v/>
      </c>
      <c r="AO34" s="29" t="str">
        <f t="shared" ref="AO34" si="448">IF(AO32="","",(AN34+AN35))</f>
        <v/>
      </c>
      <c r="AP34" s="29" t="str">
        <f t="shared" ref="AP34:AS34" si="449">IF(AP32="","",(AO34+AO35))</f>
        <v/>
      </c>
      <c r="AQ34" s="29" t="str">
        <f t="shared" si="449"/>
        <v/>
      </c>
      <c r="AR34" s="29" t="str">
        <f t="shared" si="449"/>
        <v/>
      </c>
      <c r="AS34" s="29" t="str">
        <f t="shared" si="449"/>
        <v/>
      </c>
    </row>
    <row r="35" spans="1:45" x14ac:dyDescent="0.15">
      <c r="A35" s="14"/>
      <c r="B35" s="30" t="s">
        <v>7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</row>
    <row r="36" spans="1:45" x14ac:dyDescent="0.15">
      <c r="A36" s="7"/>
      <c r="B36" s="30" t="s">
        <v>8</v>
      </c>
      <c r="C36" s="35">
        <v>400</v>
      </c>
      <c r="D36" s="35">
        <v>400</v>
      </c>
      <c r="E36" s="35">
        <v>400</v>
      </c>
      <c r="F36" s="35">
        <v>400</v>
      </c>
      <c r="G36" s="35">
        <v>400</v>
      </c>
      <c r="H36" s="35">
        <v>400</v>
      </c>
      <c r="I36" s="35">
        <v>400</v>
      </c>
      <c r="J36" s="35">
        <v>400</v>
      </c>
      <c r="K36" s="35">
        <f t="shared" ref="K36" si="450">IF(K32="","",J36)</f>
        <v>400</v>
      </c>
      <c r="L36" s="35">
        <f t="shared" ref="L36" si="451">IF(L32="","",K36)</f>
        <v>400</v>
      </c>
      <c r="M36" s="35">
        <f t="shared" ref="M36" si="452">IF(M32="","",L36)</f>
        <v>400</v>
      </c>
      <c r="N36" s="35" t="str">
        <f t="shared" ref="N36" si="453">IF(N32="","",M36)</f>
        <v/>
      </c>
      <c r="O36" s="35" t="str">
        <f t="shared" ref="O36" si="454">IF(O32="","",N36)</f>
        <v/>
      </c>
      <c r="P36" s="35" t="str">
        <f t="shared" ref="P36" si="455">IF(P32="","",O36)</f>
        <v/>
      </c>
      <c r="Q36" s="35" t="str">
        <f t="shared" ref="Q36" si="456">IF(Q32="","",P36)</f>
        <v/>
      </c>
      <c r="R36" s="35" t="str">
        <f t="shared" ref="R36" si="457">IF(R32="","",Q36)</f>
        <v/>
      </c>
      <c r="S36" s="35" t="str">
        <f t="shared" ref="S36" si="458">IF(S32="","",R36)</f>
        <v/>
      </c>
      <c r="T36" s="35" t="str">
        <f t="shared" ref="T36" si="459">IF(T32="","",S36)</f>
        <v/>
      </c>
      <c r="U36" s="35" t="str">
        <f t="shared" ref="U36" si="460">IF(U32="","",T36)</f>
        <v/>
      </c>
      <c r="V36" s="35" t="str">
        <f t="shared" ref="V36" si="461">IF(V32="","",U36)</f>
        <v/>
      </c>
      <c r="W36" s="35" t="str">
        <f t="shared" ref="W36" si="462">IF(W32="","",V36)</f>
        <v/>
      </c>
      <c r="X36" s="35" t="str">
        <f t="shared" ref="X36" si="463">IF(X32="","",W36)</f>
        <v/>
      </c>
      <c r="Y36" s="35" t="str">
        <f t="shared" ref="Y36" si="464">IF(Y32="","",X36)</f>
        <v/>
      </c>
      <c r="Z36" s="35" t="str">
        <f t="shared" ref="Z36" si="465">IF(Z32="","",Y36)</f>
        <v/>
      </c>
      <c r="AA36" s="35" t="str">
        <f t="shared" ref="AA36" si="466">IF(AA32="","",Z36)</f>
        <v/>
      </c>
      <c r="AB36" s="35" t="str">
        <f t="shared" ref="AB36" si="467">IF(AB32="","",AA36)</f>
        <v/>
      </c>
      <c r="AC36" s="35" t="str">
        <f t="shared" ref="AC36" si="468">IF(AC32="","",AB36)</f>
        <v/>
      </c>
      <c r="AD36" s="35" t="str">
        <f t="shared" ref="AD36" si="469">IF(AD32="","",AC36)</f>
        <v/>
      </c>
      <c r="AE36" s="35" t="str">
        <f t="shared" ref="AE36" si="470">IF(AE32="","",AD36)</f>
        <v/>
      </c>
      <c r="AF36" s="35" t="str">
        <f t="shared" ref="AF36" si="471">IF(AF32="","",AE36)</f>
        <v/>
      </c>
      <c r="AG36" s="35" t="str">
        <f t="shared" ref="AG36" si="472">IF(AG32="","",AF36)</f>
        <v/>
      </c>
      <c r="AH36" s="35" t="str">
        <f t="shared" ref="AH36" si="473">IF(AH32="","",AG36)</f>
        <v/>
      </c>
      <c r="AI36" s="35" t="str">
        <f t="shared" ref="AI36" si="474">IF(AI32="","",AH36)</f>
        <v/>
      </c>
      <c r="AJ36" s="35" t="str">
        <f t="shared" ref="AJ36" si="475">IF(AJ32="","",AI36)</f>
        <v/>
      </c>
      <c r="AK36" s="35" t="str">
        <f t="shared" ref="AK36" si="476">IF(AK32="","",AJ36)</f>
        <v/>
      </c>
      <c r="AL36" s="35" t="str">
        <f t="shared" ref="AL36" si="477">IF(AL32="","",AK36)</f>
        <v/>
      </c>
      <c r="AM36" s="35" t="str">
        <f t="shared" ref="AM36" si="478">IF(AM32="","",AL36)</f>
        <v/>
      </c>
      <c r="AN36" s="35" t="str">
        <f t="shared" ref="AN36" si="479">IF(AN32="","",AM36)</f>
        <v/>
      </c>
      <c r="AO36" s="35" t="str">
        <f t="shared" ref="AO36" si="480">IF(AO32="","",AN36)</f>
        <v/>
      </c>
      <c r="AP36" s="35" t="str">
        <f t="shared" ref="AP36:AS36" si="481">IF(AP32="","",AO36)</f>
        <v/>
      </c>
      <c r="AQ36" s="35" t="str">
        <f t="shared" si="481"/>
        <v/>
      </c>
      <c r="AR36" s="35" t="str">
        <f t="shared" si="481"/>
        <v/>
      </c>
      <c r="AS36" s="35" t="str">
        <f t="shared" si="481"/>
        <v/>
      </c>
    </row>
    <row r="37" spans="1:45" s="85" customFormat="1" x14ac:dyDescent="0.15">
      <c r="A37" s="14" t="s">
        <v>9</v>
      </c>
      <c r="B37" s="33" t="s">
        <v>10</v>
      </c>
      <c r="C37" s="32" t="s">
        <v>43</v>
      </c>
      <c r="D37" s="32" t="s">
        <v>43</v>
      </c>
      <c r="E37" s="32" t="s">
        <v>43</v>
      </c>
      <c r="F37" s="32" t="s">
        <v>43</v>
      </c>
      <c r="G37" s="32" t="s">
        <v>43</v>
      </c>
      <c r="H37" s="32" t="s">
        <v>43</v>
      </c>
      <c r="I37" s="32" t="s">
        <v>43</v>
      </c>
      <c r="J37" s="32" t="s">
        <v>43</v>
      </c>
      <c r="K37" s="32" t="str">
        <f t="shared" ref="K37" si="482">IF(K32="","",J37)</f>
        <v>サムエル（箱無し）</v>
      </c>
      <c r="L37" s="32" t="str">
        <f t="shared" ref="L37" si="483">IF(L32="","",K37)</f>
        <v>サムエル（箱無し）</v>
      </c>
      <c r="M37" s="32" t="str">
        <f t="shared" ref="M37" si="484">IF(M32="","",L37)</f>
        <v>サムエル（箱無し）</v>
      </c>
      <c r="N37" s="32" t="str">
        <f t="shared" ref="N37" si="485">IF(N32="","",M37)</f>
        <v/>
      </c>
      <c r="O37" s="32" t="str">
        <f t="shared" ref="O37" si="486">IF(O32="","",N37)</f>
        <v/>
      </c>
      <c r="P37" s="32" t="str">
        <f t="shared" ref="P37" si="487">IF(P32="","",O37)</f>
        <v/>
      </c>
      <c r="Q37" s="32" t="str">
        <f t="shared" ref="Q37" si="488">IF(Q32="","",P37)</f>
        <v/>
      </c>
      <c r="R37" s="32" t="str">
        <f t="shared" ref="R37" si="489">IF(R32="","",Q37)</f>
        <v/>
      </c>
      <c r="S37" s="32" t="str">
        <f t="shared" ref="S37" si="490">IF(S32="","",R37)</f>
        <v/>
      </c>
      <c r="T37" s="32" t="str">
        <f t="shared" ref="T37" si="491">IF(T32="","",S37)</f>
        <v/>
      </c>
      <c r="U37" s="32" t="str">
        <f t="shared" ref="U37" si="492">IF(U32="","",T37)</f>
        <v/>
      </c>
      <c r="V37" s="32" t="str">
        <f t="shared" ref="V37" si="493">IF(V32="","",U37)</f>
        <v/>
      </c>
      <c r="W37" s="32" t="str">
        <f t="shared" ref="W37" si="494">IF(W32="","",V37)</f>
        <v/>
      </c>
      <c r="X37" s="32" t="str">
        <f t="shared" ref="X37" si="495">IF(X32="","",W37)</f>
        <v/>
      </c>
      <c r="Y37" s="32" t="str">
        <f t="shared" ref="Y37" si="496">IF(Y32="","",X37)</f>
        <v/>
      </c>
      <c r="Z37" s="32" t="str">
        <f t="shared" ref="Z37" si="497">IF(Z32="","",Y37)</f>
        <v/>
      </c>
      <c r="AA37" s="32" t="str">
        <f t="shared" ref="AA37" si="498">IF(AA32="","",Z37)</f>
        <v/>
      </c>
      <c r="AB37" s="32" t="str">
        <f t="shared" ref="AB37" si="499">IF(AB32="","",AA37)</f>
        <v/>
      </c>
      <c r="AC37" s="32" t="str">
        <f t="shared" ref="AC37" si="500">IF(AC32="","",AB37)</f>
        <v/>
      </c>
      <c r="AD37" s="32" t="str">
        <f t="shared" ref="AD37" si="501">IF(AD32="","",AC37)</f>
        <v/>
      </c>
      <c r="AE37" s="32" t="str">
        <f t="shared" ref="AE37" si="502">IF(AE32="","",AD37)</f>
        <v/>
      </c>
      <c r="AF37" s="32" t="str">
        <f t="shared" ref="AF37" si="503">IF(AF32="","",AE37)</f>
        <v/>
      </c>
      <c r="AG37" s="32" t="str">
        <f t="shared" ref="AG37" si="504">IF(AG32="","",AF37)</f>
        <v/>
      </c>
      <c r="AH37" s="32" t="str">
        <f t="shared" ref="AH37" si="505">IF(AH32="","",AG37)</f>
        <v/>
      </c>
      <c r="AI37" s="32" t="str">
        <f t="shared" ref="AI37" si="506">IF(AI32="","",AH37)</f>
        <v/>
      </c>
      <c r="AJ37" s="32" t="str">
        <f t="shared" ref="AJ37" si="507">IF(AJ32="","",AI37)</f>
        <v/>
      </c>
      <c r="AK37" s="32" t="str">
        <f t="shared" ref="AK37" si="508">IF(AK32="","",AJ37)</f>
        <v/>
      </c>
      <c r="AL37" s="32" t="str">
        <f t="shared" ref="AL37" si="509">IF(AL32="","",AK37)</f>
        <v/>
      </c>
      <c r="AM37" s="32" t="str">
        <f t="shared" ref="AM37" si="510">IF(AM32="","",AL37)</f>
        <v/>
      </c>
      <c r="AN37" s="32" t="str">
        <f t="shared" ref="AN37" si="511">IF(AN32="","",AM37)</f>
        <v/>
      </c>
      <c r="AO37" s="32" t="str">
        <f t="shared" ref="AO37" si="512">IF(AO32="","",AN37)</f>
        <v/>
      </c>
      <c r="AP37" s="32" t="str">
        <f t="shared" ref="AP37:AS37" si="513">IF(AP32="","",AO37)</f>
        <v/>
      </c>
      <c r="AQ37" s="32" t="str">
        <f t="shared" si="513"/>
        <v/>
      </c>
      <c r="AR37" s="32" t="str">
        <f t="shared" si="513"/>
        <v/>
      </c>
      <c r="AS37" s="32" t="str">
        <f t="shared" si="513"/>
        <v/>
      </c>
    </row>
    <row r="38" spans="1:45" x14ac:dyDescent="0.15">
      <c r="A38" s="7">
        <f>AVERAGE(C39:AS39)*30*100</f>
        <v>57272.727272727272</v>
      </c>
      <c r="B38" s="30" t="s">
        <v>12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</row>
    <row r="39" spans="1:45" x14ac:dyDescent="0.15">
      <c r="A39" s="7">
        <f>SUM(C39:AS39)</f>
        <v>210</v>
      </c>
      <c r="B39" s="27" t="s">
        <v>13</v>
      </c>
      <c r="C39" s="26">
        <v>0</v>
      </c>
      <c r="D39" s="26">
        <v>0</v>
      </c>
      <c r="E39" s="26">
        <v>0</v>
      </c>
      <c r="F39" s="26">
        <v>62</v>
      </c>
      <c r="G39" s="26">
        <v>0</v>
      </c>
      <c r="H39" s="26">
        <v>0</v>
      </c>
      <c r="I39" s="26">
        <v>0</v>
      </c>
      <c r="J39" s="26">
        <v>78</v>
      </c>
      <c r="K39" s="26">
        <f t="shared" ref="K39:K40" si="514">IF(K32="","",K32-J32)</f>
        <v>0</v>
      </c>
      <c r="L39" s="26">
        <f t="shared" ref="L39:L40" si="515">IF(L32="","",L32-K32)</f>
        <v>0</v>
      </c>
      <c r="M39" s="26">
        <f t="shared" ref="M39:M40" si="516">IF(M32="","",M32-L32)</f>
        <v>70</v>
      </c>
      <c r="N39" s="26" t="str">
        <f t="shared" ref="N39:N40" si="517">IF(N32="","",N32-M32)</f>
        <v/>
      </c>
      <c r="O39" s="26" t="str">
        <f t="shared" ref="O39:O40" si="518">IF(O32="","",O32-N32)</f>
        <v/>
      </c>
      <c r="P39" s="26" t="str">
        <f t="shared" ref="P39:P40" si="519">IF(P32="","",P32-O32)</f>
        <v/>
      </c>
      <c r="Q39" s="26" t="str">
        <f t="shared" ref="Q39:Q40" si="520">IF(Q32="","",Q32-P32)</f>
        <v/>
      </c>
      <c r="R39" s="26" t="str">
        <f t="shared" ref="R39:R40" si="521">IF(R32="","",R32-Q32)</f>
        <v/>
      </c>
      <c r="S39" s="26" t="str">
        <f t="shared" ref="S39:S40" si="522">IF(S32="","",S32-R32)</f>
        <v/>
      </c>
      <c r="T39" s="26" t="str">
        <f t="shared" ref="T39:T40" si="523">IF(T32="","",T32-S32)</f>
        <v/>
      </c>
      <c r="U39" s="26" t="str">
        <f t="shared" ref="U39:U40" si="524">IF(U32="","",U32-T32)</f>
        <v/>
      </c>
      <c r="V39" s="26" t="str">
        <f t="shared" ref="V39:V40" si="525">IF(V32="","",V32-U32)</f>
        <v/>
      </c>
      <c r="W39" s="26" t="str">
        <f t="shared" ref="W39:W40" si="526">IF(W32="","",W32-V32)</f>
        <v/>
      </c>
      <c r="X39" s="26" t="str">
        <f t="shared" ref="X39:X40" si="527">IF(X32="","",X32-W32)</f>
        <v/>
      </c>
      <c r="Y39" s="26" t="str">
        <f t="shared" ref="Y39:Y40" si="528">IF(Y32="","",Y32-X32)</f>
        <v/>
      </c>
      <c r="Z39" s="26" t="str">
        <f t="shared" ref="Z39:Z40" si="529">IF(Z32="","",Z32-Y32)</f>
        <v/>
      </c>
      <c r="AA39" s="26" t="str">
        <f t="shared" ref="AA39:AA40" si="530">IF(AA32="","",AA32-Z32)</f>
        <v/>
      </c>
      <c r="AB39" s="26" t="str">
        <f t="shared" ref="AB39:AB40" si="531">IF(AB32="","",AB32-AA32)</f>
        <v/>
      </c>
      <c r="AC39" s="26" t="str">
        <f t="shared" ref="AC39:AC40" si="532">IF(AC32="","",AC32-AB32)</f>
        <v/>
      </c>
      <c r="AD39" s="26" t="str">
        <f t="shared" ref="AD39:AD40" si="533">IF(AD32="","",AD32-AC32)</f>
        <v/>
      </c>
      <c r="AE39" s="26" t="str">
        <f t="shared" ref="AE39:AE40" si="534">IF(AE32="","",AE32-AD32)</f>
        <v/>
      </c>
      <c r="AF39" s="26" t="str">
        <f t="shared" ref="AF39:AF40" si="535">IF(AF32="","",AF32-AE32)</f>
        <v/>
      </c>
      <c r="AG39" s="26" t="str">
        <f t="shared" ref="AG39:AG40" si="536">IF(AG32="","",AG32-AF32)</f>
        <v/>
      </c>
      <c r="AH39" s="26" t="str">
        <f t="shared" ref="AH39:AH40" si="537">IF(AH32="","",AH32-AG32)</f>
        <v/>
      </c>
      <c r="AI39" s="26" t="str">
        <f t="shared" ref="AI39:AI40" si="538">IF(AI32="","",AI32-AH32)</f>
        <v/>
      </c>
      <c r="AJ39" s="26" t="str">
        <f t="shared" ref="AJ39:AJ40" si="539">IF(AJ32="","",AJ32-AI32)</f>
        <v/>
      </c>
      <c r="AK39" s="26" t="str">
        <f t="shared" ref="AK39:AK40" si="540">IF(AK32="","",AK32-AJ32)</f>
        <v/>
      </c>
      <c r="AL39" s="26" t="str">
        <f t="shared" ref="AL39:AL40" si="541">IF(AL32="","",AL32-AK32)</f>
        <v/>
      </c>
      <c r="AM39" s="26" t="str">
        <f t="shared" ref="AM39:AM40" si="542">IF(AM32="","",AM32-AL32)</f>
        <v/>
      </c>
      <c r="AN39" s="26" t="str">
        <f t="shared" ref="AN39:AN40" si="543">IF(AN32="","",AN32-AM32)</f>
        <v/>
      </c>
      <c r="AO39" s="26" t="str">
        <f t="shared" ref="AO39:AO40" si="544">IF(AO32="","",AO32-AN32)</f>
        <v/>
      </c>
      <c r="AP39" s="26" t="str">
        <f t="shared" ref="AP39:AS39" si="545">IF(AP32="","",AP32-AO32)</f>
        <v/>
      </c>
      <c r="AQ39" s="26" t="str">
        <f t="shared" si="545"/>
        <v/>
      </c>
      <c r="AR39" s="26" t="str">
        <f t="shared" si="545"/>
        <v/>
      </c>
      <c r="AS39" s="26" t="str">
        <f t="shared" si="545"/>
        <v/>
      </c>
    </row>
    <row r="40" spans="1:45" x14ac:dyDescent="0.15">
      <c r="A40" s="7">
        <f>SUM(C40:AS40)</f>
        <v>11</v>
      </c>
      <c r="B40" s="27" t="s">
        <v>14</v>
      </c>
      <c r="C40" s="26">
        <v>0</v>
      </c>
      <c r="D40" s="26">
        <v>0</v>
      </c>
      <c r="E40" s="26">
        <v>0</v>
      </c>
      <c r="F40" s="26">
        <v>4</v>
      </c>
      <c r="G40" s="26">
        <v>0</v>
      </c>
      <c r="H40" s="26">
        <v>0</v>
      </c>
      <c r="I40" s="26">
        <v>0</v>
      </c>
      <c r="J40" s="26">
        <v>4</v>
      </c>
      <c r="K40" s="26">
        <f t="shared" si="514"/>
        <v>0</v>
      </c>
      <c r="L40" s="26">
        <f t="shared" si="515"/>
        <v>0</v>
      </c>
      <c r="M40" s="26">
        <f t="shared" si="516"/>
        <v>3</v>
      </c>
      <c r="N40" s="26" t="str">
        <f t="shared" si="517"/>
        <v/>
      </c>
      <c r="O40" s="26" t="str">
        <f t="shared" si="518"/>
        <v/>
      </c>
      <c r="P40" s="26" t="str">
        <f t="shared" si="519"/>
        <v/>
      </c>
      <c r="Q40" s="26" t="str">
        <f t="shared" si="520"/>
        <v/>
      </c>
      <c r="R40" s="26" t="str">
        <f t="shared" si="521"/>
        <v/>
      </c>
      <c r="S40" s="26" t="str">
        <f t="shared" si="522"/>
        <v/>
      </c>
      <c r="T40" s="26" t="str">
        <f t="shared" si="523"/>
        <v/>
      </c>
      <c r="U40" s="26" t="str">
        <f t="shared" si="524"/>
        <v/>
      </c>
      <c r="V40" s="26" t="str">
        <f t="shared" si="525"/>
        <v/>
      </c>
      <c r="W40" s="26" t="str">
        <f t="shared" si="526"/>
        <v/>
      </c>
      <c r="X40" s="26" t="str">
        <f t="shared" si="527"/>
        <v/>
      </c>
      <c r="Y40" s="26" t="str">
        <f t="shared" si="528"/>
        <v/>
      </c>
      <c r="Z40" s="26" t="str">
        <f t="shared" si="529"/>
        <v/>
      </c>
      <c r="AA40" s="26" t="str">
        <f t="shared" si="530"/>
        <v/>
      </c>
      <c r="AB40" s="26" t="str">
        <f t="shared" si="531"/>
        <v/>
      </c>
      <c r="AC40" s="26" t="str">
        <f t="shared" si="532"/>
        <v/>
      </c>
      <c r="AD40" s="26" t="str">
        <f t="shared" si="533"/>
        <v/>
      </c>
      <c r="AE40" s="26" t="str">
        <f t="shared" si="534"/>
        <v/>
      </c>
      <c r="AF40" s="26" t="str">
        <f t="shared" si="535"/>
        <v/>
      </c>
      <c r="AG40" s="26" t="str">
        <f t="shared" si="536"/>
        <v/>
      </c>
      <c r="AH40" s="26" t="str">
        <f t="shared" si="537"/>
        <v/>
      </c>
      <c r="AI40" s="26" t="str">
        <f t="shared" si="538"/>
        <v/>
      </c>
      <c r="AJ40" s="26" t="str">
        <f t="shared" si="539"/>
        <v/>
      </c>
      <c r="AK40" s="26" t="str">
        <f t="shared" si="540"/>
        <v/>
      </c>
      <c r="AL40" s="26" t="str">
        <f t="shared" si="541"/>
        <v/>
      </c>
      <c r="AM40" s="26" t="str">
        <f t="shared" si="542"/>
        <v/>
      </c>
      <c r="AN40" s="26" t="str">
        <f t="shared" si="543"/>
        <v/>
      </c>
      <c r="AO40" s="26" t="str">
        <f t="shared" si="544"/>
        <v/>
      </c>
      <c r="AP40" s="26" t="str">
        <f t="shared" ref="AP40:AS40" si="546">IF(AP33="","",AP33-AO33)</f>
        <v/>
      </c>
      <c r="AQ40" s="26" t="str">
        <f t="shared" si="546"/>
        <v/>
      </c>
      <c r="AR40" s="26" t="str">
        <f t="shared" si="546"/>
        <v/>
      </c>
      <c r="AS40" s="26" t="str">
        <f t="shared" si="546"/>
        <v/>
      </c>
    </row>
    <row r="41" spans="1:45" x14ac:dyDescent="0.15">
      <c r="A41" s="7">
        <f>SUM(C41:AS41)</f>
        <v>11</v>
      </c>
      <c r="B41" s="27" t="s">
        <v>15</v>
      </c>
      <c r="C41" s="26">
        <v>0</v>
      </c>
      <c r="D41" s="26">
        <v>0</v>
      </c>
      <c r="E41" s="26">
        <v>0</v>
      </c>
      <c r="F41" s="26">
        <v>4</v>
      </c>
      <c r="G41" s="26">
        <v>0</v>
      </c>
      <c r="H41" s="26">
        <v>0</v>
      </c>
      <c r="I41" s="26">
        <v>0</v>
      </c>
      <c r="J41" s="26">
        <v>4</v>
      </c>
      <c r="K41" s="26">
        <f t="shared" ref="K41" si="547">IF(K34="","",J34+J35-K34)</f>
        <v>0</v>
      </c>
      <c r="L41" s="26">
        <f t="shared" ref="L41" si="548">IF(L34="","",K34+K35-L34)</f>
        <v>0</v>
      </c>
      <c r="M41" s="26">
        <f t="shared" ref="M41" si="549">IF(M34="","",L34+L35-M34)</f>
        <v>3</v>
      </c>
      <c r="N41" s="26" t="str">
        <f t="shared" ref="N41" si="550">IF(N34="","",M34+M35-N34)</f>
        <v/>
      </c>
      <c r="O41" s="26" t="str">
        <f t="shared" ref="O41" si="551">IF(O34="","",N34+N35-O34)</f>
        <v/>
      </c>
      <c r="P41" s="26" t="str">
        <f t="shared" ref="P41" si="552">IF(P34="","",O34+O35-P34)</f>
        <v/>
      </c>
      <c r="Q41" s="26" t="str">
        <f t="shared" ref="Q41" si="553">IF(Q34="","",P34+P35-Q34)</f>
        <v/>
      </c>
      <c r="R41" s="26" t="str">
        <f t="shared" ref="R41" si="554">IF(R34="","",Q34+Q35-R34)</f>
        <v/>
      </c>
      <c r="S41" s="26" t="str">
        <f t="shared" ref="S41" si="555">IF(S34="","",R34+R35-S34)</f>
        <v/>
      </c>
      <c r="T41" s="26" t="str">
        <f t="shared" ref="T41" si="556">IF(T34="","",S34+S35-T34)</f>
        <v/>
      </c>
      <c r="U41" s="26" t="str">
        <f t="shared" ref="U41" si="557">IF(U34="","",T34+T35-U34)</f>
        <v/>
      </c>
      <c r="V41" s="26" t="str">
        <f t="shared" ref="V41" si="558">IF(V34="","",U34+U35-V34)</f>
        <v/>
      </c>
      <c r="W41" s="26" t="str">
        <f t="shared" ref="W41" si="559">IF(W34="","",V34+V35-W34)</f>
        <v/>
      </c>
      <c r="X41" s="26" t="str">
        <f t="shared" ref="X41" si="560">IF(X34="","",W34+W35-X34)</f>
        <v/>
      </c>
      <c r="Y41" s="26" t="str">
        <f t="shared" ref="Y41" si="561">IF(Y34="","",X34+X35-Y34)</f>
        <v/>
      </c>
      <c r="Z41" s="26" t="str">
        <f t="shared" ref="Z41" si="562">IF(Z34="","",Y34+Y35-Z34)</f>
        <v/>
      </c>
      <c r="AA41" s="26" t="str">
        <f t="shared" ref="AA41" si="563">IF(AA34="","",Z34+Z35-AA34)</f>
        <v/>
      </c>
      <c r="AB41" s="26" t="str">
        <f t="shared" ref="AB41" si="564">IF(AB34="","",AA34+AA35-AB34)</f>
        <v/>
      </c>
      <c r="AC41" s="26" t="str">
        <f t="shared" ref="AC41" si="565">IF(AC34="","",AB34+AB35-AC34)</f>
        <v/>
      </c>
      <c r="AD41" s="26" t="str">
        <f t="shared" ref="AD41" si="566">IF(AD34="","",AC34+AC35-AD34)</f>
        <v/>
      </c>
      <c r="AE41" s="26" t="str">
        <f t="shared" ref="AE41" si="567">IF(AE34="","",AD34+AD35-AE34)</f>
        <v/>
      </c>
      <c r="AF41" s="26" t="str">
        <f t="shared" ref="AF41" si="568">IF(AF34="","",AE34+AE35-AF34)</f>
        <v/>
      </c>
      <c r="AG41" s="26" t="str">
        <f t="shared" ref="AG41" si="569">IF(AG34="","",AF34+AF35-AG34)</f>
        <v/>
      </c>
      <c r="AH41" s="26" t="str">
        <f t="shared" ref="AH41" si="570">IF(AH34="","",AG34+AG35-AH34)</f>
        <v/>
      </c>
      <c r="AI41" s="26" t="str">
        <f t="shared" ref="AI41" si="571">IF(AI34="","",AH34+AH35-AI34)</f>
        <v/>
      </c>
      <c r="AJ41" s="26" t="str">
        <f t="shared" ref="AJ41" si="572">IF(AJ34="","",AI34+AI35-AJ34)</f>
        <v/>
      </c>
      <c r="AK41" s="26" t="str">
        <f t="shared" ref="AK41" si="573">IF(AK34="","",AJ34+AJ35-AK34)</f>
        <v/>
      </c>
      <c r="AL41" s="26" t="str">
        <f t="shared" ref="AL41" si="574">IF(AL34="","",AK34+AK35-AL34)</f>
        <v/>
      </c>
      <c r="AM41" s="26" t="str">
        <f t="shared" ref="AM41" si="575">IF(AM34="","",AL34+AL35-AM34)</f>
        <v/>
      </c>
      <c r="AN41" s="26" t="str">
        <f t="shared" ref="AN41" si="576">IF(AN34="","",AM34+AM35-AN34)</f>
        <v/>
      </c>
      <c r="AO41" s="26" t="str">
        <f t="shared" ref="AO41" si="577">IF(AO34="","",AN34+AN35-AO34)</f>
        <v/>
      </c>
      <c r="AP41" s="26" t="str">
        <f t="shared" ref="AP41:AS41" si="578">IF(AP34="","",AO34+AO35-AP34)</f>
        <v/>
      </c>
      <c r="AQ41" s="26" t="str">
        <f t="shared" si="578"/>
        <v/>
      </c>
      <c r="AR41" s="26" t="str">
        <f t="shared" si="578"/>
        <v/>
      </c>
      <c r="AS41" s="26" t="str">
        <f t="shared" si="578"/>
        <v/>
      </c>
    </row>
    <row r="42" spans="1:45" x14ac:dyDescent="0.15">
      <c r="A42" s="7">
        <f>SUM(C42:AS42)</f>
        <v>4400</v>
      </c>
      <c r="B42" s="27" t="s">
        <v>16</v>
      </c>
      <c r="C42" s="26">
        <v>0</v>
      </c>
      <c r="D42" s="26">
        <v>0</v>
      </c>
      <c r="E42" s="26">
        <v>0</v>
      </c>
      <c r="F42" s="26">
        <v>1600</v>
      </c>
      <c r="G42" s="26">
        <v>0</v>
      </c>
      <c r="H42" s="26">
        <v>0</v>
      </c>
      <c r="I42" s="26">
        <v>0</v>
      </c>
      <c r="J42" s="26">
        <v>1600</v>
      </c>
      <c r="K42" s="26">
        <f t="shared" ref="I42:AO42" si="579">IF(K32="","",K41*K36)</f>
        <v>0</v>
      </c>
      <c r="L42" s="26">
        <f t="shared" si="579"/>
        <v>0</v>
      </c>
      <c r="M42" s="26">
        <f t="shared" si="579"/>
        <v>1200</v>
      </c>
      <c r="N42" s="26" t="str">
        <f t="shared" si="579"/>
        <v/>
      </c>
      <c r="O42" s="26" t="str">
        <f t="shared" si="579"/>
        <v/>
      </c>
      <c r="P42" s="26" t="str">
        <f t="shared" si="579"/>
        <v/>
      </c>
      <c r="Q42" s="26" t="str">
        <f t="shared" si="579"/>
        <v/>
      </c>
      <c r="R42" s="26" t="str">
        <f t="shared" si="579"/>
        <v/>
      </c>
      <c r="S42" s="26" t="str">
        <f t="shared" si="579"/>
        <v/>
      </c>
      <c r="T42" s="26" t="str">
        <f t="shared" si="579"/>
        <v/>
      </c>
      <c r="U42" s="26" t="str">
        <f t="shared" si="579"/>
        <v/>
      </c>
      <c r="V42" s="26" t="str">
        <f t="shared" si="579"/>
        <v/>
      </c>
      <c r="W42" s="26" t="str">
        <f t="shared" si="579"/>
        <v/>
      </c>
      <c r="X42" s="26" t="str">
        <f t="shared" si="579"/>
        <v/>
      </c>
      <c r="Y42" s="26" t="str">
        <f t="shared" si="579"/>
        <v/>
      </c>
      <c r="Z42" s="26" t="str">
        <f t="shared" si="579"/>
        <v/>
      </c>
      <c r="AA42" s="26" t="str">
        <f t="shared" si="579"/>
        <v/>
      </c>
      <c r="AB42" s="26" t="str">
        <f t="shared" si="579"/>
        <v/>
      </c>
      <c r="AC42" s="26" t="str">
        <f t="shared" si="579"/>
        <v/>
      </c>
      <c r="AD42" s="26" t="str">
        <f t="shared" si="579"/>
        <v/>
      </c>
      <c r="AE42" s="26" t="str">
        <f t="shared" si="579"/>
        <v/>
      </c>
      <c r="AF42" s="26" t="str">
        <f t="shared" si="579"/>
        <v/>
      </c>
      <c r="AG42" s="26" t="str">
        <f t="shared" si="579"/>
        <v/>
      </c>
      <c r="AH42" s="26" t="str">
        <f t="shared" si="579"/>
        <v/>
      </c>
      <c r="AI42" s="26" t="str">
        <f t="shared" si="579"/>
        <v/>
      </c>
      <c r="AJ42" s="26" t="str">
        <f t="shared" si="579"/>
        <v/>
      </c>
      <c r="AK42" s="26" t="str">
        <f t="shared" si="579"/>
        <v/>
      </c>
      <c r="AL42" s="26" t="str">
        <f t="shared" si="579"/>
        <v/>
      </c>
      <c r="AM42" s="26" t="str">
        <f t="shared" si="579"/>
        <v/>
      </c>
      <c r="AN42" s="26" t="str">
        <f t="shared" si="579"/>
        <v/>
      </c>
      <c r="AO42" s="26" t="str">
        <f t="shared" si="579"/>
        <v/>
      </c>
      <c r="AP42" s="26" t="str">
        <f t="shared" ref="AP42:AS42" si="580">IF(AP32="","",AP41*AP36)</f>
        <v/>
      </c>
      <c r="AQ42" s="26" t="str">
        <f t="shared" si="580"/>
        <v/>
      </c>
      <c r="AR42" s="26" t="str">
        <f t="shared" si="580"/>
        <v/>
      </c>
      <c r="AS42" s="26" t="str">
        <f t="shared" si="580"/>
        <v/>
      </c>
    </row>
    <row r="43" spans="1:45" ht="12" thickBot="1" x14ac:dyDescent="0.2">
      <c r="A43" s="4">
        <f>IF(A42="","",A42/(A39*100))</f>
        <v>0.20952380952380953</v>
      </c>
      <c r="B43" s="24" t="s">
        <v>18</v>
      </c>
      <c r="C43" s="23" t="s">
        <v>19</v>
      </c>
      <c r="D43" s="23" t="s">
        <v>19</v>
      </c>
      <c r="E43" s="23" t="s">
        <v>19</v>
      </c>
      <c r="F43" s="23">
        <v>0.25806451612903225</v>
      </c>
      <c r="G43" s="23" t="s">
        <v>19</v>
      </c>
      <c r="H43" s="23" t="s">
        <v>19</v>
      </c>
      <c r="I43" s="23" t="s">
        <v>19</v>
      </c>
      <c r="J43" s="23">
        <v>0.20512820512820512</v>
      </c>
      <c r="K43" s="23" t="str">
        <f t="shared" ref="I43:AO43" si="581">IF(K42="","",IF(K42=0,"",K42/(K39*100)))</f>
        <v/>
      </c>
      <c r="L43" s="23" t="str">
        <f t="shared" si="581"/>
        <v/>
      </c>
      <c r="M43" s="23">
        <f t="shared" si="581"/>
        <v>0.17142857142857143</v>
      </c>
      <c r="N43" s="23" t="str">
        <f t="shared" si="581"/>
        <v/>
      </c>
      <c r="O43" s="23" t="str">
        <f t="shared" si="581"/>
        <v/>
      </c>
      <c r="P43" s="23" t="str">
        <f t="shared" si="581"/>
        <v/>
      </c>
      <c r="Q43" s="23" t="str">
        <f t="shared" si="581"/>
        <v/>
      </c>
      <c r="R43" s="23" t="str">
        <f t="shared" si="581"/>
        <v/>
      </c>
      <c r="S43" s="23" t="str">
        <f t="shared" si="581"/>
        <v/>
      </c>
      <c r="T43" s="23" t="str">
        <f t="shared" si="581"/>
        <v/>
      </c>
      <c r="U43" s="23" t="str">
        <f t="shared" si="581"/>
        <v/>
      </c>
      <c r="V43" s="23" t="str">
        <f t="shared" si="581"/>
        <v/>
      </c>
      <c r="W43" s="23" t="str">
        <f t="shared" si="581"/>
        <v/>
      </c>
      <c r="X43" s="23" t="str">
        <f t="shared" si="581"/>
        <v/>
      </c>
      <c r="Y43" s="23" t="str">
        <f t="shared" si="581"/>
        <v/>
      </c>
      <c r="Z43" s="23" t="str">
        <f t="shared" si="581"/>
        <v/>
      </c>
      <c r="AA43" s="23" t="str">
        <f t="shared" si="581"/>
        <v/>
      </c>
      <c r="AB43" s="23" t="str">
        <f t="shared" si="581"/>
        <v/>
      </c>
      <c r="AC43" s="23" t="str">
        <f t="shared" si="581"/>
        <v/>
      </c>
      <c r="AD43" s="23" t="str">
        <f t="shared" si="581"/>
        <v/>
      </c>
      <c r="AE43" s="23" t="str">
        <f t="shared" si="581"/>
        <v/>
      </c>
      <c r="AF43" s="23" t="str">
        <f t="shared" si="581"/>
        <v/>
      </c>
      <c r="AG43" s="23" t="str">
        <f t="shared" si="581"/>
        <v/>
      </c>
      <c r="AH43" s="23" t="str">
        <f t="shared" si="581"/>
        <v/>
      </c>
      <c r="AI43" s="23" t="str">
        <f t="shared" si="581"/>
        <v/>
      </c>
      <c r="AJ43" s="23" t="str">
        <f t="shared" si="581"/>
        <v/>
      </c>
      <c r="AK43" s="23" t="str">
        <f t="shared" si="581"/>
        <v/>
      </c>
      <c r="AL43" s="23" t="str">
        <f t="shared" si="581"/>
        <v/>
      </c>
      <c r="AM43" s="23" t="str">
        <f t="shared" si="581"/>
        <v/>
      </c>
      <c r="AN43" s="23" t="str">
        <f t="shared" si="581"/>
        <v/>
      </c>
      <c r="AO43" s="23" t="str">
        <f t="shared" si="581"/>
        <v/>
      </c>
      <c r="AP43" s="23" t="str">
        <f t="shared" ref="AP43:AS43" si="582">IF(AP42="","",IF(AP42=0,"",AP42/(AP39*100)))</f>
        <v/>
      </c>
      <c r="AQ43" s="23" t="str">
        <f t="shared" si="582"/>
        <v/>
      </c>
      <c r="AR43" s="23" t="str">
        <f t="shared" si="582"/>
        <v/>
      </c>
      <c r="AS43" s="23" t="str">
        <f t="shared" si="582"/>
        <v/>
      </c>
    </row>
    <row r="44" spans="1:45" x14ac:dyDescent="0.15">
      <c r="A44" s="22" t="s">
        <v>59</v>
      </c>
      <c r="B44" s="21" t="s">
        <v>2</v>
      </c>
      <c r="C44" s="20">
        <v>14853</v>
      </c>
      <c r="D44" s="20">
        <v>14853</v>
      </c>
      <c r="E44" s="20">
        <v>14853</v>
      </c>
      <c r="F44" s="20">
        <v>14929</v>
      </c>
      <c r="G44" s="20">
        <v>14929</v>
      </c>
      <c r="H44" s="20">
        <v>14929</v>
      </c>
      <c r="I44" s="20">
        <v>14929</v>
      </c>
      <c r="J44" s="20">
        <v>14937</v>
      </c>
      <c r="K44" s="20">
        <f t="shared" ref="K44:K45" si="583">IF(K$8="","",J44)</f>
        <v>14937</v>
      </c>
      <c r="L44" s="20">
        <f t="shared" ref="L44:L45" si="584">IF(L$8="","",K44)</f>
        <v>14937</v>
      </c>
      <c r="M44" s="20">
        <v>14981</v>
      </c>
      <c r="N44" s="20" t="str">
        <f t="shared" ref="N44:N45" si="585">IF(N$8="","",M44)</f>
        <v/>
      </c>
      <c r="O44" s="20" t="str">
        <f t="shared" ref="O44:O45" si="586">IF(O$8="","",N44)</f>
        <v/>
      </c>
      <c r="P44" s="20" t="str">
        <f t="shared" ref="P44:P45" si="587">IF(P$8="","",O44)</f>
        <v/>
      </c>
      <c r="Q44" s="20" t="str">
        <f>IF(Q$8="","",P44)</f>
        <v/>
      </c>
      <c r="R44" s="20" t="str">
        <f t="shared" ref="R44:R45" si="588">IF(R$8="","",Q44)</f>
        <v/>
      </c>
      <c r="S44" s="20" t="str">
        <f t="shared" ref="S44:S45" si="589">IF(S$8="","",R44)</f>
        <v/>
      </c>
      <c r="T44" s="20" t="str">
        <f>IF(T$8="","",S44)</f>
        <v/>
      </c>
      <c r="U44" s="20" t="str">
        <f t="shared" ref="U44:U45" si="590">IF(U$8="","",T44)</f>
        <v/>
      </c>
      <c r="V44" s="20" t="str">
        <f t="shared" ref="V44:V45" si="591">IF(V$8="","",U44)</f>
        <v/>
      </c>
      <c r="W44" s="20" t="str">
        <f t="shared" ref="W44:W45" si="592">IF(W$8="","",V44)</f>
        <v/>
      </c>
      <c r="X44" s="20" t="str">
        <f>IF(X$8="","",W44)</f>
        <v/>
      </c>
      <c r="Y44" s="20" t="str">
        <f t="shared" ref="Y44:Y45" si="593">IF(Y$8="","",X44)</f>
        <v/>
      </c>
      <c r="Z44" s="20" t="str">
        <f t="shared" ref="Z44:Z45" si="594">IF(Z$8="","",Y44)</f>
        <v/>
      </c>
      <c r="AA44" s="20" t="str">
        <f>IF(AA$8="","",Z44)</f>
        <v/>
      </c>
      <c r="AB44" s="20" t="str">
        <f t="shared" ref="AB44:AB45" si="595">IF(AB$8="","",AA44)</f>
        <v/>
      </c>
      <c r="AC44" s="20" t="str">
        <f t="shared" ref="AC44:AC45" si="596">IF(AC$8="","",AB44)</f>
        <v/>
      </c>
      <c r="AD44" s="20" t="str">
        <f>IF(AD$8="","",AC44)</f>
        <v/>
      </c>
      <c r="AE44" s="20" t="str">
        <f t="shared" ref="AE44:AE45" si="597">IF(AE$8="","",AD44)</f>
        <v/>
      </c>
      <c r="AF44" s="20" t="str">
        <f t="shared" ref="AF44:AF45" si="598">IF(AF$8="","",AE44)</f>
        <v/>
      </c>
      <c r="AG44" s="20" t="str">
        <f t="shared" ref="AG44:AG45" si="599">IF(AG$8="","",AF44)</f>
        <v/>
      </c>
      <c r="AH44" s="20" t="str">
        <f>IF(AH$8="","",AG44)</f>
        <v/>
      </c>
      <c r="AI44" s="20" t="str">
        <f t="shared" ref="AI44:AI45" si="600">IF(AI$8="","",AH44)</f>
        <v/>
      </c>
      <c r="AJ44" s="20" t="str">
        <f t="shared" ref="AJ44:AJ45" si="601">IF(AJ$8="","",AI44)</f>
        <v/>
      </c>
      <c r="AK44" s="20" t="str">
        <f t="shared" ref="AK44:AK45" si="602">IF(AK$8="","",AJ44)</f>
        <v/>
      </c>
      <c r="AL44" s="20" t="str">
        <f>IF(AL$8="","",AK44)</f>
        <v/>
      </c>
      <c r="AM44" s="20" t="str">
        <f t="shared" ref="AM44:AM45" si="603">IF(AM$8="","",AL44)</f>
        <v/>
      </c>
      <c r="AN44" s="20" t="str">
        <f t="shared" ref="AN44:AN45" si="604">IF(AN$8="","",AM44)</f>
        <v/>
      </c>
      <c r="AO44" s="20" t="str">
        <f t="shared" ref="AO44:AO45" si="605">IF(AO$8="","",AN44)</f>
        <v/>
      </c>
      <c r="AP44" s="20" t="str">
        <f t="shared" ref="AP44:AS44" si="606">IF(AP$8="","",AO44)</f>
        <v/>
      </c>
      <c r="AQ44" s="20" t="str">
        <f t="shared" si="606"/>
        <v/>
      </c>
      <c r="AR44" s="20" t="str">
        <f t="shared" si="606"/>
        <v/>
      </c>
      <c r="AS44" s="20" t="str">
        <f t="shared" si="606"/>
        <v/>
      </c>
    </row>
    <row r="45" spans="1:45" x14ac:dyDescent="0.15">
      <c r="A45" s="16" t="s">
        <v>3</v>
      </c>
      <c r="B45" s="9" t="s">
        <v>4</v>
      </c>
      <c r="C45" s="8">
        <v>339</v>
      </c>
      <c r="D45" s="8">
        <v>339</v>
      </c>
      <c r="E45" s="8">
        <v>339</v>
      </c>
      <c r="F45" s="8">
        <v>340</v>
      </c>
      <c r="G45" s="8">
        <v>340</v>
      </c>
      <c r="H45" s="8">
        <v>340</v>
      </c>
      <c r="I45" s="8">
        <v>340</v>
      </c>
      <c r="J45" s="8">
        <v>340</v>
      </c>
      <c r="K45" s="8">
        <f t="shared" si="583"/>
        <v>340</v>
      </c>
      <c r="L45" s="8">
        <f t="shared" si="584"/>
        <v>340</v>
      </c>
      <c r="M45" s="8">
        <f t="shared" ref="M45" si="607">IF(M$8="","",L45)</f>
        <v>340</v>
      </c>
      <c r="N45" s="8" t="str">
        <f t="shared" si="585"/>
        <v/>
      </c>
      <c r="O45" s="8" t="str">
        <f t="shared" si="586"/>
        <v/>
      </c>
      <c r="P45" s="8" t="str">
        <f t="shared" si="587"/>
        <v/>
      </c>
      <c r="Q45" s="8" t="str">
        <f>IF(Q$8="","",P45)</f>
        <v/>
      </c>
      <c r="R45" s="8" t="str">
        <f t="shared" si="588"/>
        <v/>
      </c>
      <c r="S45" s="8" t="str">
        <f t="shared" si="589"/>
        <v/>
      </c>
      <c r="T45" s="8" t="str">
        <f t="shared" ref="T45" si="608">IF(T$8="","",S45)</f>
        <v/>
      </c>
      <c r="U45" s="8" t="str">
        <f t="shared" si="590"/>
        <v/>
      </c>
      <c r="V45" s="8" t="str">
        <f t="shared" si="591"/>
        <v/>
      </c>
      <c r="W45" s="8" t="str">
        <f t="shared" si="592"/>
        <v/>
      </c>
      <c r="X45" s="8" t="str">
        <f>IF(X$8="","",W45)</f>
        <v/>
      </c>
      <c r="Y45" s="8" t="str">
        <f t="shared" si="593"/>
        <v/>
      </c>
      <c r="Z45" s="8" t="str">
        <f t="shared" si="594"/>
        <v/>
      </c>
      <c r="AA45" s="8" t="str">
        <f>IF(AA$8="","",Z45)</f>
        <v/>
      </c>
      <c r="AB45" s="8" t="str">
        <f t="shared" si="595"/>
        <v/>
      </c>
      <c r="AC45" s="8" t="str">
        <f t="shared" si="596"/>
        <v/>
      </c>
      <c r="AD45" s="8" t="str">
        <f t="shared" ref="AD45" si="609">IF(AD$8="","",AC45)</f>
        <v/>
      </c>
      <c r="AE45" s="8" t="str">
        <f t="shared" si="597"/>
        <v/>
      </c>
      <c r="AF45" s="8" t="str">
        <f t="shared" si="598"/>
        <v/>
      </c>
      <c r="AG45" s="8" t="str">
        <f t="shared" si="599"/>
        <v/>
      </c>
      <c r="AH45" s="8" t="str">
        <f>IF(AH$8="","",AG45)</f>
        <v/>
      </c>
      <c r="AI45" s="8" t="str">
        <f t="shared" si="600"/>
        <v/>
      </c>
      <c r="AJ45" s="8" t="str">
        <f t="shared" si="601"/>
        <v/>
      </c>
      <c r="AK45" s="8" t="str">
        <f t="shared" si="602"/>
        <v/>
      </c>
      <c r="AL45" s="8" t="str">
        <f t="shared" ref="AL44:AL45" si="610">IF(AL$8="","",AK45)</f>
        <v/>
      </c>
      <c r="AM45" s="8" t="str">
        <f t="shared" si="603"/>
        <v/>
      </c>
      <c r="AN45" s="8" t="str">
        <f t="shared" si="604"/>
        <v/>
      </c>
      <c r="AO45" s="8" t="str">
        <f t="shared" si="605"/>
        <v/>
      </c>
      <c r="AP45" s="8" t="str">
        <f t="shared" ref="AP45:AS45" si="611">IF(AP$8="","",AO45)</f>
        <v/>
      </c>
      <c r="AQ45" s="8" t="str">
        <f t="shared" si="611"/>
        <v/>
      </c>
      <c r="AR45" s="8" t="str">
        <f t="shared" si="611"/>
        <v/>
      </c>
      <c r="AS45" s="8" t="str">
        <f t="shared" si="611"/>
        <v/>
      </c>
    </row>
    <row r="46" spans="1:45" x14ac:dyDescent="0.15">
      <c r="A46" s="15">
        <v>1</v>
      </c>
      <c r="B46" s="9" t="s">
        <v>5</v>
      </c>
      <c r="C46" s="8">
        <v>10</v>
      </c>
      <c r="D46" s="8">
        <v>10</v>
      </c>
      <c r="E46" s="8">
        <v>10</v>
      </c>
      <c r="F46" s="8">
        <v>9</v>
      </c>
      <c r="G46" s="8">
        <v>9</v>
      </c>
      <c r="H46" s="8">
        <v>9</v>
      </c>
      <c r="I46" s="8">
        <v>9</v>
      </c>
      <c r="J46" s="8">
        <v>9</v>
      </c>
      <c r="K46" s="8">
        <f t="shared" ref="K46" si="612">IF(K44="","",(J46+J47))</f>
        <v>9</v>
      </c>
      <c r="L46" s="8">
        <f t="shared" ref="L46" si="613">IF(L44="","",(K46+K47))</f>
        <v>9</v>
      </c>
      <c r="M46" s="8">
        <f t="shared" ref="M46" si="614">IF(M44="","",(L46+L47))</f>
        <v>9</v>
      </c>
      <c r="N46" s="8" t="str">
        <f t="shared" ref="N46" si="615">IF(N44="","",(M46+M47))</f>
        <v/>
      </c>
      <c r="O46" s="8" t="str">
        <f t="shared" ref="O46" si="616">IF(O44="","",(N46+N47))</f>
        <v/>
      </c>
      <c r="P46" s="8" t="str">
        <f t="shared" ref="P46" si="617">IF(P44="","",(O46+O47))</f>
        <v/>
      </c>
      <c r="Q46" s="8" t="str">
        <f>IF(Q44="","",(P46+P47))</f>
        <v/>
      </c>
      <c r="R46" s="8" t="str">
        <f t="shared" ref="R46" si="618">IF(R44="","",(Q46+Q47))</f>
        <v/>
      </c>
      <c r="S46" s="8" t="str">
        <f t="shared" ref="S46" si="619">IF(S44="","",(R46+R47))</f>
        <v/>
      </c>
      <c r="T46" s="8" t="str">
        <f t="shared" ref="T46" si="620">IF(T44="","",(S46+S47))</f>
        <v/>
      </c>
      <c r="U46" s="8" t="str">
        <f t="shared" ref="U46" si="621">IF(U44="","",(T46+T47))</f>
        <v/>
      </c>
      <c r="V46" s="8" t="str">
        <f t="shared" ref="V46" si="622">IF(V44="","",(U46+U47))</f>
        <v/>
      </c>
      <c r="W46" s="8" t="str">
        <f t="shared" ref="W46" si="623">IF(W44="","",(V46+V47))</f>
        <v/>
      </c>
      <c r="X46" s="8" t="str">
        <f>IF(X44="","",(W46+W47))</f>
        <v/>
      </c>
      <c r="Y46" s="8" t="str">
        <f t="shared" ref="Y46" si="624">IF(Y44="","",(X46+X47))</f>
        <v/>
      </c>
      <c r="Z46" s="8" t="str">
        <f t="shared" ref="Z46" si="625">IF(Z44="","",(Y46+Y47))</f>
        <v/>
      </c>
      <c r="AA46" s="8" t="str">
        <f>IF(AA44="","",(Z46+Z47))</f>
        <v/>
      </c>
      <c r="AB46" s="8" t="str">
        <f t="shared" ref="AB46" si="626">IF(AB44="","",(AA46+AA47))</f>
        <v/>
      </c>
      <c r="AC46" s="8" t="str">
        <f t="shared" ref="AC46" si="627">IF(AC44="","",(AB46+AB47))</f>
        <v/>
      </c>
      <c r="AD46" s="8" t="str">
        <f t="shared" ref="AD46" si="628">IF(AD44="","",(AC46+AC47))</f>
        <v/>
      </c>
      <c r="AE46" s="8" t="str">
        <f t="shared" ref="AE46" si="629">IF(AE44="","",(AD46+AD47))</f>
        <v/>
      </c>
      <c r="AF46" s="8" t="str">
        <f t="shared" ref="AF46" si="630">IF(AF44="","",(AE46+AE47))</f>
        <v/>
      </c>
      <c r="AG46" s="8" t="str">
        <f t="shared" ref="AG46" si="631">IF(AG44="","",(AF46+AF47))</f>
        <v/>
      </c>
      <c r="AH46" s="8" t="str">
        <f>IF(AH44="","",(AG46+AG47))</f>
        <v/>
      </c>
      <c r="AI46" s="8" t="str">
        <f t="shared" ref="AI46" si="632">IF(AI44="","",(AH46+AH47))</f>
        <v/>
      </c>
      <c r="AJ46" s="8" t="str">
        <f t="shared" ref="AJ46" si="633">IF(AJ44="","",(AI46+AI47))</f>
        <v/>
      </c>
      <c r="AK46" s="8" t="str">
        <f t="shared" ref="AK46" si="634">IF(AK44="","",(AJ46+AJ47))</f>
        <v/>
      </c>
      <c r="AL46" s="8" t="str">
        <f t="shared" ref="AL46" si="635">IF(AL44="","",(AK46+AK47))</f>
        <v/>
      </c>
      <c r="AM46" s="8" t="str">
        <f t="shared" ref="AM46" si="636">IF(AM44="","",(AL46+AL47))</f>
        <v/>
      </c>
      <c r="AN46" s="8" t="str">
        <f t="shared" ref="AN46" si="637">IF(AN44="","",(AM46+AM47))</f>
        <v/>
      </c>
      <c r="AO46" s="8" t="str">
        <f t="shared" ref="AO46" si="638">IF(AO44="","",(AN46+AN47))</f>
        <v/>
      </c>
      <c r="AP46" s="8" t="str">
        <f t="shared" ref="AP46:AS46" si="639">IF(AP44="","",(AO46+AO47))</f>
        <v/>
      </c>
      <c r="AQ46" s="8" t="str">
        <f t="shared" si="639"/>
        <v/>
      </c>
      <c r="AR46" s="8" t="str">
        <f t="shared" si="639"/>
        <v/>
      </c>
      <c r="AS46" s="8" t="str">
        <f t="shared" si="639"/>
        <v/>
      </c>
    </row>
    <row r="47" spans="1:45" x14ac:dyDescent="0.15">
      <c r="A47" s="92" t="s">
        <v>6</v>
      </c>
      <c r="B47" s="9" t="s">
        <v>7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</row>
    <row r="48" spans="1:45" x14ac:dyDescent="0.15">
      <c r="A48" s="93">
        <f>+(A51+A63+A75+A87)*100</f>
        <v>74000</v>
      </c>
      <c r="B48" s="9" t="s">
        <v>8</v>
      </c>
      <c r="C48" s="8">
        <v>750</v>
      </c>
      <c r="D48" s="8">
        <v>750</v>
      </c>
      <c r="E48" s="8">
        <v>750</v>
      </c>
      <c r="F48" s="8">
        <v>750</v>
      </c>
      <c r="G48" s="8">
        <v>750</v>
      </c>
      <c r="H48" s="8">
        <v>750</v>
      </c>
      <c r="I48" s="8">
        <v>750</v>
      </c>
      <c r="J48" s="8">
        <v>750</v>
      </c>
      <c r="K48" s="8">
        <f t="shared" ref="K48" si="640">IF(K44="","",J48)</f>
        <v>750</v>
      </c>
      <c r="L48" s="8">
        <f t="shared" ref="L48" si="641">IF(L44="","",K48)</f>
        <v>750</v>
      </c>
      <c r="M48" s="8">
        <f t="shared" ref="M48" si="642">IF(M44="","",L48)</f>
        <v>750</v>
      </c>
      <c r="N48" s="8" t="str">
        <f t="shared" ref="N48" si="643">IF(N44="","",M48)</f>
        <v/>
      </c>
      <c r="O48" s="8" t="str">
        <f t="shared" ref="O48" si="644">IF(O44="","",N48)</f>
        <v/>
      </c>
      <c r="P48" s="8" t="str">
        <f t="shared" ref="P48" si="645">IF(P44="","",O48)</f>
        <v/>
      </c>
      <c r="Q48" s="8" t="str">
        <f t="shared" ref="Q48" si="646">IF(Q44="","",P48)</f>
        <v/>
      </c>
      <c r="R48" s="8" t="str">
        <f t="shared" ref="R48" si="647">IF(R44="","",Q48)</f>
        <v/>
      </c>
      <c r="S48" s="8" t="str">
        <f t="shared" ref="S48" si="648">IF(S44="","",R48)</f>
        <v/>
      </c>
      <c r="T48" s="8" t="str">
        <f t="shared" ref="T48" si="649">IF(T44="","",S48)</f>
        <v/>
      </c>
      <c r="U48" s="8" t="str">
        <f t="shared" ref="U48" si="650">IF(U44="","",T48)</f>
        <v/>
      </c>
      <c r="V48" s="8" t="str">
        <f t="shared" ref="V48" si="651">IF(V44="","",U48)</f>
        <v/>
      </c>
      <c r="W48" s="8" t="str">
        <f t="shared" ref="W48" si="652">IF(W44="","",V48)</f>
        <v/>
      </c>
      <c r="X48" s="8" t="str">
        <f t="shared" ref="X48" si="653">IF(X44="","",W48)</f>
        <v/>
      </c>
      <c r="Y48" s="8" t="str">
        <f t="shared" ref="Y48" si="654">IF(Y44="","",X48)</f>
        <v/>
      </c>
      <c r="Z48" s="8" t="str">
        <f t="shared" ref="Z48" si="655">IF(Z44="","",Y48)</f>
        <v/>
      </c>
      <c r="AA48" s="8" t="str">
        <f t="shared" ref="AA48" si="656">IF(AA44="","",Z48)</f>
        <v/>
      </c>
      <c r="AB48" s="8" t="str">
        <f t="shared" ref="AB48" si="657">IF(AB44="","",AA48)</f>
        <v/>
      </c>
      <c r="AC48" s="8" t="str">
        <f t="shared" ref="AC48" si="658">IF(AC44="","",AB48)</f>
        <v/>
      </c>
      <c r="AD48" s="8" t="str">
        <f t="shared" ref="AD48" si="659">IF(AD44="","",AC48)</f>
        <v/>
      </c>
      <c r="AE48" s="8" t="str">
        <f t="shared" ref="AE48" si="660">IF(AE44="","",AD48)</f>
        <v/>
      </c>
      <c r="AF48" s="8" t="str">
        <f t="shared" ref="AF48" si="661">IF(AF44="","",AE48)</f>
        <v/>
      </c>
      <c r="AG48" s="8" t="str">
        <f t="shared" ref="AG48" si="662">IF(AG44="","",AF48)</f>
        <v/>
      </c>
      <c r="AH48" s="8" t="str">
        <f t="shared" ref="AH48" si="663">IF(AH44="","",AG48)</f>
        <v/>
      </c>
      <c r="AI48" s="8" t="str">
        <f t="shared" ref="AI48" si="664">IF(AI44="","",AH48)</f>
        <v/>
      </c>
      <c r="AJ48" s="8" t="str">
        <f t="shared" ref="AJ48" si="665">IF(AJ44="","",AI48)</f>
        <v/>
      </c>
      <c r="AK48" s="8" t="str">
        <f t="shared" ref="AK48" si="666">IF(AK44="","",AJ48)</f>
        <v/>
      </c>
      <c r="AL48" s="8" t="str">
        <f t="shared" ref="AL48" si="667">IF(AL44="","",AK48)</f>
        <v/>
      </c>
      <c r="AM48" s="8" t="str">
        <f t="shared" ref="AM48" si="668">IF(AM44="","",AL48)</f>
        <v/>
      </c>
      <c r="AN48" s="8" t="str">
        <f t="shared" ref="AN48" si="669">IF(AN44="","",AM48)</f>
        <v/>
      </c>
      <c r="AO48" s="8" t="str">
        <f t="shared" ref="AO48" si="670">IF(AO44="","",AN48)</f>
        <v/>
      </c>
      <c r="AP48" s="8" t="str">
        <f t="shared" ref="AP48:AS48" si="671">IF(AP44="","",AO48)</f>
        <v/>
      </c>
      <c r="AQ48" s="8" t="str">
        <f t="shared" si="671"/>
        <v/>
      </c>
      <c r="AR48" s="8" t="str">
        <f t="shared" si="671"/>
        <v/>
      </c>
      <c r="AS48" s="8" t="str">
        <f t="shared" si="671"/>
        <v/>
      </c>
    </row>
    <row r="49" spans="1:45" s="85" customFormat="1" x14ac:dyDescent="0.15">
      <c r="A49" s="14" t="s">
        <v>9</v>
      </c>
      <c r="B49" s="13" t="s">
        <v>10</v>
      </c>
      <c r="C49" s="12" t="s">
        <v>65</v>
      </c>
      <c r="D49" s="12" t="s">
        <v>65</v>
      </c>
      <c r="E49" s="12" t="s">
        <v>65</v>
      </c>
      <c r="F49" s="12" t="s">
        <v>65</v>
      </c>
      <c r="G49" s="12" t="s">
        <v>65</v>
      </c>
      <c r="H49" s="12" t="s">
        <v>65</v>
      </c>
      <c r="I49" s="12" t="s">
        <v>65</v>
      </c>
      <c r="J49" s="12" t="s">
        <v>65</v>
      </c>
      <c r="K49" s="12" t="str">
        <f t="shared" ref="K49" si="672">IF(K44="","",J49)</f>
        <v>ジャグラーフラッシュボタンミニ</v>
      </c>
      <c r="L49" s="12" t="str">
        <f t="shared" ref="L49" si="673">IF(L44="","",K49)</f>
        <v>ジャグラーフラッシュボタンミニ</v>
      </c>
      <c r="M49" s="12" t="str">
        <f t="shared" ref="M49" si="674">IF(M44="","",L49)</f>
        <v>ジャグラーフラッシュボタンミニ</v>
      </c>
      <c r="N49" s="12" t="str">
        <f t="shared" ref="N49" si="675">IF(N44="","",M49)</f>
        <v/>
      </c>
      <c r="O49" s="12" t="str">
        <f t="shared" ref="O49" si="676">IF(O44="","",N49)</f>
        <v/>
      </c>
      <c r="P49" s="12" t="str">
        <f t="shared" ref="P49" si="677">IF(P44="","",O49)</f>
        <v/>
      </c>
      <c r="Q49" s="12" t="str">
        <f t="shared" ref="Q49" si="678">IF(Q44="","",P49)</f>
        <v/>
      </c>
      <c r="R49" s="12" t="str">
        <f t="shared" ref="R49" si="679">IF(R44="","",Q49)</f>
        <v/>
      </c>
      <c r="S49" s="12" t="str">
        <f t="shared" ref="S49" si="680">IF(S44="","",R49)</f>
        <v/>
      </c>
      <c r="T49" s="12" t="str">
        <f t="shared" ref="T49" si="681">IF(T44="","",S49)</f>
        <v/>
      </c>
      <c r="U49" s="12" t="str">
        <f t="shared" ref="U49" si="682">IF(U44="","",T49)</f>
        <v/>
      </c>
      <c r="V49" s="12" t="str">
        <f t="shared" ref="V49" si="683">IF(V44="","",U49)</f>
        <v/>
      </c>
      <c r="W49" s="12" t="str">
        <f t="shared" ref="W49" si="684">IF(W44="","",V49)</f>
        <v/>
      </c>
      <c r="X49" s="12" t="str">
        <f t="shared" ref="X49" si="685">IF(X44="","",W49)</f>
        <v/>
      </c>
      <c r="Y49" s="12" t="str">
        <f t="shared" ref="Y49" si="686">IF(Y44="","",X49)</f>
        <v/>
      </c>
      <c r="Z49" s="12" t="str">
        <f t="shared" ref="Z49" si="687">IF(Z44="","",Y49)</f>
        <v/>
      </c>
      <c r="AA49" s="12" t="str">
        <f t="shared" ref="AA49" si="688">IF(AA44="","",Z49)</f>
        <v/>
      </c>
      <c r="AB49" s="12" t="str">
        <f t="shared" ref="AB49" si="689">IF(AB44="","",AA49)</f>
        <v/>
      </c>
      <c r="AC49" s="12" t="str">
        <f t="shared" ref="AC49" si="690">IF(AC44="","",AB49)</f>
        <v/>
      </c>
      <c r="AD49" s="12" t="str">
        <f t="shared" ref="AD49" si="691">IF(AD44="","",AC49)</f>
        <v/>
      </c>
      <c r="AE49" s="12" t="str">
        <f t="shared" ref="AE49" si="692">IF(AE44="","",AD49)</f>
        <v/>
      </c>
      <c r="AF49" s="12" t="str">
        <f t="shared" ref="AF49" si="693">IF(AF44="","",AE49)</f>
        <v/>
      </c>
      <c r="AG49" s="12" t="str">
        <f t="shared" ref="AG49" si="694">IF(AG44="","",AF49)</f>
        <v/>
      </c>
      <c r="AH49" s="12" t="str">
        <f t="shared" ref="AH49" si="695">IF(AH44="","",AG49)</f>
        <v/>
      </c>
      <c r="AI49" s="12" t="str">
        <f t="shared" ref="AI49" si="696">IF(AI44="","",AH49)</f>
        <v/>
      </c>
      <c r="AJ49" s="12" t="str">
        <f t="shared" ref="AJ49" si="697">IF(AJ44="","",AI49)</f>
        <v/>
      </c>
      <c r="AK49" s="12" t="str">
        <f t="shared" ref="AK49" si="698">IF(AK44="","",AJ49)</f>
        <v/>
      </c>
      <c r="AL49" s="12" t="str">
        <f t="shared" ref="AL49" si="699">IF(AL44="","",AK49)</f>
        <v/>
      </c>
      <c r="AM49" s="12" t="str">
        <f t="shared" ref="AM49" si="700">IF(AM44="","",AL49)</f>
        <v/>
      </c>
      <c r="AN49" s="12" t="str">
        <f t="shared" ref="AN49" si="701">IF(AN44="","",AM49)</f>
        <v/>
      </c>
      <c r="AO49" s="12" t="str">
        <f t="shared" ref="AO49" si="702">IF(AO44="","",AN49)</f>
        <v/>
      </c>
      <c r="AP49" s="12" t="str">
        <f t="shared" ref="AP49:AS49" si="703">IF(AP44="","",AO49)</f>
        <v/>
      </c>
      <c r="AQ49" s="12" t="str">
        <f t="shared" si="703"/>
        <v/>
      </c>
      <c r="AR49" s="12" t="str">
        <f t="shared" si="703"/>
        <v/>
      </c>
      <c r="AS49" s="12" t="str">
        <f t="shared" si="703"/>
        <v/>
      </c>
    </row>
    <row r="50" spans="1:45" x14ac:dyDescent="0.15">
      <c r="A50" s="7">
        <f>AVERAGE(C51:AS51)*30*100</f>
        <v>34909.090909090912</v>
      </c>
      <c r="B50" s="9" t="s">
        <v>12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1:45" x14ac:dyDescent="0.15">
      <c r="A51" s="7">
        <f>SUM(C51:AS51)</f>
        <v>128</v>
      </c>
      <c r="B51" s="6" t="s">
        <v>13</v>
      </c>
      <c r="C51" s="5">
        <v>0</v>
      </c>
      <c r="D51" s="5">
        <v>0</v>
      </c>
      <c r="E51" s="5">
        <v>0</v>
      </c>
      <c r="F51" s="5">
        <v>76</v>
      </c>
      <c r="G51" s="5">
        <v>0</v>
      </c>
      <c r="H51" s="5">
        <v>0</v>
      </c>
      <c r="I51" s="5">
        <v>0</v>
      </c>
      <c r="J51" s="5">
        <v>8</v>
      </c>
      <c r="K51" s="5">
        <f t="shared" ref="K51:K52" si="704">IF(K44="","",K44-J44)</f>
        <v>0</v>
      </c>
      <c r="L51" s="5">
        <f t="shared" ref="L51:L52" si="705">IF(L44="","",L44-K44)</f>
        <v>0</v>
      </c>
      <c r="M51" s="5">
        <f t="shared" ref="M51:M52" si="706">IF(M44="","",M44-L44)</f>
        <v>44</v>
      </c>
      <c r="N51" s="5" t="str">
        <f t="shared" ref="N51:N52" si="707">IF(N44="","",N44-M44)</f>
        <v/>
      </c>
      <c r="O51" s="5" t="str">
        <f t="shared" ref="O51:O52" si="708">IF(O44="","",O44-N44)</f>
        <v/>
      </c>
      <c r="P51" s="5" t="str">
        <f t="shared" ref="P51:P52" si="709">IF(P44="","",P44-O44)</f>
        <v/>
      </c>
      <c r="Q51" s="5" t="str">
        <f t="shared" ref="Q51:Q52" si="710">IF(Q44="","",Q44-P44)</f>
        <v/>
      </c>
      <c r="R51" s="5" t="str">
        <f t="shared" ref="R51:R52" si="711">IF(R44="","",R44-Q44)</f>
        <v/>
      </c>
      <c r="S51" s="5" t="str">
        <f t="shared" ref="S51:S52" si="712">IF(S44="","",S44-R44)</f>
        <v/>
      </c>
      <c r="T51" s="5" t="str">
        <f t="shared" ref="T51:T52" si="713">IF(T44="","",T44-S44)</f>
        <v/>
      </c>
      <c r="U51" s="5" t="str">
        <f t="shared" ref="U51:U52" si="714">IF(U44="","",U44-T44)</f>
        <v/>
      </c>
      <c r="V51" s="5" t="str">
        <f t="shared" ref="V51:V52" si="715">IF(V44="","",V44-U44)</f>
        <v/>
      </c>
      <c r="W51" s="5" t="str">
        <f t="shared" ref="W51:W52" si="716">IF(W44="","",W44-V44)</f>
        <v/>
      </c>
      <c r="X51" s="5" t="str">
        <f t="shared" ref="X51:X52" si="717">IF(X44="","",X44-W44)</f>
        <v/>
      </c>
      <c r="Y51" s="5" t="str">
        <f t="shared" ref="Y51:Y52" si="718">IF(Y44="","",Y44-X44)</f>
        <v/>
      </c>
      <c r="Z51" s="5" t="str">
        <f t="shared" ref="Z51:Z52" si="719">IF(Z44="","",Z44-Y44)</f>
        <v/>
      </c>
      <c r="AA51" s="5" t="str">
        <f t="shared" ref="AA51:AA52" si="720">IF(AA44="","",AA44-Z44)</f>
        <v/>
      </c>
      <c r="AB51" s="5" t="str">
        <f t="shared" ref="AB51:AB52" si="721">IF(AB44="","",AB44-AA44)</f>
        <v/>
      </c>
      <c r="AC51" s="5" t="str">
        <f t="shared" ref="AC51:AC52" si="722">IF(AC44="","",AC44-AB44)</f>
        <v/>
      </c>
      <c r="AD51" s="5" t="str">
        <f t="shared" ref="AD51:AD52" si="723">IF(AD44="","",AD44-AC44)</f>
        <v/>
      </c>
      <c r="AE51" s="5" t="str">
        <f t="shared" ref="AE51:AE52" si="724">IF(AE44="","",AE44-AD44)</f>
        <v/>
      </c>
      <c r="AF51" s="5" t="str">
        <f t="shared" ref="AF51:AF52" si="725">IF(AF44="","",AF44-AE44)</f>
        <v/>
      </c>
      <c r="AG51" s="5" t="str">
        <f t="shared" ref="AG51:AG52" si="726">IF(AG44="","",AG44-AF44)</f>
        <v/>
      </c>
      <c r="AH51" s="5" t="str">
        <f t="shared" ref="AH51:AH52" si="727">IF(AH44="","",AH44-AG44)</f>
        <v/>
      </c>
      <c r="AI51" s="5" t="str">
        <f t="shared" ref="AI51:AI52" si="728">IF(AI44="","",AI44-AH44)</f>
        <v/>
      </c>
      <c r="AJ51" s="5" t="str">
        <f t="shared" ref="AJ51:AJ52" si="729">IF(AJ44="","",AJ44-AI44)</f>
        <v/>
      </c>
      <c r="AK51" s="5" t="str">
        <f t="shared" ref="AK51:AK52" si="730">IF(AK44="","",AK44-AJ44)</f>
        <v/>
      </c>
      <c r="AL51" s="5" t="str">
        <f t="shared" ref="AL51:AL52" si="731">IF(AL44="","",AL44-AK44)</f>
        <v/>
      </c>
      <c r="AM51" s="5" t="str">
        <f t="shared" ref="AM51:AM52" si="732">IF(AM44="","",AM44-AL44)</f>
        <v/>
      </c>
      <c r="AN51" s="5" t="str">
        <f t="shared" ref="AN51:AN52" si="733">IF(AN44="","",AN44-AM44)</f>
        <v/>
      </c>
      <c r="AO51" s="5" t="str">
        <f t="shared" ref="AO51:AO52" si="734">IF(AO44="","",AO44-AN44)</f>
        <v/>
      </c>
      <c r="AP51" s="5" t="str">
        <f t="shared" ref="AP51:AS51" si="735">IF(AP44="","",AP44-AO44)</f>
        <v/>
      </c>
      <c r="AQ51" s="5" t="str">
        <f t="shared" si="735"/>
        <v/>
      </c>
      <c r="AR51" s="5" t="str">
        <f t="shared" si="735"/>
        <v/>
      </c>
      <c r="AS51" s="5" t="str">
        <f t="shared" si="735"/>
        <v/>
      </c>
    </row>
    <row r="52" spans="1:45" x14ac:dyDescent="0.15">
      <c r="A52" s="7">
        <v>7</v>
      </c>
      <c r="B52" s="6" t="s">
        <v>14</v>
      </c>
      <c r="C52" s="5">
        <v>0</v>
      </c>
      <c r="D52" s="5">
        <v>0</v>
      </c>
      <c r="E52" s="5">
        <v>0</v>
      </c>
      <c r="F52" s="5">
        <v>1</v>
      </c>
      <c r="G52" s="5">
        <v>0</v>
      </c>
      <c r="H52" s="5">
        <v>0</v>
      </c>
      <c r="I52" s="5">
        <v>0</v>
      </c>
      <c r="J52" s="5">
        <v>0</v>
      </c>
      <c r="K52" s="5">
        <f t="shared" si="704"/>
        <v>0</v>
      </c>
      <c r="L52" s="5">
        <f t="shared" si="705"/>
        <v>0</v>
      </c>
      <c r="M52" s="5">
        <f t="shared" si="706"/>
        <v>0</v>
      </c>
      <c r="N52" s="5" t="str">
        <f t="shared" si="707"/>
        <v/>
      </c>
      <c r="O52" s="5" t="str">
        <f t="shared" si="708"/>
        <v/>
      </c>
      <c r="P52" s="5" t="str">
        <f t="shared" si="709"/>
        <v/>
      </c>
      <c r="Q52" s="5" t="str">
        <f t="shared" si="710"/>
        <v/>
      </c>
      <c r="R52" s="5" t="str">
        <f t="shared" si="711"/>
        <v/>
      </c>
      <c r="S52" s="5" t="str">
        <f t="shared" si="712"/>
        <v/>
      </c>
      <c r="T52" s="5" t="str">
        <f t="shared" si="713"/>
        <v/>
      </c>
      <c r="U52" s="5" t="str">
        <f t="shared" si="714"/>
        <v/>
      </c>
      <c r="V52" s="5" t="str">
        <f t="shared" si="715"/>
        <v/>
      </c>
      <c r="W52" s="5" t="str">
        <f t="shared" si="716"/>
        <v/>
      </c>
      <c r="X52" s="5" t="str">
        <f t="shared" si="717"/>
        <v/>
      </c>
      <c r="Y52" s="5" t="str">
        <f t="shared" si="718"/>
        <v/>
      </c>
      <c r="Z52" s="5" t="str">
        <f t="shared" si="719"/>
        <v/>
      </c>
      <c r="AA52" s="5" t="str">
        <f t="shared" si="720"/>
        <v/>
      </c>
      <c r="AB52" s="5" t="str">
        <f t="shared" si="721"/>
        <v/>
      </c>
      <c r="AC52" s="5" t="str">
        <f t="shared" si="722"/>
        <v/>
      </c>
      <c r="AD52" s="5" t="str">
        <f t="shared" si="723"/>
        <v/>
      </c>
      <c r="AE52" s="5" t="str">
        <f t="shared" si="724"/>
        <v/>
      </c>
      <c r="AF52" s="5" t="str">
        <f t="shared" si="725"/>
        <v/>
      </c>
      <c r="AG52" s="5" t="str">
        <f t="shared" si="726"/>
        <v/>
      </c>
      <c r="AH52" s="5" t="str">
        <f t="shared" si="727"/>
        <v/>
      </c>
      <c r="AI52" s="5" t="str">
        <f t="shared" si="728"/>
        <v/>
      </c>
      <c r="AJ52" s="5" t="str">
        <f t="shared" si="729"/>
        <v/>
      </c>
      <c r="AK52" s="5" t="str">
        <f t="shared" si="730"/>
        <v/>
      </c>
      <c r="AL52" s="5" t="str">
        <f t="shared" si="731"/>
        <v/>
      </c>
      <c r="AM52" s="5" t="str">
        <f t="shared" si="732"/>
        <v/>
      </c>
      <c r="AN52" s="5" t="str">
        <f t="shared" si="733"/>
        <v/>
      </c>
      <c r="AO52" s="5" t="str">
        <f t="shared" si="734"/>
        <v/>
      </c>
      <c r="AP52" s="5" t="str">
        <f t="shared" ref="AP52:AS52" si="736">IF(AP45="","",AP45-AO45)</f>
        <v/>
      </c>
      <c r="AQ52" s="5" t="str">
        <f t="shared" si="736"/>
        <v/>
      </c>
      <c r="AR52" s="5" t="str">
        <f t="shared" si="736"/>
        <v/>
      </c>
      <c r="AS52" s="5" t="str">
        <f t="shared" si="736"/>
        <v/>
      </c>
    </row>
    <row r="53" spans="1:45" x14ac:dyDescent="0.15">
      <c r="A53" s="7">
        <v>7</v>
      </c>
      <c r="B53" s="6" t="s">
        <v>15</v>
      </c>
      <c r="C53" s="5">
        <v>0</v>
      </c>
      <c r="D53" s="5">
        <v>0</v>
      </c>
      <c r="E53" s="5">
        <v>0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f t="shared" ref="K53" si="737">IF(K46="","",J46+J47-K46)</f>
        <v>0</v>
      </c>
      <c r="L53" s="5">
        <f t="shared" ref="L53" si="738">IF(L46="","",K46+K47-L46)</f>
        <v>0</v>
      </c>
      <c r="M53" s="5">
        <f t="shared" ref="M53" si="739">IF(M46="","",L46+L47-M46)</f>
        <v>0</v>
      </c>
      <c r="N53" s="5" t="str">
        <f t="shared" ref="N53" si="740">IF(N46="","",M46+M47-N46)</f>
        <v/>
      </c>
      <c r="O53" s="5" t="str">
        <f t="shared" ref="O53" si="741">IF(O46="","",N46+N47-O46)</f>
        <v/>
      </c>
      <c r="P53" s="5" t="str">
        <f t="shared" ref="P53" si="742">IF(P46="","",O46+O47-P46)</f>
        <v/>
      </c>
      <c r="Q53" s="5" t="str">
        <f t="shared" ref="Q53" si="743">IF(Q46="","",P46+P47-Q46)</f>
        <v/>
      </c>
      <c r="R53" s="5" t="str">
        <f t="shared" ref="R53" si="744">IF(R46="","",Q46+Q47-R46)</f>
        <v/>
      </c>
      <c r="S53" s="5" t="str">
        <f t="shared" ref="S53" si="745">IF(S46="","",R46+R47-S46)</f>
        <v/>
      </c>
      <c r="T53" s="5" t="str">
        <f t="shared" ref="T53" si="746">IF(T46="","",S46+S47-T46)</f>
        <v/>
      </c>
      <c r="U53" s="5" t="str">
        <f t="shared" ref="U53" si="747">IF(U46="","",T46+T47-U46)</f>
        <v/>
      </c>
      <c r="V53" s="5" t="str">
        <f t="shared" ref="V53" si="748">IF(V46="","",U46+U47-V46)</f>
        <v/>
      </c>
      <c r="W53" s="5" t="str">
        <f t="shared" ref="W53" si="749">IF(W46="","",V46+V47-W46)</f>
        <v/>
      </c>
      <c r="X53" s="5" t="str">
        <f t="shared" ref="X53" si="750">IF(X46="","",W46+W47-X46)</f>
        <v/>
      </c>
      <c r="Y53" s="5" t="str">
        <f t="shared" ref="Y53" si="751">IF(Y46="","",X46+X47-Y46)</f>
        <v/>
      </c>
      <c r="Z53" s="5" t="str">
        <f t="shared" ref="Z53" si="752">IF(Z46="","",Y46+Y47-Z46)</f>
        <v/>
      </c>
      <c r="AA53" s="5" t="str">
        <f t="shared" ref="AA53" si="753">IF(AA46="","",Z46+Z47-AA46)</f>
        <v/>
      </c>
      <c r="AB53" s="5" t="str">
        <f t="shared" ref="AB53" si="754">IF(AB46="","",AA46+AA47-AB46)</f>
        <v/>
      </c>
      <c r="AC53" s="5" t="str">
        <f t="shared" ref="AC53" si="755">IF(AC46="","",AB46+AB47-AC46)</f>
        <v/>
      </c>
      <c r="AD53" s="5" t="str">
        <f t="shared" ref="AD53" si="756">IF(AD46="","",AC46+AC47-AD46)</f>
        <v/>
      </c>
      <c r="AE53" s="5" t="str">
        <f t="shared" ref="AE53" si="757">IF(AE46="","",AD46+AD47-AE46)</f>
        <v/>
      </c>
      <c r="AF53" s="5" t="str">
        <f t="shared" ref="AF53" si="758">IF(AF46="","",AE46+AE47-AF46)</f>
        <v/>
      </c>
      <c r="AG53" s="5" t="str">
        <f t="shared" ref="AG53" si="759">IF(AG46="","",AF46+AF47-AG46)</f>
        <v/>
      </c>
      <c r="AH53" s="5" t="str">
        <f t="shared" ref="AH53" si="760">IF(AH46="","",AG46+AG47-AH46)</f>
        <v/>
      </c>
      <c r="AI53" s="5" t="str">
        <f t="shared" ref="AI53" si="761">IF(AI46="","",AH46+AH47-AI46)</f>
        <v/>
      </c>
      <c r="AJ53" s="5" t="str">
        <f t="shared" ref="AJ53" si="762">IF(AJ46="","",AI46+AI47-AJ46)</f>
        <v/>
      </c>
      <c r="AK53" s="5" t="str">
        <f t="shared" ref="AK53" si="763">IF(AK46="","",AJ46+AJ47-AK46)</f>
        <v/>
      </c>
      <c r="AL53" s="5" t="str">
        <f t="shared" ref="AL53" si="764">IF(AL46="","",AK46+AK47-AL46)</f>
        <v/>
      </c>
      <c r="AM53" s="5" t="str">
        <f t="shared" ref="AM53" si="765">IF(AM46="","",AL46+AL47-AM46)</f>
        <v/>
      </c>
      <c r="AN53" s="5" t="str">
        <f t="shared" ref="AN53" si="766">IF(AN46="","",AM46+AM47-AN46)</f>
        <v/>
      </c>
      <c r="AO53" s="5" t="str">
        <f t="shared" ref="AO53" si="767">IF(AO46="","",AN46+AN47-AO46)</f>
        <v/>
      </c>
      <c r="AP53" s="5" t="str">
        <f t="shared" ref="AP53:AS53" si="768">IF(AP46="","",AO46+AO47-AP46)</f>
        <v/>
      </c>
      <c r="AQ53" s="5" t="str">
        <f t="shared" si="768"/>
        <v/>
      </c>
      <c r="AR53" s="5" t="str">
        <f t="shared" si="768"/>
        <v/>
      </c>
      <c r="AS53" s="5" t="str">
        <f t="shared" si="768"/>
        <v/>
      </c>
    </row>
    <row r="54" spans="1:45" x14ac:dyDescent="0.15">
      <c r="A54" s="7">
        <v>0</v>
      </c>
      <c r="B54" s="6" t="s">
        <v>16</v>
      </c>
      <c r="C54" s="5">
        <v>0</v>
      </c>
      <c r="D54" s="5">
        <v>0</v>
      </c>
      <c r="E54" s="5">
        <v>0</v>
      </c>
      <c r="F54" s="5">
        <v>750</v>
      </c>
      <c r="G54" s="5">
        <v>0</v>
      </c>
      <c r="H54" s="5">
        <v>0</v>
      </c>
      <c r="I54" s="5">
        <v>0</v>
      </c>
      <c r="J54" s="5">
        <v>0</v>
      </c>
      <c r="K54" s="5">
        <f t="shared" ref="I54:AO54" si="769">IF(K44="","",K53*K48)</f>
        <v>0</v>
      </c>
      <c r="L54" s="5">
        <f t="shared" si="769"/>
        <v>0</v>
      </c>
      <c r="M54" s="5">
        <f t="shared" si="769"/>
        <v>0</v>
      </c>
      <c r="N54" s="5" t="str">
        <f t="shared" si="769"/>
        <v/>
      </c>
      <c r="O54" s="5" t="str">
        <f t="shared" si="769"/>
        <v/>
      </c>
      <c r="P54" s="5" t="str">
        <f t="shared" si="769"/>
        <v/>
      </c>
      <c r="Q54" s="5" t="str">
        <f t="shared" si="769"/>
        <v/>
      </c>
      <c r="R54" s="5" t="str">
        <f t="shared" si="769"/>
        <v/>
      </c>
      <c r="S54" s="5" t="str">
        <f t="shared" si="769"/>
        <v/>
      </c>
      <c r="T54" s="5" t="str">
        <f t="shared" si="769"/>
        <v/>
      </c>
      <c r="U54" s="5" t="str">
        <f t="shared" si="769"/>
        <v/>
      </c>
      <c r="V54" s="5" t="str">
        <f t="shared" si="769"/>
        <v/>
      </c>
      <c r="W54" s="5" t="str">
        <f t="shared" si="769"/>
        <v/>
      </c>
      <c r="X54" s="5" t="str">
        <f t="shared" si="769"/>
        <v/>
      </c>
      <c r="Y54" s="5" t="str">
        <f t="shared" si="769"/>
        <v/>
      </c>
      <c r="Z54" s="5" t="str">
        <f t="shared" si="769"/>
        <v/>
      </c>
      <c r="AA54" s="5" t="str">
        <f t="shared" si="769"/>
        <v/>
      </c>
      <c r="AB54" s="5" t="str">
        <f t="shared" si="769"/>
        <v/>
      </c>
      <c r="AC54" s="5" t="str">
        <f t="shared" si="769"/>
        <v/>
      </c>
      <c r="AD54" s="5" t="str">
        <f t="shared" si="769"/>
        <v/>
      </c>
      <c r="AE54" s="5" t="str">
        <f t="shared" si="769"/>
        <v/>
      </c>
      <c r="AF54" s="5" t="str">
        <f t="shared" si="769"/>
        <v/>
      </c>
      <c r="AG54" s="5" t="str">
        <f t="shared" si="769"/>
        <v/>
      </c>
      <c r="AH54" s="5" t="str">
        <f t="shared" si="769"/>
        <v/>
      </c>
      <c r="AI54" s="5" t="str">
        <f t="shared" si="769"/>
        <v/>
      </c>
      <c r="AJ54" s="5" t="str">
        <f t="shared" si="769"/>
        <v/>
      </c>
      <c r="AK54" s="5" t="str">
        <f t="shared" si="769"/>
        <v/>
      </c>
      <c r="AL54" s="5" t="str">
        <f t="shared" si="769"/>
        <v/>
      </c>
      <c r="AM54" s="5" t="str">
        <f t="shared" si="769"/>
        <v/>
      </c>
      <c r="AN54" s="5" t="str">
        <f t="shared" si="769"/>
        <v/>
      </c>
      <c r="AO54" s="5" t="str">
        <f t="shared" si="769"/>
        <v/>
      </c>
      <c r="AP54" s="5" t="str">
        <f t="shared" ref="AP54:AS54" si="770">IF(AP44="","",AP53*AP48)</f>
        <v/>
      </c>
      <c r="AQ54" s="5" t="str">
        <f t="shared" si="770"/>
        <v/>
      </c>
      <c r="AR54" s="5" t="str">
        <f t="shared" si="770"/>
        <v/>
      </c>
      <c r="AS54" s="5" t="str">
        <f t="shared" si="770"/>
        <v/>
      </c>
    </row>
    <row r="55" spans="1:45" ht="12" thickBot="1" x14ac:dyDescent="0.2">
      <c r="A55" s="4">
        <v>0</v>
      </c>
      <c r="B55" s="6" t="s">
        <v>18</v>
      </c>
      <c r="C55" s="18" t="s">
        <v>19</v>
      </c>
      <c r="D55" s="18" t="s">
        <v>19</v>
      </c>
      <c r="E55" s="18" t="s">
        <v>19</v>
      </c>
      <c r="F55" s="18">
        <v>9.8684210526315791E-2</v>
      </c>
      <c r="G55" s="18" t="s">
        <v>19</v>
      </c>
      <c r="H55" s="18" t="s">
        <v>19</v>
      </c>
      <c r="I55" s="18" t="s">
        <v>19</v>
      </c>
      <c r="J55" s="18" t="s">
        <v>19</v>
      </c>
      <c r="K55" s="18" t="str">
        <f t="shared" ref="I55:AO55" si="771">IF(K54="","",IF(K54=0,"",K54/(K51*100)))</f>
        <v/>
      </c>
      <c r="L55" s="18" t="str">
        <f t="shared" si="771"/>
        <v/>
      </c>
      <c r="M55" s="18" t="str">
        <f t="shared" si="771"/>
        <v/>
      </c>
      <c r="N55" s="18" t="str">
        <f t="shared" si="771"/>
        <v/>
      </c>
      <c r="O55" s="18" t="str">
        <f t="shared" si="771"/>
        <v/>
      </c>
      <c r="P55" s="18" t="str">
        <f t="shared" si="771"/>
        <v/>
      </c>
      <c r="Q55" s="18" t="str">
        <f t="shared" si="771"/>
        <v/>
      </c>
      <c r="R55" s="18" t="str">
        <f t="shared" si="771"/>
        <v/>
      </c>
      <c r="S55" s="18" t="str">
        <f t="shared" si="771"/>
        <v/>
      </c>
      <c r="T55" s="18" t="str">
        <f t="shared" si="771"/>
        <v/>
      </c>
      <c r="U55" s="18" t="str">
        <f t="shared" si="771"/>
        <v/>
      </c>
      <c r="V55" s="18" t="str">
        <f t="shared" si="771"/>
        <v/>
      </c>
      <c r="W55" s="18" t="str">
        <f t="shared" si="771"/>
        <v/>
      </c>
      <c r="X55" s="18" t="str">
        <f t="shared" si="771"/>
        <v/>
      </c>
      <c r="Y55" s="18" t="str">
        <f t="shared" si="771"/>
        <v/>
      </c>
      <c r="Z55" s="18" t="str">
        <f t="shared" si="771"/>
        <v/>
      </c>
      <c r="AA55" s="18" t="str">
        <f t="shared" si="771"/>
        <v/>
      </c>
      <c r="AB55" s="18" t="str">
        <f t="shared" si="771"/>
        <v/>
      </c>
      <c r="AC55" s="18" t="str">
        <f t="shared" si="771"/>
        <v/>
      </c>
      <c r="AD55" s="18" t="str">
        <f t="shared" si="771"/>
        <v/>
      </c>
      <c r="AE55" s="18" t="str">
        <f t="shared" si="771"/>
        <v/>
      </c>
      <c r="AF55" s="18" t="str">
        <f t="shared" si="771"/>
        <v/>
      </c>
      <c r="AG55" s="18" t="str">
        <f t="shared" si="771"/>
        <v/>
      </c>
      <c r="AH55" s="18" t="str">
        <f t="shared" si="771"/>
        <v/>
      </c>
      <c r="AI55" s="18" t="str">
        <f t="shared" si="771"/>
        <v/>
      </c>
      <c r="AJ55" s="18" t="str">
        <f t="shared" si="771"/>
        <v/>
      </c>
      <c r="AK55" s="18" t="str">
        <f t="shared" si="771"/>
        <v/>
      </c>
      <c r="AL55" s="18" t="str">
        <f t="shared" si="771"/>
        <v/>
      </c>
      <c r="AM55" s="18" t="str">
        <f t="shared" si="771"/>
        <v/>
      </c>
      <c r="AN55" s="18" t="str">
        <f t="shared" si="771"/>
        <v/>
      </c>
      <c r="AO55" s="18" t="str">
        <f t="shared" si="771"/>
        <v/>
      </c>
      <c r="AP55" s="18" t="str">
        <f t="shared" ref="AP55:AS55" si="772">IF(AP54="","",IF(AP54=0,"",AP54/(AP51*100)))</f>
        <v/>
      </c>
      <c r="AQ55" s="18" t="str">
        <f t="shared" si="772"/>
        <v/>
      </c>
      <c r="AR55" s="18" t="str">
        <f t="shared" si="772"/>
        <v/>
      </c>
      <c r="AS55" s="18" t="str">
        <f t="shared" si="772"/>
        <v/>
      </c>
    </row>
    <row r="56" spans="1:45" x14ac:dyDescent="0.15">
      <c r="A56" s="17" t="s">
        <v>59</v>
      </c>
      <c r="B56" s="9" t="s">
        <v>2</v>
      </c>
      <c r="C56" s="8">
        <v>12605</v>
      </c>
      <c r="D56" s="8">
        <v>12605</v>
      </c>
      <c r="E56" s="8">
        <v>12605</v>
      </c>
      <c r="F56" s="8">
        <v>12745</v>
      </c>
      <c r="G56" s="8">
        <v>12745</v>
      </c>
      <c r="H56" s="8">
        <v>12745</v>
      </c>
      <c r="I56" s="8">
        <v>12745</v>
      </c>
      <c r="J56" s="8">
        <v>12818</v>
      </c>
      <c r="K56" s="8">
        <f t="shared" ref="K56:K57" si="773">IF(K$8="","",J56)</f>
        <v>12818</v>
      </c>
      <c r="L56" s="8">
        <f t="shared" ref="L56:L57" si="774">IF(L$8="","",K56)</f>
        <v>12818</v>
      </c>
      <c r="M56" s="8">
        <v>12910</v>
      </c>
      <c r="N56" s="8" t="str">
        <f t="shared" ref="N56:N57" si="775">IF(N$8="","",M56)</f>
        <v/>
      </c>
      <c r="O56" s="8" t="str">
        <f t="shared" ref="O56:O57" si="776">IF(O$8="","",N56)</f>
        <v/>
      </c>
      <c r="P56" s="8" t="str">
        <f t="shared" ref="P56:P57" si="777">IF(P$8="","",O56)</f>
        <v/>
      </c>
      <c r="Q56" s="8" t="str">
        <f>IF(Q$8="","",P56)</f>
        <v/>
      </c>
      <c r="R56" s="8" t="str">
        <f t="shared" ref="R56:R57" si="778">IF(R$8="","",Q56)</f>
        <v/>
      </c>
      <c r="S56" s="8" t="str">
        <f t="shared" ref="S56:S57" si="779">IF(S$8="","",R56)</f>
        <v/>
      </c>
      <c r="T56" s="8" t="str">
        <f>IF(T$8="","",S56)</f>
        <v/>
      </c>
      <c r="U56" s="8" t="str">
        <f t="shared" ref="U56:U57" si="780">IF(U$8="","",T56)</f>
        <v/>
      </c>
      <c r="V56" s="8" t="str">
        <f t="shared" ref="V56:V57" si="781">IF(V$8="","",U56)</f>
        <v/>
      </c>
      <c r="W56" s="8" t="str">
        <f t="shared" ref="W56:W57" si="782">IF(W$8="","",V56)</f>
        <v/>
      </c>
      <c r="X56" s="8" t="str">
        <f>IF(X$8="","",W56)</f>
        <v/>
      </c>
      <c r="Y56" s="8" t="str">
        <f t="shared" ref="Y56:Y57" si="783">IF(Y$8="","",X56)</f>
        <v/>
      </c>
      <c r="Z56" s="8" t="str">
        <f t="shared" ref="Z56:Z57" si="784">IF(Z$8="","",Y56)</f>
        <v/>
      </c>
      <c r="AA56" s="8" t="str">
        <f>IF(AA$8="","",Z56)</f>
        <v/>
      </c>
      <c r="AB56" s="8" t="str">
        <f t="shared" ref="AB56:AB57" si="785">IF(AB$8="","",AA56)</f>
        <v/>
      </c>
      <c r="AC56" s="8" t="str">
        <f t="shared" ref="AC56:AC57" si="786">IF(AC$8="","",AB56)</f>
        <v/>
      </c>
      <c r="AD56" s="8" t="str">
        <f>IF(AD$8="","",AC56)</f>
        <v/>
      </c>
      <c r="AE56" s="8" t="str">
        <f t="shared" ref="AE56:AE57" si="787">IF(AE$8="","",AD56)</f>
        <v/>
      </c>
      <c r="AF56" s="8" t="str">
        <f t="shared" ref="AF56:AF57" si="788">IF(AF$8="","",AE56)</f>
        <v/>
      </c>
      <c r="AG56" s="8" t="str">
        <f t="shared" ref="AG56:AG57" si="789">IF(AG$8="","",AF56)</f>
        <v/>
      </c>
      <c r="AH56" s="8" t="str">
        <f>IF(AH$8="","",AG56)</f>
        <v/>
      </c>
      <c r="AI56" s="8" t="str">
        <f t="shared" ref="AI56:AI57" si="790">IF(AI$8="","",AH56)</f>
        <v/>
      </c>
      <c r="AJ56" s="8" t="str">
        <f t="shared" ref="AJ56:AJ57" si="791">IF(AJ$8="","",AI56)</f>
        <v/>
      </c>
      <c r="AK56" s="8" t="str">
        <f t="shared" ref="AK56:AK57" si="792">IF(AK$8="","",AJ56)</f>
        <v/>
      </c>
      <c r="AL56" s="8" t="str">
        <f>IF(AL$8="","",AK56)</f>
        <v/>
      </c>
      <c r="AM56" s="8" t="str">
        <f t="shared" ref="AM56:AM57" si="793">IF(AM$8="","",AL56)</f>
        <v/>
      </c>
      <c r="AN56" s="8" t="str">
        <f t="shared" ref="AN56:AN57" si="794">IF(AN$8="","",AM56)</f>
        <v/>
      </c>
      <c r="AO56" s="8" t="str">
        <f t="shared" ref="AO56:AO57" si="795">IF(AO$8="","",AN56)</f>
        <v/>
      </c>
      <c r="AP56" s="8" t="str">
        <f t="shared" ref="AP56:AS56" si="796">IF(AP$8="","",AO56)</f>
        <v/>
      </c>
      <c r="AQ56" s="8" t="str">
        <f t="shared" si="796"/>
        <v/>
      </c>
      <c r="AR56" s="8" t="str">
        <f t="shared" si="796"/>
        <v/>
      </c>
      <c r="AS56" s="8" t="str">
        <f t="shared" si="796"/>
        <v/>
      </c>
    </row>
    <row r="57" spans="1:45" x14ac:dyDescent="0.15">
      <c r="A57" s="16" t="s">
        <v>3</v>
      </c>
      <c r="B57" s="9" t="s">
        <v>4</v>
      </c>
      <c r="C57" s="8">
        <v>457</v>
      </c>
      <c r="D57" s="8">
        <v>457</v>
      </c>
      <c r="E57" s="8">
        <v>457</v>
      </c>
      <c r="F57" s="8">
        <v>466</v>
      </c>
      <c r="G57" s="8">
        <v>466</v>
      </c>
      <c r="H57" s="8">
        <v>466</v>
      </c>
      <c r="I57" s="8">
        <v>466</v>
      </c>
      <c r="J57" s="8">
        <v>468</v>
      </c>
      <c r="K57" s="8">
        <f t="shared" si="773"/>
        <v>468</v>
      </c>
      <c r="L57" s="8">
        <f t="shared" si="774"/>
        <v>468</v>
      </c>
      <c r="M57" s="8">
        <v>472</v>
      </c>
      <c r="N57" s="8" t="str">
        <f t="shared" si="775"/>
        <v/>
      </c>
      <c r="O57" s="8" t="str">
        <f t="shared" si="776"/>
        <v/>
      </c>
      <c r="P57" s="8" t="str">
        <f t="shared" si="777"/>
        <v/>
      </c>
      <c r="Q57" s="8" t="str">
        <f>IF(Q$8="","",P57)</f>
        <v/>
      </c>
      <c r="R57" s="8" t="str">
        <f t="shared" si="778"/>
        <v/>
      </c>
      <c r="S57" s="8" t="str">
        <f t="shared" si="779"/>
        <v/>
      </c>
      <c r="T57" s="8" t="str">
        <f>IF(T$8="","",S57)</f>
        <v/>
      </c>
      <c r="U57" s="8" t="str">
        <f t="shared" si="780"/>
        <v/>
      </c>
      <c r="V57" s="8" t="str">
        <f t="shared" si="781"/>
        <v/>
      </c>
      <c r="W57" s="8" t="str">
        <f t="shared" si="782"/>
        <v/>
      </c>
      <c r="X57" s="8" t="str">
        <f>IF(X$8="","",W57)</f>
        <v/>
      </c>
      <c r="Y57" s="8" t="str">
        <f t="shared" si="783"/>
        <v/>
      </c>
      <c r="Z57" s="8" t="str">
        <f t="shared" si="784"/>
        <v/>
      </c>
      <c r="AA57" s="8" t="str">
        <f>IF(AA$8="","",Z57)</f>
        <v/>
      </c>
      <c r="AB57" s="8" t="str">
        <f t="shared" si="785"/>
        <v/>
      </c>
      <c r="AC57" s="8" t="str">
        <f t="shared" si="786"/>
        <v/>
      </c>
      <c r="AD57" s="8" t="str">
        <f t="shared" ref="AD57" si="797">IF(AD$8="","",AC57)</f>
        <v/>
      </c>
      <c r="AE57" s="8" t="str">
        <f t="shared" si="787"/>
        <v/>
      </c>
      <c r="AF57" s="8" t="str">
        <f t="shared" si="788"/>
        <v/>
      </c>
      <c r="AG57" s="8" t="str">
        <f t="shared" si="789"/>
        <v/>
      </c>
      <c r="AH57" s="8" t="str">
        <f>IF(AH$8="","",AG57)</f>
        <v/>
      </c>
      <c r="AI57" s="8" t="str">
        <f t="shared" si="790"/>
        <v/>
      </c>
      <c r="AJ57" s="8" t="str">
        <f t="shared" si="791"/>
        <v/>
      </c>
      <c r="AK57" s="8" t="str">
        <f t="shared" si="792"/>
        <v/>
      </c>
      <c r="AL57" s="8" t="str">
        <f>IF(AL$8="","",AK57)</f>
        <v/>
      </c>
      <c r="AM57" s="8" t="str">
        <f t="shared" si="793"/>
        <v/>
      </c>
      <c r="AN57" s="8" t="str">
        <f t="shared" si="794"/>
        <v/>
      </c>
      <c r="AO57" s="8" t="str">
        <f t="shared" si="795"/>
        <v/>
      </c>
      <c r="AP57" s="8" t="str">
        <f t="shared" ref="AP57:AS57" si="798">IF(AP$8="","",AO57)</f>
        <v/>
      </c>
      <c r="AQ57" s="8" t="str">
        <f t="shared" si="798"/>
        <v/>
      </c>
      <c r="AR57" s="8" t="str">
        <f t="shared" si="798"/>
        <v/>
      </c>
      <c r="AS57" s="8" t="str">
        <f t="shared" si="798"/>
        <v/>
      </c>
    </row>
    <row r="58" spans="1:45" x14ac:dyDescent="0.15">
      <c r="A58" s="15">
        <v>2</v>
      </c>
      <c r="B58" s="9" t="s">
        <v>5</v>
      </c>
      <c r="C58" s="8">
        <v>109</v>
      </c>
      <c r="D58" s="8">
        <v>109</v>
      </c>
      <c r="E58" s="8">
        <v>109</v>
      </c>
      <c r="F58" s="8">
        <v>100</v>
      </c>
      <c r="G58" s="8">
        <v>100</v>
      </c>
      <c r="H58" s="8">
        <v>100</v>
      </c>
      <c r="I58" s="8">
        <v>100</v>
      </c>
      <c r="J58" s="8">
        <v>98</v>
      </c>
      <c r="K58" s="8">
        <f t="shared" ref="K58" si="799">IF(K56="","",(J58+J59))</f>
        <v>98</v>
      </c>
      <c r="L58" s="8">
        <f t="shared" ref="L58" si="800">IF(L56="","",(K58+K59))</f>
        <v>98</v>
      </c>
      <c r="M58" s="8">
        <v>94</v>
      </c>
      <c r="N58" s="8" t="str">
        <f t="shared" ref="N58" si="801">IF(N56="","",(M58+M59))</f>
        <v/>
      </c>
      <c r="O58" s="8" t="str">
        <f t="shared" ref="O58" si="802">IF(O56="","",(N58+N59))</f>
        <v/>
      </c>
      <c r="P58" s="8" t="str">
        <f t="shared" ref="P58" si="803">IF(P56="","",(O58+O59))</f>
        <v/>
      </c>
      <c r="Q58" s="8" t="str">
        <f>IF(Q56="","",(P58+P59))</f>
        <v/>
      </c>
      <c r="R58" s="8" t="str">
        <f t="shared" ref="R58" si="804">IF(R56="","",(Q58+Q59))</f>
        <v/>
      </c>
      <c r="S58" s="8" t="str">
        <f t="shared" ref="S58" si="805">IF(S56="","",(R58+R59))</f>
        <v/>
      </c>
      <c r="T58" s="8" t="str">
        <f>IF(T56="","",(S58+S59))</f>
        <v/>
      </c>
      <c r="U58" s="8" t="str">
        <f t="shared" ref="U58" si="806">IF(U56="","",(T58+T59))</f>
        <v/>
      </c>
      <c r="V58" s="8" t="str">
        <f t="shared" ref="V58" si="807">IF(V56="","",(U58+U59))</f>
        <v/>
      </c>
      <c r="W58" s="8" t="str">
        <f t="shared" ref="W58" si="808">IF(W56="","",(V58+V59))</f>
        <v/>
      </c>
      <c r="X58" s="8" t="str">
        <f>IF(X56="","",(W58+W59))</f>
        <v/>
      </c>
      <c r="Y58" s="8" t="str">
        <f t="shared" ref="Y58" si="809">IF(Y56="","",(X58+X59))</f>
        <v/>
      </c>
      <c r="Z58" s="8" t="str">
        <f t="shared" ref="Z58" si="810">IF(Z56="","",(Y58+Y59))</f>
        <v/>
      </c>
      <c r="AA58" s="8" t="str">
        <f>IF(AA56="","",(Z58+Z59))</f>
        <v/>
      </c>
      <c r="AB58" s="8" t="str">
        <f t="shared" ref="AB58" si="811">IF(AB56="","",(AA58+AA59))</f>
        <v/>
      </c>
      <c r="AC58" s="8" t="str">
        <f t="shared" ref="AC58" si="812">IF(AC56="","",(AB58+AB59))</f>
        <v/>
      </c>
      <c r="AD58" s="8" t="str">
        <f t="shared" ref="AD58" si="813">IF(AD56="","",(AC58+AC59))</f>
        <v/>
      </c>
      <c r="AE58" s="8" t="str">
        <f t="shared" ref="AE58" si="814">IF(AE56="","",(AD58+AD59))</f>
        <v/>
      </c>
      <c r="AF58" s="8" t="str">
        <f t="shared" ref="AF58" si="815">IF(AF56="","",(AE58+AE59))</f>
        <v/>
      </c>
      <c r="AG58" s="8" t="str">
        <f t="shared" ref="AG58" si="816">IF(AG56="","",(AF58+AF59))</f>
        <v/>
      </c>
      <c r="AH58" s="8" t="str">
        <f>IF(AH56="","",(AG58+AG59))</f>
        <v/>
      </c>
      <c r="AI58" s="8" t="str">
        <f t="shared" ref="AI58" si="817">IF(AI56="","",(AH58+AH59))</f>
        <v/>
      </c>
      <c r="AJ58" s="8" t="str">
        <f t="shared" ref="AJ58" si="818">IF(AJ56="","",(AI58+AI59))</f>
        <v/>
      </c>
      <c r="AK58" s="8" t="str">
        <f t="shared" ref="AK58" si="819">IF(AK56="","",(AJ58+AJ59))</f>
        <v/>
      </c>
      <c r="AL58" s="8" t="str">
        <f>IF(AL56="","",(AK58+AK59))</f>
        <v/>
      </c>
      <c r="AM58" s="8" t="str">
        <f t="shared" ref="AM58" si="820">IF(AM56="","",(AL58+AL59))</f>
        <v/>
      </c>
      <c r="AN58" s="8" t="str">
        <f t="shared" ref="AN58" si="821">IF(AN56="","",(AM58+AM59))</f>
        <v/>
      </c>
      <c r="AO58" s="8" t="str">
        <f t="shared" ref="AO58" si="822">IF(AO56="","",(AN58+AN59))</f>
        <v/>
      </c>
      <c r="AP58" s="8" t="str">
        <f t="shared" ref="AP58:AS58" si="823">IF(AP56="","",(AO58+AO59))</f>
        <v/>
      </c>
      <c r="AQ58" s="8" t="str">
        <f t="shared" si="823"/>
        <v/>
      </c>
      <c r="AR58" s="8" t="str">
        <f t="shared" si="823"/>
        <v/>
      </c>
      <c r="AS58" s="8" t="str">
        <f t="shared" si="823"/>
        <v/>
      </c>
    </row>
    <row r="59" spans="1:45" x14ac:dyDescent="0.15">
      <c r="A59" s="14"/>
      <c r="B59" s="9" t="s">
        <v>7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1:45" x14ac:dyDescent="0.15">
      <c r="A60" s="7"/>
      <c r="B60" s="9" t="s">
        <v>8</v>
      </c>
      <c r="C60" s="8">
        <v>300</v>
      </c>
      <c r="D60" s="8">
        <v>300</v>
      </c>
      <c r="E60" s="8">
        <v>300</v>
      </c>
      <c r="F60" s="8">
        <v>300</v>
      </c>
      <c r="G60" s="8">
        <v>300</v>
      </c>
      <c r="H60" s="8">
        <v>300</v>
      </c>
      <c r="I60" s="8">
        <v>300</v>
      </c>
      <c r="J60" s="8">
        <v>300</v>
      </c>
      <c r="K60" s="8">
        <f t="shared" ref="K60" si="824">IF(K56="","",J60)</f>
        <v>300</v>
      </c>
      <c r="L60" s="8">
        <f t="shared" ref="L60" si="825">IF(L56="","",K60)</f>
        <v>300</v>
      </c>
      <c r="M60" s="8">
        <f t="shared" ref="M60" si="826">IF(M56="","",L60)</f>
        <v>300</v>
      </c>
      <c r="N60" s="8" t="str">
        <f t="shared" ref="N60" si="827">IF(N56="","",M60)</f>
        <v/>
      </c>
      <c r="O60" s="8" t="str">
        <f t="shared" ref="O60" si="828">IF(O56="","",N60)</f>
        <v/>
      </c>
      <c r="P60" s="8" t="str">
        <f t="shared" ref="P60" si="829">IF(P56="","",O60)</f>
        <v/>
      </c>
      <c r="Q60" s="8" t="str">
        <f t="shared" ref="Q60" si="830">IF(Q56="","",P60)</f>
        <v/>
      </c>
      <c r="R60" s="8" t="str">
        <f t="shared" ref="R60" si="831">IF(R56="","",Q60)</f>
        <v/>
      </c>
      <c r="S60" s="8" t="str">
        <f t="shared" ref="S60" si="832">IF(S56="","",R60)</f>
        <v/>
      </c>
      <c r="T60" s="8" t="str">
        <f t="shared" ref="T60" si="833">IF(T56="","",S60)</f>
        <v/>
      </c>
      <c r="U60" s="8" t="str">
        <f t="shared" ref="U60" si="834">IF(U56="","",T60)</f>
        <v/>
      </c>
      <c r="V60" s="8" t="str">
        <f t="shared" ref="V60" si="835">IF(V56="","",U60)</f>
        <v/>
      </c>
      <c r="W60" s="8" t="str">
        <f t="shared" ref="W60" si="836">IF(W56="","",V60)</f>
        <v/>
      </c>
      <c r="X60" s="8" t="str">
        <f t="shared" ref="X60" si="837">IF(X56="","",W60)</f>
        <v/>
      </c>
      <c r="Y60" s="8" t="str">
        <f t="shared" ref="Y60" si="838">IF(Y56="","",X60)</f>
        <v/>
      </c>
      <c r="Z60" s="8" t="str">
        <f t="shared" ref="Z60" si="839">IF(Z56="","",Y60)</f>
        <v/>
      </c>
      <c r="AA60" s="8" t="str">
        <f t="shared" ref="AA60" si="840">IF(AA56="","",Z60)</f>
        <v/>
      </c>
      <c r="AB60" s="8" t="str">
        <f t="shared" ref="AB60" si="841">IF(AB56="","",AA60)</f>
        <v/>
      </c>
      <c r="AC60" s="8" t="str">
        <f t="shared" ref="AC60" si="842">IF(AC56="","",AB60)</f>
        <v/>
      </c>
      <c r="AD60" s="8" t="str">
        <f t="shared" ref="AD60" si="843">IF(AD56="","",AC60)</f>
        <v/>
      </c>
      <c r="AE60" s="8" t="str">
        <f t="shared" ref="AE60" si="844">IF(AE56="","",AD60)</f>
        <v/>
      </c>
      <c r="AF60" s="8" t="str">
        <f t="shared" ref="AF60" si="845">IF(AF56="","",AE60)</f>
        <v/>
      </c>
      <c r="AG60" s="8" t="str">
        <f t="shared" ref="AG60" si="846">IF(AG56="","",AF60)</f>
        <v/>
      </c>
      <c r="AH60" s="8" t="str">
        <f t="shared" ref="AH60" si="847">IF(AH56="","",AG60)</f>
        <v/>
      </c>
      <c r="AI60" s="8" t="str">
        <f t="shared" ref="AI60" si="848">IF(AI56="","",AH60)</f>
        <v/>
      </c>
      <c r="AJ60" s="8" t="str">
        <f t="shared" ref="AJ60" si="849">IF(AJ56="","",AI60)</f>
        <v/>
      </c>
      <c r="AK60" s="8" t="str">
        <f t="shared" ref="AK60" si="850">IF(AK56="","",AJ60)</f>
        <v/>
      </c>
      <c r="AL60" s="8" t="str">
        <f t="shared" ref="AL60" si="851">IF(AL56="","",AK60)</f>
        <v/>
      </c>
      <c r="AM60" s="8" t="str">
        <f t="shared" ref="AM60" si="852">IF(AM56="","",AL60)</f>
        <v/>
      </c>
      <c r="AN60" s="8" t="str">
        <f t="shared" ref="AN60" si="853">IF(AN56="","",AM60)</f>
        <v/>
      </c>
      <c r="AO60" s="8" t="str">
        <f t="shared" ref="AO60" si="854">IF(AO56="","",AN60)</f>
        <v/>
      </c>
      <c r="AP60" s="8" t="str">
        <f t="shared" ref="AP60:AS60" si="855">IF(AP56="","",AO60)</f>
        <v/>
      </c>
      <c r="AQ60" s="8" t="str">
        <f t="shared" si="855"/>
        <v/>
      </c>
      <c r="AR60" s="8" t="str">
        <f t="shared" si="855"/>
        <v/>
      </c>
      <c r="AS60" s="8" t="str">
        <f t="shared" si="855"/>
        <v/>
      </c>
    </row>
    <row r="61" spans="1:45" s="85" customFormat="1" x14ac:dyDescent="0.15">
      <c r="A61" s="14" t="s">
        <v>9</v>
      </c>
      <c r="B61" s="13" t="s">
        <v>10</v>
      </c>
      <c r="C61" s="12" t="s">
        <v>66</v>
      </c>
      <c r="D61" s="12" t="s">
        <v>66</v>
      </c>
      <c r="E61" s="12" t="s">
        <v>66</v>
      </c>
      <c r="F61" s="12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tr">
        <f t="shared" ref="K61" si="856">IF(K56="","",J61)</f>
        <v>ぶるりんピンキーブラック</v>
      </c>
      <c r="L61" s="12" t="str">
        <f t="shared" ref="L61" si="857">IF(L56="","",K61)</f>
        <v>ぶるりんピンキーブラック</v>
      </c>
      <c r="M61" s="12" t="str">
        <f t="shared" ref="M61" si="858">IF(M56="","",L61)</f>
        <v>ぶるりんピンキーブラック</v>
      </c>
      <c r="N61" s="12" t="str">
        <f t="shared" ref="N61" si="859">IF(N56="","",M61)</f>
        <v/>
      </c>
      <c r="O61" s="12" t="str">
        <f t="shared" ref="O61" si="860">IF(O56="","",N61)</f>
        <v/>
      </c>
      <c r="P61" s="12" t="str">
        <f t="shared" ref="P61" si="861">IF(P56="","",O61)</f>
        <v/>
      </c>
      <c r="Q61" s="12" t="str">
        <f t="shared" ref="Q61" si="862">IF(Q56="","",P61)</f>
        <v/>
      </c>
      <c r="R61" s="12" t="str">
        <f t="shared" ref="R61" si="863">IF(R56="","",Q61)</f>
        <v/>
      </c>
      <c r="S61" s="12" t="str">
        <f t="shared" ref="S61" si="864">IF(S56="","",R61)</f>
        <v/>
      </c>
      <c r="T61" s="12" t="str">
        <f t="shared" ref="T61" si="865">IF(T56="","",S61)</f>
        <v/>
      </c>
      <c r="U61" s="12" t="str">
        <f t="shared" ref="U61" si="866">IF(U56="","",T61)</f>
        <v/>
      </c>
      <c r="V61" s="12" t="str">
        <f t="shared" ref="V61" si="867">IF(V56="","",U61)</f>
        <v/>
      </c>
      <c r="W61" s="12" t="str">
        <f t="shared" ref="W61" si="868">IF(W56="","",V61)</f>
        <v/>
      </c>
      <c r="X61" s="12" t="str">
        <f t="shared" ref="X61" si="869">IF(X56="","",W61)</f>
        <v/>
      </c>
      <c r="Y61" s="12" t="str">
        <f t="shared" ref="Y61" si="870">IF(Y56="","",X61)</f>
        <v/>
      </c>
      <c r="Z61" s="12" t="str">
        <f t="shared" ref="Z61" si="871">IF(Z56="","",Y61)</f>
        <v/>
      </c>
      <c r="AA61" s="12" t="str">
        <f t="shared" ref="AA61" si="872">IF(AA56="","",Z61)</f>
        <v/>
      </c>
      <c r="AB61" s="12" t="str">
        <f t="shared" ref="AB61" si="873">IF(AB56="","",AA61)</f>
        <v/>
      </c>
      <c r="AC61" s="12" t="str">
        <f t="shared" ref="AC61" si="874">IF(AC56="","",AB61)</f>
        <v/>
      </c>
      <c r="AD61" s="12" t="str">
        <f t="shared" ref="AD61" si="875">IF(AD56="","",AC61)</f>
        <v/>
      </c>
      <c r="AE61" s="12" t="str">
        <f t="shared" ref="AE61" si="876">IF(AE56="","",AD61)</f>
        <v/>
      </c>
      <c r="AF61" s="12" t="str">
        <f t="shared" ref="AF61" si="877">IF(AF56="","",AE61)</f>
        <v/>
      </c>
      <c r="AG61" s="12" t="str">
        <f t="shared" ref="AG61" si="878">IF(AG56="","",AF61)</f>
        <v/>
      </c>
      <c r="AH61" s="12" t="str">
        <f t="shared" ref="AH61" si="879">IF(AH56="","",AG61)</f>
        <v/>
      </c>
      <c r="AI61" s="12" t="str">
        <f t="shared" ref="AI61" si="880">IF(AI56="","",AH61)</f>
        <v/>
      </c>
      <c r="AJ61" s="12" t="str">
        <f t="shared" ref="AJ61" si="881">IF(AJ56="","",AI61)</f>
        <v/>
      </c>
      <c r="AK61" s="12" t="str">
        <f t="shared" ref="AK61" si="882">IF(AK56="","",AJ61)</f>
        <v/>
      </c>
      <c r="AL61" s="12" t="str">
        <f t="shared" ref="AL61" si="883">IF(AL56="","",AK61)</f>
        <v/>
      </c>
      <c r="AM61" s="12" t="str">
        <f t="shared" ref="AM61" si="884">IF(AM56="","",AL61)</f>
        <v/>
      </c>
      <c r="AN61" s="12" t="str">
        <f t="shared" ref="AN61" si="885">IF(AN56="","",AM61)</f>
        <v/>
      </c>
      <c r="AO61" s="12" t="str">
        <f t="shared" ref="AO61" si="886">IF(AO56="","",AN61)</f>
        <v/>
      </c>
      <c r="AP61" s="12" t="str">
        <f t="shared" ref="AP61:AS61" si="887">IF(AP56="","",AO61)</f>
        <v/>
      </c>
      <c r="AQ61" s="12" t="str">
        <f t="shared" si="887"/>
        <v/>
      </c>
      <c r="AR61" s="12" t="str">
        <f t="shared" si="887"/>
        <v/>
      </c>
      <c r="AS61" s="12" t="str">
        <f t="shared" si="887"/>
        <v/>
      </c>
    </row>
    <row r="62" spans="1:45" x14ac:dyDescent="0.15">
      <c r="A62" s="7">
        <f>AVERAGE(C63:AS63)*30*100</f>
        <v>83181.818181818177</v>
      </c>
      <c r="B62" s="9" t="s">
        <v>12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</row>
    <row r="63" spans="1:45" x14ac:dyDescent="0.15">
      <c r="A63" s="7">
        <f>SUM(C63:AS63)</f>
        <v>305</v>
      </c>
      <c r="B63" s="6" t="s">
        <v>13</v>
      </c>
      <c r="C63" s="5">
        <v>0</v>
      </c>
      <c r="D63" s="5">
        <v>0</v>
      </c>
      <c r="E63" s="5">
        <v>0</v>
      </c>
      <c r="F63" s="5">
        <v>140</v>
      </c>
      <c r="G63" s="5">
        <v>0</v>
      </c>
      <c r="H63" s="5">
        <v>0</v>
      </c>
      <c r="I63" s="5">
        <v>0</v>
      </c>
      <c r="J63" s="5">
        <v>73</v>
      </c>
      <c r="K63" s="5">
        <f t="shared" ref="K63:K64" si="888">IF(K56="","",K56-J56)</f>
        <v>0</v>
      </c>
      <c r="L63" s="5">
        <f t="shared" ref="L63:L64" si="889">IF(L56="","",L56-K56)</f>
        <v>0</v>
      </c>
      <c r="M63" s="5">
        <f t="shared" ref="M63:M64" si="890">IF(M56="","",M56-L56)</f>
        <v>92</v>
      </c>
      <c r="N63" s="5" t="str">
        <f t="shared" ref="N63:N64" si="891">IF(N56="","",N56-M56)</f>
        <v/>
      </c>
      <c r="O63" s="5" t="str">
        <f t="shared" ref="O63:O64" si="892">IF(O56="","",O56-N56)</f>
        <v/>
      </c>
      <c r="P63" s="5" t="str">
        <f t="shared" ref="P63:P64" si="893">IF(P56="","",P56-O56)</f>
        <v/>
      </c>
      <c r="Q63" s="5" t="str">
        <f t="shared" ref="Q63:Q64" si="894">IF(Q56="","",Q56-P56)</f>
        <v/>
      </c>
      <c r="R63" s="5" t="str">
        <f t="shared" ref="R63:R64" si="895">IF(R56="","",R56-Q56)</f>
        <v/>
      </c>
      <c r="S63" s="5" t="str">
        <f t="shared" ref="S63:S64" si="896">IF(S56="","",S56-R56)</f>
        <v/>
      </c>
      <c r="T63" s="5" t="str">
        <f t="shared" ref="T63:T64" si="897">IF(T56="","",T56-S56)</f>
        <v/>
      </c>
      <c r="U63" s="5" t="str">
        <f t="shared" ref="U63:U64" si="898">IF(U56="","",U56-T56)</f>
        <v/>
      </c>
      <c r="V63" s="5" t="str">
        <f t="shared" ref="V63:V64" si="899">IF(V56="","",V56-U56)</f>
        <v/>
      </c>
      <c r="W63" s="5" t="str">
        <f t="shared" ref="W63:W64" si="900">IF(W56="","",W56-V56)</f>
        <v/>
      </c>
      <c r="X63" s="5" t="str">
        <f t="shared" ref="X63:X64" si="901">IF(X56="","",X56-W56)</f>
        <v/>
      </c>
      <c r="Y63" s="5" t="str">
        <f t="shared" ref="Y63:Y64" si="902">IF(Y56="","",Y56-X56)</f>
        <v/>
      </c>
      <c r="Z63" s="5" t="str">
        <f t="shared" ref="Z63:Z64" si="903">IF(Z56="","",Z56-Y56)</f>
        <v/>
      </c>
      <c r="AA63" s="5" t="str">
        <f t="shared" ref="AA63:AA64" si="904">IF(AA56="","",AA56-Z56)</f>
        <v/>
      </c>
      <c r="AB63" s="5" t="str">
        <f t="shared" ref="AB63:AB64" si="905">IF(AB56="","",AB56-AA56)</f>
        <v/>
      </c>
      <c r="AC63" s="5" t="str">
        <f t="shared" ref="AC63:AC64" si="906">IF(AC56="","",AC56-AB56)</f>
        <v/>
      </c>
      <c r="AD63" s="5" t="str">
        <f t="shared" ref="AD63:AD64" si="907">IF(AD56="","",AD56-AC56)</f>
        <v/>
      </c>
      <c r="AE63" s="5" t="str">
        <f t="shared" ref="AE63:AE64" si="908">IF(AE56="","",AE56-AD56)</f>
        <v/>
      </c>
      <c r="AF63" s="5" t="str">
        <f t="shared" ref="AF63:AF64" si="909">IF(AF56="","",AF56-AE56)</f>
        <v/>
      </c>
      <c r="AG63" s="5" t="str">
        <f t="shared" ref="AG63:AG64" si="910">IF(AG56="","",AG56-AF56)</f>
        <v/>
      </c>
      <c r="AH63" s="5" t="str">
        <f t="shared" ref="AH63:AH64" si="911">IF(AH56="","",AH56-AG56)</f>
        <v/>
      </c>
      <c r="AI63" s="5" t="str">
        <f t="shared" ref="AI63:AI64" si="912">IF(AI56="","",AI56-AH56)</f>
        <v/>
      </c>
      <c r="AJ63" s="5" t="str">
        <f t="shared" ref="AJ63:AJ64" si="913">IF(AJ56="","",AJ56-AI56)</f>
        <v/>
      </c>
      <c r="AK63" s="5" t="str">
        <f t="shared" ref="AK63:AK64" si="914">IF(AK56="","",AK56-AJ56)</f>
        <v/>
      </c>
      <c r="AL63" s="5" t="str">
        <f t="shared" ref="AL63:AL64" si="915">IF(AL56="","",AL56-AK56)</f>
        <v/>
      </c>
      <c r="AM63" s="5" t="str">
        <f t="shared" ref="AM63:AM64" si="916">IF(AM56="","",AM56-AL56)</f>
        <v/>
      </c>
      <c r="AN63" s="5" t="str">
        <f t="shared" ref="AN63:AN64" si="917">IF(AN56="","",AN56-AM56)</f>
        <v/>
      </c>
      <c r="AO63" s="5" t="str">
        <f t="shared" ref="AO63:AO64" si="918">IF(AO56="","",AO56-AN56)</f>
        <v/>
      </c>
      <c r="AP63" s="5" t="str">
        <f t="shared" ref="AP63:AS63" si="919">IF(AP56="","",AP56-AO56)</f>
        <v/>
      </c>
      <c r="AQ63" s="5" t="str">
        <f t="shared" si="919"/>
        <v/>
      </c>
      <c r="AR63" s="5" t="str">
        <f t="shared" si="919"/>
        <v/>
      </c>
      <c r="AS63" s="5" t="str">
        <f t="shared" si="919"/>
        <v/>
      </c>
    </row>
    <row r="64" spans="1:45" x14ac:dyDescent="0.15">
      <c r="A64" s="7">
        <v>4</v>
      </c>
      <c r="B64" s="6" t="s">
        <v>14</v>
      </c>
      <c r="C64" s="5">
        <v>0</v>
      </c>
      <c r="D64" s="5">
        <v>0</v>
      </c>
      <c r="E64" s="5">
        <v>0</v>
      </c>
      <c r="F64" s="5">
        <v>9</v>
      </c>
      <c r="G64" s="5">
        <v>0</v>
      </c>
      <c r="H64" s="5">
        <v>0</v>
      </c>
      <c r="I64" s="5">
        <v>0</v>
      </c>
      <c r="J64" s="5">
        <v>2</v>
      </c>
      <c r="K64" s="5">
        <f t="shared" si="888"/>
        <v>0</v>
      </c>
      <c r="L64" s="5">
        <f t="shared" si="889"/>
        <v>0</v>
      </c>
      <c r="M64" s="5">
        <f t="shared" si="890"/>
        <v>4</v>
      </c>
      <c r="N64" s="5" t="str">
        <f t="shared" si="891"/>
        <v/>
      </c>
      <c r="O64" s="5" t="str">
        <f t="shared" si="892"/>
        <v/>
      </c>
      <c r="P64" s="5" t="str">
        <f t="shared" si="893"/>
        <v/>
      </c>
      <c r="Q64" s="5" t="str">
        <f t="shared" si="894"/>
        <v/>
      </c>
      <c r="R64" s="5" t="str">
        <f t="shared" si="895"/>
        <v/>
      </c>
      <c r="S64" s="5" t="str">
        <f t="shared" si="896"/>
        <v/>
      </c>
      <c r="T64" s="5" t="str">
        <f t="shared" si="897"/>
        <v/>
      </c>
      <c r="U64" s="5" t="str">
        <f t="shared" si="898"/>
        <v/>
      </c>
      <c r="V64" s="5" t="str">
        <f t="shared" si="899"/>
        <v/>
      </c>
      <c r="W64" s="5" t="str">
        <f t="shared" si="900"/>
        <v/>
      </c>
      <c r="X64" s="5" t="str">
        <f t="shared" si="901"/>
        <v/>
      </c>
      <c r="Y64" s="5" t="str">
        <f t="shared" si="902"/>
        <v/>
      </c>
      <c r="Z64" s="5" t="str">
        <f t="shared" si="903"/>
        <v/>
      </c>
      <c r="AA64" s="5" t="str">
        <f t="shared" si="904"/>
        <v/>
      </c>
      <c r="AB64" s="5" t="str">
        <f t="shared" si="905"/>
        <v/>
      </c>
      <c r="AC64" s="5" t="str">
        <f t="shared" si="906"/>
        <v/>
      </c>
      <c r="AD64" s="5" t="str">
        <f t="shared" si="907"/>
        <v/>
      </c>
      <c r="AE64" s="5" t="str">
        <f t="shared" si="908"/>
        <v/>
      </c>
      <c r="AF64" s="5" t="str">
        <f t="shared" si="909"/>
        <v/>
      </c>
      <c r="AG64" s="5" t="str">
        <f t="shared" si="910"/>
        <v/>
      </c>
      <c r="AH64" s="5" t="str">
        <f t="shared" si="911"/>
        <v/>
      </c>
      <c r="AI64" s="5" t="str">
        <f t="shared" si="912"/>
        <v/>
      </c>
      <c r="AJ64" s="5" t="str">
        <f t="shared" si="913"/>
        <v/>
      </c>
      <c r="AK64" s="5" t="str">
        <f t="shared" si="914"/>
        <v/>
      </c>
      <c r="AL64" s="5" t="str">
        <f t="shared" si="915"/>
        <v/>
      </c>
      <c r="AM64" s="5" t="str">
        <f t="shared" si="916"/>
        <v/>
      </c>
      <c r="AN64" s="5" t="str">
        <f t="shared" si="917"/>
        <v/>
      </c>
      <c r="AO64" s="5" t="str">
        <f t="shared" si="918"/>
        <v/>
      </c>
      <c r="AP64" s="5" t="str">
        <f t="shared" ref="AP64:AS64" si="920">IF(AP57="","",AP57-AO57)</f>
        <v/>
      </c>
      <c r="AQ64" s="5" t="str">
        <f t="shared" si="920"/>
        <v/>
      </c>
      <c r="AR64" s="5" t="str">
        <f t="shared" si="920"/>
        <v/>
      </c>
      <c r="AS64" s="5" t="str">
        <f t="shared" si="920"/>
        <v/>
      </c>
    </row>
    <row r="65" spans="1:45" x14ac:dyDescent="0.15">
      <c r="A65" s="7">
        <v>-13</v>
      </c>
      <c r="B65" s="6" t="s">
        <v>15</v>
      </c>
      <c r="C65" s="5">
        <v>0</v>
      </c>
      <c r="D65" s="5">
        <v>0</v>
      </c>
      <c r="E65" s="5">
        <v>0</v>
      </c>
      <c r="F65" s="5">
        <v>9</v>
      </c>
      <c r="G65" s="5">
        <v>0</v>
      </c>
      <c r="H65" s="5">
        <v>0</v>
      </c>
      <c r="I65" s="5">
        <v>0</v>
      </c>
      <c r="J65" s="5">
        <v>2</v>
      </c>
      <c r="K65" s="5">
        <f t="shared" ref="K65" si="921">IF(K58="","",J58+J59-K58)</f>
        <v>0</v>
      </c>
      <c r="L65" s="5">
        <f t="shared" ref="L65" si="922">IF(L58="","",K58+K59-L58)</f>
        <v>0</v>
      </c>
      <c r="M65" s="5">
        <f t="shared" ref="M65" si="923">IF(M58="","",L58+L59-M58)</f>
        <v>4</v>
      </c>
      <c r="N65" s="5" t="str">
        <f t="shared" ref="N65" si="924">IF(N58="","",M58+M59-N58)</f>
        <v/>
      </c>
      <c r="O65" s="5" t="str">
        <f t="shared" ref="O65" si="925">IF(O58="","",N58+N59-O58)</f>
        <v/>
      </c>
      <c r="P65" s="5" t="str">
        <f t="shared" ref="P65" si="926">IF(P58="","",O58+O59-P58)</f>
        <v/>
      </c>
      <c r="Q65" s="5" t="str">
        <f t="shared" ref="Q65" si="927">IF(Q58="","",P58+P59-Q58)</f>
        <v/>
      </c>
      <c r="R65" s="5" t="str">
        <f t="shared" ref="R65" si="928">IF(R58="","",Q58+Q59-R58)</f>
        <v/>
      </c>
      <c r="S65" s="5" t="str">
        <f t="shared" ref="S65" si="929">IF(S58="","",R58+R59-S58)</f>
        <v/>
      </c>
      <c r="T65" s="5" t="str">
        <f t="shared" ref="T65" si="930">IF(T58="","",S58+S59-T58)</f>
        <v/>
      </c>
      <c r="U65" s="5" t="str">
        <f t="shared" ref="U65" si="931">IF(U58="","",T58+T59-U58)</f>
        <v/>
      </c>
      <c r="V65" s="5" t="str">
        <f t="shared" ref="V65" si="932">IF(V58="","",U58+U59-V58)</f>
        <v/>
      </c>
      <c r="W65" s="5" t="str">
        <f t="shared" ref="W65" si="933">IF(W58="","",V58+V59-W58)</f>
        <v/>
      </c>
      <c r="X65" s="5" t="str">
        <f t="shared" ref="X65" si="934">IF(X58="","",W58+W59-X58)</f>
        <v/>
      </c>
      <c r="Y65" s="5" t="str">
        <f t="shared" ref="Y65" si="935">IF(Y58="","",X58+X59-Y58)</f>
        <v/>
      </c>
      <c r="Z65" s="5" t="str">
        <f t="shared" ref="Z65" si="936">IF(Z58="","",Y58+Y59-Z58)</f>
        <v/>
      </c>
      <c r="AA65" s="5" t="str">
        <f t="shared" ref="AA65" si="937">IF(AA58="","",Z58+Z59-AA58)</f>
        <v/>
      </c>
      <c r="AB65" s="5" t="str">
        <f t="shared" ref="AB65" si="938">IF(AB58="","",AA58+AA59-AB58)</f>
        <v/>
      </c>
      <c r="AC65" s="5" t="str">
        <f t="shared" ref="AC65" si="939">IF(AC58="","",AB58+AB59-AC58)</f>
        <v/>
      </c>
      <c r="AD65" s="5" t="str">
        <f t="shared" ref="AD65" si="940">IF(AD58="","",AC58+AC59-AD58)</f>
        <v/>
      </c>
      <c r="AE65" s="5" t="str">
        <f t="shared" ref="AE65" si="941">IF(AE58="","",AD58+AD59-AE58)</f>
        <v/>
      </c>
      <c r="AF65" s="5" t="str">
        <f t="shared" ref="AF65" si="942">IF(AF58="","",AE58+AE59-AF58)</f>
        <v/>
      </c>
      <c r="AG65" s="5" t="str">
        <f t="shared" ref="AG65" si="943">IF(AG58="","",AF58+AF59-AG58)</f>
        <v/>
      </c>
      <c r="AH65" s="5" t="str">
        <f t="shared" ref="AH65" si="944">IF(AH58="","",AG58+AG59-AH58)</f>
        <v/>
      </c>
      <c r="AI65" s="5" t="str">
        <f t="shared" ref="AI65" si="945">IF(AI58="","",AH58+AH59-AI58)</f>
        <v/>
      </c>
      <c r="AJ65" s="5" t="str">
        <f t="shared" ref="AJ65" si="946">IF(AJ58="","",AI58+AI59-AJ58)</f>
        <v/>
      </c>
      <c r="AK65" s="5" t="str">
        <f t="shared" ref="AK65" si="947">IF(AK58="","",AJ58+AJ59-AK58)</f>
        <v/>
      </c>
      <c r="AL65" s="5" t="str">
        <f t="shared" ref="AL65" si="948">IF(AL58="","",AK58+AK59-AL58)</f>
        <v/>
      </c>
      <c r="AM65" s="5" t="str">
        <f t="shared" ref="AM65" si="949">IF(AM58="","",AL58+AL59-AM58)</f>
        <v/>
      </c>
      <c r="AN65" s="5" t="str">
        <f t="shared" ref="AN65" si="950">IF(AN58="","",AM58+AM59-AN58)</f>
        <v/>
      </c>
      <c r="AO65" s="5" t="str">
        <f t="shared" ref="AO65" si="951">IF(AO58="","",AN58+AN59-AO58)</f>
        <v/>
      </c>
      <c r="AP65" s="5" t="str">
        <f t="shared" ref="AP65:AS65" si="952">IF(AP58="","",AO58+AO59-AP58)</f>
        <v/>
      </c>
      <c r="AQ65" s="5" t="str">
        <f t="shared" si="952"/>
        <v/>
      </c>
      <c r="AR65" s="5" t="str">
        <f t="shared" si="952"/>
        <v/>
      </c>
      <c r="AS65" s="5" t="str">
        <f t="shared" si="952"/>
        <v/>
      </c>
    </row>
    <row r="66" spans="1:45" x14ac:dyDescent="0.15">
      <c r="A66" s="7">
        <v>-3900</v>
      </c>
      <c r="B66" s="6" t="s">
        <v>16</v>
      </c>
      <c r="C66" s="5">
        <v>0</v>
      </c>
      <c r="D66" s="5">
        <v>0</v>
      </c>
      <c r="E66" s="5">
        <v>0</v>
      </c>
      <c r="F66" s="5">
        <v>2700</v>
      </c>
      <c r="G66" s="5">
        <v>0</v>
      </c>
      <c r="H66" s="5">
        <v>0</v>
      </c>
      <c r="I66" s="5">
        <v>0</v>
      </c>
      <c r="J66" s="5">
        <v>600</v>
      </c>
      <c r="K66" s="5">
        <f t="shared" ref="I66:AO66" si="953">IF(K56="","",K65*K60)</f>
        <v>0</v>
      </c>
      <c r="L66" s="5">
        <f t="shared" si="953"/>
        <v>0</v>
      </c>
      <c r="M66" s="5">
        <f t="shared" si="953"/>
        <v>1200</v>
      </c>
      <c r="N66" s="5" t="str">
        <f t="shared" si="953"/>
        <v/>
      </c>
      <c r="O66" s="5" t="str">
        <f t="shared" si="953"/>
        <v/>
      </c>
      <c r="P66" s="5" t="str">
        <f t="shared" si="953"/>
        <v/>
      </c>
      <c r="Q66" s="5" t="str">
        <f t="shared" si="953"/>
        <v/>
      </c>
      <c r="R66" s="5" t="str">
        <f t="shared" si="953"/>
        <v/>
      </c>
      <c r="S66" s="5" t="str">
        <f t="shared" si="953"/>
        <v/>
      </c>
      <c r="T66" s="5" t="str">
        <f t="shared" si="953"/>
        <v/>
      </c>
      <c r="U66" s="5" t="str">
        <f t="shared" si="953"/>
        <v/>
      </c>
      <c r="V66" s="5" t="str">
        <f t="shared" si="953"/>
        <v/>
      </c>
      <c r="W66" s="5" t="str">
        <f t="shared" si="953"/>
        <v/>
      </c>
      <c r="X66" s="5" t="str">
        <f t="shared" si="953"/>
        <v/>
      </c>
      <c r="Y66" s="5" t="str">
        <f t="shared" si="953"/>
        <v/>
      </c>
      <c r="Z66" s="5" t="str">
        <f t="shared" si="953"/>
        <v/>
      </c>
      <c r="AA66" s="5" t="str">
        <f t="shared" si="953"/>
        <v/>
      </c>
      <c r="AB66" s="5" t="str">
        <f t="shared" si="953"/>
        <v/>
      </c>
      <c r="AC66" s="5" t="str">
        <f t="shared" si="953"/>
        <v/>
      </c>
      <c r="AD66" s="5" t="str">
        <f t="shared" si="953"/>
        <v/>
      </c>
      <c r="AE66" s="5" t="str">
        <f t="shared" si="953"/>
        <v/>
      </c>
      <c r="AF66" s="5" t="str">
        <f t="shared" si="953"/>
        <v/>
      </c>
      <c r="AG66" s="5" t="str">
        <f t="shared" si="953"/>
        <v/>
      </c>
      <c r="AH66" s="5" t="str">
        <f t="shared" si="953"/>
        <v/>
      </c>
      <c r="AI66" s="5" t="str">
        <f t="shared" si="953"/>
        <v/>
      </c>
      <c r="AJ66" s="5" t="str">
        <f t="shared" si="953"/>
        <v/>
      </c>
      <c r="AK66" s="5" t="str">
        <f t="shared" si="953"/>
        <v/>
      </c>
      <c r="AL66" s="5" t="str">
        <f t="shared" si="953"/>
        <v/>
      </c>
      <c r="AM66" s="5" t="str">
        <f t="shared" si="953"/>
        <v/>
      </c>
      <c r="AN66" s="5" t="str">
        <f t="shared" si="953"/>
        <v/>
      </c>
      <c r="AO66" s="5" t="str">
        <f t="shared" si="953"/>
        <v/>
      </c>
      <c r="AP66" s="5" t="str">
        <f t="shared" ref="AP66:AS66" si="954">IF(AP56="","",AP65*AP60)</f>
        <v/>
      </c>
      <c r="AQ66" s="5" t="str">
        <f t="shared" si="954"/>
        <v/>
      </c>
      <c r="AR66" s="5" t="str">
        <f t="shared" si="954"/>
        <v/>
      </c>
      <c r="AS66" s="5" t="str">
        <f t="shared" si="954"/>
        <v/>
      </c>
    </row>
    <row r="67" spans="1:45" ht="12" thickBot="1" x14ac:dyDescent="0.2">
      <c r="A67" s="4">
        <v>-0.3</v>
      </c>
      <c r="B67" s="6" t="s">
        <v>18</v>
      </c>
      <c r="C67" s="18" t="s">
        <v>19</v>
      </c>
      <c r="D67" s="18" t="s">
        <v>19</v>
      </c>
      <c r="E67" s="18" t="s">
        <v>19</v>
      </c>
      <c r="F67" s="18">
        <v>0.19285714285714287</v>
      </c>
      <c r="G67" s="18" t="s">
        <v>19</v>
      </c>
      <c r="H67" s="18" t="s">
        <v>19</v>
      </c>
      <c r="I67" s="18" t="s">
        <v>19</v>
      </c>
      <c r="J67" s="18">
        <v>8.2191780821917804E-2</v>
      </c>
      <c r="K67" s="18" t="str">
        <f t="shared" ref="I67:AO67" si="955">IF(K66="","",IF(K66=0,"",K66/(K63*100)))</f>
        <v/>
      </c>
      <c r="L67" s="18" t="str">
        <f t="shared" si="955"/>
        <v/>
      </c>
      <c r="M67" s="18">
        <f t="shared" si="955"/>
        <v>0.13043478260869565</v>
      </c>
      <c r="N67" s="18" t="str">
        <f t="shared" si="955"/>
        <v/>
      </c>
      <c r="O67" s="18" t="str">
        <f t="shared" si="955"/>
        <v/>
      </c>
      <c r="P67" s="18" t="str">
        <f t="shared" si="955"/>
        <v/>
      </c>
      <c r="Q67" s="18" t="str">
        <f t="shared" si="955"/>
        <v/>
      </c>
      <c r="R67" s="18" t="str">
        <f t="shared" si="955"/>
        <v/>
      </c>
      <c r="S67" s="18" t="str">
        <f t="shared" si="955"/>
        <v/>
      </c>
      <c r="T67" s="18" t="str">
        <f t="shared" si="955"/>
        <v/>
      </c>
      <c r="U67" s="18" t="str">
        <f t="shared" si="955"/>
        <v/>
      </c>
      <c r="V67" s="18" t="str">
        <f t="shared" si="955"/>
        <v/>
      </c>
      <c r="W67" s="18" t="str">
        <f t="shared" si="955"/>
        <v/>
      </c>
      <c r="X67" s="18" t="str">
        <f t="shared" si="955"/>
        <v/>
      </c>
      <c r="Y67" s="18" t="str">
        <f t="shared" si="955"/>
        <v/>
      </c>
      <c r="Z67" s="18" t="str">
        <f t="shared" si="955"/>
        <v/>
      </c>
      <c r="AA67" s="18" t="str">
        <f t="shared" si="955"/>
        <v/>
      </c>
      <c r="AB67" s="18" t="str">
        <f t="shared" si="955"/>
        <v/>
      </c>
      <c r="AC67" s="18" t="str">
        <f t="shared" si="955"/>
        <v/>
      </c>
      <c r="AD67" s="18" t="str">
        <f t="shared" si="955"/>
        <v/>
      </c>
      <c r="AE67" s="18" t="str">
        <f t="shared" si="955"/>
        <v/>
      </c>
      <c r="AF67" s="18" t="str">
        <f t="shared" si="955"/>
        <v/>
      </c>
      <c r="AG67" s="18" t="str">
        <f t="shared" si="955"/>
        <v/>
      </c>
      <c r="AH67" s="18" t="str">
        <f t="shared" si="955"/>
        <v/>
      </c>
      <c r="AI67" s="18" t="str">
        <f t="shared" si="955"/>
        <v/>
      </c>
      <c r="AJ67" s="18" t="str">
        <f t="shared" si="955"/>
        <v/>
      </c>
      <c r="AK67" s="18" t="str">
        <f t="shared" si="955"/>
        <v/>
      </c>
      <c r="AL67" s="18" t="str">
        <f t="shared" si="955"/>
        <v/>
      </c>
      <c r="AM67" s="18" t="str">
        <f t="shared" si="955"/>
        <v/>
      </c>
      <c r="AN67" s="18" t="str">
        <f t="shared" si="955"/>
        <v/>
      </c>
      <c r="AO67" s="18" t="str">
        <f t="shared" si="955"/>
        <v/>
      </c>
      <c r="AP67" s="18" t="str">
        <f t="shared" ref="AP67:AS67" si="956">IF(AP66="","",IF(AP66=0,"",AP66/(AP63*100)))</f>
        <v/>
      </c>
      <c r="AQ67" s="18" t="str">
        <f t="shared" si="956"/>
        <v/>
      </c>
      <c r="AR67" s="18" t="str">
        <f t="shared" si="956"/>
        <v/>
      </c>
      <c r="AS67" s="18" t="str">
        <f t="shared" si="956"/>
        <v/>
      </c>
    </row>
    <row r="68" spans="1:45" x14ac:dyDescent="0.15">
      <c r="A68" s="17" t="s">
        <v>59</v>
      </c>
      <c r="B68" s="9" t="s">
        <v>2</v>
      </c>
      <c r="C68" s="8">
        <v>12177</v>
      </c>
      <c r="D68" s="8">
        <v>12177</v>
      </c>
      <c r="E68" s="8">
        <v>12177</v>
      </c>
      <c r="F68" s="8">
        <v>12259</v>
      </c>
      <c r="G68" s="8">
        <v>12259</v>
      </c>
      <c r="H68" s="8">
        <v>12259</v>
      </c>
      <c r="I68" s="8">
        <v>12259</v>
      </c>
      <c r="J68" s="8">
        <v>12297</v>
      </c>
      <c r="K68" s="8">
        <f t="shared" ref="K68:K69" si="957">IF(K$8="","",J68)</f>
        <v>12297</v>
      </c>
      <c r="L68" s="8">
        <f t="shared" ref="L68:L69" si="958">IF(L$8="","",K68)</f>
        <v>12297</v>
      </c>
      <c r="M68" s="8">
        <v>12356</v>
      </c>
      <c r="N68" s="8" t="str">
        <f t="shared" ref="N68:N69" si="959">IF(N$8="","",M68)</f>
        <v/>
      </c>
      <c r="O68" s="8" t="str">
        <f t="shared" ref="O68:O69" si="960">IF(O$8="","",N68)</f>
        <v/>
      </c>
      <c r="P68" s="8" t="str">
        <f t="shared" ref="P68:P69" si="961">IF(P$8="","",O68)</f>
        <v/>
      </c>
      <c r="Q68" s="8" t="str">
        <f>IF(Q$8="","",P68)</f>
        <v/>
      </c>
      <c r="R68" s="8" t="str">
        <f t="shared" ref="R68:R69" si="962">IF(R$8="","",Q68)</f>
        <v/>
      </c>
      <c r="S68" s="8" t="str">
        <f t="shared" ref="S68:S69" si="963">IF(S$8="","",R68)</f>
        <v/>
      </c>
      <c r="T68" s="8" t="str">
        <f>IF(T$8="","",S68)</f>
        <v/>
      </c>
      <c r="U68" s="8" t="str">
        <f t="shared" ref="U68:U69" si="964">IF(U$8="","",T68)</f>
        <v/>
      </c>
      <c r="V68" s="8" t="str">
        <f t="shared" ref="V68:V69" si="965">IF(V$8="","",U68)</f>
        <v/>
      </c>
      <c r="W68" s="8" t="str">
        <f t="shared" ref="W68:W69" si="966">IF(W$8="","",V68)</f>
        <v/>
      </c>
      <c r="X68" s="8" t="str">
        <f>IF(X$8="","",W68)</f>
        <v/>
      </c>
      <c r="Y68" s="8" t="str">
        <f t="shared" ref="Y68:Y69" si="967">IF(Y$8="","",X68)</f>
        <v/>
      </c>
      <c r="Z68" s="8" t="str">
        <f t="shared" ref="Z68:Z69" si="968">IF(Z$8="","",Y68)</f>
        <v/>
      </c>
      <c r="AA68" s="8" t="str">
        <f>IF(AA$8="","",Z68)</f>
        <v/>
      </c>
      <c r="AB68" s="8" t="str">
        <f t="shared" ref="AB68:AB69" si="969">IF(AB$8="","",AA68)</f>
        <v/>
      </c>
      <c r="AC68" s="8" t="str">
        <f t="shared" ref="AC68:AC69" si="970">IF(AC$8="","",AB68)</f>
        <v/>
      </c>
      <c r="AD68" s="8" t="str">
        <f>IF(AD$8="","",AC68)</f>
        <v/>
      </c>
      <c r="AE68" s="8" t="str">
        <f t="shared" ref="AE68:AE69" si="971">IF(AE$8="","",AD68)</f>
        <v/>
      </c>
      <c r="AF68" s="8" t="str">
        <f t="shared" ref="AF68:AF69" si="972">IF(AF$8="","",AE68)</f>
        <v/>
      </c>
      <c r="AG68" s="8" t="str">
        <f t="shared" ref="AG68:AG69" si="973">IF(AG$8="","",AF68)</f>
        <v/>
      </c>
      <c r="AH68" s="8" t="str">
        <f>IF(AH$8="","",AG68)</f>
        <v/>
      </c>
      <c r="AI68" s="8" t="str">
        <f t="shared" ref="AI68:AI69" si="974">IF(AI$8="","",AH68)</f>
        <v/>
      </c>
      <c r="AJ68" s="8" t="str">
        <f t="shared" ref="AJ68:AJ69" si="975">IF(AJ$8="","",AI68)</f>
        <v/>
      </c>
      <c r="AK68" s="8" t="str">
        <f t="shared" ref="AK68:AK69" si="976">IF(AK$8="","",AJ68)</f>
        <v/>
      </c>
      <c r="AL68" s="8" t="str">
        <f>IF(AL$8="","",AK68)</f>
        <v/>
      </c>
      <c r="AM68" s="8" t="str">
        <f t="shared" ref="AM68:AM69" si="977">IF(AM$8="","",AL68)</f>
        <v/>
      </c>
      <c r="AN68" s="8" t="str">
        <f t="shared" ref="AN68:AN69" si="978">IF(AN$8="","",AM68)</f>
        <v/>
      </c>
      <c r="AO68" s="8" t="str">
        <f t="shared" ref="AO68:AO69" si="979">IF(AO$8="","",AN68)</f>
        <v/>
      </c>
      <c r="AP68" s="8" t="str">
        <f t="shared" ref="AP68:AS68" si="980">IF(AP$8="","",AO68)</f>
        <v/>
      </c>
      <c r="AQ68" s="8" t="str">
        <f t="shared" si="980"/>
        <v/>
      </c>
      <c r="AR68" s="8" t="str">
        <f t="shared" si="980"/>
        <v/>
      </c>
      <c r="AS68" s="8" t="str">
        <f t="shared" si="980"/>
        <v/>
      </c>
    </row>
    <row r="69" spans="1:45" x14ac:dyDescent="0.15">
      <c r="A69" s="16" t="s">
        <v>3</v>
      </c>
      <c r="B69" s="9" t="s">
        <v>4</v>
      </c>
      <c r="C69" s="8">
        <v>630</v>
      </c>
      <c r="D69" s="8">
        <v>630</v>
      </c>
      <c r="E69" s="8">
        <v>630</v>
      </c>
      <c r="F69" s="8">
        <v>630</v>
      </c>
      <c r="G69" s="8">
        <v>630</v>
      </c>
      <c r="H69" s="8">
        <v>630</v>
      </c>
      <c r="I69" s="8">
        <v>630</v>
      </c>
      <c r="J69" s="8">
        <v>637</v>
      </c>
      <c r="K69" s="8">
        <f t="shared" si="957"/>
        <v>637</v>
      </c>
      <c r="L69" s="8">
        <f t="shared" si="958"/>
        <v>637</v>
      </c>
      <c r="M69" s="8">
        <v>649</v>
      </c>
      <c r="N69" s="8" t="str">
        <f t="shared" si="959"/>
        <v/>
      </c>
      <c r="O69" s="8" t="str">
        <f t="shared" si="960"/>
        <v/>
      </c>
      <c r="P69" s="8" t="str">
        <f t="shared" si="961"/>
        <v/>
      </c>
      <c r="Q69" s="8" t="str">
        <f>IF(Q$8="","",P69)</f>
        <v/>
      </c>
      <c r="R69" s="8" t="str">
        <f t="shared" si="962"/>
        <v/>
      </c>
      <c r="S69" s="8" t="str">
        <f t="shared" si="963"/>
        <v/>
      </c>
      <c r="T69" s="8" t="str">
        <f>IF(T$8="","",S69)</f>
        <v/>
      </c>
      <c r="U69" s="8" t="str">
        <f t="shared" si="964"/>
        <v/>
      </c>
      <c r="V69" s="8" t="str">
        <f t="shared" si="965"/>
        <v/>
      </c>
      <c r="W69" s="8" t="str">
        <f t="shared" si="966"/>
        <v/>
      </c>
      <c r="X69" s="8" t="str">
        <f>IF(X$8="","",W69)</f>
        <v/>
      </c>
      <c r="Y69" s="8" t="str">
        <f t="shared" si="967"/>
        <v/>
      </c>
      <c r="Z69" s="8" t="str">
        <f t="shared" si="968"/>
        <v/>
      </c>
      <c r="AA69" s="8" t="str">
        <f>IF(AA$8="","",Z69)</f>
        <v/>
      </c>
      <c r="AB69" s="8" t="str">
        <f t="shared" si="969"/>
        <v/>
      </c>
      <c r="AC69" s="8" t="str">
        <f t="shared" si="970"/>
        <v/>
      </c>
      <c r="AD69" s="8" t="str">
        <f t="shared" ref="AD69" si="981">IF(AD$8="","",AC69)</f>
        <v/>
      </c>
      <c r="AE69" s="8" t="str">
        <f t="shared" si="971"/>
        <v/>
      </c>
      <c r="AF69" s="8" t="str">
        <f t="shared" si="972"/>
        <v/>
      </c>
      <c r="AG69" s="8" t="str">
        <f t="shared" si="973"/>
        <v/>
      </c>
      <c r="AH69" s="8" t="str">
        <f t="shared" ref="AH68:AH69" si="982">IF(AH$8="","",AG69)</f>
        <v/>
      </c>
      <c r="AI69" s="8" t="str">
        <f t="shared" si="974"/>
        <v/>
      </c>
      <c r="AJ69" s="8" t="str">
        <f t="shared" si="975"/>
        <v/>
      </c>
      <c r="AK69" s="8" t="str">
        <f t="shared" si="976"/>
        <v/>
      </c>
      <c r="AL69" s="8" t="str">
        <f>IF(AL$8="","",AK69)</f>
        <v/>
      </c>
      <c r="AM69" s="8" t="str">
        <f t="shared" si="977"/>
        <v/>
      </c>
      <c r="AN69" s="8" t="str">
        <f t="shared" si="978"/>
        <v/>
      </c>
      <c r="AO69" s="8" t="str">
        <f t="shared" si="979"/>
        <v/>
      </c>
      <c r="AP69" s="8" t="str">
        <f t="shared" ref="AP69:AS69" si="983">IF(AP$8="","",AO69)</f>
        <v/>
      </c>
      <c r="AQ69" s="8" t="str">
        <f t="shared" si="983"/>
        <v/>
      </c>
      <c r="AR69" s="8" t="str">
        <f t="shared" si="983"/>
        <v/>
      </c>
      <c r="AS69" s="8" t="str">
        <f t="shared" si="983"/>
        <v/>
      </c>
    </row>
    <row r="70" spans="1:45" x14ac:dyDescent="0.15">
      <c r="A70" s="15">
        <v>3</v>
      </c>
      <c r="B70" s="9" t="s">
        <v>5</v>
      </c>
      <c r="C70" s="8">
        <v>18</v>
      </c>
      <c r="D70" s="8">
        <v>18</v>
      </c>
      <c r="E70" s="8">
        <v>18</v>
      </c>
      <c r="F70" s="8">
        <v>18</v>
      </c>
      <c r="G70" s="8">
        <v>18</v>
      </c>
      <c r="H70" s="8">
        <v>18</v>
      </c>
      <c r="I70" s="8">
        <v>18</v>
      </c>
      <c r="J70" s="8">
        <v>11</v>
      </c>
      <c r="K70" s="8">
        <f t="shared" ref="K70" si="984">IF(K68="","",(J70+J71))</f>
        <v>16</v>
      </c>
      <c r="L70" s="8">
        <f t="shared" ref="L70" si="985">IF(L68="","",(K70+K71))</f>
        <v>16</v>
      </c>
      <c r="M70" s="8">
        <v>4</v>
      </c>
      <c r="N70" s="8" t="str">
        <f t="shared" ref="N70" si="986">IF(N68="","",(M70+M71))</f>
        <v/>
      </c>
      <c r="O70" s="8" t="str">
        <f t="shared" ref="O70" si="987">IF(O68="","",(N70+N71))</f>
        <v/>
      </c>
      <c r="P70" s="8" t="str">
        <f t="shared" ref="P70" si="988">IF(P68="","",(O70+O71))</f>
        <v/>
      </c>
      <c r="Q70" s="8" t="str">
        <f>IF(Q68="","",(P70+P71))</f>
        <v/>
      </c>
      <c r="R70" s="8" t="str">
        <f t="shared" ref="R70" si="989">IF(R68="","",(Q70+Q71))</f>
        <v/>
      </c>
      <c r="S70" s="8" t="str">
        <f t="shared" ref="S70" si="990">IF(S68="","",(R70+R71))</f>
        <v/>
      </c>
      <c r="T70" s="8" t="str">
        <f>IF(T68="","",(S70+S71))</f>
        <v/>
      </c>
      <c r="U70" s="8" t="str">
        <f t="shared" ref="U70" si="991">IF(U68="","",(T70+T71))</f>
        <v/>
      </c>
      <c r="V70" s="8" t="str">
        <f t="shared" ref="V70" si="992">IF(V68="","",(U70+U71))</f>
        <v/>
      </c>
      <c r="W70" s="8" t="str">
        <f t="shared" ref="W70" si="993">IF(W68="","",(V70+V71))</f>
        <v/>
      </c>
      <c r="X70" s="8" t="str">
        <f>IF(X68="","",(W70+W71))</f>
        <v/>
      </c>
      <c r="Y70" s="8" t="str">
        <f t="shared" ref="Y70" si="994">IF(Y68="","",(X70+X71))</f>
        <v/>
      </c>
      <c r="Z70" s="8" t="str">
        <f t="shared" ref="Z70" si="995">IF(Z68="","",(Y70+Y71))</f>
        <v/>
      </c>
      <c r="AA70" s="8" t="str">
        <f>IF(AA68="","",(Z70+Z71))</f>
        <v/>
      </c>
      <c r="AB70" s="8" t="str">
        <f t="shared" ref="AB70" si="996">IF(AB68="","",(AA70+AA71))</f>
        <v/>
      </c>
      <c r="AC70" s="8" t="str">
        <f t="shared" ref="AC70" si="997">IF(AC68="","",(AB70+AB71))</f>
        <v/>
      </c>
      <c r="AD70" s="8" t="str">
        <f t="shared" ref="AD70" si="998">IF(AD68="","",(AC70+AC71))</f>
        <v/>
      </c>
      <c r="AE70" s="8" t="str">
        <f t="shared" ref="AE70" si="999">IF(AE68="","",(AD70+AD71))</f>
        <v/>
      </c>
      <c r="AF70" s="8" t="str">
        <f t="shared" ref="AF70" si="1000">IF(AF68="","",(AE70+AE71))</f>
        <v/>
      </c>
      <c r="AG70" s="8" t="str">
        <f t="shared" ref="AG70" si="1001">IF(AG68="","",(AF70+AF71))</f>
        <v/>
      </c>
      <c r="AH70" s="8" t="str">
        <f t="shared" ref="AH70" si="1002">IF(AH68="","",(AG70+AG71))</f>
        <v/>
      </c>
      <c r="AI70" s="8" t="str">
        <f t="shared" ref="AI70" si="1003">IF(AI68="","",(AH70+AH71))</f>
        <v/>
      </c>
      <c r="AJ70" s="8" t="str">
        <f t="shared" ref="AJ70" si="1004">IF(AJ68="","",(AI70+AI71))</f>
        <v/>
      </c>
      <c r="AK70" s="8" t="str">
        <f t="shared" ref="AK70" si="1005">IF(AK68="","",(AJ70+AJ71))</f>
        <v/>
      </c>
      <c r="AL70" s="8" t="str">
        <f>IF(AL68="","",(AK70+AK71))</f>
        <v/>
      </c>
      <c r="AM70" s="8" t="str">
        <f t="shared" ref="AM70" si="1006">IF(AM68="","",(AL70+AL71))</f>
        <v/>
      </c>
      <c r="AN70" s="8" t="str">
        <f t="shared" ref="AN70" si="1007">IF(AN68="","",(AM70+AM71))</f>
        <v/>
      </c>
      <c r="AO70" s="8" t="str">
        <f t="shared" ref="AO70" si="1008">IF(AO68="","",(AN70+AN71))</f>
        <v/>
      </c>
      <c r="AP70" s="8" t="str">
        <f t="shared" ref="AP70:AS70" si="1009">IF(AP68="","",(AO70+AO71))</f>
        <v/>
      </c>
      <c r="AQ70" s="8" t="str">
        <f t="shared" si="1009"/>
        <v/>
      </c>
      <c r="AR70" s="8" t="str">
        <f t="shared" si="1009"/>
        <v/>
      </c>
      <c r="AS70" s="8" t="str">
        <f t="shared" si="1009"/>
        <v/>
      </c>
    </row>
    <row r="71" spans="1:45" x14ac:dyDescent="0.15">
      <c r="A71" s="14"/>
      <c r="B71" s="9" t="s">
        <v>7</v>
      </c>
      <c r="C71" s="8"/>
      <c r="D71" s="8"/>
      <c r="E71" s="8"/>
      <c r="F71" s="8"/>
      <c r="G71" s="8"/>
      <c r="H71" s="8"/>
      <c r="I71" s="8"/>
      <c r="J71" s="8">
        <v>5</v>
      </c>
      <c r="K71" s="8"/>
      <c r="L71" s="8"/>
      <c r="M71" s="8">
        <v>14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</row>
    <row r="72" spans="1:45" x14ac:dyDescent="0.15">
      <c r="A72" s="7"/>
      <c r="B72" s="9" t="s">
        <v>8</v>
      </c>
      <c r="C72" s="8">
        <v>300</v>
      </c>
      <c r="D72" s="8">
        <v>300</v>
      </c>
      <c r="E72" s="8">
        <v>300</v>
      </c>
      <c r="F72" s="8">
        <v>300</v>
      </c>
      <c r="G72" s="8">
        <v>300</v>
      </c>
      <c r="H72" s="8">
        <v>300</v>
      </c>
      <c r="I72" s="8">
        <v>300</v>
      </c>
      <c r="J72" s="8">
        <v>300</v>
      </c>
      <c r="K72" s="8">
        <f t="shared" ref="K72" si="1010">IF(K68="","",J72)</f>
        <v>300</v>
      </c>
      <c r="L72" s="8">
        <f t="shared" ref="L72" si="1011">IF(L68="","",K72)</f>
        <v>300</v>
      </c>
      <c r="M72" s="8">
        <f t="shared" ref="M72" si="1012">IF(M68="","",L72)</f>
        <v>300</v>
      </c>
      <c r="N72" s="8" t="str">
        <f t="shared" ref="N72" si="1013">IF(N68="","",M72)</f>
        <v/>
      </c>
      <c r="O72" s="8" t="str">
        <f t="shared" ref="O72" si="1014">IF(O68="","",N72)</f>
        <v/>
      </c>
      <c r="P72" s="8" t="str">
        <f t="shared" ref="P72" si="1015">IF(P68="","",O72)</f>
        <v/>
      </c>
      <c r="Q72" s="8" t="str">
        <f t="shared" ref="Q72" si="1016">IF(Q68="","",P72)</f>
        <v/>
      </c>
      <c r="R72" s="8" t="str">
        <f t="shared" ref="R72" si="1017">IF(R68="","",Q72)</f>
        <v/>
      </c>
      <c r="S72" s="8" t="str">
        <f t="shared" ref="S72" si="1018">IF(S68="","",R72)</f>
        <v/>
      </c>
      <c r="T72" s="8" t="str">
        <f t="shared" ref="T72" si="1019">IF(T68="","",S72)</f>
        <v/>
      </c>
      <c r="U72" s="8" t="str">
        <f t="shared" ref="U72" si="1020">IF(U68="","",T72)</f>
        <v/>
      </c>
      <c r="V72" s="8" t="str">
        <f t="shared" ref="V72" si="1021">IF(V68="","",U72)</f>
        <v/>
      </c>
      <c r="W72" s="8" t="str">
        <f t="shared" ref="W72" si="1022">IF(W68="","",V72)</f>
        <v/>
      </c>
      <c r="X72" s="8" t="str">
        <f t="shared" ref="X72" si="1023">IF(X68="","",W72)</f>
        <v/>
      </c>
      <c r="Y72" s="8" t="str">
        <f t="shared" ref="Y72" si="1024">IF(Y68="","",X72)</f>
        <v/>
      </c>
      <c r="Z72" s="8" t="str">
        <f t="shared" ref="Z72" si="1025">IF(Z68="","",Y72)</f>
        <v/>
      </c>
      <c r="AA72" s="8" t="str">
        <f t="shared" ref="AA72" si="1026">IF(AA68="","",Z72)</f>
        <v/>
      </c>
      <c r="AB72" s="8" t="str">
        <f t="shared" ref="AB72" si="1027">IF(AB68="","",AA72)</f>
        <v/>
      </c>
      <c r="AC72" s="8" t="str">
        <f t="shared" ref="AC72" si="1028">IF(AC68="","",AB72)</f>
        <v/>
      </c>
      <c r="AD72" s="8" t="str">
        <f t="shared" ref="AD72" si="1029">IF(AD68="","",AC72)</f>
        <v/>
      </c>
      <c r="AE72" s="8" t="str">
        <f t="shared" ref="AE72" si="1030">IF(AE68="","",AD72)</f>
        <v/>
      </c>
      <c r="AF72" s="8" t="str">
        <f t="shared" ref="AF72" si="1031">IF(AF68="","",AE72)</f>
        <v/>
      </c>
      <c r="AG72" s="8" t="str">
        <f t="shared" ref="AG72" si="1032">IF(AG68="","",AF72)</f>
        <v/>
      </c>
      <c r="AH72" s="8" t="str">
        <f t="shared" ref="AH72" si="1033">IF(AH68="","",AG72)</f>
        <v/>
      </c>
      <c r="AI72" s="8" t="str">
        <f t="shared" ref="AI72" si="1034">IF(AI68="","",AH72)</f>
        <v/>
      </c>
      <c r="AJ72" s="8" t="str">
        <f t="shared" ref="AJ72" si="1035">IF(AJ68="","",AI72)</f>
        <v/>
      </c>
      <c r="AK72" s="8" t="str">
        <f t="shared" ref="AK72" si="1036">IF(AK68="","",AJ72)</f>
        <v/>
      </c>
      <c r="AL72" s="8" t="str">
        <f t="shared" ref="AL72" si="1037">IF(AL68="","",AK72)</f>
        <v/>
      </c>
      <c r="AM72" s="8" t="str">
        <f t="shared" ref="AM72" si="1038">IF(AM68="","",AL72)</f>
        <v/>
      </c>
      <c r="AN72" s="8" t="str">
        <f t="shared" ref="AN72" si="1039">IF(AN68="","",AM72)</f>
        <v/>
      </c>
      <c r="AO72" s="8" t="str">
        <f t="shared" ref="AO72" si="1040">IF(AO68="","",AN72)</f>
        <v/>
      </c>
      <c r="AP72" s="8" t="str">
        <f t="shared" ref="AP72:AS72" si="1041">IF(AP68="","",AO72)</f>
        <v/>
      </c>
      <c r="AQ72" s="8" t="str">
        <f t="shared" si="1041"/>
        <v/>
      </c>
      <c r="AR72" s="8" t="str">
        <f t="shared" si="1041"/>
        <v/>
      </c>
      <c r="AS72" s="8" t="str">
        <f t="shared" si="1041"/>
        <v/>
      </c>
    </row>
    <row r="73" spans="1:45" s="85" customFormat="1" x14ac:dyDescent="0.15">
      <c r="A73" s="14" t="s">
        <v>9</v>
      </c>
      <c r="B73" s="13" t="s">
        <v>10</v>
      </c>
      <c r="C73" s="12" t="s">
        <v>354</v>
      </c>
      <c r="D73" s="12" t="s">
        <v>354</v>
      </c>
      <c r="E73" s="12" t="s">
        <v>354</v>
      </c>
      <c r="F73" s="12" t="s">
        <v>354</v>
      </c>
      <c r="G73" s="12" t="s">
        <v>354</v>
      </c>
      <c r="H73" s="12" t="s">
        <v>354</v>
      </c>
      <c r="I73" s="12" t="s">
        <v>354</v>
      </c>
      <c r="J73" s="12" t="s">
        <v>354</v>
      </c>
      <c r="K73" s="12" t="str">
        <f t="shared" ref="K73" si="1042">IF(K68="","",J73)</f>
        <v>フルーツスクイーズ</v>
      </c>
      <c r="L73" s="12" t="str">
        <f t="shared" ref="L73" si="1043">IF(L68="","",K73)</f>
        <v>フルーツスクイーズ</v>
      </c>
      <c r="M73" s="12" t="str">
        <f>IF(M68="","",L73)</f>
        <v>フルーツスクイーズ</v>
      </c>
      <c r="N73" s="12" t="str">
        <f t="shared" ref="N73" si="1044">IF(N68="","",M73)</f>
        <v/>
      </c>
      <c r="O73" s="12" t="str">
        <f t="shared" ref="O73" si="1045">IF(O68="","",N73)</f>
        <v/>
      </c>
      <c r="P73" s="12" t="str">
        <f t="shared" ref="P73" si="1046">IF(P68="","",O73)</f>
        <v/>
      </c>
      <c r="Q73" s="12" t="str">
        <f t="shared" ref="Q73" si="1047">IF(Q68="","",P73)</f>
        <v/>
      </c>
      <c r="R73" s="12" t="str">
        <f t="shared" ref="R73" si="1048">IF(R68="","",Q73)</f>
        <v/>
      </c>
      <c r="S73" s="12" t="str">
        <f t="shared" ref="S73" si="1049">IF(S68="","",R73)</f>
        <v/>
      </c>
      <c r="T73" s="12" t="str">
        <f t="shared" ref="T73" si="1050">IF(T68="","",S73)</f>
        <v/>
      </c>
      <c r="U73" s="12" t="str">
        <f t="shared" ref="U73" si="1051">IF(U68="","",T73)</f>
        <v/>
      </c>
      <c r="V73" s="12" t="str">
        <f t="shared" ref="V73" si="1052">IF(V68="","",U73)</f>
        <v/>
      </c>
      <c r="W73" s="12" t="str">
        <f t="shared" ref="W73" si="1053">IF(W68="","",V73)</f>
        <v/>
      </c>
      <c r="X73" s="12" t="str">
        <f t="shared" ref="X73" si="1054">IF(X68="","",W73)</f>
        <v/>
      </c>
      <c r="Y73" s="12" t="str">
        <f t="shared" ref="Y73" si="1055">IF(Y68="","",X73)</f>
        <v/>
      </c>
      <c r="Z73" s="12" t="str">
        <f t="shared" ref="Z73" si="1056">IF(Z68="","",Y73)</f>
        <v/>
      </c>
      <c r="AA73" s="12" t="str">
        <f t="shared" ref="AA73" si="1057">IF(AA68="","",Z73)</f>
        <v/>
      </c>
      <c r="AB73" s="12" t="str">
        <f t="shared" ref="AB73" si="1058">IF(AB68="","",AA73)</f>
        <v/>
      </c>
      <c r="AC73" s="12" t="str">
        <f t="shared" ref="AC73" si="1059">IF(AC68="","",AB73)</f>
        <v/>
      </c>
      <c r="AD73" s="12" t="str">
        <f t="shared" ref="AD73" si="1060">IF(AD68="","",AC73)</f>
        <v/>
      </c>
      <c r="AE73" s="12" t="str">
        <f t="shared" ref="AE73" si="1061">IF(AE68="","",AD73)</f>
        <v/>
      </c>
      <c r="AF73" s="12" t="str">
        <f t="shared" ref="AF73" si="1062">IF(AF68="","",AE73)</f>
        <v/>
      </c>
      <c r="AG73" s="12" t="str">
        <f t="shared" ref="AG73" si="1063">IF(AG68="","",AF73)</f>
        <v/>
      </c>
      <c r="AH73" s="12" t="str">
        <f t="shared" ref="AH73" si="1064">IF(AH68="","",AG73)</f>
        <v/>
      </c>
      <c r="AI73" s="12" t="str">
        <f t="shared" ref="AI73" si="1065">IF(AI68="","",AH73)</f>
        <v/>
      </c>
      <c r="AJ73" s="12" t="str">
        <f t="shared" ref="AJ73" si="1066">IF(AJ68="","",AI73)</f>
        <v/>
      </c>
      <c r="AK73" s="12" t="str">
        <f t="shared" ref="AK73" si="1067">IF(AK68="","",AJ73)</f>
        <v/>
      </c>
      <c r="AL73" s="12" t="str">
        <f t="shared" ref="AL73" si="1068">IF(AL68="","",AK73)</f>
        <v/>
      </c>
      <c r="AM73" s="12" t="str">
        <f t="shared" ref="AM73" si="1069">IF(AM68="","",AL73)</f>
        <v/>
      </c>
      <c r="AN73" s="12" t="str">
        <f t="shared" ref="AN73" si="1070">IF(AN68="","",AM73)</f>
        <v/>
      </c>
      <c r="AO73" s="12" t="str">
        <f t="shared" ref="AO73" si="1071">IF(AO68="","",AN73)</f>
        <v/>
      </c>
      <c r="AP73" s="12" t="str">
        <f t="shared" ref="AP73:AS73" si="1072">IF(AP68="","",AO73)</f>
        <v/>
      </c>
      <c r="AQ73" s="12" t="str">
        <f t="shared" si="1072"/>
        <v/>
      </c>
      <c r="AR73" s="12" t="str">
        <f t="shared" si="1072"/>
        <v/>
      </c>
      <c r="AS73" s="12" t="str">
        <f t="shared" si="1072"/>
        <v/>
      </c>
    </row>
    <row r="74" spans="1:45" x14ac:dyDescent="0.15">
      <c r="A74" s="7">
        <f>AVERAGE(C75:AS75)*30*100</f>
        <v>48818.181818181816</v>
      </c>
      <c r="B74" s="9" t="s">
        <v>12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</row>
    <row r="75" spans="1:45" x14ac:dyDescent="0.15">
      <c r="A75" s="7">
        <f>SUM(C75:AS75)</f>
        <v>179</v>
      </c>
      <c r="B75" s="6" t="s">
        <v>13</v>
      </c>
      <c r="C75" s="5">
        <v>0</v>
      </c>
      <c r="D75" s="5">
        <v>0</v>
      </c>
      <c r="E75" s="5">
        <v>0</v>
      </c>
      <c r="F75" s="5">
        <v>82</v>
      </c>
      <c r="G75" s="5">
        <v>0</v>
      </c>
      <c r="H75" s="5">
        <v>0</v>
      </c>
      <c r="I75" s="5">
        <v>0</v>
      </c>
      <c r="J75" s="5">
        <v>38</v>
      </c>
      <c r="K75" s="5">
        <f t="shared" ref="K75:K76" si="1073">IF(K68="","",K68-J68)</f>
        <v>0</v>
      </c>
      <c r="L75" s="5">
        <f t="shared" ref="L75:L76" si="1074">IF(L68="","",L68-K68)</f>
        <v>0</v>
      </c>
      <c r="M75" s="5">
        <f t="shared" ref="M75:M76" si="1075">IF(M68="","",M68-L68)</f>
        <v>59</v>
      </c>
      <c r="N75" s="5" t="str">
        <f t="shared" ref="N75:N76" si="1076">IF(N68="","",N68-M68)</f>
        <v/>
      </c>
      <c r="O75" s="5" t="str">
        <f t="shared" ref="O75:O76" si="1077">IF(O68="","",O68-N68)</f>
        <v/>
      </c>
      <c r="P75" s="5" t="str">
        <f t="shared" ref="P75:P76" si="1078">IF(P68="","",P68-O68)</f>
        <v/>
      </c>
      <c r="Q75" s="5" t="str">
        <f t="shared" ref="Q75:Q76" si="1079">IF(Q68="","",Q68-P68)</f>
        <v/>
      </c>
      <c r="R75" s="5" t="str">
        <f t="shared" ref="R75:R76" si="1080">IF(R68="","",R68-Q68)</f>
        <v/>
      </c>
      <c r="S75" s="5" t="str">
        <f t="shared" ref="S75:S76" si="1081">IF(S68="","",S68-R68)</f>
        <v/>
      </c>
      <c r="T75" s="5" t="str">
        <f t="shared" ref="T75:T76" si="1082">IF(T68="","",T68-S68)</f>
        <v/>
      </c>
      <c r="U75" s="5" t="str">
        <f t="shared" ref="U75:U76" si="1083">IF(U68="","",U68-T68)</f>
        <v/>
      </c>
      <c r="V75" s="5" t="str">
        <f t="shared" ref="V75:V76" si="1084">IF(V68="","",V68-U68)</f>
        <v/>
      </c>
      <c r="W75" s="5" t="str">
        <f t="shared" ref="W75:W76" si="1085">IF(W68="","",W68-V68)</f>
        <v/>
      </c>
      <c r="X75" s="5" t="str">
        <f t="shared" ref="X75:X76" si="1086">IF(X68="","",X68-W68)</f>
        <v/>
      </c>
      <c r="Y75" s="5" t="str">
        <f t="shared" ref="Y75:Y76" si="1087">IF(Y68="","",Y68-X68)</f>
        <v/>
      </c>
      <c r="Z75" s="5" t="str">
        <f t="shared" ref="Z75:Z76" si="1088">IF(Z68="","",Z68-Y68)</f>
        <v/>
      </c>
      <c r="AA75" s="5" t="str">
        <f t="shared" ref="AA75:AA76" si="1089">IF(AA68="","",AA68-Z68)</f>
        <v/>
      </c>
      <c r="AB75" s="5" t="str">
        <f t="shared" ref="AB75:AB76" si="1090">IF(AB68="","",AB68-AA68)</f>
        <v/>
      </c>
      <c r="AC75" s="5" t="str">
        <f t="shared" ref="AC75:AC76" si="1091">IF(AC68="","",AC68-AB68)</f>
        <v/>
      </c>
      <c r="AD75" s="5" t="str">
        <f t="shared" ref="AD75:AD76" si="1092">IF(AD68="","",AD68-AC68)</f>
        <v/>
      </c>
      <c r="AE75" s="5" t="str">
        <f t="shared" ref="AE75:AE76" si="1093">IF(AE68="","",AE68-AD68)</f>
        <v/>
      </c>
      <c r="AF75" s="5" t="str">
        <f t="shared" ref="AF75:AF76" si="1094">IF(AF68="","",AF68-AE68)</f>
        <v/>
      </c>
      <c r="AG75" s="5" t="str">
        <f t="shared" ref="AG75:AG76" si="1095">IF(AG68="","",AG68-AF68)</f>
        <v/>
      </c>
      <c r="AH75" s="5" t="str">
        <f t="shared" ref="AH75:AH76" si="1096">IF(AH68="","",AH68-AG68)</f>
        <v/>
      </c>
      <c r="AI75" s="5" t="str">
        <f t="shared" ref="AI75:AI76" si="1097">IF(AI68="","",AI68-AH68)</f>
        <v/>
      </c>
      <c r="AJ75" s="5" t="str">
        <f t="shared" ref="AJ75:AJ76" si="1098">IF(AJ68="","",AJ68-AI68)</f>
        <v/>
      </c>
      <c r="AK75" s="5" t="str">
        <f t="shared" ref="AK75:AK76" si="1099">IF(AK68="","",AK68-AJ68)</f>
        <v/>
      </c>
      <c r="AL75" s="5" t="str">
        <f t="shared" ref="AL75:AL76" si="1100">IF(AL68="","",AL68-AK68)</f>
        <v/>
      </c>
      <c r="AM75" s="5" t="str">
        <f t="shared" ref="AM75:AM76" si="1101">IF(AM68="","",AM68-AL68)</f>
        <v/>
      </c>
      <c r="AN75" s="5" t="str">
        <f t="shared" ref="AN75:AN76" si="1102">IF(AN68="","",AN68-AM68)</f>
        <v/>
      </c>
      <c r="AO75" s="5" t="str">
        <f t="shared" ref="AO75:AO76" si="1103">IF(AO68="","",AO68-AN68)</f>
        <v/>
      </c>
      <c r="AP75" s="5" t="str">
        <f t="shared" ref="AP75:AS75" si="1104">IF(AP68="","",AP68-AO68)</f>
        <v/>
      </c>
      <c r="AQ75" s="5" t="str">
        <f t="shared" si="1104"/>
        <v/>
      </c>
      <c r="AR75" s="5" t="str">
        <f t="shared" si="1104"/>
        <v/>
      </c>
      <c r="AS75" s="5" t="str">
        <f t="shared" si="1104"/>
        <v/>
      </c>
    </row>
    <row r="76" spans="1:45" x14ac:dyDescent="0.15">
      <c r="A76" s="7">
        <v>4</v>
      </c>
      <c r="B76" s="6" t="s">
        <v>14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7</v>
      </c>
      <c r="K76" s="5">
        <f t="shared" si="1073"/>
        <v>0</v>
      </c>
      <c r="L76" s="5">
        <f t="shared" si="1074"/>
        <v>0</v>
      </c>
      <c r="M76" s="5">
        <f t="shared" si="1075"/>
        <v>12</v>
      </c>
      <c r="N76" s="5" t="str">
        <f t="shared" si="1076"/>
        <v/>
      </c>
      <c r="O76" s="5" t="str">
        <f t="shared" si="1077"/>
        <v/>
      </c>
      <c r="P76" s="5" t="str">
        <f t="shared" si="1078"/>
        <v/>
      </c>
      <c r="Q76" s="5" t="str">
        <f t="shared" si="1079"/>
        <v/>
      </c>
      <c r="R76" s="5" t="str">
        <f t="shared" si="1080"/>
        <v/>
      </c>
      <c r="S76" s="5" t="str">
        <f t="shared" si="1081"/>
        <v/>
      </c>
      <c r="T76" s="5" t="str">
        <f t="shared" si="1082"/>
        <v/>
      </c>
      <c r="U76" s="5" t="str">
        <f t="shared" si="1083"/>
        <v/>
      </c>
      <c r="V76" s="5" t="str">
        <f t="shared" si="1084"/>
        <v/>
      </c>
      <c r="W76" s="5" t="str">
        <f t="shared" si="1085"/>
        <v/>
      </c>
      <c r="X76" s="5" t="str">
        <f t="shared" si="1086"/>
        <v/>
      </c>
      <c r="Y76" s="5" t="str">
        <f t="shared" si="1087"/>
        <v/>
      </c>
      <c r="Z76" s="5" t="str">
        <f t="shared" si="1088"/>
        <v/>
      </c>
      <c r="AA76" s="5" t="str">
        <f t="shared" si="1089"/>
        <v/>
      </c>
      <c r="AB76" s="5" t="str">
        <f t="shared" si="1090"/>
        <v/>
      </c>
      <c r="AC76" s="5" t="str">
        <f t="shared" si="1091"/>
        <v/>
      </c>
      <c r="AD76" s="5" t="str">
        <f t="shared" si="1092"/>
        <v/>
      </c>
      <c r="AE76" s="5" t="str">
        <f t="shared" si="1093"/>
        <v/>
      </c>
      <c r="AF76" s="5" t="str">
        <f t="shared" si="1094"/>
        <v/>
      </c>
      <c r="AG76" s="5" t="str">
        <f t="shared" si="1095"/>
        <v/>
      </c>
      <c r="AH76" s="5" t="str">
        <f t="shared" si="1096"/>
        <v/>
      </c>
      <c r="AI76" s="5" t="str">
        <f t="shared" si="1097"/>
        <v/>
      </c>
      <c r="AJ76" s="5" t="str">
        <f t="shared" si="1098"/>
        <v/>
      </c>
      <c r="AK76" s="5" t="str">
        <f t="shared" si="1099"/>
        <v/>
      </c>
      <c r="AL76" s="5" t="str">
        <f t="shared" si="1100"/>
        <v/>
      </c>
      <c r="AM76" s="5" t="str">
        <f t="shared" si="1101"/>
        <v/>
      </c>
      <c r="AN76" s="5" t="str">
        <f t="shared" si="1102"/>
        <v/>
      </c>
      <c r="AO76" s="5" t="str">
        <f t="shared" si="1103"/>
        <v/>
      </c>
      <c r="AP76" s="5" t="str">
        <f t="shared" ref="AP76:AS76" si="1105">IF(AP69="","",AP69-AO69)</f>
        <v/>
      </c>
      <c r="AQ76" s="5" t="str">
        <f t="shared" si="1105"/>
        <v/>
      </c>
      <c r="AR76" s="5" t="str">
        <f t="shared" si="1105"/>
        <v/>
      </c>
      <c r="AS76" s="5" t="str">
        <f t="shared" si="1105"/>
        <v/>
      </c>
    </row>
    <row r="77" spans="1:45" x14ac:dyDescent="0.15">
      <c r="A77" s="7">
        <v>2</v>
      </c>
      <c r="B77" s="6" t="s">
        <v>15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7</v>
      </c>
      <c r="K77" s="5">
        <f t="shared" ref="K77" si="1106">IF(K70="","",J70+J71-K70)</f>
        <v>0</v>
      </c>
      <c r="L77" s="5">
        <f t="shared" ref="L77" si="1107">IF(L70="","",K70+K71-L70)</f>
        <v>0</v>
      </c>
      <c r="M77" s="5">
        <f t="shared" ref="M77" si="1108">IF(M70="","",L70+L71-M70)</f>
        <v>12</v>
      </c>
      <c r="N77" s="5" t="str">
        <f t="shared" ref="N77" si="1109">IF(N70="","",M70+M71-N70)</f>
        <v/>
      </c>
      <c r="O77" s="5" t="str">
        <f t="shared" ref="O77" si="1110">IF(O70="","",N70+N71-O70)</f>
        <v/>
      </c>
      <c r="P77" s="5" t="str">
        <f t="shared" ref="P77" si="1111">IF(P70="","",O70+O71-P70)</f>
        <v/>
      </c>
      <c r="Q77" s="5" t="str">
        <f t="shared" ref="Q77" si="1112">IF(Q70="","",P70+P71-Q70)</f>
        <v/>
      </c>
      <c r="R77" s="5" t="str">
        <f t="shared" ref="R77" si="1113">IF(R70="","",Q70+Q71-R70)</f>
        <v/>
      </c>
      <c r="S77" s="5" t="str">
        <f t="shared" ref="S77" si="1114">IF(S70="","",R70+R71-S70)</f>
        <v/>
      </c>
      <c r="T77" s="5" t="str">
        <f t="shared" ref="T77" si="1115">IF(T70="","",S70+S71-T70)</f>
        <v/>
      </c>
      <c r="U77" s="5" t="str">
        <f t="shared" ref="U77" si="1116">IF(U70="","",T70+T71-U70)</f>
        <v/>
      </c>
      <c r="V77" s="5" t="str">
        <f t="shared" ref="V77" si="1117">IF(V70="","",U70+U71-V70)</f>
        <v/>
      </c>
      <c r="W77" s="5" t="str">
        <f t="shared" ref="W77" si="1118">IF(W70="","",V70+V71-W70)</f>
        <v/>
      </c>
      <c r="X77" s="5" t="str">
        <f t="shared" ref="X77" si="1119">IF(X70="","",W70+W71-X70)</f>
        <v/>
      </c>
      <c r="Y77" s="5" t="str">
        <f t="shared" ref="Y77" si="1120">IF(Y70="","",X70+X71-Y70)</f>
        <v/>
      </c>
      <c r="Z77" s="5" t="str">
        <f t="shared" ref="Z77" si="1121">IF(Z70="","",Y70+Y71-Z70)</f>
        <v/>
      </c>
      <c r="AA77" s="5" t="str">
        <f t="shared" ref="AA77" si="1122">IF(AA70="","",Z70+Z71-AA70)</f>
        <v/>
      </c>
      <c r="AB77" s="5" t="str">
        <f t="shared" ref="AB77" si="1123">IF(AB70="","",AA70+AA71-AB70)</f>
        <v/>
      </c>
      <c r="AC77" s="5" t="str">
        <f t="shared" ref="AC77" si="1124">IF(AC70="","",AB70+AB71-AC70)</f>
        <v/>
      </c>
      <c r="AD77" s="5" t="str">
        <f t="shared" ref="AD77" si="1125">IF(AD70="","",AC70+AC71-AD70)</f>
        <v/>
      </c>
      <c r="AE77" s="5" t="str">
        <f t="shared" ref="AE77" si="1126">IF(AE70="","",AD70+AD71-AE70)</f>
        <v/>
      </c>
      <c r="AF77" s="5" t="str">
        <f t="shared" ref="AF77" si="1127">IF(AF70="","",AE70+AE71-AF70)</f>
        <v/>
      </c>
      <c r="AG77" s="5" t="str">
        <f t="shared" ref="AG77" si="1128">IF(AG70="","",AF70+AF71-AG70)</f>
        <v/>
      </c>
      <c r="AH77" s="5" t="str">
        <f t="shared" ref="AH77" si="1129">IF(AH70="","",AG70+AG71-AH70)</f>
        <v/>
      </c>
      <c r="AI77" s="5" t="str">
        <f t="shared" ref="AI77" si="1130">IF(AI70="","",AH70+AH71-AI70)</f>
        <v/>
      </c>
      <c r="AJ77" s="5" t="str">
        <f t="shared" ref="AJ77" si="1131">IF(AJ70="","",AI70+AI71-AJ70)</f>
        <v/>
      </c>
      <c r="AK77" s="5" t="str">
        <f t="shared" ref="AK77" si="1132">IF(AK70="","",AJ70+AJ71-AK70)</f>
        <v/>
      </c>
      <c r="AL77" s="5" t="str">
        <f t="shared" ref="AL77" si="1133">IF(AL70="","",AK70+AK71-AL70)</f>
        <v/>
      </c>
      <c r="AM77" s="5" t="str">
        <f t="shared" ref="AM77" si="1134">IF(AM70="","",AL70+AL71-AM70)</f>
        <v/>
      </c>
      <c r="AN77" s="5" t="str">
        <f t="shared" ref="AN77" si="1135">IF(AN70="","",AM70+AM71-AN70)</f>
        <v/>
      </c>
      <c r="AO77" s="5" t="str">
        <f t="shared" ref="AO77" si="1136">IF(AO70="","",AN70+AN71-AO70)</f>
        <v/>
      </c>
      <c r="AP77" s="5" t="str">
        <f t="shared" ref="AP77:AS77" si="1137">IF(AP70="","",AO70+AO71-AP70)</f>
        <v/>
      </c>
      <c r="AQ77" s="5" t="str">
        <f t="shared" si="1137"/>
        <v/>
      </c>
      <c r="AR77" s="5" t="str">
        <f t="shared" si="1137"/>
        <v/>
      </c>
      <c r="AS77" s="5" t="str">
        <f t="shared" si="1137"/>
        <v/>
      </c>
    </row>
    <row r="78" spans="1:45" x14ac:dyDescent="0.15">
      <c r="A78" s="7">
        <v>0</v>
      </c>
      <c r="B78" s="6" t="s">
        <v>16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2100</v>
      </c>
      <c r="K78" s="5">
        <f t="shared" ref="I78:AO78" si="1138">IF(K68="","",K77*K72)</f>
        <v>0</v>
      </c>
      <c r="L78" s="5">
        <f t="shared" si="1138"/>
        <v>0</v>
      </c>
      <c r="M78" s="5">
        <f t="shared" si="1138"/>
        <v>3600</v>
      </c>
      <c r="N78" s="5" t="str">
        <f t="shared" si="1138"/>
        <v/>
      </c>
      <c r="O78" s="5" t="str">
        <f t="shared" si="1138"/>
        <v/>
      </c>
      <c r="P78" s="5" t="str">
        <f t="shared" si="1138"/>
        <v/>
      </c>
      <c r="Q78" s="5" t="str">
        <f t="shared" si="1138"/>
        <v/>
      </c>
      <c r="R78" s="5" t="str">
        <f t="shared" si="1138"/>
        <v/>
      </c>
      <c r="S78" s="5" t="str">
        <f t="shared" si="1138"/>
        <v/>
      </c>
      <c r="T78" s="5" t="str">
        <f t="shared" si="1138"/>
        <v/>
      </c>
      <c r="U78" s="5" t="str">
        <f t="shared" si="1138"/>
        <v/>
      </c>
      <c r="V78" s="5" t="str">
        <f t="shared" si="1138"/>
        <v/>
      </c>
      <c r="W78" s="5" t="str">
        <f t="shared" si="1138"/>
        <v/>
      </c>
      <c r="X78" s="5" t="str">
        <f t="shared" si="1138"/>
        <v/>
      </c>
      <c r="Y78" s="5" t="str">
        <f t="shared" si="1138"/>
        <v/>
      </c>
      <c r="Z78" s="5" t="str">
        <f t="shared" si="1138"/>
        <v/>
      </c>
      <c r="AA78" s="5" t="str">
        <f t="shared" si="1138"/>
        <v/>
      </c>
      <c r="AB78" s="5" t="str">
        <f t="shared" si="1138"/>
        <v/>
      </c>
      <c r="AC78" s="5" t="str">
        <f t="shared" si="1138"/>
        <v/>
      </c>
      <c r="AD78" s="5" t="str">
        <f t="shared" si="1138"/>
        <v/>
      </c>
      <c r="AE78" s="5" t="str">
        <f t="shared" si="1138"/>
        <v/>
      </c>
      <c r="AF78" s="5" t="str">
        <f t="shared" si="1138"/>
        <v/>
      </c>
      <c r="AG78" s="5" t="str">
        <f t="shared" si="1138"/>
        <v/>
      </c>
      <c r="AH78" s="5" t="str">
        <f t="shared" si="1138"/>
        <v/>
      </c>
      <c r="AI78" s="5" t="str">
        <f t="shared" si="1138"/>
        <v/>
      </c>
      <c r="AJ78" s="5" t="str">
        <f t="shared" si="1138"/>
        <v/>
      </c>
      <c r="AK78" s="5" t="str">
        <f t="shared" si="1138"/>
        <v/>
      </c>
      <c r="AL78" s="5" t="str">
        <f t="shared" si="1138"/>
        <v/>
      </c>
      <c r="AM78" s="5" t="str">
        <f t="shared" si="1138"/>
        <v/>
      </c>
      <c r="AN78" s="5" t="str">
        <f t="shared" si="1138"/>
        <v/>
      </c>
      <c r="AO78" s="5" t="str">
        <f t="shared" si="1138"/>
        <v/>
      </c>
      <c r="AP78" s="5" t="str">
        <f t="shared" ref="AP78:AS78" si="1139">IF(AP68="","",AP77*AP72)</f>
        <v/>
      </c>
      <c r="AQ78" s="5" t="str">
        <f t="shared" si="1139"/>
        <v/>
      </c>
      <c r="AR78" s="5" t="str">
        <f t="shared" si="1139"/>
        <v/>
      </c>
      <c r="AS78" s="5" t="str">
        <f t="shared" si="1139"/>
        <v/>
      </c>
    </row>
    <row r="79" spans="1:45" ht="12" thickBot="1" x14ac:dyDescent="0.2">
      <c r="A79" s="4">
        <v>0</v>
      </c>
      <c r="B79" s="6" t="s">
        <v>18</v>
      </c>
      <c r="C79" s="18" t="s">
        <v>19</v>
      </c>
      <c r="D79" s="18" t="s">
        <v>19</v>
      </c>
      <c r="E79" s="18" t="s">
        <v>19</v>
      </c>
      <c r="F79" s="18" t="s">
        <v>19</v>
      </c>
      <c r="G79" s="18" t="s">
        <v>19</v>
      </c>
      <c r="H79" s="18" t="s">
        <v>19</v>
      </c>
      <c r="I79" s="18" t="s">
        <v>19</v>
      </c>
      <c r="J79" s="18">
        <v>0.55263157894736847</v>
      </c>
      <c r="K79" s="18" t="str">
        <f t="shared" ref="I79:AO79" si="1140">IF(K78="","",IF(K78=0,"",K78/(K75*100)))</f>
        <v/>
      </c>
      <c r="L79" s="18" t="str">
        <f t="shared" si="1140"/>
        <v/>
      </c>
      <c r="M79" s="18">
        <f t="shared" si="1140"/>
        <v>0.61016949152542377</v>
      </c>
      <c r="N79" s="18" t="str">
        <f t="shared" si="1140"/>
        <v/>
      </c>
      <c r="O79" s="18" t="str">
        <f t="shared" si="1140"/>
        <v/>
      </c>
      <c r="P79" s="18" t="str">
        <f t="shared" si="1140"/>
        <v/>
      </c>
      <c r="Q79" s="18" t="str">
        <f t="shared" si="1140"/>
        <v/>
      </c>
      <c r="R79" s="18" t="str">
        <f t="shared" si="1140"/>
        <v/>
      </c>
      <c r="S79" s="18" t="str">
        <f t="shared" si="1140"/>
        <v/>
      </c>
      <c r="T79" s="18" t="str">
        <f t="shared" si="1140"/>
        <v/>
      </c>
      <c r="U79" s="18" t="str">
        <f t="shared" si="1140"/>
        <v/>
      </c>
      <c r="V79" s="18" t="str">
        <f t="shared" si="1140"/>
        <v/>
      </c>
      <c r="W79" s="18" t="str">
        <f t="shared" si="1140"/>
        <v/>
      </c>
      <c r="X79" s="18" t="str">
        <f t="shared" si="1140"/>
        <v/>
      </c>
      <c r="Y79" s="18" t="str">
        <f t="shared" si="1140"/>
        <v/>
      </c>
      <c r="Z79" s="18" t="str">
        <f t="shared" si="1140"/>
        <v/>
      </c>
      <c r="AA79" s="18" t="str">
        <f t="shared" si="1140"/>
        <v/>
      </c>
      <c r="AB79" s="18" t="str">
        <f t="shared" si="1140"/>
        <v/>
      </c>
      <c r="AC79" s="18" t="str">
        <f t="shared" si="1140"/>
        <v/>
      </c>
      <c r="AD79" s="18" t="str">
        <f t="shared" si="1140"/>
        <v/>
      </c>
      <c r="AE79" s="18" t="str">
        <f t="shared" si="1140"/>
        <v/>
      </c>
      <c r="AF79" s="18" t="str">
        <f t="shared" si="1140"/>
        <v/>
      </c>
      <c r="AG79" s="18" t="str">
        <f t="shared" si="1140"/>
        <v/>
      </c>
      <c r="AH79" s="18" t="str">
        <f t="shared" si="1140"/>
        <v/>
      </c>
      <c r="AI79" s="18" t="str">
        <f t="shared" si="1140"/>
        <v/>
      </c>
      <c r="AJ79" s="18" t="str">
        <f t="shared" si="1140"/>
        <v/>
      </c>
      <c r="AK79" s="18" t="str">
        <f t="shared" si="1140"/>
        <v/>
      </c>
      <c r="AL79" s="18" t="str">
        <f t="shared" si="1140"/>
        <v/>
      </c>
      <c r="AM79" s="18" t="str">
        <f t="shared" si="1140"/>
        <v/>
      </c>
      <c r="AN79" s="18" t="str">
        <f t="shared" si="1140"/>
        <v/>
      </c>
      <c r="AO79" s="18" t="str">
        <f t="shared" si="1140"/>
        <v/>
      </c>
      <c r="AP79" s="18" t="str">
        <f t="shared" ref="AP79:AS79" si="1141">IF(AP78="","",IF(AP78=0,"",AP78/(AP75*100)))</f>
        <v/>
      </c>
      <c r="AQ79" s="18" t="str">
        <f t="shared" si="1141"/>
        <v/>
      </c>
      <c r="AR79" s="18" t="str">
        <f t="shared" si="1141"/>
        <v/>
      </c>
      <c r="AS79" s="18" t="str">
        <f t="shared" si="1141"/>
        <v/>
      </c>
    </row>
    <row r="80" spans="1:45" x14ac:dyDescent="0.15">
      <c r="A80" s="17" t="s">
        <v>59</v>
      </c>
      <c r="B80" s="9" t="s">
        <v>2</v>
      </c>
      <c r="C80" s="8">
        <v>11347</v>
      </c>
      <c r="D80" s="8">
        <v>11347</v>
      </c>
      <c r="E80" s="8">
        <v>11347</v>
      </c>
      <c r="F80" s="8">
        <v>11406</v>
      </c>
      <c r="G80" s="8">
        <v>11406</v>
      </c>
      <c r="H80" s="8">
        <v>11406</v>
      </c>
      <c r="I80" s="8">
        <v>11406</v>
      </c>
      <c r="J80" s="8">
        <v>11431</v>
      </c>
      <c r="K80" s="8">
        <f t="shared" ref="K80:K81" si="1142">IF(K$8="","",J80)</f>
        <v>11431</v>
      </c>
      <c r="L80" s="8">
        <f t="shared" ref="L80:L81" si="1143">IF(L$8="","",K80)</f>
        <v>11431</v>
      </c>
      <c r="M80" s="8">
        <v>11475</v>
      </c>
      <c r="N80" s="8" t="str">
        <f t="shared" ref="N80:N81" si="1144">IF(N$8="","",M80)</f>
        <v/>
      </c>
      <c r="O80" s="8" t="str">
        <f t="shared" ref="O80:O81" si="1145">IF(O$8="","",N80)</f>
        <v/>
      </c>
      <c r="P80" s="8" t="str">
        <f t="shared" ref="P80:P81" si="1146">IF(P$8="","",O80)</f>
        <v/>
      </c>
      <c r="Q80" s="8" t="str">
        <f>IF(Q$8="","",P80)</f>
        <v/>
      </c>
      <c r="R80" s="8" t="str">
        <f t="shared" ref="R80:R81" si="1147">IF(R$8="","",Q80)</f>
        <v/>
      </c>
      <c r="S80" s="8" t="str">
        <f t="shared" ref="S80:S81" si="1148">IF(S$8="","",R80)</f>
        <v/>
      </c>
      <c r="T80" s="8" t="str">
        <f>IF(T$8="","",S80)</f>
        <v/>
      </c>
      <c r="U80" s="8" t="str">
        <f t="shared" ref="U80:U81" si="1149">IF(U$8="","",T80)</f>
        <v/>
      </c>
      <c r="V80" s="8" t="str">
        <f t="shared" ref="V80:V81" si="1150">IF(V$8="","",U80)</f>
        <v/>
      </c>
      <c r="W80" s="8" t="str">
        <f t="shared" ref="W80:W81" si="1151">IF(W$8="","",V80)</f>
        <v/>
      </c>
      <c r="X80" s="8" t="str">
        <f>IF(X$8="","",W80)</f>
        <v/>
      </c>
      <c r="Y80" s="8" t="str">
        <f t="shared" ref="Y80:Y81" si="1152">IF(Y$8="","",X80)</f>
        <v/>
      </c>
      <c r="Z80" s="8" t="str">
        <f t="shared" ref="Z80:Z81" si="1153">IF(Z$8="","",Y80)</f>
        <v/>
      </c>
      <c r="AA80" s="8" t="str">
        <f>IF(AA$8="","",Z80)</f>
        <v/>
      </c>
      <c r="AB80" s="8" t="str">
        <f t="shared" ref="AB80:AB81" si="1154">IF(AB$8="","",AA80)</f>
        <v/>
      </c>
      <c r="AC80" s="8" t="str">
        <f t="shared" ref="AC80:AC81" si="1155">IF(AC$8="","",AB80)</f>
        <v/>
      </c>
      <c r="AD80" s="8" t="str">
        <f>IF(AD$8="","",AC80)</f>
        <v/>
      </c>
      <c r="AE80" s="8" t="str">
        <f t="shared" ref="AE80:AE81" si="1156">IF(AE$8="","",AD80)</f>
        <v/>
      </c>
      <c r="AF80" s="8" t="str">
        <f t="shared" ref="AF80:AF81" si="1157">IF(AF$8="","",AE80)</f>
        <v/>
      </c>
      <c r="AG80" s="8" t="str">
        <f t="shared" ref="AG80:AG81" si="1158">IF(AG$8="","",AF80)</f>
        <v/>
      </c>
      <c r="AH80" s="8" t="str">
        <f>IF(AH$8="","",AG80)</f>
        <v/>
      </c>
      <c r="AI80" s="8" t="str">
        <f t="shared" ref="AI80:AI81" si="1159">IF(AI$8="","",AH80)</f>
        <v/>
      </c>
      <c r="AJ80" s="8" t="str">
        <f t="shared" ref="AJ80:AJ81" si="1160">IF(AJ$8="","",AI80)</f>
        <v/>
      </c>
      <c r="AK80" s="8" t="str">
        <f t="shared" ref="AK80:AK81" si="1161">IF(AK$8="","",AJ80)</f>
        <v/>
      </c>
      <c r="AL80" s="8" t="str">
        <f>IF(AL$8="","",AK80)</f>
        <v/>
      </c>
      <c r="AM80" s="8" t="str">
        <f t="shared" ref="AM80:AM81" si="1162">IF(AM$8="","",AL80)</f>
        <v/>
      </c>
      <c r="AN80" s="8" t="str">
        <f t="shared" ref="AN80:AN81" si="1163">IF(AN$8="","",AM80)</f>
        <v/>
      </c>
      <c r="AO80" s="8" t="str">
        <f t="shared" ref="AO80:AO81" si="1164">IF(AO$8="","",AN80)</f>
        <v/>
      </c>
      <c r="AP80" s="8" t="str">
        <f t="shared" ref="AP80:AS80" si="1165">IF(AP$8="","",AO80)</f>
        <v/>
      </c>
      <c r="AQ80" s="8" t="str">
        <f t="shared" si="1165"/>
        <v/>
      </c>
      <c r="AR80" s="8" t="str">
        <f t="shared" si="1165"/>
        <v/>
      </c>
      <c r="AS80" s="8" t="str">
        <f t="shared" si="1165"/>
        <v/>
      </c>
    </row>
    <row r="81" spans="1:45" x14ac:dyDescent="0.15">
      <c r="A81" s="16" t="s">
        <v>3</v>
      </c>
      <c r="B81" s="9" t="s">
        <v>4</v>
      </c>
      <c r="C81" s="8">
        <v>719</v>
      </c>
      <c r="D81" s="8">
        <v>719</v>
      </c>
      <c r="E81" s="8">
        <v>719</v>
      </c>
      <c r="F81" s="8">
        <v>726</v>
      </c>
      <c r="G81" s="8">
        <v>726</v>
      </c>
      <c r="H81" s="8">
        <v>726</v>
      </c>
      <c r="I81" s="8">
        <v>726</v>
      </c>
      <c r="J81" s="8">
        <v>731</v>
      </c>
      <c r="K81" s="8">
        <f t="shared" si="1142"/>
        <v>731</v>
      </c>
      <c r="L81" s="8">
        <f t="shared" si="1143"/>
        <v>731</v>
      </c>
      <c r="M81" s="8">
        <v>736</v>
      </c>
      <c r="N81" s="8" t="str">
        <f t="shared" si="1144"/>
        <v/>
      </c>
      <c r="O81" s="8" t="str">
        <f t="shared" si="1145"/>
        <v/>
      </c>
      <c r="P81" s="8" t="str">
        <f t="shared" si="1146"/>
        <v/>
      </c>
      <c r="Q81" s="8" t="str">
        <f>IF(Q$8="","",P81)</f>
        <v/>
      </c>
      <c r="R81" s="8" t="str">
        <f t="shared" si="1147"/>
        <v/>
      </c>
      <c r="S81" s="8" t="str">
        <f t="shared" si="1148"/>
        <v/>
      </c>
      <c r="T81" s="8" t="str">
        <f>IF(T$8="","",S81)</f>
        <v/>
      </c>
      <c r="U81" s="8" t="str">
        <f t="shared" si="1149"/>
        <v/>
      </c>
      <c r="V81" s="8" t="str">
        <f t="shared" si="1150"/>
        <v/>
      </c>
      <c r="W81" s="8" t="str">
        <f t="shared" si="1151"/>
        <v/>
      </c>
      <c r="X81" s="8" t="str">
        <f>IF(X$8="","",W81)</f>
        <v/>
      </c>
      <c r="Y81" s="8" t="str">
        <f t="shared" si="1152"/>
        <v/>
      </c>
      <c r="Z81" s="8" t="str">
        <f t="shared" si="1153"/>
        <v/>
      </c>
      <c r="AA81" s="8" t="str">
        <f>IF(AA$8="","",Z81)</f>
        <v/>
      </c>
      <c r="AB81" s="8" t="str">
        <f t="shared" si="1154"/>
        <v/>
      </c>
      <c r="AC81" s="8" t="str">
        <f t="shared" si="1155"/>
        <v/>
      </c>
      <c r="AD81" s="8" t="str">
        <f>IF(AD$8="","",AC81)</f>
        <v/>
      </c>
      <c r="AE81" s="8" t="str">
        <f t="shared" si="1156"/>
        <v/>
      </c>
      <c r="AF81" s="8" t="str">
        <f t="shared" si="1157"/>
        <v/>
      </c>
      <c r="AG81" s="8" t="str">
        <f t="shared" si="1158"/>
        <v/>
      </c>
      <c r="AH81" s="8" t="str">
        <f>IF(AH$8="","",AG81)</f>
        <v/>
      </c>
      <c r="AI81" s="8" t="str">
        <f t="shared" si="1159"/>
        <v/>
      </c>
      <c r="AJ81" s="8" t="str">
        <f t="shared" si="1160"/>
        <v/>
      </c>
      <c r="AK81" s="8" t="str">
        <f t="shared" si="1161"/>
        <v/>
      </c>
      <c r="AL81" s="8" t="str">
        <f>IF(AL$8="","",AK81)</f>
        <v/>
      </c>
      <c r="AM81" s="8" t="str">
        <f t="shared" si="1162"/>
        <v/>
      </c>
      <c r="AN81" s="8" t="str">
        <f t="shared" si="1163"/>
        <v/>
      </c>
      <c r="AO81" s="8" t="str">
        <f t="shared" si="1164"/>
        <v/>
      </c>
      <c r="AP81" s="8" t="str">
        <f t="shared" ref="AP81:AS81" si="1166">IF(AP$8="","",AO81)</f>
        <v/>
      </c>
      <c r="AQ81" s="8" t="str">
        <f t="shared" si="1166"/>
        <v/>
      </c>
      <c r="AR81" s="8" t="str">
        <f t="shared" si="1166"/>
        <v/>
      </c>
      <c r="AS81" s="8" t="str">
        <f t="shared" si="1166"/>
        <v/>
      </c>
    </row>
    <row r="82" spans="1:45" x14ac:dyDescent="0.15">
      <c r="A82" s="15">
        <v>4</v>
      </c>
      <c r="B82" s="9" t="s">
        <v>5</v>
      </c>
      <c r="C82" s="8">
        <v>135</v>
      </c>
      <c r="D82" s="8">
        <v>135</v>
      </c>
      <c r="E82" s="8">
        <v>135</v>
      </c>
      <c r="F82" s="8">
        <v>128</v>
      </c>
      <c r="G82" s="8">
        <v>128</v>
      </c>
      <c r="H82" s="8">
        <v>128</v>
      </c>
      <c r="I82" s="8">
        <v>128</v>
      </c>
      <c r="J82" s="8">
        <v>123</v>
      </c>
      <c r="K82" s="8">
        <f t="shared" ref="K82" si="1167">IF(K80="","",(J82+J83))</f>
        <v>123</v>
      </c>
      <c r="L82" s="8">
        <f t="shared" ref="L82" si="1168">IF(L80="","",(K82+K83))</f>
        <v>123</v>
      </c>
      <c r="M82" s="8">
        <v>118</v>
      </c>
      <c r="N82" s="8" t="str">
        <f t="shared" ref="N82" si="1169">IF(N80="","",(M82+M83))</f>
        <v/>
      </c>
      <c r="O82" s="8" t="str">
        <f t="shared" ref="O82" si="1170">IF(O80="","",(N82+N83))</f>
        <v/>
      </c>
      <c r="P82" s="8" t="str">
        <f t="shared" ref="P82" si="1171">IF(P80="","",(O82+O83))</f>
        <v/>
      </c>
      <c r="Q82" s="8" t="str">
        <f>IF(Q80="","",(P82+P83))</f>
        <v/>
      </c>
      <c r="R82" s="8" t="str">
        <f t="shared" ref="R82" si="1172">IF(R80="","",(Q82+Q83))</f>
        <v/>
      </c>
      <c r="S82" s="8" t="str">
        <f t="shared" ref="S82" si="1173">IF(S80="","",(R82+R83))</f>
        <v/>
      </c>
      <c r="T82" s="8" t="str">
        <f>IF(T80="","",(S82+S83))</f>
        <v/>
      </c>
      <c r="U82" s="8" t="str">
        <f t="shared" ref="U82" si="1174">IF(U80="","",(T82+T83))</f>
        <v/>
      </c>
      <c r="V82" s="8" t="str">
        <f t="shared" ref="V82" si="1175">IF(V80="","",(U82+U83))</f>
        <v/>
      </c>
      <c r="W82" s="8" t="str">
        <f t="shared" ref="W82" si="1176">IF(W80="","",(V82+V83))</f>
        <v/>
      </c>
      <c r="X82" s="8" t="str">
        <f>IF(X80="","",(W82+W83))</f>
        <v/>
      </c>
      <c r="Y82" s="8" t="str">
        <f t="shared" ref="Y82" si="1177">IF(Y80="","",(X82+X83))</f>
        <v/>
      </c>
      <c r="Z82" s="8" t="str">
        <f t="shared" ref="Z82" si="1178">IF(Z80="","",(Y82+Y83))</f>
        <v/>
      </c>
      <c r="AA82" s="8" t="str">
        <f>IF(AA80="","",(Z82+Z83))</f>
        <v/>
      </c>
      <c r="AB82" s="8" t="str">
        <f t="shared" ref="AB82" si="1179">IF(AB80="","",(AA82+AA83))</f>
        <v/>
      </c>
      <c r="AC82" s="8" t="str">
        <f t="shared" ref="AC82" si="1180">IF(AC80="","",(AB82+AB83))</f>
        <v/>
      </c>
      <c r="AD82" s="8" t="str">
        <f>IF(AD80="","",(AC82+AC83))</f>
        <v/>
      </c>
      <c r="AE82" s="8" t="str">
        <f t="shared" ref="AE82" si="1181">IF(AE80="","",(AD82+AD83))</f>
        <v/>
      </c>
      <c r="AF82" s="8" t="str">
        <f t="shared" ref="AF82" si="1182">IF(AF80="","",(AE82+AE83))</f>
        <v/>
      </c>
      <c r="AG82" s="8" t="str">
        <f t="shared" ref="AG82" si="1183">IF(AG80="","",(AF82+AF83))</f>
        <v/>
      </c>
      <c r="AH82" s="8" t="str">
        <f>IF(AH80="","",(AG82+AG83))</f>
        <v/>
      </c>
      <c r="AI82" s="8" t="str">
        <f t="shared" ref="AI82" si="1184">IF(AI80="","",(AH82+AH83))</f>
        <v/>
      </c>
      <c r="AJ82" s="8" t="str">
        <f t="shared" ref="AJ82" si="1185">IF(AJ80="","",(AI82+AI83))</f>
        <v/>
      </c>
      <c r="AK82" s="8" t="str">
        <f t="shared" ref="AK82" si="1186">IF(AK80="","",(AJ82+AJ83))</f>
        <v/>
      </c>
      <c r="AL82" s="8" t="str">
        <f>IF(AL80="","",(AK82+AK83))</f>
        <v/>
      </c>
      <c r="AM82" s="8" t="str">
        <f t="shared" ref="AM82" si="1187">IF(AM80="","",(AL82+AL83))</f>
        <v/>
      </c>
      <c r="AN82" s="8" t="str">
        <f t="shared" ref="AN82" si="1188">IF(AN80="","",(AM82+AM83))</f>
        <v/>
      </c>
      <c r="AO82" s="8" t="str">
        <f t="shared" ref="AO82" si="1189">IF(AO80="","",(AN82+AN83))</f>
        <v/>
      </c>
      <c r="AP82" s="8" t="str">
        <f t="shared" ref="AP82:AS82" si="1190">IF(AP80="","",(AO82+AO83))</f>
        <v/>
      </c>
      <c r="AQ82" s="8" t="str">
        <f t="shared" si="1190"/>
        <v/>
      </c>
      <c r="AR82" s="8" t="str">
        <f t="shared" si="1190"/>
        <v/>
      </c>
      <c r="AS82" s="8" t="str">
        <f t="shared" si="1190"/>
        <v/>
      </c>
    </row>
    <row r="83" spans="1:45" x14ac:dyDescent="0.15">
      <c r="A83" s="14"/>
      <c r="B83" s="9" t="s">
        <v>7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</row>
    <row r="84" spans="1:45" x14ac:dyDescent="0.15">
      <c r="A84" s="7"/>
      <c r="B84" s="9" t="s">
        <v>8</v>
      </c>
      <c r="C84" s="8">
        <v>150</v>
      </c>
      <c r="D84" s="8">
        <v>150</v>
      </c>
      <c r="E84" s="8">
        <v>150</v>
      </c>
      <c r="F84" s="8">
        <v>150</v>
      </c>
      <c r="G84" s="8">
        <v>150</v>
      </c>
      <c r="H84" s="8">
        <v>150</v>
      </c>
      <c r="I84" s="8">
        <v>150</v>
      </c>
      <c r="J84" s="8">
        <v>150</v>
      </c>
      <c r="K84" s="8">
        <f t="shared" ref="K84" si="1191">IF(K80="","",J84)</f>
        <v>150</v>
      </c>
      <c r="L84" s="8">
        <f t="shared" ref="L84" si="1192">IF(L80="","",K84)</f>
        <v>150</v>
      </c>
      <c r="M84" s="8">
        <f t="shared" ref="M84" si="1193">IF(M80="","",L84)</f>
        <v>150</v>
      </c>
      <c r="N84" s="8" t="str">
        <f t="shared" ref="N84" si="1194">IF(N80="","",M84)</f>
        <v/>
      </c>
      <c r="O84" s="8" t="str">
        <f t="shared" ref="O84" si="1195">IF(O80="","",N84)</f>
        <v/>
      </c>
      <c r="P84" s="8" t="str">
        <f t="shared" ref="P84" si="1196">IF(P80="","",O84)</f>
        <v/>
      </c>
      <c r="Q84" s="8" t="str">
        <f t="shared" ref="Q84" si="1197">IF(Q80="","",P84)</f>
        <v/>
      </c>
      <c r="R84" s="8" t="str">
        <f t="shared" ref="R84" si="1198">IF(R80="","",Q84)</f>
        <v/>
      </c>
      <c r="S84" s="8" t="str">
        <f t="shared" ref="S84" si="1199">IF(S80="","",R84)</f>
        <v/>
      </c>
      <c r="T84" s="8" t="str">
        <f t="shared" ref="T84" si="1200">IF(T80="","",S84)</f>
        <v/>
      </c>
      <c r="U84" s="8" t="str">
        <f t="shared" ref="U84" si="1201">IF(U80="","",T84)</f>
        <v/>
      </c>
      <c r="V84" s="8" t="str">
        <f t="shared" ref="V84" si="1202">IF(V80="","",U84)</f>
        <v/>
      </c>
      <c r="W84" s="8" t="str">
        <f t="shared" ref="W84" si="1203">IF(W80="","",V84)</f>
        <v/>
      </c>
      <c r="X84" s="8" t="str">
        <f t="shared" ref="X84" si="1204">IF(X80="","",W84)</f>
        <v/>
      </c>
      <c r="Y84" s="8" t="str">
        <f t="shared" ref="Y84" si="1205">IF(Y80="","",X84)</f>
        <v/>
      </c>
      <c r="Z84" s="8" t="str">
        <f t="shared" ref="Z84" si="1206">IF(Z80="","",Y84)</f>
        <v/>
      </c>
      <c r="AA84" s="8" t="str">
        <f t="shared" ref="AA84" si="1207">IF(AA80="","",Z84)</f>
        <v/>
      </c>
      <c r="AB84" s="8" t="str">
        <f t="shared" ref="AB84" si="1208">IF(AB80="","",AA84)</f>
        <v/>
      </c>
      <c r="AC84" s="8" t="str">
        <f t="shared" ref="AC84" si="1209">IF(AC80="","",AB84)</f>
        <v/>
      </c>
      <c r="AD84" s="8" t="str">
        <f t="shared" ref="AD84" si="1210">IF(AD80="","",AC84)</f>
        <v/>
      </c>
      <c r="AE84" s="8" t="str">
        <f t="shared" ref="AE84" si="1211">IF(AE80="","",AD84)</f>
        <v/>
      </c>
      <c r="AF84" s="8" t="str">
        <f t="shared" ref="AF84" si="1212">IF(AF80="","",AE84)</f>
        <v/>
      </c>
      <c r="AG84" s="8" t="str">
        <f t="shared" ref="AG84" si="1213">IF(AG80="","",AF84)</f>
        <v/>
      </c>
      <c r="AH84" s="8" t="str">
        <f t="shared" ref="AH84" si="1214">IF(AH80="","",AG84)</f>
        <v/>
      </c>
      <c r="AI84" s="8" t="str">
        <f t="shared" ref="AI84" si="1215">IF(AI80="","",AH84)</f>
        <v/>
      </c>
      <c r="AJ84" s="8" t="str">
        <f t="shared" ref="AJ84" si="1216">IF(AJ80="","",AI84)</f>
        <v/>
      </c>
      <c r="AK84" s="8" t="str">
        <f t="shared" ref="AK84" si="1217">IF(AK80="","",AJ84)</f>
        <v/>
      </c>
      <c r="AL84" s="8" t="str">
        <f t="shared" ref="AL84" si="1218">IF(AL80="","",AK84)</f>
        <v/>
      </c>
      <c r="AM84" s="8" t="str">
        <f t="shared" ref="AM84" si="1219">IF(AM80="","",AL84)</f>
        <v/>
      </c>
      <c r="AN84" s="8" t="str">
        <f t="shared" ref="AN84" si="1220">IF(AN80="","",AM84)</f>
        <v/>
      </c>
      <c r="AO84" s="8" t="str">
        <f t="shared" ref="AO84" si="1221">IF(AO80="","",AN84)</f>
        <v/>
      </c>
      <c r="AP84" s="8" t="str">
        <f t="shared" ref="AP84:AS84" si="1222">IF(AP80="","",AO84)</f>
        <v/>
      </c>
      <c r="AQ84" s="8" t="str">
        <f t="shared" si="1222"/>
        <v/>
      </c>
      <c r="AR84" s="8" t="str">
        <f t="shared" si="1222"/>
        <v/>
      </c>
      <c r="AS84" s="8" t="str">
        <f t="shared" si="1222"/>
        <v/>
      </c>
    </row>
    <row r="85" spans="1:45" s="85" customFormat="1" x14ac:dyDescent="0.15">
      <c r="A85" s="14" t="s">
        <v>9</v>
      </c>
      <c r="B85" s="13" t="s">
        <v>10</v>
      </c>
      <c r="C85" s="12" t="s">
        <v>347</v>
      </c>
      <c r="D85" s="12" t="s">
        <v>347</v>
      </c>
      <c r="E85" s="12" t="s">
        <v>347</v>
      </c>
      <c r="F85" s="12" t="s">
        <v>347</v>
      </c>
      <c r="G85" s="12" t="s">
        <v>347</v>
      </c>
      <c r="H85" s="12" t="s">
        <v>347</v>
      </c>
      <c r="I85" s="12" t="s">
        <v>347</v>
      </c>
      <c r="J85" s="12" t="s">
        <v>347</v>
      </c>
      <c r="K85" s="12" t="str">
        <f t="shared" ref="K85" si="1223">IF(K80="","",J85)</f>
        <v>ミニスクイーズ</v>
      </c>
      <c r="L85" s="12" t="str">
        <f t="shared" ref="L85" si="1224">IF(L80="","",K85)</f>
        <v>ミニスクイーズ</v>
      </c>
      <c r="M85" s="12" t="str">
        <f t="shared" ref="M85" si="1225">IF(M80="","",L85)</f>
        <v>ミニスクイーズ</v>
      </c>
      <c r="N85" s="12" t="str">
        <f t="shared" ref="N85" si="1226">IF(N80="","",M85)</f>
        <v/>
      </c>
      <c r="O85" s="12" t="str">
        <f t="shared" ref="O85" si="1227">IF(O80="","",N85)</f>
        <v/>
      </c>
      <c r="P85" s="12" t="str">
        <f t="shared" ref="P85" si="1228">IF(P80="","",O85)</f>
        <v/>
      </c>
      <c r="Q85" s="12" t="str">
        <f t="shared" ref="Q85" si="1229">IF(Q80="","",P85)</f>
        <v/>
      </c>
      <c r="R85" s="12" t="str">
        <f t="shared" ref="R85" si="1230">IF(R80="","",Q85)</f>
        <v/>
      </c>
      <c r="S85" s="12" t="str">
        <f t="shared" ref="S85" si="1231">IF(S80="","",R85)</f>
        <v/>
      </c>
      <c r="T85" s="12" t="str">
        <f t="shared" ref="T85" si="1232">IF(T80="","",S85)</f>
        <v/>
      </c>
      <c r="U85" s="12" t="str">
        <f t="shared" ref="U85" si="1233">IF(U80="","",T85)</f>
        <v/>
      </c>
      <c r="V85" s="12" t="str">
        <f t="shared" ref="V85" si="1234">IF(V80="","",U85)</f>
        <v/>
      </c>
      <c r="W85" s="12" t="str">
        <f t="shared" ref="W85" si="1235">IF(W80="","",V85)</f>
        <v/>
      </c>
      <c r="X85" s="12" t="str">
        <f>IF(X80="","",W85)</f>
        <v/>
      </c>
      <c r="Y85" s="12" t="str">
        <f t="shared" ref="Y85" si="1236">IF(Y80="","",X85)</f>
        <v/>
      </c>
      <c r="Z85" s="12" t="str">
        <f t="shared" ref="Z85" si="1237">IF(Z80="","",Y85)</f>
        <v/>
      </c>
      <c r="AA85" s="12" t="str">
        <f t="shared" ref="AA85" si="1238">IF(AA80="","",Z85)</f>
        <v/>
      </c>
      <c r="AB85" s="12" t="str">
        <f t="shared" ref="AB85" si="1239">IF(AB80="","",AA85)</f>
        <v/>
      </c>
      <c r="AC85" s="12" t="str">
        <f t="shared" ref="AC85" si="1240">IF(AC80="","",AB85)</f>
        <v/>
      </c>
      <c r="AD85" s="12" t="str">
        <f t="shared" ref="AD85" si="1241">IF(AD80="","",AC85)</f>
        <v/>
      </c>
      <c r="AE85" s="12" t="str">
        <f t="shared" ref="AE85" si="1242">IF(AE80="","",AD85)</f>
        <v/>
      </c>
      <c r="AF85" s="12" t="str">
        <f t="shared" ref="AF85" si="1243">IF(AF80="","",AE85)</f>
        <v/>
      </c>
      <c r="AG85" s="12" t="str">
        <f t="shared" ref="AG85" si="1244">IF(AG80="","",AF85)</f>
        <v/>
      </c>
      <c r="AH85" s="12" t="str">
        <f t="shared" ref="AH85" si="1245">IF(AH80="","",AG85)</f>
        <v/>
      </c>
      <c r="AI85" s="12" t="str">
        <f t="shared" ref="AI85" si="1246">IF(AI80="","",AH85)</f>
        <v/>
      </c>
      <c r="AJ85" s="12" t="str">
        <f t="shared" ref="AJ85" si="1247">IF(AJ80="","",AI85)</f>
        <v/>
      </c>
      <c r="AK85" s="12" t="str">
        <f t="shared" ref="AK85" si="1248">IF(AK80="","",AJ85)</f>
        <v/>
      </c>
      <c r="AL85" s="12" t="str">
        <f t="shared" ref="AL85" si="1249">IF(AL80="","",AK85)</f>
        <v/>
      </c>
      <c r="AM85" s="12" t="str">
        <f t="shared" ref="AM85" si="1250">IF(AM80="","",AL85)</f>
        <v/>
      </c>
      <c r="AN85" s="12" t="str">
        <f t="shared" ref="AN85" si="1251">IF(AN80="","",AM85)</f>
        <v/>
      </c>
      <c r="AO85" s="12" t="str">
        <f t="shared" ref="AO85" si="1252">IF(AO80="","",AN85)</f>
        <v/>
      </c>
      <c r="AP85" s="12" t="str">
        <f t="shared" ref="AP85:AS85" si="1253">IF(AP80="","",AO85)</f>
        <v/>
      </c>
      <c r="AQ85" s="12" t="str">
        <f t="shared" si="1253"/>
        <v/>
      </c>
      <c r="AR85" s="12" t="str">
        <f t="shared" si="1253"/>
        <v/>
      </c>
      <c r="AS85" s="12" t="str">
        <f t="shared" si="1253"/>
        <v/>
      </c>
    </row>
    <row r="86" spans="1:45" x14ac:dyDescent="0.15">
      <c r="A86" s="7">
        <f>AVERAGE(C87:AS87)*30*100</f>
        <v>34909.090909090912</v>
      </c>
      <c r="B86" s="9" t="s">
        <v>12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</row>
    <row r="87" spans="1:45" x14ac:dyDescent="0.15">
      <c r="A87" s="7">
        <f>SUM(C87:AS87)</f>
        <v>128</v>
      </c>
      <c r="B87" s="6" t="s">
        <v>13</v>
      </c>
      <c r="C87" s="5">
        <v>0</v>
      </c>
      <c r="D87" s="5">
        <v>0</v>
      </c>
      <c r="E87" s="5">
        <v>0</v>
      </c>
      <c r="F87" s="5">
        <v>59</v>
      </c>
      <c r="G87" s="5">
        <v>0</v>
      </c>
      <c r="H87" s="5">
        <v>0</v>
      </c>
      <c r="I87" s="5">
        <v>0</v>
      </c>
      <c r="J87" s="5">
        <v>25</v>
      </c>
      <c r="K87" s="5">
        <f t="shared" ref="K87:K88" si="1254">IF(K80="","",K80-J80)</f>
        <v>0</v>
      </c>
      <c r="L87" s="5">
        <f t="shared" ref="L87:L88" si="1255">IF(L80="","",L80-K80)</f>
        <v>0</v>
      </c>
      <c r="M87" s="5">
        <f t="shared" ref="M87:M88" si="1256">IF(M80="","",M80-L80)</f>
        <v>44</v>
      </c>
      <c r="N87" s="5" t="str">
        <f t="shared" ref="N87:N88" si="1257">IF(N80="","",N80-M80)</f>
        <v/>
      </c>
      <c r="O87" s="5" t="str">
        <f t="shared" ref="O87:O88" si="1258">IF(O80="","",O80-N80)</f>
        <v/>
      </c>
      <c r="P87" s="5" t="str">
        <f t="shared" ref="P87:P88" si="1259">IF(P80="","",P80-O80)</f>
        <v/>
      </c>
      <c r="Q87" s="5" t="str">
        <f t="shared" ref="Q87:Q88" si="1260">IF(Q80="","",Q80-P80)</f>
        <v/>
      </c>
      <c r="R87" s="5" t="str">
        <f t="shared" ref="R87:R88" si="1261">IF(R80="","",R80-Q80)</f>
        <v/>
      </c>
      <c r="S87" s="5" t="str">
        <f t="shared" ref="S87:S88" si="1262">IF(S80="","",S80-R80)</f>
        <v/>
      </c>
      <c r="T87" s="5" t="str">
        <f t="shared" ref="T87:T88" si="1263">IF(T80="","",T80-S80)</f>
        <v/>
      </c>
      <c r="U87" s="5" t="str">
        <f t="shared" ref="U87:U88" si="1264">IF(U80="","",U80-T80)</f>
        <v/>
      </c>
      <c r="V87" s="5" t="str">
        <f t="shared" ref="V87:V88" si="1265">IF(V80="","",V80-U80)</f>
        <v/>
      </c>
      <c r="W87" s="5" t="str">
        <f t="shared" ref="W87:W88" si="1266">IF(W80="","",W80-V80)</f>
        <v/>
      </c>
      <c r="X87" s="5" t="str">
        <f t="shared" ref="X87:X88" si="1267">IF(X80="","",X80-W80)</f>
        <v/>
      </c>
      <c r="Y87" s="5" t="str">
        <f t="shared" ref="Y87:Y88" si="1268">IF(Y80="","",Y80-X80)</f>
        <v/>
      </c>
      <c r="Z87" s="5" t="str">
        <f t="shared" ref="Z87:Z88" si="1269">IF(Z80="","",Z80-Y80)</f>
        <v/>
      </c>
      <c r="AA87" s="5" t="str">
        <f t="shared" ref="AA87:AA88" si="1270">IF(AA80="","",AA80-Z80)</f>
        <v/>
      </c>
      <c r="AB87" s="5" t="str">
        <f t="shared" ref="AB87:AB88" si="1271">IF(AB80="","",AB80-AA80)</f>
        <v/>
      </c>
      <c r="AC87" s="5" t="str">
        <f t="shared" ref="AC87:AC88" si="1272">IF(AC80="","",AC80-AB80)</f>
        <v/>
      </c>
      <c r="AD87" s="5" t="str">
        <f t="shared" ref="AD87:AD88" si="1273">IF(AD80="","",AD80-AC80)</f>
        <v/>
      </c>
      <c r="AE87" s="5" t="str">
        <f t="shared" ref="AE87:AE88" si="1274">IF(AE80="","",AE80-AD80)</f>
        <v/>
      </c>
      <c r="AF87" s="5" t="str">
        <f t="shared" ref="AF87:AF88" si="1275">IF(AF80="","",AF80-AE80)</f>
        <v/>
      </c>
      <c r="AG87" s="5" t="str">
        <f t="shared" ref="AG87:AG88" si="1276">IF(AG80="","",AG80-AF80)</f>
        <v/>
      </c>
      <c r="AH87" s="5" t="str">
        <f t="shared" ref="AH87:AH88" si="1277">IF(AH80="","",AH80-AG80)</f>
        <v/>
      </c>
      <c r="AI87" s="5" t="str">
        <f t="shared" ref="AI87:AI88" si="1278">IF(AI80="","",AI80-AH80)</f>
        <v/>
      </c>
      <c r="AJ87" s="5" t="str">
        <f t="shared" ref="AJ87:AJ88" si="1279">IF(AJ80="","",AJ80-AI80)</f>
        <v/>
      </c>
      <c r="AK87" s="5" t="str">
        <f t="shared" ref="AK87:AK88" si="1280">IF(AK80="","",AK80-AJ80)</f>
        <v/>
      </c>
      <c r="AL87" s="5" t="str">
        <f t="shared" ref="AL87:AL88" si="1281">IF(AL80="","",AL80-AK80)</f>
        <v/>
      </c>
      <c r="AM87" s="5" t="str">
        <f t="shared" ref="AM87:AM88" si="1282">IF(AM80="","",AM80-AL80)</f>
        <v/>
      </c>
      <c r="AN87" s="5" t="str">
        <f t="shared" ref="AN87:AN88" si="1283">IF(AN80="","",AN80-AM80)</f>
        <v/>
      </c>
      <c r="AO87" s="5" t="str">
        <f t="shared" ref="AO87:AO88" si="1284">IF(AO80="","",AO80-AN80)</f>
        <v/>
      </c>
      <c r="AP87" s="5" t="str">
        <f t="shared" ref="AP87:AS87" si="1285">IF(AP80="","",AP80-AO80)</f>
        <v/>
      </c>
      <c r="AQ87" s="5" t="str">
        <f t="shared" si="1285"/>
        <v/>
      </c>
      <c r="AR87" s="5" t="str">
        <f t="shared" si="1285"/>
        <v/>
      </c>
      <c r="AS87" s="5" t="str">
        <f t="shared" si="1285"/>
        <v/>
      </c>
    </row>
    <row r="88" spans="1:45" x14ac:dyDescent="0.15">
      <c r="A88" s="7">
        <f>SUM(C88:AS88)</f>
        <v>17</v>
      </c>
      <c r="B88" s="6" t="s">
        <v>14</v>
      </c>
      <c r="C88" s="5">
        <v>0</v>
      </c>
      <c r="D88" s="5">
        <v>0</v>
      </c>
      <c r="E88" s="5">
        <v>0</v>
      </c>
      <c r="F88" s="5">
        <v>7</v>
      </c>
      <c r="G88" s="5">
        <v>0</v>
      </c>
      <c r="H88" s="5">
        <v>0</v>
      </c>
      <c r="I88" s="5">
        <v>0</v>
      </c>
      <c r="J88" s="5">
        <v>5</v>
      </c>
      <c r="K88" s="5">
        <f t="shared" si="1254"/>
        <v>0</v>
      </c>
      <c r="L88" s="5">
        <f t="shared" si="1255"/>
        <v>0</v>
      </c>
      <c r="M88" s="5">
        <f t="shared" si="1256"/>
        <v>5</v>
      </c>
      <c r="N88" s="5" t="str">
        <f t="shared" si="1257"/>
        <v/>
      </c>
      <c r="O88" s="5" t="str">
        <f t="shared" si="1258"/>
        <v/>
      </c>
      <c r="P88" s="5" t="str">
        <f t="shared" si="1259"/>
        <v/>
      </c>
      <c r="Q88" s="5" t="str">
        <f t="shared" si="1260"/>
        <v/>
      </c>
      <c r="R88" s="5" t="str">
        <f t="shared" si="1261"/>
        <v/>
      </c>
      <c r="S88" s="5" t="str">
        <f t="shared" si="1262"/>
        <v/>
      </c>
      <c r="T88" s="5" t="str">
        <f t="shared" si="1263"/>
        <v/>
      </c>
      <c r="U88" s="5" t="str">
        <f t="shared" si="1264"/>
        <v/>
      </c>
      <c r="V88" s="5" t="str">
        <f t="shared" si="1265"/>
        <v/>
      </c>
      <c r="W88" s="5" t="str">
        <f t="shared" si="1266"/>
        <v/>
      </c>
      <c r="X88" s="5" t="str">
        <f t="shared" si="1267"/>
        <v/>
      </c>
      <c r="Y88" s="5" t="str">
        <f t="shared" si="1268"/>
        <v/>
      </c>
      <c r="Z88" s="5" t="str">
        <f t="shared" si="1269"/>
        <v/>
      </c>
      <c r="AA88" s="5" t="str">
        <f t="shared" si="1270"/>
        <v/>
      </c>
      <c r="AB88" s="5" t="str">
        <f t="shared" si="1271"/>
        <v/>
      </c>
      <c r="AC88" s="5" t="str">
        <f t="shared" si="1272"/>
        <v/>
      </c>
      <c r="AD88" s="5" t="str">
        <f t="shared" si="1273"/>
        <v/>
      </c>
      <c r="AE88" s="5" t="str">
        <f t="shared" si="1274"/>
        <v/>
      </c>
      <c r="AF88" s="5" t="str">
        <f t="shared" si="1275"/>
        <v/>
      </c>
      <c r="AG88" s="5" t="str">
        <f t="shared" si="1276"/>
        <v/>
      </c>
      <c r="AH88" s="5" t="str">
        <f t="shared" si="1277"/>
        <v/>
      </c>
      <c r="AI88" s="5" t="str">
        <f t="shared" si="1278"/>
        <v/>
      </c>
      <c r="AJ88" s="5" t="str">
        <f t="shared" si="1279"/>
        <v/>
      </c>
      <c r="AK88" s="5" t="str">
        <f t="shared" si="1280"/>
        <v/>
      </c>
      <c r="AL88" s="5" t="str">
        <f t="shared" si="1281"/>
        <v/>
      </c>
      <c r="AM88" s="5" t="str">
        <f t="shared" si="1282"/>
        <v/>
      </c>
      <c r="AN88" s="5" t="str">
        <f t="shared" si="1283"/>
        <v/>
      </c>
      <c r="AO88" s="5" t="str">
        <f t="shared" si="1284"/>
        <v/>
      </c>
      <c r="AP88" s="5" t="str">
        <f t="shared" ref="AP88:AS88" si="1286">IF(AP81="","",AP81-AO81)</f>
        <v/>
      </c>
      <c r="AQ88" s="5" t="str">
        <f t="shared" si="1286"/>
        <v/>
      </c>
      <c r="AR88" s="5" t="str">
        <f t="shared" si="1286"/>
        <v/>
      </c>
      <c r="AS88" s="5" t="str">
        <f t="shared" si="1286"/>
        <v/>
      </c>
    </row>
    <row r="89" spans="1:45" x14ac:dyDescent="0.15">
      <c r="A89" s="7">
        <f>SUM(C89:AS89)</f>
        <v>17</v>
      </c>
      <c r="B89" s="6" t="s">
        <v>15</v>
      </c>
      <c r="C89" s="5">
        <v>0</v>
      </c>
      <c r="D89" s="5">
        <v>0</v>
      </c>
      <c r="E89" s="5">
        <v>0</v>
      </c>
      <c r="F89" s="5">
        <v>7</v>
      </c>
      <c r="G89" s="5">
        <v>0</v>
      </c>
      <c r="H89" s="5">
        <v>0</v>
      </c>
      <c r="I89" s="5">
        <v>0</v>
      </c>
      <c r="J89" s="5">
        <v>5</v>
      </c>
      <c r="K89" s="5">
        <f t="shared" ref="K89" si="1287">IF(K82="","",J82+J83-K82)</f>
        <v>0</v>
      </c>
      <c r="L89" s="5">
        <f t="shared" ref="L89" si="1288">IF(L82="","",K82+K83-L82)</f>
        <v>0</v>
      </c>
      <c r="M89" s="5">
        <f t="shared" ref="M89" si="1289">IF(M82="","",L82+L83-M82)</f>
        <v>5</v>
      </c>
      <c r="N89" s="5" t="str">
        <f t="shared" ref="N89" si="1290">IF(N82="","",M82+M83-N82)</f>
        <v/>
      </c>
      <c r="O89" s="5" t="str">
        <f t="shared" ref="O89" si="1291">IF(O82="","",N82+N83-O82)</f>
        <v/>
      </c>
      <c r="P89" s="5" t="str">
        <f t="shared" ref="P89" si="1292">IF(P82="","",O82+O83-P82)</f>
        <v/>
      </c>
      <c r="Q89" s="5" t="str">
        <f t="shared" ref="Q89" si="1293">IF(Q82="","",P82+P83-Q82)</f>
        <v/>
      </c>
      <c r="R89" s="5" t="str">
        <f t="shared" ref="R89" si="1294">IF(R82="","",Q82+Q83-R82)</f>
        <v/>
      </c>
      <c r="S89" s="5" t="str">
        <f t="shared" ref="S89" si="1295">IF(S82="","",R82+R83-S82)</f>
        <v/>
      </c>
      <c r="T89" s="5" t="str">
        <f t="shared" ref="T89" si="1296">IF(T82="","",S82+S83-T82)</f>
        <v/>
      </c>
      <c r="U89" s="5" t="str">
        <f t="shared" ref="U89" si="1297">IF(U82="","",T82+T83-U82)</f>
        <v/>
      </c>
      <c r="V89" s="5" t="str">
        <f t="shared" ref="V89" si="1298">IF(V82="","",U82+U83-V82)</f>
        <v/>
      </c>
      <c r="W89" s="5" t="str">
        <f t="shared" ref="W89" si="1299">IF(W82="","",V82+V83-W82)</f>
        <v/>
      </c>
      <c r="X89" s="5" t="str">
        <f t="shared" ref="X89" si="1300">IF(X82="","",W82+W83-X82)</f>
        <v/>
      </c>
      <c r="Y89" s="5" t="str">
        <f t="shared" ref="Y89" si="1301">IF(Y82="","",X82+X83-Y82)</f>
        <v/>
      </c>
      <c r="Z89" s="5" t="str">
        <f t="shared" ref="Z89" si="1302">IF(Z82="","",Y82+Y83-Z82)</f>
        <v/>
      </c>
      <c r="AA89" s="5" t="str">
        <f t="shared" ref="AA89" si="1303">IF(AA82="","",Z82+Z83-AA82)</f>
        <v/>
      </c>
      <c r="AB89" s="5" t="str">
        <f t="shared" ref="AB89" si="1304">IF(AB82="","",AA82+AA83-AB82)</f>
        <v/>
      </c>
      <c r="AC89" s="5" t="str">
        <f t="shared" ref="AC89" si="1305">IF(AC82="","",AB82+AB83-AC82)</f>
        <v/>
      </c>
      <c r="AD89" s="5" t="str">
        <f t="shared" ref="AD89" si="1306">IF(AD82="","",AC82+AC83-AD82)</f>
        <v/>
      </c>
      <c r="AE89" s="5" t="str">
        <f t="shared" ref="AE89" si="1307">IF(AE82="","",AD82+AD83-AE82)</f>
        <v/>
      </c>
      <c r="AF89" s="5" t="str">
        <f t="shared" ref="AF89" si="1308">IF(AF82="","",AE82+AE83-AF82)</f>
        <v/>
      </c>
      <c r="AG89" s="5" t="str">
        <f t="shared" ref="AG89" si="1309">IF(AG82="","",AF82+AF83-AG82)</f>
        <v/>
      </c>
      <c r="AH89" s="5" t="str">
        <f t="shared" ref="AH89" si="1310">IF(AH82="","",AG82+AG83-AH82)</f>
        <v/>
      </c>
      <c r="AI89" s="5" t="str">
        <f t="shared" ref="AI89" si="1311">IF(AI82="","",AH82+AH83-AI82)</f>
        <v/>
      </c>
      <c r="AJ89" s="5" t="str">
        <f t="shared" ref="AJ89" si="1312">IF(AJ82="","",AI82+AI83-AJ82)</f>
        <v/>
      </c>
      <c r="AK89" s="5" t="str">
        <f t="shared" ref="AK89" si="1313">IF(AK82="","",AJ82+AJ83-AK82)</f>
        <v/>
      </c>
      <c r="AL89" s="5" t="str">
        <f t="shared" ref="AL89" si="1314">IF(AL82="","",AK82+AK83-AL82)</f>
        <v/>
      </c>
      <c r="AM89" s="5" t="str">
        <f t="shared" ref="AM89" si="1315">IF(AM82="","",AL82+AL83-AM82)</f>
        <v/>
      </c>
      <c r="AN89" s="5" t="str">
        <f t="shared" ref="AN89" si="1316">IF(AN82="","",AM82+AM83-AN82)</f>
        <v/>
      </c>
      <c r="AO89" s="5" t="str">
        <f t="shared" ref="AO89" si="1317">IF(AO82="","",AN82+AN83-AO82)</f>
        <v/>
      </c>
      <c r="AP89" s="5" t="str">
        <f t="shared" ref="AP89:AS89" si="1318">IF(AP82="","",AO82+AO83-AP82)</f>
        <v/>
      </c>
      <c r="AQ89" s="5" t="str">
        <f t="shared" si="1318"/>
        <v/>
      </c>
      <c r="AR89" s="5" t="str">
        <f t="shared" si="1318"/>
        <v/>
      </c>
      <c r="AS89" s="5" t="str">
        <f t="shared" si="1318"/>
        <v/>
      </c>
    </row>
    <row r="90" spans="1:45" x14ac:dyDescent="0.15">
      <c r="A90" s="7">
        <f>SUM(C90:AS90)</f>
        <v>2550</v>
      </c>
      <c r="B90" s="6" t="s">
        <v>16</v>
      </c>
      <c r="C90" s="5">
        <v>0</v>
      </c>
      <c r="D90" s="5">
        <v>0</v>
      </c>
      <c r="E90" s="5">
        <v>0</v>
      </c>
      <c r="F90" s="5">
        <v>1050</v>
      </c>
      <c r="G90" s="5">
        <v>0</v>
      </c>
      <c r="H90" s="5">
        <v>0</v>
      </c>
      <c r="I90" s="5">
        <v>0</v>
      </c>
      <c r="J90" s="5">
        <v>750</v>
      </c>
      <c r="K90" s="5">
        <f t="shared" ref="I90:AO90" si="1319">IF(K80="","",K89*K84)</f>
        <v>0</v>
      </c>
      <c r="L90" s="5">
        <f t="shared" si="1319"/>
        <v>0</v>
      </c>
      <c r="M90" s="5">
        <f t="shared" si="1319"/>
        <v>750</v>
      </c>
      <c r="N90" s="5" t="str">
        <f t="shared" si="1319"/>
        <v/>
      </c>
      <c r="O90" s="5" t="str">
        <f t="shared" si="1319"/>
        <v/>
      </c>
      <c r="P90" s="5" t="str">
        <f t="shared" si="1319"/>
        <v/>
      </c>
      <c r="Q90" s="5" t="str">
        <f t="shared" si="1319"/>
        <v/>
      </c>
      <c r="R90" s="5" t="str">
        <f t="shared" si="1319"/>
        <v/>
      </c>
      <c r="S90" s="5" t="str">
        <f t="shared" si="1319"/>
        <v/>
      </c>
      <c r="T90" s="5" t="str">
        <f t="shared" si="1319"/>
        <v/>
      </c>
      <c r="U90" s="5" t="str">
        <f t="shared" si="1319"/>
        <v/>
      </c>
      <c r="V90" s="5" t="str">
        <f t="shared" si="1319"/>
        <v/>
      </c>
      <c r="W90" s="5" t="str">
        <f t="shared" si="1319"/>
        <v/>
      </c>
      <c r="X90" s="5" t="str">
        <f t="shared" si="1319"/>
        <v/>
      </c>
      <c r="Y90" s="5" t="str">
        <f t="shared" si="1319"/>
        <v/>
      </c>
      <c r="Z90" s="5" t="str">
        <f t="shared" si="1319"/>
        <v/>
      </c>
      <c r="AA90" s="5" t="str">
        <f t="shared" si="1319"/>
        <v/>
      </c>
      <c r="AB90" s="5" t="str">
        <f t="shared" si="1319"/>
        <v/>
      </c>
      <c r="AC90" s="5" t="str">
        <f t="shared" si="1319"/>
        <v/>
      </c>
      <c r="AD90" s="5" t="str">
        <f t="shared" si="1319"/>
        <v/>
      </c>
      <c r="AE90" s="5" t="str">
        <f t="shared" si="1319"/>
        <v/>
      </c>
      <c r="AF90" s="5" t="str">
        <f t="shared" si="1319"/>
        <v/>
      </c>
      <c r="AG90" s="5" t="str">
        <f t="shared" si="1319"/>
        <v/>
      </c>
      <c r="AH90" s="5" t="str">
        <f t="shared" si="1319"/>
        <v/>
      </c>
      <c r="AI90" s="5" t="str">
        <f t="shared" si="1319"/>
        <v/>
      </c>
      <c r="AJ90" s="5" t="str">
        <f t="shared" si="1319"/>
        <v/>
      </c>
      <c r="AK90" s="5" t="str">
        <f t="shared" si="1319"/>
        <v/>
      </c>
      <c r="AL90" s="5" t="str">
        <f t="shared" si="1319"/>
        <v/>
      </c>
      <c r="AM90" s="5" t="str">
        <f t="shared" si="1319"/>
        <v/>
      </c>
      <c r="AN90" s="5" t="str">
        <f t="shared" si="1319"/>
        <v/>
      </c>
      <c r="AO90" s="5" t="str">
        <f t="shared" si="1319"/>
        <v/>
      </c>
      <c r="AP90" s="5" t="str">
        <f t="shared" ref="AP90:AS90" si="1320">IF(AP80="","",AP89*AP84)</f>
        <v/>
      </c>
      <c r="AQ90" s="5" t="str">
        <f t="shared" si="1320"/>
        <v/>
      </c>
      <c r="AR90" s="5" t="str">
        <f t="shared" si="1320"/>
        <v/>
      </c>
      <c r="AS90" s="5" t="str">
        <f t="shared" si="1320"/>
        <v/>
      </c>
    </row>
    <row r="91" spans="1:45" ht="12" thickBot="1" x14ac:dyDescent="0.2">
      <c r="A91" s="4">
        <f>IF(A90="","",A90/(A87*100))</f>
        <v>0.19921875</v>
      </c>
      <c r="B91" s="3" t="s">
        <v>18</v>
      </c>
      <c r="C91" s="2" t="s">
        <v>19</v>
      </c>
      <c r="D91" s="2" t="s">
        <v>19</v>
      </c>
      <c r="E91" s="2" t="s">
        <v>19</v>
      </c>
      <c r="F91" s="2">
        <v>0.17796610169491525</v>
      </c>
      <c r="G91" s="2" t="s">
        <v>19</v>
      </c>
      <c r="H91" s="2" t="s">
        <v>19</v>
      </c>
      <c r="I91" s="2" t="s">
        <v>19</v>
      </c>
      <c r="J91" s="2">
        <v>0.3</v>
      </c>
      <c r="K91" s="2" t="str">
        <f t="shared" ref="I91:AO91" si="1321">IF(K90="","",IF(K90=0,"",K90/(K87*100)))</f>
        <v/>
      </c>
      <c r="L91" s="2" t="str">
        <f t="shared" si="1321"/>
        <v/>
      </c>
      <c r="M91" s="2">
        <f t="shared" si="1321"/>
        <v>0.17045454545454544</v>
      </c>
      <c r="N91" s="2" t="str">
        <f t="shared" si="1321"/>
        <v/>
      </c>
      <c r="O91" s="2" t="str">
        <f t="shared" si="1321"/>
        <v/>
      </c>
      <c r="P91" s="2" t="str">
        <f t="shared" si="1321"/>
        <v/>
      </c>
      <c r="Q91" s="2" t="str">
        <f t="shared" si="1321"/>
        <v/>
      </c>
      <c r="R91" s="2" t="str">
        <f t="shared" si="1321"/>
        <v/>
      </c>
      <c r="S91" s="2" t="str">
        <f t="shared" si="1321"/>
        <v/>
      </c>
      <c r="T91" s="2" t="str">
        <f t="shared" si="1321"/>
        <v/>
      </c>
      <c r="U91" s="2" t="str">
        <f t="shared" si="1321"/>
        <v/>
      </c>
      <c r="V91" s="2" t="str">
        <f t="shared" si="1321"/>
        <v/>
      </c>
      <c r="W91" s="2" t="str">
        <f t="shared" si="1321"/>
        <v/>
      </c>
      <c r="X91" s="2" t="str">
        <f t="shared" si="1321"/>
        <v/>
      </c>
      <c r="Y91" s="2" t="str">
        <f t="shared" si="1321"/>
        <v/>
      </c>
      <c r="Z91" s="2" t="str">
        <f t="shared" si="1321"/>
        <v/>
      </c>
      <c r="AA91" s="2" t="str">
        <f t="shared" si="1321"/>
        <v/>
      </c>
      <c r="AB91" s="2" t="str">
        <f t="shared" si="1321"/>
        <v/>
      </c>
      <c r="AC91" s="2" t="str">
        <f t="shared" si="1321"/>
        <v/>
      </c>
      <c r="AD91" s="2" t="str">
        <f t="shared" si="1321"/>
        <v/>
      </c>
      <c r="AE91" s="2" t="str">
        <f t="shared" si="1321"/>
        <v/>
      </c>
      <c r="AF91" s="2" t="str">
        <f t="shared" si="1321"/>
        <v/>
      </c>
      <c r="AG91" s="2" t="str">
        <f t="shared" si="1321"/>
        <v/>
      </c>
      <c r="AH91" s="2" t="str">
        <f t="shared" si="1321"/>
        <v/>
      </c>
      <c r="AI91" s="2" t="str">
        <f t="shared" si="1321"/>
        <v/>
      </c>
      <c r="AJ91" s="2" t="str">
        <f t="shared" si="1321"/>
        <v/>
      </c>
      <c r="AK91" s="2" t="str">
        <f t="shared" si="1321"/>
        <v/>
      </c>
      <c r="AL91" s="2" t="str">
        <f t="shared" si="1321"/>
        <v/>
      </c>
      <c r="AM91" s="2" t="str">
        <f t="shared" si="1321"/>
        <v/>
      </c>
      <c r="AN91" s="2" t="str">
        <f t="shared" si="1321"/>
        <v/>
      </c>
      <c r="AO91" s="2" t="str">
        <f t="shared" si="1321"/>
        <v/>
      </c>
      <c r="AP91" s="2" t="str">
        <f t="shared" ref="AP91:AS91" si="1322">IF(AP90="","",IF(AP90=0,"",AP90/(AP87*100)))</f>
        <v/>
      </c>
      <c r="AQ91" s="2" t="str">
        <f t="shared" si="1322"/>
        <v/>
      </c>
      <c r="AR91" s="2" t="str">
        <f t="shared" si="1322"/>
        <v/>
      </c>
      <c r="AS91" s="2" t="str">
        <f t="shared" si="1322"/>
        <v/>
      </c>
    </row>
    <row r="92" spans="1:45" x14ac:dyDescent="0.15">
      <c r="A92" s="22" t="s">
        <v>59</v>
      </c>
      <c r="B92" s="21" t="s">
        <v>2</v>
      </c>
      <c r="C92" s="20">
        <v>12318</v>
      </c>
      <c r="D92" s="20">
        <v>12318</v>
      </c>
      <c r="E92" s="20">
        <v>12318</v>
      </c>
      <c r="F92" s="20">
        <v>12353</v>
      </c>
      <c r="G92" s="20">
        <v>12353</v>
      </c>
      <c r="H92" s="20">
        <v>12353</v>
      </c>
      <c r="I92" s="20">
        <v>12353</v>
      </c>
      <c r="J92" s="20">
        <v>12405</v>
      </c>
      <c r="K92" s="20">
        <f t="shared" ref="K92:K93" si="1323">IF(K$8="","",J92)</f>
        <v>12405</v>
      </c>
      <c r="L92" s="20">
        <f t="shared" ref="L92:L93" si="1324">IF(L$8="","",K92)</f>
        <v>12405</v>
      </c>
      <c r="M92" s="20">
        <v>12453</v>
      </c>
      <c r="N92" s="20" t="str">
        <f t="shared" ref="N92:N93" si="1325">IF(N$8="","",M92)</f>
        <v/>
      </c>
      <c r="O92" s="20" t="str">
        <f t="shared" ref="O92:O93" si="1326">IF(O$8="","",N92)</f>
        <v/>
      </c>
      <c r="P92" s="20" t="str">
        <f t="shared" ref="P92:P93" si="1327">IF(P$8="","",O92)</f>
        <v/>
      </c>
      <c r="Q92" s="20" t="str">
        <f>IF(Q$8="","",P92)</f>
        <v/>
      </c>
      <c r="R92" s="20" t="str">
        <f t="shared" ref="R92:R93" si="1328">IF(R$8="","",Q92)</f>
        <v/>
      </c>
      <c r="S92" s="20" t="str">
        <f t="shared" ref="S92:S93" si="1329">IF(S$8="","",R92)</f>
        <v/>
      </c>
      <c r="T92" s="20" t="str">
        <f>IF(T$8="","",S92)</f>
        <v/>
      </c>
      <c r="U92" s="20" t="str">
        <f t="shared" ref="U92:U93" si="1330">IF(U$8="","",T92)</f>
        <v/>
      </c>
      <c r="V92" s="20" t="str">
        <f t="shared" ref="V92:V93" si="1331">IF(V$8="","",U92)</f>
        <v/>
      </c>
      <c r="W92" s="20" t="str">
        <f t="shared" ref="W92:W93" si="1332">IF(W$8="","",V92)</f>
        <v/>
      </c>
      <c r="X92" s="20" t="str">
        <f>IF(X$8="","",W92)</f>
        <v/>
      </c>
      <c r="Y92" s="20" t="str">
        <f t="shared" ref="Y92:Y93" si="1333">IF(Y$8="","",X92)</f>
        <v/>
      </c>
      <c r="Z92" s="20" t="str">
        <f t="shared" ref="Z92:Z93" si="1334">IF(Z$8="","",Y92)</f>
        <v/>
      </c>
      <c r="AA92" s="20" t="str">
        <f>IF(AA$8="","",Z92)</f>
        <v/>
      </c>
      <c r="AB92" s="20" t="str">
        <f t="shared" ref="AB92:AB93" si="1335">IF(AB$8="","",AA92)</f>
        <v/>
      </c>
      <c r="AC92" s="20" t="str">
        <f t="shared" ref="AC92:AC93" si="1336">IF(AC$8="","",AB92)</f>
        <v/>
      </c>
      <c r="AD92" s="20" t="str">
        <f>IF(AD$8="","",AC92)</f>
        <v/>
      </c>
      <c r="AE92" s="20" t="str">
        <f t="shared" ref="AE92:AE93" si="1337">IF(AE$8="","",AD92)</f>
        <v/>
      </c>
      <c r="AF92" s="20" t="str">
        <f t="shared" ref="AF92:AF93" si="1338">IF(AF$8="","",AE92)</f>
        <v/>
      </c>
      <c r="AG92" s="20" t="str">
        <f t="shared" ref="AG92:AG93" si="1339">IF(AG$8="","",AF92)</f>
        <v/>
      </c>
      <c r="AH92" s="20" t="str">
        <f>IF(AH$8="","",AG92)</f>
        <v/>
      </c>
      <c r="AI92" s="20" t="str">
        <f t="shared" ref="AI92:AI93" si="1340">IF(AI$8="","",AH92)</f>
        <v/>
      </c>
      <c r="AJ92" s="20" t="str">
        <f t="shared" ref="AJ92:AJ93" si="1341">IF(AJ$8="","",AI92)</f>
        <v/>
      </c>
      <c r="AK92" s="20" t="str">
        <f t="shared" ref="AK92:AK93" si="1342">IF(AK$8="","",AJ92)</f>
        <v/>
      </c>
      <c r="AL92" s="20" t="str">
        <f>IF(AL$8="","",AK92)</f>
        <v/>
      </c>
      <c r="AM92" s="20" t="str">
        <f t="shared" ref="AM92:AM93" si="1343">IF(AM$8="","",AL92)</f>
        <v/>
      </c>
      <c r="AN92" s="20" t="str">
        <f t="shared" ref="AN92:AN93" si="1344">IF(AN$8="","",AM92)</f>
        <v/>
      </c>
      <c r="AO92" s="20" t="str">
        <f t="shared" ref="AO92:AO93" si="1345">IF(AO$8="","",AN92)</f>
        <v/>
      </c>
      <c r="AP92" s="20" t="str">
        <f t="shared" ref="AP92:AS92" si="1346">IF(AP$8="","",AO92)</f>
        <v/>
      </c>
      <c r="AQ92" s="20" t="str">
        <f t="shared" si="1346"/>
        <v/>
      </c>
      <c r="AR92" s="20" t="str">
        <f t="shared" si="1346"/>
        <v/>
      </c>
      <c r="AS92" s="20" t="str">
        <f t="shared" si="1346"/>
        <v/>
      </c>
    </row>
    <row r="93" spans="1:45" x14ac:dyDescent="0.15">
      <c r="A93" s="16" t="s">
        <v>22</v>
      </c>
      <c r="B93" s="9" t="s">
        <v>4</v>
      </c>
      <c r="C93" s="8">
        <v>230</v>
      </c>
      <c r="D93" s="8">
        <v>230</v>
      </c>
      <c r="E93" s="8">
        <v>230</v>
      </c>
      <c r="F93" s="8">
        <v>231</v>
      </c>
      <c r="G93" s="8">
        <v>231</v>
      </c>
      <c r="H93" s="8">
        <v>231</v>
      </c>
      <c r="I93" s="8">
        <v>231</v>
      </c>
      <c r="J93" s="8">
        <v>231</v>
      </c>
      <c r="K93" s="8">
        <f t="shared" si="1323"/>
        <v>231</v>
      </c>
      <c r="L93" s="8">
        <f t="shared" si="1324"/>
        <v>231</v>
      </c>
      <c r="M93" s="8">
        <v>232</v>
      </c>
      <c r="N93" s="8" t="str">
        <f t="shared" si="1325"/>
        <v/>
      </c>
      <c r="O93" s="8" t="str">
        <f t="shared" si="1326"/>
        <v/>
      </c>
      <c r="P93" s="8" t="str">
        <f t="shared" si="1327"/>
        <v/>
      </c>
      <c r="Q93" s="8" t="str">
        <f>IF(Q$8="","",P93)</f>
        <v/>
      </c>
      <c r="R93" s="8" t="str">
        <f t="shared" si="1328"/>
        <v/>
      </c>
      <c r="S93" s="8" t="str">
        <f t="shared" si="1329"/>
        <v/>
      </c>
      <c r="T93" s="8" t="str">
        <f t="shared" ref="T93" si="1347">IF(T$8="","",S93)</f>
        <v/>
      </c>
      <c r="U93" s="8" t="str">
        <f t="shared" si="1330"/>
        <v/>
      </c>
      <c r="V93" s="8" t="str">
        <f t="shared" si="1331"/>
        <v/>
      </c>
      <c r="W93" s="8" t="str">
        <f t="shared" si="1332"/>
        <v/>
      </c>
      <c r="X93" s="8" t="str">
        <f>IF(X$8="","",W93)</f>
        <v/>
      </c>
      <c r="Y93" s="8" t="str">
        <f t="shared" si="1333"/>
        <v/>
      </c>
      <c r="Z93" s="8" t="str">
        <f t="shared" si="1334"/>
        <v/>
      </c>
      <c r="AA93" s="8" t="str">
        <f>IF(AA$8="","",Z93)</f>
        <v/>
      </c>
      <c r="AB93" s="8" t="str">
        <f t="shared" si="1335"/>
        <v/>
      </c>
      <c r="AC93" s="8" t="str">
        <f t="shared" si="1336"/>
        <v/>
      </c>
      <c r="AD93" s="8" t="str">
        <f>IF(AD$8="","",AC93)</f>
        <v/>
      </c>
      <c r="AE93" s="8" t="str">
        <f t="shared" si="1337"/>
        <v/>
      </c>
      <c r="AF93" s="8" t="str">
        <f t="shared" si="1338"/>
        <v/>
      </c>
      <c r="AG93" s="8" t="str">
        <f t="shared" si="1339"/>
        <v/>
      </c>
      <c r="AH93" s="8" t="str">
        <f>IF(AH$8="","",AG93)</f>
        <v/>
      </c>
      <c r="AI93" s="8" t="str">
        <f t="shared" si="1340"/>
        <v/>
      </c>
      <c r="AJ93" s="8" t="str">
        <f t="shared" si="1341"/>
        <v/>
      </c>
      <c r="AK93" s="8" t="str">
        <f t="shared" si="1342"/>
        <v/>
      </c>
      <c r="AL93" s="8" t="str">
        <f t="shared" ref="AL92:AL93" si="1348">IF(AL$8="","",AK93)</f>
        <v/>
      </c>
      <c r="AM93" s="8" t="str">
        <f t="shared" si="1343"/>
        <v/>
      </c>
      <c r="AN93" s="8" t="str">
        <f t="shared" si="1344"/>
        <v/>
      </c>
      <c r="AO93" s="8" t="str">
        <f t="shared" si="1345"/>
        <v/>
      </c>
      <c r="AP93" s="8" t="str">
        <f t="shared" ref="AP93:AS93" si="1349">IF(AP$8="","",AO93)</f>
        <v/>
      </c>
      <c r="AQ93" s="8" t="str">
        <f t="shared" si="1349"/>
        <v/>
      </c>
      <c r="AR93" s="8" t="str">
        <f t="shared" si="1349"/>
        <v/>
      </c>
      <c r="AS93" s="8" t="str">
        <f t="shared" si="1349"/>
        <v/>
      </c>
    </row>
    <row r="94" spans="1:45" x14ac:dyDescent="0.15">
      <c r="A94" s="15">
        <v>1</v>
      </c>
      <c r="B94" s="9" t="s">
        <v>5</v>
      </c>
      <c r="C94" s="8">
        <v>15</v>
      </c>
      <c r="D94" s="8">
        <v>15</v>
      </c>
      <c r="E94" s="8">
        <v>15</v>
      </c>
      <c r="F94" s="8">
        <v>14</v>
      </c>
      <c r="G94" s="8">
        <v>14</v>
      </c>
      <c r="H94" s="8">
        <v>14</v>
      </c>
      <c r="I94" s="8">
        <v>14</v>
      </c>
      <c r="J94" s="8">
        <v>14</v>
      </c>
      <c r="K94" s="8">
        <f t="shared" ref="K94" si="1350">IF(K92="","",(J94+J95))</f>
        <v>14</v>
      </c>
      <c r="L94" s="8">
        <f t="shared" ref="L94" si="1351">IF(L92="","",(K94+K95))</f>
        <v>14</v>
      </c>
      <c r="M94" s="8">
        <v>13</v>
      </c>
      <c r="N94" s="8" t="str">
        <f t="shared" ref="N94" si="1352">IF(N92="","",(M94+M95))</f>
        <v/>
      </c>
      <c r="O94" s="8" t="str">
        <f t="shared" ref="O94" si="1353">IF(O92="","",(N94+N95))</f>
        <v/>
      </c>
      <c r="P94" s="8" t="str">
        <f t="shared" ref="P94" si="1354">IF(P92="","",(O94+O95))</f>
        <v/>
      </c>
      <c r="Q94" s="8" t="str">
        <f>IF(Q92="","",(P94+P95))</f>
        <v/>
      </c>
      <c r="R94" s="8" t="str">
        <f t="shared" ref="R94" si="1355">IF(R92="","",(Q94+Q95))</f>
        <v/>
      </c>
      <c r="S94" s="8" t="str">
        <f t="shared" ref="S94" si="1356">IF(S92="","",(R94+R95))</f>
        <v/>
      </c>
      <c r="T94" s="8" t="str">
        <f t="shared" ref="T94" si="1357">IF(T92="","",(S94+S95))</f>
        <v/>
      </c>
      <c r="U94" s="8" t="str">
        <f t="shared" ref="U94" si="1358">IF(U92="","",(T94+T95))</f>
        <v/>
      </c>
      <c r="V94" s="8" t="str">
        <f t="shared" ref="V94" si="1359">IF(V92="","",(U94+U95))</f>
        <v/>
      </c>
      <c r="W94" s="8" t="str">
        <f t="shared" ref="W94" si="1360">IF(W92="","",(V94+V95))</f>
        <v/>
      </c>
      <c r="X94" s="8" t="str">
        <f>IF(X92="","",(W94+W95))</f>
        <v/>
      </c>
      <c r="Y94" s="8" t="str">
        <f t="shared" ref="Y94" si="1361">IF(Y92="","",(X94+X95))</f>
        <v/>
      </c>
      <c r="Z94" s="8" t="str">
        <f t="shared" ref="Z94" si="1362">IF(Z92="","",(Y94+Y95))</f>
        <v/>
      </c>
      <c r="AA94" s="8" t="str">
        <f>IF(AA92="","",(Z94+Z95))</f>
        <v/>
      </c>
      <c r="AB94" s="8" t="str">
        <f t="shared" ref="AB94" si="1363">IF(AB92="","",(AA94+AA95))</f>
        <v/>
      </c>
      <c r="AC94" s="8" t="str">
        <f t="shared" ref="AC94" si="1364">IF(AC92="","",(AB94+AB95))</f>
        <v/>
      </c>
      <c r="AD94" s="8" t="str">
        <f t="shared" ref="AD94" si="1365">IF(AD92="","",(AC94+AC95))</f>
        <v/>
      </c>
      <c r="AE94" s="8" t="str">
        <f t="shared" ref="AE94" si="1366">IF(AE92="","",(AD94+AD95))</f>
        <v/>
      </c>
      <c r="AF94" s="8" t="str">
        <f t="shared" ref="AF94" si="1367">IF(AF92="","",(AE94+AE95))</f>
        <v/>
      </c>
      <c r="AG94" s="8" t="str">
        <f t="shared" ref="AG94" si="1368">IF(AG92="","",(AF94+AF95))</f>
        <v/>
      </c>
      <c r="AH94" s="8" t="str">
        <f>IF(AH92="","",(AG94+AG95))</f>
        <v/>
      </c>
      <c r="AI94" s="8" t="str">
        <f t="shared" ref="AI94" si="1369">IF(AI92="","",(AH94+AH95))</f>
        <v/>
      </c>
      <c r="AJ94" s="8" t="str">
        <f t="shared" ref="AJ94" si="1370">IF(AJ92="","",(AI94+AI95))</f>
        <v/>
      </c>
      <c r="AK94" s="8" t="str">
        <f t="shared" ref="AK94" si="1371">IF(AK92="","",(AJ94+AJ95))</f>
        <v/>
      </c>
      <c r="AL94" s="8" t="str">
        <f t="shared" ref="AL94" si="1372">IF(AL92="","",(AK94+AK95))</f>
        <v/>
      </c>
      <c r="AM94" s="8" t="str">
        <f t="shared" ref="AM94" si="1373">IF(AM92="","",(AL94+AL95))</f>
        <v/>
      </c>
      <c r="AN94" s="8" t="str">
        <f t="shared" ref="AN94" si="1374">IF(AN92="","",(AM94+AM95))</f>
        <v/>
      </c>
      <c r="AO94" s="8" t="str">
        <f t="shared" ref="AO94" si="1375">IF(AO92="","",(AN94+AN95))</f>
        <v/>
      </c>
      <c r="AP94" s="8" t="str">
        <f t="shared" ref="AP94:AS94" si="1376">IF(AP92="","",(AO94+AO95))</f>
        <v/>
      </c>
      <c r="AQ94" s="8" t="str">
        <f t="shared" si="1376"/>
        <v/>
      </c>
      <c r="AR94" s="8" t="str">
        <f t="shared" si="1376"/>
        <v/>
      </c>
      <c r="AS94" s="8" t="str">
        <f t="shared" si="1376"/>
        <v/>
      </c>
    </row>
    <row r="95" spans="1:45" x14ac:dyDescent="0.15">
      <c r="A95" s="92" t="s">
        <v>6</v>
      </c>
      <c r="B95" s="9" t="s">
        <v>7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>
        <v>2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</row>
    <row r="96" spans="1:45" x14ac:dyDescent="0.15">
      <c r="A96" s="93">
        <f>+(A99+A111+A123+A135)*100</f>
        <v>71800</v>
      </c>
      <c r="B96" s="9" t="s">
        <v>8</v>
      </c>
      <c r="C96" s="8">
        <v>500</v>
      </c>
      <c r="D96" s="8">
        <v>500</v>
      </c>
      <c r="E96" s="8">
        <v>500</v>
      </c>
      <c r="F96" s="8">
        <v>500</v>
      </c>
      <c r="G96" s="8">
        <v>500</v>
      </c>
      <c r="H96" s="8">
        <v>500</v>
      </c>
      <c r="I96" s="8">
        <v>500</v>
      </c>
      <c r="J96" s="8">
        <v>500</v>
      </c>
      <c r="K96" s="8">
        <f t="shared" ref="K96" si="1377">IF(K92="","",J96)</f>
        <v>500</v>
      </c>
      <c r="L96" s="8">
        <f t="shared" ref="L96" si="1378">IF(L92="","",K96)</f>
        <v>500</v>
      </c>
      <c r="M96" s="8">
        <f t="shared" ref="M96" si="1379">IF(M92="","",L96)</f>
        <v>500</v>
      </c>
      <c r="N96" s="8" t="str">
        <f t="shared" ref="N96" si="1380">IF(N92="","",M96)</f>
        <v/>
      </c>
      <c r="O96" s="8" t="str">
        <f t="shared" ref="O96" si="1381">IF(O92="","",N96)</f>
        <v/>
      </c>
      <c r="P96" s="8" t="str">
        <f t="shared" ref="P96" si="1382">IF(P92="","",O96)</f>
        <v/>
      </c>
      <c r="Q96" s="8" t="str">
        <f t="shared" ref="Q96" si="1383">IF(Q92="","",P96)</f>
        <v/>
      </c>
      <c r="R96" s="8" t="str">
        <f t="shared" ref="R96" si="1384">IF(R92="","",Q96)</f>
        <v/>
      </c>
      <c r="S96" s="8" t="str">
        <f t="shared" ref="S96" si="1385">IF(S92="","",R96)</f>
        <v/>
      </c>
      <c r="T96" s="8" t="str">
        <f t="shared" ref="T96" si="1386">IF(T92="","",S96)</f>
        <v/>
      </c>
      <c r="U96" s="8" t="str">
        <f t="shared" ref="U96" si="1387">IF(U92="","",T96)</f>
        <v/>
      </c>
      <c r="V96" s="8" t="str">
        <f t="shared" ref="V96" si="1388">IF(V92="","",U96)</f>
        <v/>
      </c>
      <c r="W96" s="8" t="str">
        <f t="shared" ref="W96" si="1389">IF(W92="","",V96)</f>
        <v/>
      </c>
      <c r="X96" s="8" t="str">
        <f t="shared" ref="X96" si="1390">IF(X92="","",W96)</f>
        <v/>
      </c>
      <c r="Y96" s="8" t="str">
        <f t="shared" ref="Y96" si="1391">IF(Y92="","",X96)</f>
        <v/>
      </c>
      <c r="Z96" s="8" t="str">
        <f t="shared" ref="Z96" si="1392">IF(Z92="","",Y96)</f>
        <v/>
      </c>
      <c r="AA96" s="8" t="str">
        <f t="shared" ref="AA96" si="1393">IF(AA92="","",Z96)</f>
        <v/>
      </c>
      <c r="AB96" s="8" t="str">
        <f t="shared" ref="AB96" si="1394">IF(AB92="","",AA96)</f>
        <v/>
      </c>
      <c r="AC96" s="8" t="str">
        <f t="shared" ref="AC96" si="1395">IF(AC92="","",AB96)</f>
        <v/>
      </c>
      <c r="AD96" s="8" t="str">
        <f t="shared" ref="AD96" si="1396">IF(AD92="","",AC96)</f>
        <v/>
      </c>
      <c r="AE96" s="8" t="str">
        <f t="shared" ref="AE96" si="1397">IF(AE92="","",AD96)</f>
        <v/>
      </c>
      <c r="AF96" s="8" t="str">
        <f t="shared" ref="AF96" si="1398">IF(AF92="","",AE96)</f>
        <v/>
      </c>
      <c r="AG96" s="8" t="str">
        <f t="shared" ref="AG96" si="1399">IF(AG92="","",AF96)</f>
        <v/>
      </c>
      <c r="AH96" s="8" t="str">
        <f t="shared" ref="AH96" si="1400">IF(AH92="","",AG96)</f>
        <v/>
      </c>
      <c r="AI96" s="8" t="str">
        <f t="shared" ref="AI96" si="1401">IF(AI92="","",AH96)</f>
        <v/>
      </c>
      <c r="AJ96" s="8" t="str">
        <f t="shared" ref="AJ96" si="1402">IF(AJ92="","",AI96)</f>
        <v/>
      </c>
      <c r="AK96" s="8" t="str">
        <f t="shared" ref="AK96" si="1403">IF(AK92="","",AJ96)</f>
        <v/>
      </c>
      <c r="AL96" s="8" t="str">
        <f t="shared" ref="AL96" si="1404">IF(AL92="","",AK96)</f>
        <v/>
      </c>
      <c r="AM96" s="8" t="str">
        <f t="shared" ref="AM96" si="1405">IF(AM92="","",AL96)</f>
        <v/>
      </c>
      <c r="AN96" s="8" t="str">
        <f t="shared" ref="AN96" si="1406">IF(AN92="","",AM96)</f>
        <v/>
      </c>
      <c r="AO96" s="8" t="str">
        <f t="shared" ref="AO96" si="1407">IF(AO92="","",AN96)</f>
        <v/>
      </c>
      <c r="AP96" s="8" t="str">
        <f t="shared" ref="AP96:AS96" si="1408">IF(AP92="","",AO96)</f>
        <v/>
      </c>
      <c r="AQ96" s="8" t="str">
        <f t="shared" si="1408"/>
        <v/>
      </c>
      <c r="AR96" s="8" t="str">
        <f t="shared" si="1408"/>
        <v/>
      </c>
      <c r="AS96" s="8" t="str">
        <f t="shared" si="1408"/>
        <v/>
      </c>
    </row>
    <row r="97" spans="1:45" s="85" customFormat="1" x14ac:dyDescent="0.15">
      <c r="A97" s="14" t="s">
        <v>9</v>
      </c>
      <c r="B97" s="13" t="s">
        <v>10</v>
      </c>
      <c r="C97" s="12" t="s">
        <v>67</v>
      </c>
      <c r="D97" s="12" t="s">
        <v>67</v>
      </c>
      <c r="E97" s="12" t="s">
        <v>67</v>
      </c>
      <c r="F97" s="12" t="s">
        <v>67</v>
      </c>
      <c r="G97" s="12" t="s">
        <v>67</v>
      </c>
      <c r="H97" s="12" t="s">
        <v>67</v>
      </c>
      <c r="I97" s="12" t="s">
        <v>67</v>
      </c>
      <c r="J97" s="12" t="s">
        <v>67</v>
      </c>
      <c r="K97" s="12" t="str">
        <f t="shared" ref="K97" si="1409">IF(K92="","",J97)</f>
        <v>ギャルキティMC</v>
      </c>
      <c r="L97" s="12" t="str">
        <f t="shared" ref="L97" si="1410">IF(L92="","",K97)</f>
        <v>ギャルキティMC</v>
      </c>
      <c r="M97" s="12" t="str">
        <f t="shared" ref="M97" si="1411">IF(M92="","",L97)</f>
        <v>ギャルキティMC</v>
      </c>
      <c r="N97" s="12" t="str">
        <f t="shared" ref="N97" si="1412">IF(N92="","",M97)</f>
        <v/>
      </c>
      <c r="O97" s="12" t="str">
        <f t="shared" ref="O97" si="1413">IF(O92="","",N97)</f>
        <v/>
      </c>
      <c r="P97" s="12" t="str">
        <f t="shared" ref="P97" si="1414">IF(P92="","",O97)</f>
        <v/>
      </c>
      <c r="Q97" s="12" t="str">
        <f t="shared" ref="Q97" si="1415">IF(Q92="","",P97)</f>
        <v/>
      </c>
      <c r="R97" s="12" t="str">
        <f t="shared" ref="R97" si="1416">IF(R92="","",Q97)</f>
        <v/>
      </c>
      <c r="S97" s="12" t="str">
        <f t="shared" ref="S97" si="1417">IF(S92="","",R97)</f>
        <v/>
      </c>
      <c r="T97" s="12" t="str">
        <f t="shared" ref="T97" si="1418">IF(T92="","",S97)</f>
        <v/>
      </c>
      <c r="U97" s="12" t="str">
        <f t="shared" ref="U97" si="1419">IF(U92="","",T97)</f>
        <v/>
      </c>
      <c r="V97" s="12" t="str">
        <f t="shared" ref="V97" si="1420">IF(V92="","",U97)</f>
        <v/>
      </c>
      <c r="W97" s="12" t="str">
        <f t="shared" ref="W97" si="1421">IF(W92="","",V97)</f>
        <v/>
      </c>
      <c r="X97" s="12" t="str">
        <f t="shared" ref="X97" si="1422">IF(X92="","",W97)</f>
        <v/>
      </c>
      <c r="Y97" s="12" t="str">
        <f t="shared" ref="Y97" si="1423">IF(Y92="","",X97)</f>
        <v/>
      </c>
      <c r="Z97" s="12" t="str">
        <f t="shared" ref="Z97" si="1424">IF(Z92="","",Y97)</f>
        <v/>
      </c>
      <c r="AA97" s="12" t="str">
        <f t="shared" ref="AA97" si="1425">IF(AA92="","",Z97)</f>
        <v/>
      </c>
      <c r="AB97" s="12" t="str">
        <f t="shared" ref="AB97" si="1426">IF(AB92="","",AA97)</f>
        <v/>
      </c>
      <c r="AC97" s="12" t="str">
        <f t="shared" ref="AC97" si="1427">IF(AC92="","",AB97)</f>
        <v/>
      </c>
      <c r="AD97" s="12" t="str">
        <f t="shared" ref="AD97" si="1428">IF(AD92="","",AC97)</f>
        <v/>
      </c>
      <c r="AE97" s="12" t="str">
        <f t="shared" ref="AE97" si="1429">IF(AE92="","",AD97)</f>
        <v/>
      </c>
      <c r="AF97" s="12" t="str">
        <f t="shared" ref="AF97" si="1430">IF(AF92="","",AE97)</f>
        <v/>
      </c>
      <c r="AG97" s="12" t="str">
        <f t="shared" ref="AG97" si="1431">IF(AG92="","",AF97)</f>
        <v/>
      </c>
      <c r="AH97" s="12" t="str">
        <f t="shared" ref="AH97" si="1432">IF(AH92="","",AG97)</f>
        <v/>
      </c>
      <c r="AI97" s="12" t="str">
        <f t="shared" ref="AI97" si="1433">IF(AI92="","",AH97)</f>
        <v/>
      </c>
      <c r="AJ97" s="12" t="str">
        <f t="shared" ref="AJ97" si="1434">IF(AJ92="","",AI97)</f>
        <v/>
      </c>
      <c r="AK97" s="12" t="str">
        <f t="shared" ref="AK97" si="1435">IF(AK92="","",AJ97)</f>
        <v/>
      </c>
      <c r="AL97" s="12" t="str">
        <f t="shared" ref="AL97" si="1436">IF(AL92="","",AK97)</f>
        <v/>
      </c>
      <c r="AM97" s="12" t="str">
        <f t="shared" ref="AM97" si="1437">IF(AM92="","",AL97)</f>
        <v/>
      </c>
      <c r="AN97" s="12" t="str">
        <f t="shared" ref="AN97" si="1438">IF(AN92="","",AM97)</f>
        <v/>
      </c>
      <c r="AO97" s="12" t="str">
        <f t="shared" ref="AO97" si="1439">IF(AO92="","",AN97)</f>
        <v/>
      </c>
      <c r="AP97" s="12" t="str">
        <f t="shared" ref="AP97:AS97" si="1440">IF(AP92="","",AO97)</f>
        <v/>
      </c>
      <c r="AQ97" s="12" t="str">
        <f t="shared" si="1440"/>
        <v/>
      </c>
      <c r="AR97" s="12" t="str">
        <f t="shared" si="1440"/>
        <v/>
      </c>
      <c r="AS97" s="12" t="str">
        <f t="shared" si="1440"/>
        <v/>
      </c>
    </row>
    <row r="98" spans="1:45" x14ac:dyDescent="0.15">
      <c r="A98" s="7">
        <f>AVERAGE(C99:AS99)*30*100</f>
        <v>36818.181818181816</v>
      </c>
      <c r="B98" s="9" t="s">
        <v>12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</row>
    <row r="99" spans="1:45" x14ac:dyDescent="0.15">
      <c r="A99" s="7">
        <f>SUM(C99:AS99)</f>
        <v>135</v>
      </c>
      <c r="B99" s="6" t="s">
        <v>13</v>
      </c>
      <c r="C99" s="5">
        <v>0</v>
      </c>
      <c r="D99" s="5">
        <v>0</v>
      </c>
      <c r="E99" s="5">
        <v>0</v>
      </c>
      <c r="F99" s="5">
        <v>35</v>
      </c>
      <c r="G99" s="5">
        <v>0</v>
      </c>
      <c r="H99" s="5">
        <v>0</v>
      </c>
      <c r="I99" s="5">
        <v>0</v>
      </c>
      <c r="J99" s="5">
        <v>52</v>
      </c>
      <c r="K99" s="5">
        <f t="shared" ref="K99:K100" si="1441">IF(K92="","",K92-J92)</f>
        <v>0</v>
      </c>
      <c r="L99" s="5">
        <f t="shared" ref="L99:L100" si="1442">IF(L92="","",L92-K92)</f>
        <v>0</v>
      </c>
      <c r="M99" s="5">
        <f t="shared" ref="M99:M100" si="1443">IF(M92="","",M92-L92)</f>
        <v>48</v>
      </c>
      <c r="N99" s="5" t="str">
        <f t="shared" ref="N99:N100" si="1444">IF(N92="","",N92-M92)</f>
        <v/>
      </c>
      <c r="O99" s="5" t="str">
        <f t="shared" ref="O99:O100" si="1445">IF(O92="","",O92-N92)</f>
        <v/>
      </c>
      <c r="P99" s="5" t="str">
        <f t="shared" ref="P99:P100" si="1446">IF(P92="","",P92-O92)</f>
        <v/>
      </c>
      <c r="Q99" s="5" t="str">
        <f t="shared" ref="Q99:Q100" si="1447">IF(Q92="","",Q92-P92)</f>
        <v/>
      </c>
      <c r="R99" s="5" t="str">
        <f t="shared" ref="R99:R100" si="1448">IF(R92="","",R92-Q92)</f>
        <v/>
      </c>
      <c r="S99" s="5" t="str">
        <f t="shared" ref="S99:S100" si="1449">IF(S92="","",S92-R92)</f>
        <v/>
      </c>
      <c r="T99" s="5" t="str">
        <f t="shared" ref="T99:T100" si="1450">IF(T92="","",T92-S92)</f>
        <v/>
      </c>
      <c r="U99" s="5" t="str">
        <f t="shared" ref="U99:U100" si="1451">IF(U92="","",U92-T92)</f>
        <v/>
      </c>
      <c r="V99" s="5" t="str">
        <f t="shared" ref="V99:V100" si="1452">IF(V92="","",V92-U92)</f>
        <v/>
      </c>
      <c r="W99" s="5" t="str">
        <f t="shared" ref="W99:W100" si="1453">IF(W92="","",W92-V92)</f>
        <v/>
      </c>
      <c r="X99" s="5" t="str">
        <f t="shared" ref="X99:X100" si="1454">IF(X92="","",X92-W92)</f>
        <v/>
      </c>
      <c r="Y99" s="5" t="str">
        <f t="shared" ref="Y99:Y100" si="1455">IF(Y92="","",Y92-X92)</f>
        <v/>
      </c>
      <c r="Z99" s="5" t="str">
        <f t="shared" ref="Z99:Z100" si="1456">IF(Z92="","",Z92-Y92)</f>
        <v/>
      </c>
      <c r="AA99" s="5" t="str">
        <f t="shared" ref="AA99:AA100" si="1457">IF(AA92="","",AA92-Z92)</f>
        <v/>
      </c>
      <c r="AB99" s="5" t="str">
        <f t="shared" ref="AB99:AB100" si="1458">IF(AB92="","",AB92-AA92)</f>
        <v/>
      </c>
      <c r="AC99" s="5" t="str">
        <f t="shared" ref="AC99:AC100" si="1459">IF(AC92="","",AC92-AB92)</f>
        <v/>
      </c>
      <c r="AD99" s="5" t="str">
        <f t="shared" ref="AD99:AD100" si="1460">IF(AD92="","",AD92-AC92)</f>
        <v/>
      </c>
      <c r="AE99" s="5" t="str">
        <f t="shared" ref="AE99:AE100" si="1461">IF(AE92="","",AE92-AD92)</f>
        <v/>
      </c>
      <c r="AF99" s="5" t="str">
        <f t="shared" ref="AF99:AF100" si="1462">IF(AF92="","",AF92-AE92)</f>
        <v/>
      </c>
      <c r="AG99" s="5" t="str">
        <f t="shared" ref="AG99:AG100" si="1463">IF(AG92="","",AG92-AF92)</f>
        <v/>
      </c>
      <c r="AH99" s="5" t="str">
        <f t="shared" ref="AH99:AH100" si="1464">IF(AH92="","",AH92-AG92)</f>
        <v/>
      </c>
      <c r="AI99" s="5" t="str">
        <f t="shared" ref="AI99:AI100" si="1465">IF(AI92="","",AI92-AH92)</f>
        <v/>
      </c>
      <c r="AJ99" s="5" t="str">
        <f t="shared" ref="AJ99:AJ100" si="1466">IF(AJ92="","",AJ92-AI92)</f>
        <v/>
      </c>
      <c r="AK99" s="5" t="str">
        <f t="shared" ref="AK99:AK100" si="1467">IF(AK92="","",AK92-AJ92)</f>
        <v/>
      </c>
      <c r="AL99" s="5" t="str">
        <f t="shared" ref="AL99:AL100" si="1468">IF(AL92="","",AL92-AK92)</f>
        <v/>
      </c>
      <c r="AM99" s="5" t="str">
        <f t="shared" ref="AM99:AM100" si="1469">IF(AM92="","",AM92-AL92)</f>
        <v/>
      </c>
      <c r="AN99" s="5" t="str">
        <f t="shared" ref="AN99:AN100" si="1470">IF(AN92="","",AN92-AM92)</f>
        <v/>
      </c>
      <c r="AO99" s="5" t="str">
        <f t="shared" ref="AO99:AO100" si="1471">IF(AO92="","",AO92-AN92)</f>
        <v/>
      </c>
      <c r="AP99" s="5" t="str">
        <f t="shared" ref="AP99:AS99" si="1472">IF(AP92="","",AP92-AO92)</f>
        <v/>
      </c>
      <c r="AQ99" s="5" t="str">
        <f t="shared" si="1472"/>
        <v/>
      </c>
      <c r="AR99" s="5" t="str">
        <f t="shared" si="1472"/>
        <v/>
      </c>
      <c r="AS99" s="5" t="str">
        <f t="shared" si="1472"/>
        <v/>
      </c>
    </row>
    <row r="100" spans="1:45" x14ac:dyDescent="0.15">
      <c r="A100" s="7">
        <f>SUM(C100:AS100)</f>
        <v>2</v>
      </c>
      <c r="B100" s="6" t="s">
        <v>14</v>
      </c>
      <c r="C100" s="5">
        <v>0</v>
      </c>
      <c r="D100" s="5">
        <v>0</v>
      </c>
      <c r="E100" s="5">
        <v>0</v>
      </c>
      <c r="F100" s="5">
        <v>1</v>
      </c>
      <c r="G100" s="5">
        <v>0</v>
      </c>
      <c r="H100" s="5">
        <v>0</v>
      </c>
      <c r="I100" s="5">
        <v>0</v>
      </c>
      <c r="J100" s="5">
        <v>0</v>
      </c>
      <c r="K100" s="5">
        <f t="shared" si="1441"/>
        <v>0</v>
      </c>
      <c r="L100" s="5">
        <f t="shared" si="1442"/>
        <v>0</v>
      </c>
      <c r="M100" s="5">
        <f t="shared" si="1443"/>
        <v>1</v>
      </c>
      <c r="N100" s="5" t="str">
        <f t="shared" si="1444"/>
        <v/>
      </c>
      <c r="O100" s="5" t="str">
        <f t="shared" si="1445"/>
        <v/>
      </c>
      <c r="P100" s="5" t="str">
        <f t="shared" si="1446"/>
        <v/>
      </c>
      <c r="Q100" s="5" t="str">
        <f t="shared" si="1447"/>
        <v/>
      </c>
      <c r="R100" s="5" t="str">
        <f t="shared" si="1448"/>
        <v/>
      </c>
      <c r="S100" s="5" t="str">
        <f t="shared" si="1449"/>
        <v/>
      </c>
      <c r="T100" s="5" t="str">
        <f t="shared" si="1450"/>
        <v/>
      </c>
      <c r="U100" s="5" t="str">
        <f t="shared" si="1451"/>
        <v/>
      </c>
      <c r="V100" s="5" t="str">
        <f t="shared" si="1452"/>
        <v/>
      </c>
      <c r="W100" s="5" t="str">
        <f t="shared" si="1453"/>
        <v/>
      </c>
      <c r="X100" s="5" t="str">
        <f t="shared" si="1454"/>
        <v/>
      </c>
      <c r="Y100" s="5" t="str">
        <f t="shared" si="1455"/>
        <v/>
      </c>
      <c r="Z100" s="5" t="str">
        <f t="shared" si="1456"/>
        <v/>
      </c>
      <c r="AA100" s="5" t="str">
        <f t="shared" si="1457"/>
        <v/>
      </c>
      <c r="AB100" s="5" t="str">
        <f t="shared" si="1458"/>
        <v/>
      </c>
      <c r="AC100" s="5" t="str">
        <f t="shared" si="1459"/>
        <v/>
      </c>
      <c r="AD100" s="5" t="str">
        <f t="shared" si="1460"/>
        <v/>
      </c>
      <c r="AE100" s="5" t="str">
        <f t="shared" si="1461"/>
        <v/>
      </c>
      <c r="AF100" s="5" t="str">
        <f t="shared" si="1462"/>
        <v/>
      </c>
      <c r="AG100" s="5" t="str">
        <f t="shared" si="1463"/>
        <v/>
      </c>
      <c r="AH100" s="5" t="str">
        <f t="shared" si="1464"/>
        <v/>
      </c>
      <c r="AI100" s="5" t="str">
        <f t="shared" si="1465"/>
        <v/>
      </c>
      <c r="AJ100" s="5" t="str">
        <f t="shared" si="1466"/>
        <v/>
      </c>
      <c r="AK100" s="5" t="str">
        <f t="shared" si="1467"/>
        <v/>
      </c>
      <c r="AL100" s="5" t="str">
        <f t="shared" si="1468"/>
        <v/>
      </c>
      <c r="AM100" s="5" t="str">
        <f t="shared" si="1469"/>
        <v/>
      </c>
      <c r="AN100" s="5" t="str">
        <f t="shared" si="1470"/>
        <v/>
      </c>
      <c r="AO100" s="5" t="str">
        <f t="shared" si="1471"/>
        <v/>
      </c>
      <c r="AP100" s="5" t="str">
        <f t="shared" ref="AP100:AS100" si="1473">IF(AP93="","",AP93-AO93)</f>
        <v/>
      </c>
      <c r="AQ100" s="5" t="str">
        <f t="shared" si="1473"/>
        <v/>
      </c>
      <c r="AR100" s="5" t="str">
        <f t="shared" si="1473"/>
        <v/>
      </c>
      <c r="AS100" s="5" t="str">
        <f t="shared" si="1473"/>
        <v/>
      </c>
    </row>
    <row r="101" spans="1:45" x14ac:dyDescent="0.15">
      <c r="A101" s="7">
        <f>SUM(C101:AS101)</f>
        <v>2</v>
      </c>
      <c r="B101" s="6" t="s">
        <v>15</v>
      </c>
      <c r="C101" s="5">
        <v>0</v>
      </c>
      <c r="D101" s="5">
        <v>0</v>
      </c>
      <c r="E101" s="5">
        <v>0</v>
      </c>
      <c r="F101" s="5">
        <v>1</v>
      </c>
      <c r="G101" s="5">
        <v>0</v>
      </c>
      <c r="H101" s="5">
        <v>0</v>
      </c>
      <c r="I101" s="5">
        <v>0</v>
      </c>
      <c r="J101" s="5">
        <v>0</v>
      </c>
      <c r="K101" s="5">
        <f t="shared" ref="K101" si="1474">IF(K94="","",J94+J95-K94)</f>
        <v>0</v>
      </c>
      <c r="L101" s="5">
        <f t="shared" ref="L101" si="1475">IF(L94="","",K94+K95-L94)</f>
        <v>0</v>
      </c>
      <c r="M101" s="5">
        <f t="shared" ref="M101" si="1476">IF(M94="","",L94+L95-M94)</f>
        <v>1</v>
      </c>
      <c r="N101" s="5" t="str">
        <f t="shared" ref="N101" si="1477">IF(N94="","",M94+M95-N94)</f>
        <v/>
      </c>
      <c r="O101" s="5" t="str">
        <f t="shared" ref="O101" si="1478">IF(O94="","",N94+N95-O94)</f>
        <v/>
      </c>
      <c r="P101" s="5" t="str">
        <f t="shared" ref="P101" si="1479">IF(P94="","",O94+O95-P94)</f>
        <v/>
      </c>
      <c r="Q101" s="5" t="str">
        <f t="shared" ref="Q101" si="1480">IF(Q94="","",P94+P95-Q94)</f>
        <v/>
      </c>
      <c r="R101" s="5" t="str">
        <f t="shared" ref="R101" si="1481">IF(R94="","",Q94+Q95-R94)</f>
        <v/>
      </c>
      <c r="S101" s="5" t="str">
        <f t="shared" ref="S101" si="1482">IF(S94="","",R94+R95-S94)</f>
        <v/>
      </c>
      <c r="T101" s="5" t="str">
        <f t="shared" ref="T101" si="1483">IF(T94="","",S94+S95-T94)</f>
        <v/>
      </c>
      <c r="U101" s="5" t="str">
        <f t="shared" ref="U101" si="1484">IF(U94="","",T94+T95-U94)</f>
        <v/>
      </c>
      <c r="V101" s="5" t="str">
        <f t="shared" ref="V101" si="1485">IF(V94="","",U94+U95-V94)</f>
        <v/>
      </c>
      <c r="W101" s="5" t="str">
        <f t="shared" ref="W101" si="1486">IF(W94="","",V94+V95-W94)</f>
        <v/>
      </c>
      <c r="X101" s="5" t="str">
        <f t="shared" ref="X101" si="1487">IF(X94="","",W94+W95-X94)</f>
        <v/>
      </c>
      <c r="Y101" s="5" t="str">
        <f t="shared" ref="Y101" si="1488">IF(Y94="","",X94+X95-Y94)</f>
        <v/>
      </c>
      <c r="Z101" s="5" t="str">
        <f t="shared" ref="Z101" si="1489">IF(Z94="","",Y94+Y95-Z94)</f>
        <v/>
      </c>
      <c r="AA101" s="5" t="str">
        <f t="shared" ref="AA101" si="1490">IF(AA94="","",Z94+Z95-AA94)</f>
        <v/>
      </c>
      <c r="AB101" s="5" t="str">
        <f t="shared" ref="AB101" si="1491">IF(AB94="","",AA94+AA95-AB94)</f>
        <v/>
      </c>
      <c r="AC101" s="5" t="str">
        <f t="shared" ref="AC101" si="1492">IF(AC94="","",AB94+AB95-AC94)</f>
        <v/>
      </c>
      <c r="AD101" s="5" t="str">
        <f t="shared" ref="AD101" si="1493">IF(AD94="","",AC94+AC95-AD94)</f>
        <v/>
      </c>
      <c r="AE101" s="5" t="str">
        <f t="shared" ref="AE101" si="1494">IF(AE94="","",AD94+AD95-AE94)</f>
        <v/>
      </c>
      <c r="AF101" s="5" t="str">
        <f t="shared" ref="AF101" si="1495">IF(AF94="","",AE94+AE95-AF94)</f>
        <v/>
      </c>
      <c r="AG101" s="5" t="str">
        <f t="shared" ref="AG101" si="1496">IF(AG94="","",AF94+AF95-AG94)</f>
        <v/>
      </c>
      <c r="AH101" s="5" t="str">
        <f t="shared" ref="AH101" si="1497">IF(AH94="","",AG94+AG95-AH94)</f>
        <v/>
      </c>
      <c r="AI101" s="5" t="str">
        <f t="shared" ref="AI101" si="1498">IF(AI94="","",AH94+AH95-AI94)</f>
        <v/>
      </c>
      <c r="AJ101" s="5" t="str">
        <f t="shared" ref="AJ101" si="1499">IF(AJ94="","",AI94+AI95-AJ94)</f>
        <v/>
      </c>
      <c r="AK101" s="5" t="str">
        <f t="shared" ref="AK101" si="1500">IF(AK94="","",AJ94+AJ95-AK94)</f>
        <v/>
      </c>
      <c r="AL101" s="5" t="str">
        <f t="shared" ref="AL101" si="1501">IF(AL94="","",AK94+AK95-AL94)</f>
        <v/>
      </c>
      <c r="AM101" s="5" t="str">
        <f t="shared" ref="AM101" si="1502">IF(AM94="","",AL94+AL95-AM94)</f>
        <v/>
      </c>
      <c r="AN101" s="5" t="str">
        <f t="shared" ref="AN101" si="1503">IF(AN94="","",AM94+AM95-AN94)</f>
        <v/>
      </c>
      <c r="AO101" s="5" t="str">
        <f t="shared" ref="AO101" si="1504">IF(AO94="","",AN94+AN95-AO94)</f>
        <v/>
      </c>
      <c r="AP101" s="5" t="str">
        <f t="shared" ref="AP101:AS101" si="1505">IF(AP94="","",AO94+AO95-AP94)</f>
        <v/>
      </c>
      <c r="AQ101" s="5" t="str">
        <f t="shared" si="1505"/>
        <v/>
      </c>
      <c r="AR101" s="5" t="str">
        <f t="shared" si="1505"/>
        <v/>
      </c>
      <c r="AS101" s="5" t="str">
        <f t="shared" si="1505"/>
        <v/>
      </c>
    </row>
    <row r="102" spans="1:45" x14ac:dyDescent="0.15">
      <c r="A102" s="7">
        <f>SUM(C102:AS102)</f>
        <v>1000</v>
      </c>
      <c r="B102" s="6" t="s">
        <v>16</v>
      </c>
      <c r="C102" s="5">
        <v>0</v>
      </c>
      <c r="D102" s="5">
        <v>0</v>
      </c>
      <c r="E102" s="5">
        <v>0</v>
      </c>
      <c r="F102" s="5">
        <v>500</v>
      </c>
      <c r="G102" s="5">
        <v>0</v>
      </c>
      <c r="H102" s="5">
        <v>0</v>
      </c>
      <c r="I102" s="5">
        <v>0</v>
      </c>
      <c r="J102" s="5">
        <v>0</v>
      </c>
      <c r="K102" s="5">
        <f t="shared" ref="I102:AO102" si="1506">IF(K92="","",K101*K96)</f>
        <v>0</v>
      </c>
      <c r="L102" s="5">
        <f t="shared" si="1506"/>
        <v>0</v>
      </c>
      <c r="M102" s="5">
        <f t="shared" si="1506"/>
        <v>500</v>
      </c>
      <c r="N102" s="5" t="str">
        <f t="shared" si="1506"/>
        <v/>
      </c>
      <c r="O102" s="5" t="str">
        <f t="shared" si="1506"/>
        <v/>
      </c>
      <c r="P102" s="5" t="str">
        <f t="shared" si="1506"/>
        <v/>
      </c>
      <c r="Q102" s="5" t="str">
        <f t="shared" si="1506"/>
        <v/>
      </c>
      <c r="R102" s="5" t="str">
        <f t="shared" si="1506"/>
        <v/>
      </c>
      <c r="S102" s="5" t="str">
        <f t="shared" si="1506"/>
        <v/>
      </c>
      <c r="T102" s="5" t="str">
        <f t="shared" si="1506"/>
        <v/>
      </c>
      <c r="U102" s="5" t="str">
        <f t="shared" si="1506"/>
        <v/>
      </c>
      <c r="V102" s="5" t="str">
        <f t="shared" si="1506"/>
        <v/>
      </c>
      <c r="W102" s="5" t="str">
        <f t="shared" si="1506"/>
        <v/>
      </c>
      <c r="X102" s="5" t="str">
        <f t="shared" si="1506"/>
        <v/>
      </c>
      <c r="Y102" s="5" t="str">
        <f t="shared" si="1506"/>
        <v/>
      </c>
      <c r="Z102" s="5" t="str">
        <f t="shared" si="1506"/>
        <v/>
      </c>
      <c r="AA102" s="5" t="str">
        <f t="shared" si="1506"/>
        <v/>
      </c>
      <c r="AB102" s="5" t="str">
        <f t="shared" si="1506"/>
        <v/>
      </c>
      <c r="AC102" s="5" t="str">
        <f t="shared" si="1506"/>
        <v/>
      </c>
      <c r="AD102" s="5" t="str">
        <f t="shared" si="1506"/>
        <v/>
      </c>
      <c r="AE102" s="5" t="str">
        <f t="shared" si="1506"/>
        <v/>
      </c>
      <c r="AF102" s="5" t="str">
        <f t="shared" si="1506"/>
        <v/>
      </c>
      <c r="AG102" s="5" t="str">
        <f t="shared" si="1506"/>
        <v/>
      </c>
      <c r="AH102" s="5" t="str">
        <f t="shared" si="1506"/>
        <v/>
      </c>
      <c r="AI102" s="5" t="str">
        <f t="shared" si="1506"/>
        <v/>
      </c>
      <c r="AJ102" s="5" t="str">
        <f t="shared" si="1506"/>
        <v/>
      </c>
      <c r="AK102" s="5" t="str">
        <f t="shared" si="1506"/>
        <v/>
      </c>
      <c r="AL102" s="5" t="str">
        <f t="shared" si="1506"/>
        <v/>
      </c>
      <c r="AM102" s="5" t="str">
        <f t="shared" si="1506"/>
        <v/>
      </c>
      <c r="AN102" s="5" t="str">
        <f t="shared" si="1506"/>
        <v/>
      </c>
      <c r="AO102" s="5" t="str">
        <f t="shared" si="1506"/>
        <v/>
      </c>
      <c r="AP102" s="5" t="str">
        <f t="shared" ref="AP102:AS102" si="1507">IF(AP92="","",AP101*AP96)</f>
        <v/>
      </c>
      <c r="AQ102" s="5" t="str">
        <f t="shared" si="1507"/>
        <v/>
      </c>
      <c r="AR102" s="5" t="str">
        <f t="shared" si="1507"/>
        <v/>
      </c>
      <c r="AS102" s="5" t="str">
        <f t="shared" si="1507"/>
        <v/>
      </c>
    </row>
    <row r="103" spans="1:45" ht="12" thickBot="1" x14ac:dyDescent="0.2">
      <c r="A103" s="4">
        <f>IF(A102="","",A102/(A99*100))</f>
        <v>7.407407407407407E-2</v>
      </c>
      <c r="B103" s="6" t="s">
        <v>18</v>
      </c>
      <c r="C103" s="18" t="s">
        <v>19</v>
      </c>
      <c r="D103" s="18" t="s">
        <v>19</v>
      </c>
      <c r="E103" s="18" t="s">
        <v>19</v>
      </c>
      <c r="F103" s="18">
        <v>0.14285714285714285</v>
      </c>
      <c r="G103" s="18" t="s">
        <v>19</v>
      </c>
      <c r="H103" s="18" t="s">
        <v>19</v>
      </c>
      <c r="I103" s="18" t="s">
        <v>19</v>
      </c>
      <c r="J103" s="18" t="s">
        <v>19</v>
      </c>
      <c r="K103" s="18" t="str">
        <f t="shared" ref="I103:AO103" si="1508">IF(K102="","",IF(K102=0,"",K102/(K99*100)))</f>
        <v/>
      </c>
      <c r="L103" s="18" t="str">
        <f t="shared" si="1508"/>
        <v/>
      </c>
      <c r="M103" s="18">
        <f t="shared" si="1508"/>
        <v>0.10416666666666667</v>
      </c>
      <c r="N103" s="18" t="str">
        <f t="shared" si="1508"/>
        <v/>
      </c>
      <c r="O103" s="18" t="str">
        <f t="shared" si="1508"/>
        <v/>
      </c>
      <c r="P103" s="18" t="str">
        <f t="shared" si="1508"/>
        <v/>
      </c>
      <c r="Q103" s="18" t="str">
        <f t="shared" si="1508"/>
        <v/>
      </c>
      <c r="R103" s="18" t="str">
        <f t="shared" si="1508"/>
        <v/>
      </c>
      <c r="S103" s="18" t="str">
        <f t="shared" si="1508"/>
        <v/>
      </c>
      <c r="T103" s="18" t="str">
        <f t="shared" si="1508"/>
        <v/>
      </c>
      <c r="U103" s="18" t="str">
        <f t="shared" si="1508"/>
        <v/>
      </c>
      <c r="V103" s="18" t="str">
        <f t="shared" si="1508"/>
        <v/>
      </c>
      <c r="W103" s="18" t="str">
        <f t="shared" si="1508"/>
        <v/>
      </c>
      <c r="X103" s="18" t="str">
        <f t="shared" si="1508"/>
        <v/>
      </c>
      <c r="Y103" s="18" t="str">
        <f t="shared" si="1508"/>
        <v/>
      </c>
      <c r="Z103" s="18" t="str">
        <f t="shared" si="1508"/>
        <v/>
      </c>
      <c r="AA103" s="18" t="str">
        <f t="shared" si="1508"/>
        <v/>
      </c>
      <c r="AB103" s="18" t="str">
        <f t="shared" si="1508"/>
        <v/>
      </c>
      <c r="AC103" s="18" t="str">
        <f t="shared" si="1508"/>
        <v/>
      </c>
      <c r="AD103" s="18" t="str">
        <f t="shared" si="1508"/>
        <v/>
      </c>
      <c r="AE103" s="18" t="str">
        <f t="shared" si="1508"/>
        <v/>
      </c>
      <c r="AF103" s="18" t="str">
        <f t="shared" si="1508"/>
        <v/>
      </c>
      <c r="AG103" s="18" t="str">
        <f t="shared" si="1508"/>
        <v/>
      </c>
      <c r="AH103" s="18" t="str">
        <f t="shared" si="1508"/>
        <v/>
      </c>
      <c r="AI103" s="18" t="str">
        <f t="shared" si="1508"/>
        <v/>
      </c>
      <c r="AJ103" s="18" t="str">
        <f t="shared" si="1508"/>
        <v/>
      </c>
      <c r="AK103" s="18" t="str">
        <f t="shared" si="1508"/>
        <v/>
      </c>
      <c r="AL103" s="18" t="str">
        <f t="shared" si="1508"/>
        <v/>
      </c>
      <c r="AM103" s="18" t="str">
        <f t="shared" si="1508"/>
        <v/>
      </c>
      <c r="AN103" s="18" t="str">
        <f t="shared" si="1508"/>
        <v/>
      </c>
      <c r="AO103" s="18" t="str">
        <f t="shared" si="1508"/>
        <v/>
      </c>
      <c r="AP103" s="18" t="str">
        <f t="shared" ref="AP103:AS103" si="1509">IF(AP102="","",IF(AP102=0,"",AP102/(AP99*100)))</f>
        <v/>
      </c>
      <c r="AQ103" s="18" t="str">
        <f t="shared" si="1509"/>
        <v/>
      </c>
      <c r="AR103" s="18" t="str">
        <f t="shared" si="1509"/>
        <v/>
      </c>
      <c r="AS103" s="18" t="str">
        <f t="shared" si="1509"/>
        <v/>
      </c>
    </row>
    <row r="104" spans="1:45" x14ac:dyDescent="0.15">
      <c r="A104" s="17" t="s">
        <v>59</v>
      </c>
      <c r="B104" s="9" t="s">
        <v>2</v>
      </c>
      <c r="C104" s="8">
        <v>12762</v>
      </c>
      <c r="D104" s="8">
        <v>12762</v>
      </c>
      <c r="E104" s="8">
        <v>12762</v>
      </c>
      <c r="F104" s="8">
        <v>12834</v>
      </c>
      <c r="G104" s="8">
        <v>12834</v>
      </c>
      <c r="H104" s="8">
        <v>12834</v>
      </c>
      <c r="I104" s="8">
        <v>12834</v>
      </c>
      <c r="J104" s="8">
        <v>12846</v>
      </c>
      <c r="K104" s="8">
        <f t="shared" ref="K104:K105" si="1510">IF(K$8="","",J104)</f>
        <v>12846</v>
      </c>
      <c r="L104" s="8">
        <f t="shared" ref="L104:L105" si="1511">IF(L$8="","",K104)</f>
        <v>12846</v>
      </c>
      <c r="M104" s="8">
        <v>12878</v>
      </c>
      <c r="N104" s="8" t="str">
        <f t="shared" ref="N104:N105" si="1512">IF(N$8="","",M104)</f>
        <v/>
      </c>
      <c r="O104" s="8" t="str">
        <f t="shared" ref="O104:O105" si="1513">IF(O$8="","",N104)</f>
        <v/>
      </c>
      <c r="P104" s="8" t="str">
        <f t="shared" ref="P104:P105" si="1514">IF(P$8="","",O104)</f>
        <v/>
      </c>
      <c r="Q104" s="8" t="str">
        <f>IF(Q$8="","",P104)</f>
        <v/>
      </c>
      <c r="R104" s="8" t="str">
        <f t="shared" ref="R104:R105" si="1515">IF(R$8="","",Q104)</f>
        <v/>
      </c>
      <c r="S104" s="8" t="str">
        <f t="shared" ref="S104:S105" si="1516">IF(S$8="","",R104)</f>
        <v/>
      </c>
      <c r="T104" s="8" t="str">
        <f>IF(T$8="","",S104)</f>
        <v/>
      </c>
      <c r="U104" s="8" t="str">
        <f t="shared" ref="U104:U105" si="1517">IF(U$8="","",T104)</f>
        <v/>
      </c>
      <c r="V104" s="8" t="str">
        <f t="shared" ref="V104:V105" si="1518">IF(V$8="","",U104)</f>
        <v/>
      </c>
      <c r="W104" s="8" t="str">
        <f t="shared" ref="W104:W105" si="1519">IF(W$8="","",V104)</f>
        <v/>
      </c>
      <c r="X104" s="8" t="str">
        <f>IF(X$8="","",W104)</f>
        <v/>
      </c>
      <c r="Y104" s="8" t="str">
        <f t="shared" ref="Y104:Y105" si="1520">IF(Y$8="","",X104)</f>
        <v/>
      </c>
      <c r="Z104" s="8" t="str">
        <f t="shared" ref="Z104:Z105" si="1521">IF(Z$8="","",Y104)</f>
        <v/>
      </c>
      <c r="AA104" s="8" t="str">
        <f>IF(AA$8="","",Z104)</f>
        <v/>
      </c>
      <c r="AB104" s="8" t="str">
        <f t="shared" ref="AB104:AB105" si="1522">IF(AB$8="","",AA104)</f>
        <v/>
      </c>
      <c r="AC104" s="8" t="str">
        <f t="shared" ref="AC104:AC105" si="1523">IF(AC$8="","",AB104)</f>
        <v/>
      </c>
      <c r="AD104" s="8" t="str">
        <f>IF(AD$8="","",AC104)</f>
        <v/>
      </c>
      <c r="AE104" s="8" t="str">
        <f t="shared" ref="AE104:AE105" si="1524">IF(AE$8="","",AD104)</f>
        <v/>
      </c>
      <c r="AF104" s="8" t="str">
        <f t="shared" ref="AF104:AF105" si="1525">IF(AF$8="","",AE104)</f>
        <v/>
      </c>
      <c r="AG104" s="8" t="str">
        <f t="shared" ref="AG104:AG105" si="1526">IF(AG$8="","",AF104)</f>
        <v/>
      </c>
      <c r="AH104" s="8" t="str">
        <f>IF(AH$8="","",AG104)</f>
        <v/>
      </c>
      <c r="AI104" s="8" t="str">
        <f t="shared" ref="AI104:AI105" si="1527">IF(AI$8="","",AH104)</f>
        <v/>
      </c>
      <c r="AJ104" s="8" t="str">
        <f t="shared" ref="AJ104:AJ105" si="1528">IF(AJ$8="","",AI104)</f>
        <v/>
      </c>
      <c r="AK104" s="8" t="str">
        <f t="shared" ref="AK104:AK105" si="1529">IF(AK$8="","",AJ104)</f>
        <v/>
      </c>
      <c r="AL104" s="8" t="str">
        <f>IF(AL$8="","",AK104)</f>
        <v/>
      </c>
      <c r="AM104" s="8" t="str">
        <f t="shared" ref="AM104:AM105" si="1530">IF(AM$8="","",AL104)</f>
        <v/>
      </c>
      <c r="AN104" s="8" t="str">
        <f t="shared" ref="AN104:AN105" si="1531">IF(AN$8="","",AM104)</f>
        <v/>
      </c>
      <c r="AO104" s="8" t="str">
        <f t="shared" ref="AO104:AO105" si="1532">IF(AO$8="","",AN104)</f>
        <v/>
      </c>
      <c r="AP104" s="8" t="str">
        <f t="shared" ref="AP104:AS104" si="1533">IF(AP$8="","",AO104)</f>
        <v/>
      </c>
      <c r="AQ104" s="8" t="str">
        <f t="shared" si="1533"/>
        <v/>
      </c>
      <c r="AR104" s="8" t="str">
        <f t="shared" si="1533"/>
        <v/>
      </c>
      <c r="AS104" s="8" t="str">
        <f t="shared" si="1533"/>
        <v/>
      </c>
    </row>
    <row r="105" spans="1:45" x14ac:dyDescent="0.15">
      <c r="A105" s="16" t="s">
        <v>24</v>
      </c>
      <c r="B105" s="9" t="s">
        <v>4</v>
      </c>
      <c r="C105" s="8">
        <v>252</v>
      </c>
      <c r="D105" s="8">
        <v>252</v>
      </c>
      <c r="E105" s="8">
        <v>252</v>
      </c>
      <c r="F105" s="8">
        <v>252</v>
      </c>
      <c r="G105" s="8">
        <v>252</v>
      </c>
      <c r="H105" s="8">
        <v>252</v>
      </c>
      <c r="I105" s="8">
        <v>252</v>
      </c>
      <c r="J105" s="8">
        <v>252</v>
      </c>
      <c r="K105" s="8">
        <f t="shared" si="1510"/>
        <v>252</v>
      </c>
      <c r="L105" s="8">
        <f t="shared" si="1511"/>
        <v>252</v>
      </c>
      <c r="M105" s="8">
        <v>253</v>
      </c>
      <c r="N105" s="8" t="str">
        <f t="shared" si="1512"/>
        <v/>
      </c>
      <c r="O105" s="8" t="str">
        <f t="shared" si="1513"/>
        <v/>
      </c>
      <c r="P105" s="8" t="str">
        <f t="shared" si="1514"/>
        <v/>
      </c>
      <c r="Q105" s="8" t="str">
        <f>IF(Q$8="","",P105)</f>
        <v/>
      </c>
      <c r="R105" s="8" t="str">
        <f t="shared" si="1515"/>
        <v/>
      </c>
      <c r="S105" s="8" t="str">
        <f t="shared" si="1516"/>
        <v/>
      </c>
      <c r="T105" s="8" t="str">
        <f>IF(T$8="","",S105)</f>
        <v/>
      </c>
      <c r="U105" s="8" t="str">
        <f t="shared" si="1517"/>
        <v/>
      </c>
      <c r="V105" s="8" t="str">
        <f t="shared" si="1518"/>
        <v/>
      </c>
      <c r="W105" s="8" t="str">
        <f t="shared" si="1519"/>
        <v/>
      </c>
      <c r="X105" s="8" t="str">
        <f t="shared" ref="X105" si="1534">IF(X$8="","",W105)</f>
        <v/>
      </c>
      <c r="Y105" s="8" t="str">
        <f t="shared" si="1520"/>
        <v/>
      </c>
      <c r="Z105" s="8" t="str">
        <f t="shared" si="1521"/>
        <v/>
      </c>
      <c r="AA105" s="8" t="str">
        <f t="shared" ref="AA105" si="1535">IF(AA$8="","",Z105)</f>
        <v/>
      </c>
      <c r="AB105" s="8" t="str">
        <f t="shared" si="1522"/>
        <v/>
      </c>
      <c r="AC105" s="8" t="str">
        <f t="shared" si="1523"/>
        <v/>
      </c>
      <c r="AD105" s="8" t="str">
        <f>IF(AD$8="","",AC105)</f>
        <v/>
      </c>
      <c r="AE105" s="8" t="str">
        <f t="shared" si="1524"/>
        <v/>
      </c>
      <c r="AF105" s="8" t="str">
        <f t="shared" si="1525"/>
        <v/>
      </c>
      <c r="AG105" s="8" t="str">
        <f t="shared" si="1526"/>
        <v/>
      </c>
      <c r="AH105" s="8" t="str">
        <f t="shared" ref="AH104:AH105" si="1536">IF(AH$8="","",AG105)</f>
        <v/>
      </c>
      <c r="AI105" s="8" t="str">
        <f t="shared" si="1527"/>
        <v/>
      </c>
      <c r="AJ105" s="8" t="str">
        <f t="shared" si="1528"/>
        <v/>
      </c>
      <c r="AK105" s="8" t="str">
        <f t="shared" si="1529"/>
        <v/>
      </c>
      <c r="AL105" s="8" t="str">
        <f t="shared" ref="AL104:AL105" si="1537">IF(AL$8="","",AK105)</f>
        <v/>
      </c>
      <c r="AM105" s="8" t="str">
        <f t="shared" si="1530"/>
        <v/>
      </c>
      <c r="AN105" s="8" t="str">
        <f t="shared" si="1531"/>
        <v/>
      </c>
      <c r="AO105" s="8" t="str">
        <f t="shared" si="1532"/>
        <v/>
      </c>
      <c r="AP105" s="8" t="str">
        <f t="shared" ref="AP105:AS105" si="1538">IF(AP$8="","",AO105)</f>
        <v/>
      </c>
      <c r="AQ105" s="8" t="str">
        <f t="shared" si="1538"/>
        <v/>
      </c>
      <c r="AR105" s="8" t="str">
        <f t="shared" si="1538"/>
        <v/>
      </c>
      <c r="AS105" s="8" t="str">
        <f t="shared" si="1538"/>
        <v/>
      </c>
    </row>
    <row r="106" spans="1:45" x14ac:dyDescent="0.15">
      <c r="A106" s="15">
        <v>2</v>
      </c>
      <c r="B106" s="9" t="s">
        <v>5</v>
      </c>
      <c r="C106" s="8">
        <v>3</v>
      </c>
      <c r="D106" s="8">
        <v>3</v>
      </c>
      <c r="E106" s="8">
        <v>3</v>
      </c>
      <c r="F106" s="8">
        <v>3</v>
      </c>
      <c r="G106" s="8">
        <v>3</v>
      </c>
      <c r="H106" s="8">
        <v>3</v>
      </c>
      <c r="I106" s="8">
        <v>3</v>
      </c>
      <c r="J106" s="8">
        <v>3</v>
      </c>
      <c r="K106" s="8">
        <f t="shared" ref="K106" si="1539">IF(K104="","",(J106+J107))</f>
        <v>3</v>
      </c>
      <c r="L106" s="8">
        <f t="shared" ref="L106" si="1540">IF(L104="","",(K106+K107))</f>
        <v>3</v>
      </c>
      <c r="M106" s="8">
        <v>2</v>
      </c>
      <c r="N106" s="8" t="str">
        <f t="shared" ref="N106" si="1541">IF(N104="","",(M106+M107))</f>
        <v/>
      </c>
      <c r="O106" s="8" t="str">
        <f t="shared" ref="O106" si="1542">IF(O104="","",(N106+N107))</f>
        <v/>
      </c>
      <c r="P106" s="8" t="str">
        <f t="shared" ref="P106" si="1543">IF(P104="","",(O106+O107))</f>
        <v/>
      </c>
      <c r="Q106" s="8" t="str">
        <f>IF(Q104="","",(P106+P107))</f>
        <v/>
      </c>
      <c r="R106" s="8" t="str">
        <f t="shared" ref="R106" si="1544">IF(R104="","",(Q106+Q107))</f>
        <v/>
      </c>
      <c r="S106" s="8" t="str">
        <f t="shared" ref="S106" si="1545">IF(S104="","",(R106+R107))</f>
        <v/>
      </c>
      <c r="T106" s="8" t="str">
        <f>IF(T104="","",(S106+S107))</f>
        <v/>
      </c>
      <c r="U106" s="8" t="str">
        <f t="shared" ref="U106" si="1546">IF(U104="","",(T106+T107))</f>
        <v/>
      </c>
      <c r="V106" s="8" t="str">
        <f t="shared" ref="V106" si="1547">IF(V104="","",(U106+U107))</f>
        <v/>
      </c>
      <c r="W106" s="8" t="str">
        <f t="shared" ref="W106" si="1548">IF(W104="","",(V106+V107))</f>
        <v/>
      </c>
      <c r="X106" s="8" t="str">
        <f t="shared" ref="X106" si="1549">IF(X104="","",(W106+W107))</f>
        <v/>
      </c>
      <c r="Y106" s="8" t="str">
        <f t="shared" ref="Y106" si="1550">IF(Y104="","",(X106+X107))</f>
        <v/>
      </c>
      <c r="Z106" s="8" t="str">
        <f t="shared" ref="Z106" si="1551">IF(Z104="","",(Y106+Y107))</f>
        <v/>
      </c>
      <c r="AA106" s="8" t="str">
        <f>IF(AA104="","",(Z106+Z107))</f>
        <v/>
      </c>
      <c r="AB106" s="8" t="str">
        <f t="shared" ref="AB106" si="1552">IF(AB104="","",(AA106+AA107))</f>
        <v/>
      </c>
      <c r="AC106" s="8" t="str">
        <f t="shared" ref="AC106" si="1553">IF(AC104="","",(AB106+AB107))</f>
        <v/>
      </c>
      <c r="AD106" s="8" t="str">
        <f>IF(AD104="","",(AC106+AC107))</f>
        <v/>
      </c>
      <c r="AE106" s="8" t="str">
        <f t="shared" ref="AE106" si="1554">IF(AE104="","",(AD106+AD107))</f>
        <v/>
      </c>
      <c r="AF106" s="8" t="str">
        <f t="shared" ref="AF106" si="1555">IF(AF104="","",(AE106+AE107))</f>
        <v/>
      </c>
      <c r="AG106" s="8" t="str">
        <f t="shared" ref="AG106" si="1556">IF(AG104="","",(AF106+AF107))</f>
        <v/>
      </c>
      <c r="AH106" s="8" t="str">
        <f t="shared" ref="AH106" si="1557">IF(AH104="","",(AG106+AG107))</f>
        <v/>
      </c>
      <c r="AI106" s="8" t="str">
        <f t="shared" ref="AI106" si="1558">IF(AI104="","",(AH106+AH107))</f>
        <v/>
      </c>
      <c r="AJ106" s="8" t="str">
        <f t="shared" ref="AJ106" si="1559">IF(AJ104="","",(AI106+AI107))</f>
        <v/>
      </c>
      <c r="AK106" s="8" t="str">
        <f t="shared" ref="AK106" si="1560">IF(AK104="","",(AJ106+AJ107))</f>
        <v/>
      </c>
      <c r="AL106" s="8" t="str">
        <f t="shared" ref="AL106" si="1561">IF(AL104="","",(AK106+AK107))</f>
        <v/>
      </c>
      <c r="AM106" s="8" t="str">
        <f t="shared" ref="AM106" si="1562">IF(AM104="","",(AL106+AL107))</f>
        <v/>
      </c>
      <c r="AN106" s="8" t="str">
        <f t="shared" ref="AN106" si="1563">IF(AN104="","",(AM106+AM107))</f>
        <v/>
      </c>
      <c r="AO106" s="8" t="str">
        <f t="shared" ref="AO106" si="1564">IF(AO104="","",(AN106+AN107))</f>
        <v/>
      </c>
      <c r="AP106" s="8" t="str">
        <f t="shared" ref="AP106:AS106" si="1565">IF(AP104="","",(AO106+AO107))</f>
        <v/>
      </c>
      <c r="AQ106" s="8" t="str">
        <f t="shared" si="1565"/>
        <v/>
      </c>
      <c r="AR106" s="8" t="str">
        <f t="shared" si="1565"/>
        <v/>
      </c>
      <c r="AS106" s="8" t="str">
        <f t="shared" si="1565"/>
        <v/>
      </c>
    </row>
    <row r="107" spans="1:45" x14ac:dyDescent="0.15">
      <c r="A107" s="14"/>
      <c r="B107" s="9" t="s">
        <v>7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</row>
    <row r="108" spans="1:45" x14ac:dyDescent="0.15">
      <c r="A108" s="7"/>
      <c r="B108" s="9" t="s">
        <v>8</v>
      </c>
      <c r="C108" s="8">
        <v>400</v>
      </c>
      <c r="D108" s="8">
        <v>400</v>
      </c>
      <c r="E108" s="8">
        <v>400</v>
      </c>
      <c r="F108" s="8">
        <v>400</v>
      </c>
      <c r="G108" s="8">
        <v>400</v>
      </c>
      <c r="H108" s="8">
        <v>400</v>
      </c>
      <c r="I108" s="8">
        <v>400</v>
      </c>
      <c r="J108" s="8">
        <v>400</v>
      </c>
      <c r="K108" s="8">
        <f t="shared" ref="K108" si="1566">IF(K104="","",J108)</f>
        <v>400</v>
      </c>
      <c r="L108" s="8">
        <f t="shared" ref="L108" si="1567">IF(L104="","",K108)</f>
        <v>400</v>
      </c>
      <c r="M108" s="8">
        <f t="shared" ref="M108" si="1568">IF(M104="","",L108)</f>
        <v>400</v>
      </c>
      <c r="N108" s="8" t="str">
        <f t="shared" ref="N108" si="1569">IF(N104="","",M108)</f>
        <v/>
      </c>
      <c r="O108" s="8" t="str">
        <f t="shared" ref="O108" si="1570">IF(O104="","",N108)</f>
        <v/>
      </c>
      <c r="P108" s="8" t="str">
        <f t="shared" ref="P108" si="1571">IF(P104="","",O108)</f>
        <v/>
      </c>
      <c r="Q108" s="8" t="str">
        <f t="shared" ref="Q108" si="1572">IF(Q104="","",P108)</f>
        <v/>
      </c>
      <c r="R108" s="8" t="str">
        <f t="shared" ref="R108" si="1573">IF(R104="","",Q108)</f>
        <v/>
      </c>
      <c r="S108" s="8" t="str">
        <f t="shared" ref="S108" si="1574">IF(S104="","",R108)</f>
        <v/>
      </c>
      <c r="T108" s="8" t="str">
        <f t="shared" ref="T108" si="1575">IF(T104="","",S108)</f>
        <v/>
      </c>
      <c r="U108" s="8" t="str">
        <f t="shared" ref="U108" si="1576">IF(U104="","",T108)</f>
        <v/>
      </c>
      <c r="V108" s="8" t="str">
        <f t="shared" ref="V108" si="1577">IF(V104="","",U108)</f>
        <v/>
      </c>
      <c r="W108" s="8" t="str">
        <f t="shared" ref="W108" si="1578">IF(W104="","",V108)</f>
        <v/>
      </c>
      <c r="X108" s="8" t="str">
        <f t="shared" ref="X108" si="1579">IF(X104="","",W108)</f>
        <v/>
      </c>
      <c r="Y108" s="8" t="str">
        <f t="shared" ref="Y108" si="1580">IF(Y104="","",X108)</f>
        <v/>
      </c>
      <c r="Z108" s="8" t="str">
        <f t="shared" ref="Z108" si="1581">IF(Z104="","",Y108)</f>
        <v/>
      </c>
      <c r="AA108" s="8" t="str">
        <f t="shared" ref="AA108" si="1582">IF(AA104="","",Z108)</f>
        <v/>
      </c>
      <c r="AB108" s="8" t="str">
        <f t="shared" ref="AB108" si="1583">IF(AB104="","",AA108)</f>
        <v/>
      </c>
      <c r="AC108" s="8" t="str">
        <f t="shared" ref="AC108" si="1584">IF(AC104="","",AB108)</f>
        <v/>
      </c>
      <c r="AD108" s="8" t="str">
        <f t="shared" ref="AD108" si="1585">IF(AD104="","",AC108)</f>
        <v/>
      </c>
      <c r="AE108" s="8" t="str">
        <f t="shared" ref="AE108" si="1586">IF(AE104="","",AD108)</f>
        <v/>
      </c>
      <c r="AF108" s="8" t="str">
        <f t="shared" ref="AF108" si="1587">IF(AF104="","",AE108)</f>
        <v/>
      </c>
      <c r="AG108" s="8" t="str">
        <f t="shared" ref="AG108" si="1588">IF(AG104="","",AF108)</f>
        <v/>
      </c>
      <c r="AH108" s="8" t="str">
        <f t="shared" ref="AH108" si="1589">IF(AH104="","",AG108)</f>
        <v/>
      </c>
      <c r="AI108" s="8" t="str">
        <f t="shared" ref="AI108" si="1590">IF(AI104="","",AH108)</f>
        <v/>
      </c>
      <c r="AJ108" s="8" t="str">
        <f t="shared" ref="AJ108" si="1591">IF(AJ104="","",AI108)</f>
        <v/>
      </c>
      <c r="AK108" s="8" t="str">
        <f t="shared" ref="AK108" si="1592">IF(AK104="","",AJ108)</f>
        <v/>
      </c>
      <c r="AL108" s="8" t="str">
        <f t="shared" ref="AL108" si="1593">IF(AL104="","",AK108)</f>
        <v/>
      </c>
      <c r="AM108" s="8" t="str">
        <f t="shared" ref="AM108" si="1594">IF(AM104="","",AL108)</f>
        <v/>
      </c>
      <c r="AN108" s="8" t="str">
        <f t="shared" ref="AN108" si="1595">IF(AN104="","",AM108)</f>
        <v/>
      </c>
      <c r="AO108" s="8" t="str">
        <f t="shared" ref="AO108" si="1596">IF(AO104="","",AN108)</f>
        <v/>
      </c>
      <c r="AP108" s="8" t="str">
        <f t="shared" ref="AP108:AS108" si="1597">IF(AP104="","",AO108)</f>
        <v/>
      </c>
      <c r="AQ108" s="8" t="str">
        <f t="shared" si="1597"/>
        <v/>
      </c>
      <c r="AR108" s="8" t="str">
        <f t="shared" si="1597"/>
        <v/>
      </c>
      <c r="AS108" s="8" t="str">
        <f t="shared" si="1597"/>
        <v/>
      </c>
    </row>
    <row r="109" spans="1:45" s="85" customFormat="1" x14ac:dyDescent="0.15">
      <c r="A109" s="14" t="s">
        <v>9</v>
      </c>
      <c r="B109" s="13" t="s">
        <v>10</v>
      </c>
      <c r="C109" s="12" t="s">
        <v>68</v>
      </c>
      <c r="D109" s="12" t="s">
        <v>68</v>
      </c>
      <c r="E109" s="12" t="s">
        <v>68</v>
      </c>
      <c r="F109" s="12" t="s">
        <v>68</v>
      </c>
      <c r="G109" s="12" t="s">
        <v>68</v>
      </c>
      <c r="H109" s="12" t="s">
        <v>68</v>
      </c>
      <c r="I109" s="12" t="s">
        <v>68</v>
      </c>
      <c r="J109" s="12" t="s">
        <v>68</v>
      </c>
      <c r="K109" s="12" t="str">
        <f t="shared" ref="K109" si="1598">IF(K104="","",J109)</f>
        <v>スンスン　フェイスポーチ</v>
      </c>
      <c r="L109" s="12" t="str">
        <f t="shared" ref="L109" si="1599">IF(L104="","",K109)</f>
        <v>スンスン　フェイスポーチ</v>
      </c>
      <c r="M109" s="12" t="str">
        <f t="shared" ref="M109" si="1600">IF(M104="","",L109)</f>
        <v>スンスン　フェイスポーチ</v>
      </c>
      <c r="N109" s="12" t="str">
        <f t="shared" ref="N109" si="1601">IF(N104="","",M109)</f>
        <v/>
      </c>
      <c r="O109" s="12" t="str">
        <f t="shared" ref="O109" si="1602">IF(O104="","",N109)</f>
        <v/>
      </c>
      <c r="P109" s="12" t="str">
        <f t="shared" ref="P109" si="1603">IF(P104="","",O109)</f>
        <v/>
      </c>
      <c r="Q109" s="12" t="str">
        <f t="shared" ref="Q109" si="1604">IF(Q104="","",P109)</f>
        <v/>
      </c>
      <c r="R109" s="12" t="str">
        <f t="shared" ref="R109" si="1605">IF(R104="","",Q109)</f>
        <v/>
      </c>
      <c r="S109" s="12" t="str">
        <f t="shared" ref="S109" si="1606">IF(S104="","",R109)</f>
        <v/>
      </c>
      <c r="T109" s="12" t="str">
        <f t="shared" ref="T109" si="1607">IF(T104="","",S109)</f>
        <v/>
      </c>
      <c r="U109" s="12" t="str">
        <f t="shared" ref="U109" si="1608">IF(U104="","",T109)</f>
        <v/>
      </c>
      <c r="V109" s="12" t="str">
        <f t="shared" ref="V109" si="1609">IF(V104="","",U109)</f>
        <v/>
      </c>
      <c r="W109" s="12" t="str">
        <f t="shared" ref="W109" si="1610">IF(W104="","",V109)</f>
        <v/>
      </c>
      <c r="X109" s="12" t="str">
        <f t="shared" ref="X109" si="1611">IF(X104="","",W109)</f>
        <v/>
      </c>
      <c r="Y109" s="12" t="str">
        <f t="shared" ref="Y109" si="1612">IF(Y104="","",X109)</f>
        <v/>
      </c>
      <c r="Z109" s="12" t="str">
        <f t="shared" ref="Z109" si="1613">IF(Z104="","",Y109)</f>
        <v/>
      </c>
      <c r="AA109" s="12" t="str">
        <f t="shared" ref="AA109" si="1614">IF(AA104="","",Z109)</f>
        <v/>
      </c>
      <c r="AB109" s="12" t="str">
        <f t="shared" ref="AB109" si="1615">IF(AB104="","",AA109)</f>
        <v/>
      </c>
      <c r="AC109" s="12" t="str">
        <f t="shared" ref="AC109" si="1616">IF(AC104="","",AB109)</f>
        <v/>
      </c>
      <c r="AD109" s="12" t="str">
        <f t="shared" ref="AD109" si="1617">IF(AD104="","",AC109)</f>
        <v/>
      </c>
      <c r="AE109" s="12" t="str">
        <f t="shared" ref="AE109" si="1618">IF(AE104="","",AD109)</f>
        <v/>
      </c>
      <c r="AF109" s="12" t="str">
        <f t="shared" ref="AF109" si="1619">IF(AF104="","",AE109)</f>
        <v/>
      </c>
      <c r="AG109" s="12" t="str">
        <f t="shared" ref="AG109" si="1620">IF(AG104="","",AF109)</f>
        <v/>
      </c>
      <c r="AH109" s="12" t="str">
        <f t="shared" ref="AH109" si="1621">IF(AH104="","",AG109)</f>
        <v/>
      </c>
      <c r="AI109" s="12" t="str">
        <f t="shared" ref="AI109" si="1622">IF(AI104="","",AH109)</f>
        <v/>
      </c>
      <c r="AJ109" s="12" t="str">
        <f t="shared" ref="AJ109" si="1623">IF(AJ104="","",AI109)</f>
        <v/>
      </c>
      <c r="AK109" s="12" t="str">
        <f t="shared" ref="AK109" si="1624">IF(AK104="","",AJ109)</f>
        <v/>
      </c>
      <c r="AL109" s="12" t="str">
        <f t="shared" ref="AL109" si="1625">IF(AL104="","",AK109)</f>
        <v/>
      </c>
      <c r="AM109" s="12" t="str">
        <f t="shared" ref="AM109" si="1626">IF(AM104="","",AL109)</f>
        <v/>
      </c>
      <c r="AN109" s="12" t="str">
        <f t="shared" ref="AN109" si="1627">IF(AN104="","",AM109)</f>
        <v/>
      </c>
      <c r="AO109" s="12" t="str">
        <f t="shared" ref="AO109" si="1628">IF(AO104="","",AN109)</f>
        <v/>
      </c>
      <c r="AP109" s="12" t="str">
        <f t="shared" ref="AP109:AS109" si="1629">IF(AP104="","",AO109)</f>
        <v/>
      </c>
      <c r="AQ109" s="12" t="str">
        <f t="shared" si="1629"/>
        <v/>
      </c>
      <c r="AR109" s="12" t="str">
        <f t="shared" si="1629"/>
        <v/>
      </c>
      <c r="AS109" s="12" t="str">
        <f t="shared" si="1629"/>
        <v/>
      </c>
    </row>
    <row r="110" spans="1:45" x14ac:dyDescent="0.15">
      <c r="A110" s="7">
        <f>AVERAGE(C111:AS111)*30*100</f>
        <v>31636.363636363636</v>
      </c>
      <c r="B110" s="9" t="s">
        <v>12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</row>
    <row r="111" spans="1:45" x14ac:dyDescent="0.15">
      <c r="A111" s="7">
        <f>SUM(C111:AS111)</f>
        <v>116</v>
      </c>
      <c r="B111" s="6" t="s">
        <v>13</v>
      </c>
      <c r="C111" s="5">
        <v>0</v>
      </c>
      <c r="D111" s="5">
        <v>0</v>
      </c>
      <c r="E111" s="5">
        <v>0</v>
      </c>
      <c r="F111" s="5">
        <v>72</v>
      </c>
      <c r="G111" s="5">
        <v>0</v>
      </c>
      <c r="H111" s="5">
        <v>0</v>
      </c>
      <c r="I111" s="5">
        <v>0</v>
      </c>
      <c r="J111" s="5">
        <v>12</v>
      </c>
      <c r="K111" s="5">
        <f t="shared" ref="K111:K112" si="1630">IF(K104="","",K104-J104)</f>
        <v>0</v>
      </c>
      <c r="L111" s="5">
        <f t="shared" ref="L111:L112" si="1631">IF(L104="","",L104-K104)</f>
        <v>0</v>
      </c>
      <c r="M111" s="5">
        <f t="shared" ref="M111:M112" si="1632">IF(M104="","",M104-L104)</f>
        <v>32</v>
      </c>
      <c r="N111" s="5" t="str">
        <f t="shared" ref="N111:N112" si="1633">IF(N104="","",N104-M104)</f>
        <v/>
      </c>
      <c r="O111" s="5" t="str">
        <f t="shared" ref="O111:O112" si="1634">IF(O104="","",O104-N104)</f>
        <v/>
      </c>
      <c r="P111" s="5" t="str">
        <f t="shared" ref="P111:P112" si="1635">IF(P104="","",P104-O104)</f>
        <v/>
      </c>
      <c r="Q111" s="5" t="str">
        <f t="shared" ref="Q111:Q112" si="1636">IF(Q104="","",Q104-P104)</f>
        <v/>
      </c>
      <c r="R111" s="5" t="str">
        <f t="shared" ref="R111:R112" si="1637">IF(R104="","",R104-Q104)</f>
        <v/>
      </c>
      <c r="S111" s="5" t="str">
        <f t="shared" ref="S111:S112" si="1638">IF(S104="","",S104-R104)</f>
        <v/>
      </c>
      <c r="T111" s="5" t="str">
        <f t="shared" ref="T111:T112" si="1639">IF(T104="","",T104-S104)</f>
        <v/>
      </c>
      <c r="U111" s="5" t="str">
        <f t="shared" ref="U111:U112" si="1640">IF(U104="","",U104-T104)</f>
        <v/>
      </c>
      <c r="V111" s="5" t="str">
        <f t="shared" ref="V111:V112" si="1641">IF(V104="","",V104-U104)</f>
        <v/>
      </c>
      <c r="W111" s="5" t="str">
        <f t="shared" ref="W111:W112" si="1642">IF(W104="","",W104-V104)</f>
        <v/>
      </c>
      <c r="X111" s="5" t="str">
        <f t="shared" ref="X111:X112" si="1643">IF(X104="","",X104-W104)</f>
        <v/>
      </c>
      <c r="Y111" s="5" t="str">
        <f t="shared" ref="Y111:Y112" si="1644">IF(Y104="","",Y104-X104)</f>
        <v/>
      </c>
      <c r="Z111" s="5" t="str">
        <f t="shared" ref="Z111:Z112" si="1645">IF(Z104="","",Z104-Y104)</f>
        <v/>
      </c>
      <c r="AA111" s="5" t="str">
        <f t="shared" ref="AA111:AA112" si="1646">IF(AA104="","",AA104-Z104)</f>
        <v/>
      </c>
      <c r="AB111" s="5" t="str">
        <f t="shared" ref="AB111:AB112" si="1647">IF(AB104="","",AB104-AA104)</f>
        <v/>
      </c>
      <c r="AC111" s="5" t="str">
        <f t="shared" ref="AC111:AC112" si="1648">IF(AC104="","",AC104-AB104)</f>
        <v/>
      </c>
      <c r="AD111" s="5" t="str">
        <f t="shared" ref="AD111:AD112" si="1649">IF(AD104="","",AD104-AC104)</f>
        <v/>
      </c>
      <c r="AE111" s="5" t="str">
        <f t="shared" ref="AE111:AE112" si="1650">IF(AE104="","",AE104-AD104)</f>
        <v/>
      </c>
      <c r="AF111" s="5" t="str">
        <f t="shared" ref="AF111:AF112" si="1651">IF(AF104="","",AF104-AE104)</f>
        <v/>
      </c>
      <c r="AG111" s="5" t="str">
        <f t="shared" ref="AG111:AG112" si="1652">IF(AG104="","",AG104-AF104)</f>
        <v/>
      </c>
      <c r="AH111" s="5" t="str">
        <f t="shared" ref="AH111:AH112" si="1653">IF(AH104="","",AH104-AG104)</f>
        <v/>
      </c>
      <c r="AI111" s="5" t="str">
        <f t="shared" ref="AI111:AI112" si="1654">IF(AI104="","",AI104-AH104)</f>
        <v/>
      </c>
      <c r="AJ111" s="5" t="str">
        <f t="shared" ref="AJ111:AJ112" si="1655">IF(AJ104="","",AJ104-AI104)</f>
        <v/>
      </c>
      <c r="AK111" s="5" t="str">
        <f t="shared" ref="AK111:AK112" si="1656">IF(AK104="","",AK104-AJ104)</f>
        <v/>
      </c>
      <c r="AL111" s="5" t="str">
        <f t="shared" ref="AL111:AL112" si="1657">IF(AL104="","",AL104-AK104)</f>
        <v/>
      </c>
      <c r="AM111" s="5" t="str">
        <f t="shared" ref="AM111:AM112" si="1658">IF(AM104="","",AM104-AL104)</f>
        <v/>
      </c>
      <c r="AN111" s="5" t="str">
        <f t="shared" ref="AN111:AN112" si="1659">IF(AN104="","",AN104-AM104)</f>
        <v/>
      </c>
      <c r="AO111" s="5" t="str">
        <f t="shared" ref="AO111:AO112" si="1660">IF(AO104="","",AO104-AN104)</f>
        <v/>
      </c>
      <c r="AP111" s="5" t="str">
        <f t="shared" ref="AP111:AS111" si="1661">IF(AP104="","",AP104-AO104)</f>
        <v/>
      </c>
      <c r="AQ111" s="5" t="str">
        <f t="shared" si="1661"/>
        <v/>
      </c>
      <c r="AR111" s="5" t="str">
        <f t="shared" si="1661"/>
        <v/>
      </c>
      <c r="AS111" s="5" t="str">
        <f t="shared" si="1661"/>
        <v/>
      </c>
    </row>
    <row r="112" spans="1:45" x14ac:dyDescent="0.15">
      <c r="A112" s="7">
        <f>SUM(C112:AS112)</f>
        <v>1</v>
      </c>
      <c r="B112" s="6" t="s">
        <v>14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f t="shared" si="1630"/>
        <v>0</v>
      </c>
      <c r="L112" s="5">
        <f t="shared" si="1631"/>
        <v>0</v>
      </c>
      <c r="M112" s="5">
        <f t="shared" si="1632"/>
        <v>1</v>
      </c>
      <c r="N112" s="5" t="str">
        <f t="shared" si="1633"/>
        <v/>
      </c>
      <c r="O112" s="5" t="str">
        <f t="shared" si="1634"/>
        <v/>
      </c>
      <c r="P112" s="5" t="str">
        <f t="shared" si="1635"/>
        <v/>
      </c>
      <c r="Q112" s="5" t="str">
        <f t="shared" si="1636"/>
        <v/>
      </c>
      <c r="R112" s="5" t="str">
        <f t="shared" si="1637"/>
        <v/>
      </c>
      <c r="S112" s="5" t="str">
        <f t="shared" si="1638"/>
        <v/>
      </c>
      <c r="T112" s="5" t="str">
        <f t="shared" si="1639"/>
        <v/>
      </c>
      <c r="U112" s="5" t="str">
        <f t="shared" si="1640"/>
        <v/>
      </c>
      <c r="V112" s="5" t="str">
        <f t="shared" si="1641"/>
        <v/>
      </c>
      <c r="W112" s="5" t="str">
        <f t="shared" si="1642"/>
        <v/>
      </c>
      <c r="X112" s="5" t="str">
        <f t="shared" si="1643"/>
        <v/>
      </c>
      <c r="Y112" s="5" t="str">
        <f t="shared" si="1644"/>
        <v/>
      </c>
      <c r="Z112" s="5" t="str">
        <f t="shared" si="1645"/>
        <v/>
      </c>
      <c r="AA112" s="5" t="str">
        <f t="shared" si="1646"/>
        <v/>
      </c>
      <c r="AB112" s="5" t="str">
        <f t="shared" si="1647"/>
        <v/>
      </c>
      <c r="AC112" s="5" t="str">
        <f t="shared" si="1648"/>
        <v/>
      </c>
      <c r="AD112" s="5" t="str">
        <f t="shared" si="1649"/>
        <v/>
      </c>
      <c r="AE112" s="5" t="str">
        <f t="shared" si="1650"/>
        <v/>
      </c>
      <c r="AF112" s="5" t="str">
        <f t="shared" si="1651"/>
        <v/>
      </c>
      <c r="AG112" s="5" t="str">
        <f t="shared" si="1652"/>
        <v/>
      </c>
      <c r="AH112" s="5" t="str">
        <f t="shared" si="1653"/>
        <v/>
      </c>
      <c r="AI112" s="5" t="str">
        <f t="shared" si="1654"/>
        <v/>
      </c>
      <c r="AJ112" s="5" t="str">
        <f t="shared" si="1655"/>
        <v/>
      </c>
      <c r="AK112" s="5" t="str">
        <f t="shared" si="1656"/>
        <v/>
      </c>
      <c r="AL112" s="5" t="str">
        <f t="shared" si="1657"/>
        <v/>
      </c>
      <c r="AM112" s="5" t="str">
        <f t="shared" si="1658"/>
        <v/>
      </c>
      <c r="AN112" s="5" t="str">
        <f t="shared" si="1659"/>
        <v/>
      </c>
      <c r="AO112" s="5" t="str">
        <f t="shared" si="1660"/>
        <v/>
      </c>
      <c r="AP112" s="5" t="str">
        <f t="shared" ref="AP112:AS112" si="1662">IF(AP105="","",AP105-AO105)</f>
        <v/>
      </c>
      <c r="AQ112" s="5" t="str">
        <f t="shared" si="1662"/>
        <v/>
      </c>
      <c r="AR112" s="5" t="str">
        <f t="shared" si="1662"/>
        <v/>
      </c>
      <c r="AS112" s="5" t="str">
        <f t="shared" si="1662"/>
        <v/>
      </c>
    </row>
    <row r="113" spans="1:45" x14ac:dyDescent="0.15">
      <c r="A113" s="7">
        <f>SUM(C113:AS113)</f>
        <v>1</v>
      </c>
      <c r="B113" s="6" t="s">
        <v>15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f t="shared" ref="K113" si="1663">IF(K106="","",J106+J107-K106)</f>
        <v>0</v>
      </c>
      <c r="L113" s="5">
        <f t="shared" ref="L113" si="1664">IF(L106="","",K106+K107-L106)</f>
        <v>0</v>
      </c>
      <c r="M113" s="5">
        <f t="shared" ref="M113" si="1665">IF(M106="","",L106+L107-M106)</f>
        <v>1</v>
      </c>
      <c r="N113" s="5" t="str">
        <f t="shared" ref="N113" si="1666">IF(N106="","",M106+M107-N106)</f>
        <v/>
      </c>
      <c r="O113" s="5" t="str">
        <f t="shared" ref="O113" si="1667">IF(O106="","",N106+N107-O106)</f>
        <v/>
      </c>
      <c r="P113" s="5" t="str">
        <f t="shared" ref="P113" si="1668">IF(P106="","",O106+O107-P106)</f>
        <v/>
      </c>
      <c r="Q113" s="5" t="str">
        <f t="shared" ref="Q113" si="1669">IF(Q106="","",P106+P107-Q106)</f>
        <v/>
      </c>
      <c r="R113" s="5" t="str">
        <f t="shared" ref="R113" si="1670">IF(R106="","",Q106+Q107-R106)</f>
        <v/>
      </c>
      <c r="S113" s="5" t="str">
        <f t="shared" ref="S113" si="1671">IF(S106="","",R106+R107-S106)</f>
        <v/>
      </c>
      <c r="T113" s="5" t="str">
        <f t="shared" ref="T113" si="1672">IF(T106="","",S106+S107-T106)</f>
        <v/>
      </c>
      <c r="U113" s="5" t="str">
        <f t="shared" ref="U113" si="1673">IF(U106="","",T106+T107-U106)</f>
        <v/>
      </c>
      <c r="V113" s="5" t="str">
        <f t="shared" ref="V113" si="1674">IF(V106="","",U106+U107-V106)</f>
        <v/>
      </c>
      <c r="W113" s="5" t="str">
        <f t="shared" ref="W113" si="1675">IF(W106="","",V106+V107-W106)</f>
        <v/>
      </c>
      <c r="X113" s="5" t="str">
        <f t="shared" ref="X113" si="1676">IF(X106="","",W106+W107-X106)</f>
        <v/>
      </c>
      <c r="Y113" s="5" t="str">
        <f t="shared" ref="Y113" si="1677">IF(Y106="","",X106+X107-Y106)</f>
        <v/>
      </c>
      <c r="Z113" s="5" t="str">
        <f t="shared" ref="Z113" si="1678">IF(Z106="","",Y106+Y107-Z106)</f>
        <v/>
      </c>
      <c r="AA113" s="5" t="str">
        <f t="shared" ref="AA113" si="1679">IF(AA106="","",Z106+Z107-AA106)</f>
        <v/>
      </c>
      <c r="AB113" s="5" t="str">
        <f t="shared" ref="AB113" si="1680">IF(AB106="","",AA106+AA107-AB106)</f>
        <v/>
      </c>
      <c r="AC113" s="5" t="str">
        <f t="shared" ref="AC113" si="1681">IF(AC106="","",AB106+AB107-AC106)</f>
        <v/>
      </c>
      <c r="AD113" s="5" t="str">
        <f t="shared" ref="AD113" si="1682">IF(AD106="","",AC106+AC107-AD106)</f>
        <v/>
      </c>
      <c r="AE113" s="5" t="str">
        <f t="shared" ref="AE113" si="1683">IF(AE106="","",AD106+AD107-AE106)</f>
        <v/>
      </c>
      <c r="AF113" s="5" t="str">
        <f t="shared" ref="AF113" si="1684">IF(AF106="","",AE106+AE107-AF106)</f>
        <v/>
      </c>
      <c r="AG113" s="5" t="str">
        <f t="shared" ref="AG113" si="1685">IF(AG106="","",AF106+AF107-AG106)</f>
        <v/>
      </c>
      <c r="AH113" s="5" t="str">
        <f t="shared" ref="AH113" si="1686">IF(AH106="","",AG106+AG107-AH106)</f>
        <v/>
      </c>
      <c r="AI113" s="5" t="str">
        <f t="shared" ref="AI113" si="1687">IF(AI106="","",AH106+AH107-AI106)</f>
        <v/>
      </c>
      <c r="AJ113" s="5" t="str">
        <f t="shared" ref="AJ113" si="1688">IF(AJ106="","",AI106+AI107-AJ106)</f>
        <v/>
      </c>
      <c r="AK113" s="5" t="str">
        <f t="shared" ref="AK113" si="1689">IF(AK106="","",AJ106+AJ107-AK106)</f>
        <v/>
      </c>
      <c r="AL113" s="5" t="str">
        <f t="shared" ref="AL113" si="1690">IF(AL106="","",AK106+AK107-AL106)</f>
        <v/>
      </c>
      <c r="AM113" s="5" t="str">
        <f t="shared" ref="AM113" si="1691">IF(AM106="","",AL106+AL107-AM106)</f>
        <v/>
      </c>
      <c r="AN113" s="5" t="str">
        <f t="shared" ref="AN113" si="1692">IF(AN106="","",AM106+AM107-AN106)</f>
        <v/>
      </c>
      <c r="AO113" s="5" t="str">
        <f t="shared" ref="AO113" si="1693">IF(AO106="","",AN106+AN107-AO106)</f>
        <v/>
      </c>
      <c r="AP113" s="5" t="str">
        <f t="shared" ref="AP113:AS113" si="1694">IF(AP106="","",AO106+AO107-AP106)</f>
        <v/>
      </c>
      <c r="AQ113" s="5" t="str">
        <f t="shared" si="1694"/>
        <v/>
      </c>
      <c r="AR113" s="5" t="str">
        <f t="shared" si="1694"/>
        <v/>
      </c>
      <c r="AS113" s="5" t="str">
        <f t="shared" si="1694"/>
        <v/>
      </c>
    </row>
    <row r="114" spans="1:45" x14ac:dyDescent="0.15">
      <c r="A114" s="7">
        <f>SUM(C114:AS114)</f>
        <v>400</v>
      </c>
      <c r="B114" s="6" t="s">
        <v>16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f t="shared" ref="I114:AO114" si="1695">IF(K104="","",K113*K108)</f>
        <v>0</v>
      </c>
      <c r="L114" s="5">
        <f t="shared" si="1695"/>
        <v>0</v>
      </c>
      <c r="M114" s="5">
        <f t="shared" si="1695"/>
        <v>400</v>
      </c>
      <c r="N114" s="5" t="str">
        <f t="shared" si="1695"/>
        <v/>
      </c>
      <c r="O114" s="5" t="str">
        <f t="shared" si="1695"/>
        <v/>
      </c>
      <c r="P114" s="5" t="str">
        <f t="shared" si="1695"/>
        <v/>
      </c>
      <c r="Q114" s="5" t="str">
        <f t="shared" si="1695"/>
        <v/>
      </c>
      <c r="R114" s="5" t="str">
        <f t="shared" si="1695"/>
        <v/>
      </c>
      <c r="S114" s="5" t="str">
        <f t="shared" si="1695"/>
        <v/>
      </c>
      <c r="T114" s="5" t="str">
        <f t="shared" si="1695"/>
        <v/>
      </c>
      <c r="U114" s="5" t="str">
        <f t="shared" si="1695"/>
        <v/>
      </c>
      <c r="V114" s="5" t="str">
        <f t="shared" si="1695"/>
        <v/>
      </c>
      <c r="W114" s="5" t="str">
        <f t="shared" si="1695"/>
        <v/>
      </c>
      <c r="X114" s="5" t="str">
        <f t="shared" si="1695"/>
        <v/>
      </c>
      <c r="Y114" s="5" t="str">
        <f t="shared" si="1695"/>
        <v/>
      </c>
      <c r="Z114" s="5" t="str">
        <f t="shared" si="1695"/>
        <v/>
      </c>
      <c r="AA114" s="5" t="str">
        <f t="shared" si="1695"/>
        <v/>
      </c>
      <c r="AB114" s="5" t="str">
        <f t="shared" si="1695"/>
        <v/>
      </c>
      <c r="AC114" s="5" t="str">
        <f t="shared" si="1695"/>
        <v/>
      </c>
      <c r="AD114" s="5" t="str">
        <f t="shared" si="1695"/>
        <v/>
      </c>
      <c r="AE114" s="5" t="str">
        <f t="shared" si="1695"/>
        <v/>
      </c>
      <c r="AF114" s="5" t="str">
        <f t="shared" si="1695"/>
        <v/>
      </c>
      <c r="AG114" s="5" t="str">
        <f t="shared" si="1695"/>
        <v/>
      </c>
      <c r="AH114" s="5" t="str">
        <f t="shared" si="1695"/>
        <v/>
      </c>
      <c r="AI114" s="5" t="str">
        <f t="shared" si="1695"/>
        <v/>
      </c>
      <c r="AJ114" s="5" t="str">
        <f t="shared" si="1695"/>
        <v/>
      </c>
      <c r="AK114" s="5" t="str">
        <f t="shared" si="1695"/>
        <v/>
      </c>
      <c r="AL114" s="5" t="str">
        <f t="shared" si="1695"/>
        <v/>
      </c>
      <c r="AM114" s="5" t="str">
        <f t="shared" si="1695"/>
        <v/>
      </c>
      <c r="AN114" s="5" t="str">
        <f t="shared" si="1695"/>
        <v/>
      </c>
      <c r="AO114" s="5" t="str">
        <f t="shared" si="1695"/>
        <v/>
      </c>
      <c r="AP114" s="5" t="str">
        <f t="shared" ref="AP114:AS114" si="1696">IF(AP104="","",AP113*AP108)</f>
        <v/>
      </c>
      <c r="AQ114" s="5" t="str">
        <f t="shared" si="1696"/>
        <v/>
      </c>
      <c r="AR114" s="5" t="str">
        <f t="shared" si="1696"/>
        <v/>
      </c>
      <c r="AS114" s="5" t="str">
        <f t="shared" si="1696"/>
        <v/>
      </c>
    </row>
    <row r="115" spans="1:45" ht="12" thickBot="1" x14ac:dyDescent="0.2">
      <c r="A115" s="4">
        <f>IF(A114="","",A114/(A111*100))</f>
        <v>3.4482758620689655E-2</v>
      </c>
      <c r="B115" s="6" t="s">
        <v>18</v>
      </c>
      <c r="C115" s="18" t="s">
        <v>19</v>
      </c>
      <c r="D115" s="18" t="s">
        <v>19</v>
      </c>
      <c r="E115" s="18" t="s">
        <v>19</v>
      </c>
      <c r="F115" s="18" t="s">
        <v>19</v>
      </c>
      <c r="G115" s="18" t="s">
        <v>19</v>
      </c>
      <c r="H115" s="18" t="s">
        <v>19</v>
      </c>
      <c r="I115" s="18" t="s">
        <v>19</v>
      </c>
      <c r="J115" s="18" t="s">
        <v>19</v>
      </c>
      <c r="K115" s="18" t="str">
        <f t="shared" ref="I115:AO115" si="1697">IF(K114="","",IF(K114=0,"",K114/(K111*100)))</f>
        <v/>
      </c>
      <c r="L115" s="18" t="str">
        <f t="shared" si="1697"/>
        <v/>
      </c>
      <c r="M115" s="18">
        <f t="shared" si="1697"/>
        <v>0.125</v>
      </c>
      <c r="N115" s="18" t="str">
        <f t="shared" si="1697"/>
        <v/>
      </c>
      <c r="O115" s="18" t="str">
        <f t="shared" si="1697"/>
        <v/>
      </c>
      <c r="P115" s="18" t="str">
        <f t="shared" si="1697"/>
        <v/>
      </c>
      <c r="Q115" s="18" t="str">
        <f t="shared" si="1697"/>
        <v/>
      </c>
      <c r="R115" s="18" t="str">
        <f t="shared" si="1697"/>
        <v/>
      </c>
      <c r="S115" s="18" t="str">
        <f t="shared" si="1697"/>
        <v/>
      </c>
      <c r="T115" s="18" t="str">
        <f t="shared" si="1697"/>
        <v/>
      </c>
      <c r="U115" s="18" t="str">
        <f t="shared" si="1697"/>
        <v/>
      </c>
      <c r="V115" s="18" t="str">
        <f t="shared" si="1697"/>
        <v/>
      </c>
      <c r="W115" s="18" t="str">
        <f t="shared" si="1697"/>
        <v/>
      </c>
      <c r="X115" s="18" t="str">
        <f t="shared" si="1697"/>
        <v/>
      </c>
      <c r="Y115" s="18" t="str">
        <f t="shared" si="1697"/>
        <v/>
      </c>
      <c r="Z115" s="18" t="str">
        <f t="shared" si="1697"/>
        <v/>
      </c>
      <c r="AA115" s="18" t="str">
        <f t="shared" si="1697"/>
        <v/>
      </c>
      <c r="AB115" s="18" t="str">
        <f t="shared" si="1697"/>
        <v/>
      </c>
      <c r="AC115" s="18" t="str">
        <f t="shared" si="1697"/>
        <v/>
      </c>
      <c r="AD115" s="18" t="str">
        <f t="shared" si="1697"/>
        <v/>
      </c>
      <c r="AE115" s="18" t="str">
        <f t="shared" si="1697"/>
        <v/>
      </c>
      <c r="AF115" s="18" t="str">
        <f t="shared" si="1697"/>
        <v/>
      </c>
      <c r="AG115" s="18" t="str">
        <f t="shared" si="1697"/>
        <v/>
      </c>
      <c r="AH115" s="18" t="str">
        <f t="shared" si="1697"/>
        <v/>
      </c>
      <c r="AI115" s="18" t="str">
        <f t="shared" si="1697"/>
        <v/>
      </c>
      <c r="AJ115" s="18" t="str">
        <f t="shared" si="1697"/>
        <v/>
      </c>
      <c r="AK115" s="18" t="str">
        <f t="shared" si="1697"/>
        <v/>
      </c>
      <c r="AL115" s="18" t="str">
        <f t="shared" si="1697"/>
        <v/>
      </c>
      <c r="AM115" s="18" t="str">
        <f t="shared" si="1697"/>
        <v/>
      </c>
      <c r="AN115" s="18" t="str">
        <f t="shared" si="1697"/>
        <v/>
      </c>
      <c r="AO115" s="18" t="str">
        <f t="shared" si="1697"/>
        <v/>
      </c>
      <c r="AP115" s="18" t="str">
        <f t="shared" ref="AP115:AS115" si="1698">IF(AP114="","",IF(AP114=0,"",AP114/(AP111*100)))</f>
        <v/>
      </c>
      <c r="AQ115" s="18" t="str">
        <f t="shared" si="1698"/>
        <v/>
      </c>
      <c r="AR115" s="18" t="str">
        <f t="shared" si="1698"/>
        <v/>
      </c>
      <c r="AS115" s="18" t="str">
        <f t="shared" si="1698"/>
        <v/>
      </c>
    </row>
    <row r="116" spans="1:45" x14ac:dyDescent="0.15">
      <c r="A116" s="17" t="s">
        <v>59</v>
      </c>
      <c r="B116" s="9" t="s">
        <v>2</v>
      </c>
      <c r="C116" s="8">
        <v>10872</v>
      </c>
      <c r="D116" s="8">
        <v>10872</v>
      </c>
      <c r="E116" s="8">
        <v>10872</v>
      </c>
      <c r="F116" s="8">
        <v>10909</v>
      </c>
      <c r="G116" s="8">
        <v>10909</v>
      </c>
      <c r="H116" s="8">
        <v>10909</v>
      </c>
      <c r="I116" s="8">
        <v>10909</v>
      </c>
      <c r="J116" s="8">
        <v>11074</v>
      </c>
      <c r="K116" s="8">
        <f t="shared" ref="K116:K117" si="1699">IF(K$8="","",J116)</f>
        <v>11074</v>
      </c>
      <c r="L116" s="8">
        <f t="shared" ref="L116:L117" si="1700">IF(L$8="","",K116)</f>
        <v>11074</v>
      </c>
      <c r="M116" s="8">
        <v>11157</v>
      </c>
      <c r="N116" s="8" t="str">
        <f t="shared" ref="N116:N117" si="1701">IF(N$8="","",M116)</f>
        <v/>
      </c>
      <c r="O116" s="8" t="str">
        <f t="shared" ref="O116:O117" si="1702">IF(O$8="","",N116)</f>
        <v/>
      </c>
      <c r="P116" s="8" t="str">
        <f t="shared" ref="P116:P117" si="1703">IF(P$8="","",O116)</f>
        <v/>
      </c>
      <c r="Q116" s="8" t="str">
        <f>IF(Q$8="","",P116)</f>
        <v/>
      </c>
      <c r="R116" s="8" t="str">
        <f t="shared" ref="R116:R117" si="1704">IF(R$8="","",Q116)</f>
        <v/>
      </c>
      <c r="S116" s="8" t="str">
        <f t="shared" ref="S116:S117" si="1705">IF(S$8="","",R116)</f>
        <v/>
      </c>
      <c r="T116" s="8" t="str">
        <f>IF(T$8="","",S116)</f>
        <v/>
      </c>
      <c r="U116" s="8" t="str">
        <f t="shared" ref="U116:U117" si="1706">IF(U$8="","",T116)</f>
        <v/>
      </c>
      <c r="V116" s="8" t="str">
        <f t="shared" ref="V116:V117" si="1707">IF(V$8="","",U116)</f>
        <v/>
      </c>
      <c r="W116" s="8" t="str">
        <f t="shared" ref="W116:W117" si="1708">IF(W$8="","",V116)</f>
        <v/>
      </c>
      <c r="X116" s="8" t="str">
        <f>IF(X$8="","",W116)</f>
        <v/>
      </c>
      <c r="Y116" s="8" t="str">
        <f t="shared" ref="Y116:Y117" si="1709">IF(Y$8="","",X116)</f>
        <v/>
      </c>
      <c r="Z116" s="8" t="str">
        <f t="shared" ref="Z116:Z117" si="1710">IF(Z$8="","",Y116)</f>
        <v/>
      </c>
      <c r="AA116" s="8" t="str">
        <f>IF(AA$8="","",Z116)</f>
        <v/>
      </c>
      <c r="AB116" s="8" t="str">
        <f t="shared" ref="AB116:AB117" si="1711">IF(AB$8="","",AA116)</f>
        <v/>
      </c>
      <c r="AC116" s="8" t="str">
        <f t="shared" ref="AC116:AC117" si="1712">IF(AC$8="","",AB116)</f>
        <v/>
      </c>
      <c r="AD116" s="8" t="str">
        <f>IF(AD$8="","",AC116)</f>
        <v/>
      </c>
      <c r="AE116" s="8" t="str">
        <f t="shared" ref="AE116:AE117" si="1713">IF(AE$8="","",AD116)</f>
        <v/>
      </c>
      <c r="AF116" s="8" t="str">
        <f t="shared" ref="AF116:AF117" si="1714">IF(AF$8="","",AE116)</f>
        <v/>
      </c>
      <c r="AG116" s="8" t="str">
        <f t="shared" ref="AG116:AG117" si="1715">IF(AG$8="","",AF116)</f>
        <v/>
      </c>
      <c r="AH116" s="8" t="str">
        <f>IF(AH$8="","",AG116)</f>
        <v/>
      </c>
      <c r="AI116" s="8" t="str">
        <f t="shared" ref="AI116:AI117" si="1716">IF(AI$8="","",AH116)</f>
        <v/>
      </c>
      <c r="AJ116" s="8" t="str">
        <f t="shared" ref="AJ116:AJ117" si="1717">IF(AJ$8="","",AI116)</f>
        <v/>
      </c>
      <c r="AK116" s="8" t="str">
        <f t="shared" ref="AK116:AK117" si="1718">IF(AK$8="","",AJ116)</f>
        <v/>
      </c>
      <c r="AL116" s="8" t="str">
        <f>IF(AL$8="","",AK116)</f>
        <v/>
      </c>
      <c r="AM116" s="8" t="str">
        <f t="shared" ref="AM116:AM117" si="1719">IF(AM$8="","",AL116)</f>
        <v/>
      </c>
      <c r="AN116" s="8" t="str">
        <f t="shared" ref="AN116:AN117" si="1720">IF(AN$8="","",AM116)</f>
        <v/>
      </c>
      <c r="AO116" s="8" t="str">
        <f t="shared" ref="AO116:AO117" si="1721">IF(AO$8="","",AN116)</f>
        <v/>
      </c>
      <c r="AP116" s="8" t="str">
        <f t="shared" ref="AP116:AS116" si="1722">IF(AP$8="","",AO116)</f>
        <v/>
      </c>
      <c r="AQ116" s="8" t="str">
        <f t="shared" si="1722"/>
        <v/>
      </c>
      <c r="AR116" s="8" t="str">
        <f t="shared" si="1722"/>
        <v/>
      </c>
      <c r="AS116" s="8" t="str">
        <f t="shared" si="1722"/>
        <v/>
      </c>
    </row>
    <row r="117" spans="1:45" x14ac:dyDescent="0.15">
      <c r="A117" s="16" t="s">
        <v>24</v>
      </c>
      <c r="B117" s="9" t="s">
        <v>4</v>
      </c>
      <c r="C117" s="8">
        <v>362</v>
      </c>
      <c r="D117" s="8">
        <v>362</v>
      </c>
      <c r="E117" s="8">
        <v>362</v>
      </c>
      <c r="F117" s="8">
        <v>362</v>
      </c>
      <c r="G117" s="8">
        <v>362</v>
      </c>
      <c r="H117" s="8">
        <v>362</v>
      </c>
      <c r="I117" s="8">
        <v>362</v>
      </c>
      <c r="J117" s="8">
        <v>364</v>
      </c>
      <c r="K117" s="8">
        <f t="shared" si="1699"/>
        <v>364</v>
      </c>
      <c r="L117" s="8">
        <f t="shared" si="1700"/>
        <v>364</v>
      </c>
      <c r="M117" s="8">
        <v>365</v>
      </c>
      <c r="N117" s="8" t="str">
        <f t="shared" si="1701"/>
        <v/>
      </c>
      <c r="O117" s="8" t="str">
        <f t="shared" si="1702"/>
        <v/>
      </c>
      <c r="P117" s="8" t="str">
        <f t="shared" si="1703"/>
        <v/>
      </c>
      <c r="Q117" s="8" t="str">
        <f>IF(Q$8="","",P117)</f>
        <v/>
      </c>
      <c r="R117" s="8" t="str">
        <f t="shared" si="1704"/>
        <v/>
      </c>
      <c r="S117" s="8" t="str">
        <f t="shared" si="1705"/>
        <v/>
      </c>
      <c r="T117" s="8" t="str">
        <f t="shared" ref="T117" si="1723">IF(T$8="","",S117)</f>
        <v/>
      </c>
      <c r="U117" s="8" t="str">
        <f t="shared" si="1706"/>
        <v/>
      </c>
      <c r="V117" s="8" t="str">
        <f t="shared" si="1707"/>
        <v/>
      </c>
      <c r="W117" s="8" t="str">
        <f t="shared" si="1708"/>
        <v/>
      </c>
      <c r="X117" s="8" t="str">
        <f t="shared" ref="X117" si="1724">IF(X$8="","",W117)</f>
        <v/>
      </c>
      <c r="Y117" s="8" t="str">
        <f t="shared" si="1709"/>
        <v/>
      </c>
      <c r="Z117" s="8" t="str">
        <f t="shared" si="1710"/>
        <v/>
      </c>
      <c r="AA117" s="8" t="str">
        <f>IF(AA$8="","",Z117)</f>
        <v/>
      </c>
      <c r="AB117" s="8" t="str">
        <f t="shared" si="1711"/>
        <v/>
      </c>
      <c r="AC117" s="8" t="str">
        <f t="shared" si="1712"/>
        <v/>
      </c>
      <c r="AD117" s="8" t="str">
        <f t="shared" ref="AD117" si="1725">IF(AD$8="","",AC117)</f>
        <v/>
      </c>
      <c r="AE117" s="8" t="str">
        <f t="shared" si="1713"/>
        <v/>
      </c>
      <c r="AF117" s="8" t="str">
        <f t="shared" si="1714"/>
        <v/>
      </c>
      <c r="AG117" s="8" t="str">
        <f t="shared" si="1715"/>
        <v/>
      </c>
      <c r="AH117" s="8" t="str">
        <f t="shared" ref="AH116:AH117" si="1726">IF(AH$8="","",AG117)</f>
        <v/>
      </c>
      <c r="AI117" s="8" t="str">
        <f t="shared" si="1716"/>
        <v/>
      </c>
      <c r="AJ117" s="8" t="str">
        <f t="shared" si="1717"/>
        <v/>
      </c>
      <c r="AK117" s="8" t="str">
        <f t="shared" si="1718"/>
        <v/>
      </c>
      <c r="AL117" s="8" t="str">
        <f>IF(AL$8="","",AK117)</f>
        <v/>
      </c>
      <c r="AM117" s="8" t="str">
        <f t="shared" si="1719"/>
        <v/>
      </c>
      <c r="AN117" s="8" t="str">
        <f t="shared" si="1720"/>
        <v/>
      </c>
      <c r="AO117" s="8" t="str">
        <f t="shared" si="1721"/>
        <v/>
      </c>
      <c r="AP117" s="8" t="str">
        <f t="shared" ref="AP117:AS117" si="1727">IF(AP$8="","",AO117)</f>
        <v/>
      </c>
      <c r="AQ117" s="8" t="str">
        <f t="shared" si="1727"/>
        <v/>
      </c>
      <c r="AR117" s="8" t="str">
        <f t="shared" si="1727"/>
        <v/>
      </c>
      <c r="AS117" s="8" t="str">
        <f t="shared" si="1727"/>
        <v/>
      </c>
    </row>
    <row r="118" spans="1:45" x14ac:dyDescent="0.15">
      <c r="A118" s="15">
        <v>3</v>
      </c>
      <c r="B118" s="9" t="s">
        <v>5</v>
      </c>
      <c r="C118" s="8">
        <v>5</v>
      </c>
      <c r="D118" s="8">
        <v>5</v>
      </c>
      <c r="E118" s="8">
        <v>5</v>
      </c>
      <c r="F118" s="8">
        <v>4</v>
      </c>
      <c r="G118" s="8">
        <v>5</v>
      </c>
      <c r="H118" s="8">
        <v>5</v>
      </c>
      <c r="I118" s="8">
        <v>5</v>
      </c>
      <c r="J118" s="8">
        <v>3</v>
      </c>
      <c r="K118" s="8">
        <f t="shared" ref="K118" si="1728">IF(K116="","",(J118+J119))</f>
        <v>6</v>
      </c>
      <c r="L118" s="8">
        <f t="shared" ref="L118" si="1729">IF(L116="","",(K118+K119))</f>
        <v>6</v>
      </c>
      <c r="M118" s="8">
        <v>5</v>
      </c>
      <c r="N118" s="8" t="str">
        <f t="shared" ref="N118" si="1730">IF(N116="","",(M118+M119))</f>
        <v/>
      </c>
      <c r="O118" s="8" t="str">
        <f t="shared" ref="O118" si="1731">IF(O116="","",(N118+N119))</f>
        <v/>
      </c>
      <c r="P118" s="8" t="str">
        <f t="shared" ref="P118" si="1732">IF(P116="","",(O118+O119))</f>
        <v/>
      </c>
      <c r="Q118" s="8" t="str">
        <f>IF(Q116="","",(P118+P119))</f>
        <v/>
      </c>
      <c r="R118" s="8" t="str">
        <f t="shared" ref="R118" si="1733">IF(R116="","",(Q118+Q119))</f>
        <v/>
      </c>
      <c r="S118" s="8" t="str">
        <f t="shared" ref="S118" si="1734">IF(S116="","",(R118+R119))</f>
        <v/>
      </c>
      <c r="T118" s="8" t="str">
        <f t="shared" ref="T118" si="1735">IF(T116="","",(S118+S119))</f>
        <v/>
      </c>
      <c r="U118" s="8" t="str">
        <f t="shared" ref="U118" si="1736">IF(U116="","",(T118+T119))</f>
        <v/>
      </c>
      <c r="V118" s="8" t="str">
        <f t="shared" ref="V118" si="1737">IF(V116="","",(U118+U119))</f>
        <v/>
      </c>
      <c r="W118" s="8" t="str">
        <f t="shared" ref="W118" si="1738">IF(W116="","",(V118+V119))</f>
        <v/>
      </c>
      <c r="X118" s="8" t="str">
        <f t="shared" ref="X118" si="1739">IF(X116="","",(W118+W119))</f>
        <v/>
      </c>
      <c r="Y118" s="8" t="str">
        <f t="shared" ref="Y118" si="1740">IF(Y116="","",(X118+X119))</f>
        <v/>
      </c>
      <c r="Z118" s="8" t="str">
        <f t="shared" ref="Z118" si="1741">IF(Z116="","",(Y118+Y119))</f>
        <v/>
      </c>
      <c r="AA118" s="8" t="str">
        <f>IF(AA116="","",(Z118+Z119))</f>
        <v/>
      </c>
      <c r="AB118" s="8" t="str">
        <f t="shared" ref="AB118" si="1742">IF(AB116="","",(AA118+AA119))</f>
        <v/>
      </c>
      <c r="AC118" s="8" t="str">
        <f t="shared" ref="AC118" si="1743">IF(AC116="","",(AB118+AB119))</f>
        <v/>
      </c>
      <c r="AD118" s="8" t="str">
        <f t="shared" ref="AD118" si="1744">IF(AD116="","",(AC118+AC119))</f>
        <v/>
      </c>
      <c r="AE118" s="8" t="str">
        <f t="shared" ref="AE118" si="1745">IF(AE116="","",(AD118+AD119))</f>
        <v/>
      </c>
      <c r="AF118" s="8" t="str">
        <f t="shared" ref="AF118" si="1746">IF(AF116="","",(AE118+AE119))</f>
        <v/>
      </c>
      <c r="AG118" s="8" t="str">
        <f t="shared" ref="AG118" si="1747">IF(AG116="","",(AF118+AF119))</f>
        <v/>
      </c>
      <c r="AH118" s="8" t="str">
        <f>IF(AH116="","",(AG118+AG119))</f>
        <v/>
      </c>
      <c r="AI118" s="8" t="str">
        <f t="shared" ref="AI118" si="1748">IF(AI116="","",(AH118+AH119))</f>
        <v/>
      </c>
      <c r="AJ118" s="8" t="str">
        <f t="shared" ref="AJ118" si="1749">IF(AJ116="","",(AI118+AI119))</f>
        <v/>
      </c>
      <c r="AK118" s="8" t="str">
        <f t="shared" ref="AK118" si="1750">IF(AK116="","",(AJ118+AJ119))</f>
        <v/>
      </c>
      <c r="AL118" s="8" t="str">
        <f>IF(AL116="","",(AK118+AK119))</f>
        <v/>
      </c>
      <c r="AM118" s="8" t="str">
        <f t="shared" ref="AM118" si="1751">IF(AM116="","",(AL118+AL119))</f>
        <v/>
      </c>
      <c r="AN118" s="8" t="str">
        <f t="shared" ref="AN118" si="1752">IF(AN116="","",(AM118+AM119))</f>
        <v/>
      </c>
      <c r="AO118" s="8" t="str">
        <f t="shared" ref="AO118" si="1753">IF(AO116="","",(AN118+AN119))</f>
        <v/>
      </c>
      <c r="AP118" s="8" t="str">
        <f t="shared" ref="AP118:AS118" si="1754">IF(AP116="","",(AO118+AO119))</f>
        <v/>
      </c>
      <c r="AQ118" s="8" t="str">
        <f t="shared" si="1754"/>
        <v/>
      </c>
      <c r="AR118" s="8" t="str">
        <f t="shared" si="1754"/>
        <v/>
      </c>
      <c r="AS118" s="8" t="str">
        <f t="shared" si="1754"/>
        <v/>
      </c>
    </row>
    <row r="119" spans="1:45" x14ac:dyDescent="0.15">
      <c r="A119" s="14"/>
      <c r="B119" s="9" t="s">
        <v>7</v>
      </c>
      <c r="C119" s="8"/>
      <c r="D119" s="8"/>
      <c r="E119" s="8"/>
      <c r="F119" s="8">
        <v>1</v>
      </c>
      <c r="G119" s="8"/>
      <c r="H119" s="8"/>
      <c r="I119" s="8"/>
      <c r="J119" s="8">
        <v>3</v>
      </c>
      <c r="K119" s="8"/>
      <c r="L119" s="8"/>
      <c r="M119" s="8">
        <v>2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</row>
    <row r="120" spans="1:45" x14ac:dyDescent="0.15">
      <c r="A120" s="7"/>
      <c r="B120" s="9" t="s">
        <v>8</v>
      </c>
      <c r="C120" s="8">
        <v>350</v>
      </c>
      <c r="D120" s="8">
        <v>350</v>
      </c>
      <c r="E120" s="8">
        <v>350</v>
      </c>
      <c r="F120" s="8">
        <v>350</v>
      </c>
      <c r="G120" s="8">
        <v>350</v>
      </c>
      <c r="H120" s="8">
        <v>350</v>
      </c>
      <c r="I120" s="8">
        <v>350</v>
      </c>
      <c r="J120" s="8">
        <v>350</v>
      </c>
      <c r="K120" s="8">
        <f t="shared" ref="K120" si="1755">IF(K116="","",J120)</f>
        <v>350</v>
      </c>
      <c r="L120" s="8">
        <f t="shared" ref="L120" si="1756">IF(L116="","",K120)</f>
        <v>350</v>
      </c>
      <c r="M120" s="8">
        <f t="shared" ref="M120" si="1757">IF(M116="","",L120)</f>
        <v>350</v>
      </c>
      <c r="N120" s="8" t="str">
        <f t="shared" ref="N120" si="1758">IF(N116="","",M120)</f>
        <v/>
      </c>
      <c r="O120" s="8" t="str">
        <f t="shared" ref="O120" si="1759">IF(O116="","",N120)</f>
        <v/>
      </c>
      <c r="P120" s="8" t="str">
        <f t="shared" ref="P120" si="1760">IF(P116="","",O120)</f>
        <v/>
      </c>
      <c r="Q120" s="8" t="str">
        <f t="shared" ref="Q120" si="1761">IF(Q116="","",P120)</f>
        <v/>
      </c>
      <c r="R120" s="8" t="str">
        <f t="shared" ref="R120" si="1762">IF(R116="","",Q120)</f>
        <v/>
      </c>
      <c r="S120" s="8" t="str">
        <f t="shared" ref="S120" si="1763">IF(S116="","",R120)</f>
        <v/>
      </c>
      <c r="T120" s="8" t="str">
        <f t="shared" ref="T120" si="1764">IF(T116="","",S120)</f>
        <v/>
      </c>
      <c r="U120" s="8" t="str">
        <f t="shared" ref="U120" si="1765">IF(U116="","",T120)</f>
        <v/>
      </c>
      <c r="V120" s="8" t="str">
        <f t="shared" ref="V120" si="1766">IF(V116="","",U120)</f>
        <v/>
      </c>
      <c r="W120" s="8" t="str">
        <f t="shared" ref="W120" si="1767">IF(W116="","",V120)</f>
        <v/>
      </c>
      <c r="X120" s="8" t="str">
        <f t="shared" ref="X120" si="1768">IF(X116="","",W120)</f>
        <v/>
      </c>
      <c r="Y120" s="8" t="str">
        <f t="shared" ref="Y120" si="1769">IF(Y116="","",X120)</f>
        <v/>
      </c>
      <c r="Z120" s="8" t="str">
        <f t="shared" ref="Z120" si="1770">IF(Z116="","",Y120)</f>
        <v/>
      </c>
      <c r="AA120" s="8" t="str">
        <f t="shared" ref="AA120" si="1771">IF(AA116="","",Z120)</f>
        <v/>
      </c>
      <c r="AB120" s="8" t="str">
        <f t="shared" ref="AB120" si="1772">IF(AB116="","",AA120)</f>
        <v/>
      </c>
      <c r="AC120" s="8" t="str">
        <f t="shared" ref="AC120" si="1773">IF(AC116="","",AB120)</f>
        <v/>
      </c>
      <c r="AD120" s="8" t="str">
        <f t="shared" ref="AD120" si="1774">IF(AD116="","",AC120)</f>
        <v/>
      </c>
      <c r="AE120" s="8" t="str">
        <f t="shared" ref="AE120" si="1775">IF(AE116="","",AD120)</f>
        <v/>
      </c>
      <c r="AF120" s="8" t="str">
        <f t="shared" ref="AF120" si="1776">IF(AF116="","",AE120)</f>
        <v/>
      </c>
      <c r="AG120" s="8" t="str">
        <f t="shared" ref="AG120" si="1777">IF(AG116="","",AF120)</f>
        <v/>
      </c>
      <c r="AH120" s="8" t="str">
        <f t="shared" ref="AH120" si="1778">IF(AH116="","",AG120)</f>
        <v/>
      </c>
      <c r="AI120" s="8" t="str">
        <f t="shared" ref="AI120" si="1779">IF(AI116="","",AH120)</f>
        <v/>
      </c>
      <c r="AJ120" s="8" t="str">
        <f t="shared" ref="AJ120" si="1780">IF(AJ116="","",AI120)</f>
        <v/>
      </c>
      <c r="AK120" s="8" t="str">
        <f t="shared" ref="AK120" si="1781">IF(AK116="","",AJ120)</f>
        <v/>
      </c>
      <c r="AL120" s="8" t="str">
        <f t="shared" ref="AL120" si="1782">IF(AL116="","",AK120)</f>
        <v/>
      </c>
      <c r="AM120" s="8" t="str">
        <f t="shared" ref="AM120" si="1783">IF(AM116="","",AL120)</f>
        <v/>
      </c>
      <c r="AN120" s="8" t="str">
        <f t="shared" ref="AN120" si="1784">IF(AN116="","",AM120)</f>
        <v/>
      </c>
      <c r="AO120" s="8" t="str">
        <f t="shared" ref="AO120" si="1785">IF(AO116="","",AN120)</f>
        <v/>
      </c>
      <c r="AP120" s="8" t="str">
        <f t="shared" ref="AP120:AS120" si="1786">IF(AP116="","",AO120)</f>
        <v/>
      </c>
      <c r="AQ120" s="8" t="str">
        <f t="shared" si="1786"/>
        <v/>
      </c>
      <c r="AR120" s="8" t="str">
        <f t="shared" si="1786"/>
        <v/>
      </c>
      <c r="AS120" s="8" t="str">
        <f t="shared" si="1786"/>
        <v/>
      </c>
    </row>
    <row r="121" spans="1:45" s="85" customFormat="1" x14ac:dyDescent="0.15">
      <c r="A121" s="14" t="s">
        <v>9</v>
      </c>
      <c r="B121" s="13" t="s">
        <v>10</v>
      </c>
      <c r="C121" s="12" t="s">
        <v>40</v>
      </c>
      <c r="D121" s="12" t="s">
        <v>40</v>
      </c>
      <c r="E121" s="12" t="s">
        <v>40</v>
      </c>
      <c r="F121" s="12" t="s">
        <v>40</v>
      </c>
      <c r="G121" s="12" t="s">
        <v>40</v>
      </c>
      <c r="H121" s="12" t="s">
        <v>40</v>
      </c>
      <c r="I121" s="12" t="s">
        <v>40</v>
      </c>
      <c r="J121" s="12" t="s">
        <v>40</v>
      </c>
      <c r="K121" s="12" t="str">
        <f t="shared" ref="K121" si="1787">IF(K116="","",J121)</f>
        <v>キティフェイスポーチ</v>
      </c>
      <c r="L121" s="12" t="str">
        <f t="shared" ref="L121" si="1788">IF(L116="","",K121)</f>
        <v>キティフェイスポーチ</v>
      </c>
      <c r="M121" s="12" t="str">
        <f t="shared" ref="M121" si="1789">IF(M116="","",L121)</f>
        <v>キティフェイスポーチ</v>
      </c>
      <c r="N121" s="12" t="str">
        <f t="shared" ref="N121" si="1790">IF(N116="","",M121)</f>
        <v/>
      </c>
      <c r="O121" s="12" t="str">
        <f t="shared" ref="O121" si="1791">IF(O116="","",N121)</f>
        <v/>
      </c>
      <c r="P121" s="12" t="str">
        <f t="shared" ref="P121" si="1792">IF(P116="","",O121)</f>
        <v/>
      </c>
      <c r="Q121" s="12" t="str">
        <f t="shared" ref="Q121" si="1793">IF(Q116="","",P121)</f>
        <v/>
      </c>
      <c r="R121" s="12" t="str">
        <f t="shared" ref="R121" si="1794">IF(R116="","",Q121)</f>
        <v/>
      </c>
      <c r="S121" s="12" t="str">
        <f t="shared" ref="S121" si="1795">IF(S116="","",R121)</f>
        <v/>
      </c>
      <c r="T121" s="12" t="str">
        <f t="shared" ref="T121" si="1796">IF(T116="","",S121)</f>
        <v/>
      </c>
      <c r="U121" s="12" t="str">
        <f t="shared" ref="U121" si="1797">IF(U116="","",T121)</f>
        <v/>
      </c>
      <c r="V121" s="12" t="str">
        <f t="shared" ref="V121" si="1798">IF(V116="","",U121)</f>
        <v/>
      </c>
      <c r="W121" s="12" t="str">
        <f t="shared" ref="W121" si="1799">IF(W116="","",V121)</f>
        <v/>
      </c>
      <c r="X121" s="12" t="str">
        <f t="shared" ref="X121" si="1800">IF(X116="","",W121)</f>
        <v/>
      </c>
      <c r="Y121" s="12" t="str">
        <f t="shared" ref="Y121" si="1801">IF(Y116="","",X121)</f>
        <v/>
      </c>
      <c r="Z121" s="12" t="str">
        <f t="shared" ref="Z121" si="1802">IF(Z116="","",Y121)</f>
        <v/>
      </c>
      <c r="AA121" s="12" t="str">
        <f t="shared" ref="AA121" si="1803">IF(AA116="","",Z121)</f>
        <v/>
      </c>
      <c r="AB121" s="12" t="str">
        <f t="shared" ref="AB121" si="1804">IF(AB116="","",AA121)</f>
        <v/>
      </c>
      <c r="AC121" s="12" t="str">
        <f t="shared" ref="AC121" si="1805">IF(AC116="","",AB121)</f>
        <v/>
      </c>
      <c r="AD121" s="12" t="str">
        <f t="shared" ref="AD121" si="1806">IF(AD116="","",AC121)</f>
        <v/>
      </c>
      <c r="AE121" s="12" t="str">
        <f t="shared" ref="AE121" si="1807">IF(AE116="","",AD121)</f>
        <v/>
      </c>
      <c r="AF121" s="12" t="str">
        <f t="shared" ref="AF121" si="1808">IF(AF116="","",AE121)</f>
        <v/>
      </c>
      <c r="AG121" s="12" t="str">
        <f t="shared" ref="AG121" si="1809">IF(AG116="","",AF121)</f>
        <v/>
      </c>
      <c r="AH121" s="12" t="str">
        <f t="shared" ref="AH121" si="1810">IF(AH116="","",AG121)</f>
        <v/>
      </c>
      <c r="AI121" s="12" t="str">
        <f t="shared" ref="AI121" si="1811">IF(AI116="","",AH121)</f>
        <v/>
      </c>
      <c r="AJ121" s="12" t="str">
        <f t="shared" ref="AJ121" si="1812">IF(AJ116="","",AI121)</f>
        <v/>
      </c>
      <c r="AK121" s="12" t="str">
        <f t="shared" ref="AK121" si="1813">IF(AK116="","",AJ121)</f>
        <v/>
      </c>
      <c r="AL121" s="12" t="str">
        <f t="shared" ref="AL121" si="1814">IF(AL116="","",AK121)</f>
        <v/>
      </c>
      <c r="AM121" s="12" t="str">
        <f t="shared" ref="AM121" si="1815">IF(AM116="","",AL121)</f>
        <v/>
      </c>
      <c r="AN121" s="12" t="str">
        <f t="shared" ref="AN121" si="1816">IF(AN116="","",AM121)</f>
        <v/>
      </c>
      <c r="AO121" s="12" t="str">
        <f t="shared" ref="AO121" si="1817">IF(AO116="","",AN121)</f>
        <v/>
      </c>
      <c r="AP121" s="12" t="str">
        <f t="shared" ref="AP121:AS121" si="1818">IF(AP116="","",AO121)</f>
        <v/>
      </c>
      <c r="AQ121" s="12" t="str">
        <f t="shared" si="1818"/>
        <v/>
      </c>
      <c r="AR121" s="12" t="str">
        <f t="shared" si="1818"/>
        <v/>
      </c>
      <c r="AS121" s="12" t="str">
        <f t="shared" si="1818"/>
        <v/>
      </c>
    </row>
    <row r="122" spans="1:45" x14ac:dyDescent="0.15">
      <c r="A122" s="7">
        <f>AVERAGE(C123:AS123)*30*100</f>
        <v>77727.272727272721</v>
      </c>
      <c r="B122" s="9" t="s">
        <v>12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</row>
    <row r="123" spans="1:45" x14ac:dyDescent="0.15">
      <c r="A123" s="7">
        <f>SUM(C123:AS123)</f>
        <v>285</v>
      </c>
      <c r="B123" s="6" t="s">
        <v>13</v>
      </c>
      <c r="C123" s="5">
        <v>0</v>
      </c>
      <c r="D123" s="5">
        <v>0</v>
      </c>
      <c r="E123" s="5">
        <v>0</v>
      </c>
      <c r="F123" s="5">
        <v>37</v>
      </c>
      <c r="G123" s="5">
        <v>0</v>
      </c>
      <c r="H123" s="5">
        <v>0</v>
      </c>
      <c r="I123" s="5">
        <v>0</v>
      </c>
      <c r="J123" s="5">
        <v>165</v>
      </c>
      <c r="K123" s="5">
        <f t="shared" ref="K123:K124" si="1819">IF(K116="","",K116-J116)</f>
        <v>0</v>
      </c>
      <c r="L123" s="5">
        <f t="shared" ref="L123:L124" si="1820">IF(L116="","",L116-K116)</f>
        <v>0</v>
      </c>
      <c r="M123" s="5">
        <f t="shared" ref="M123:M124" si="1821">IF(M116="","",M116-L116)</f>
        <v>83</v>
      </c>
      <c r="N123" s="5" t="str">
        <f t="shared" ref="N123:N124" si="1822">IF(N116="","",N116-M116)</f>
        <v/>
      </c>
      <c r="O123" s="5" t="str">
        <f t="shared" ref="O123:O124" si="1823">IF(O116="","",O116-N116)</f>
        <v/>
      </c>
      <c r="P123" s="5" t="str">
        <f t="shared" ref="P123:P124" si="1824">IF(P116="","",P116-O116)</f>
        <v/>
      </c>
      <c r="Q123" s="5" t="str">
        <f t="shared" ref="Q123:Q124" si="1825">IF(Q116="","",Q116-P116)</f>
        <v/>
      </c>
      <c r="R123" s="5" t="str">
        <f t="shared" ref="R123:R124" si="1826">IF(R116="","",R116-Q116)</f>
        <v/>
      </c>
      <c r="S123" s="5" t="str">
        <f t="shared" ref="S123:S124" si="1827">IF(S116="","",S116-R116)</f>
        <v/>
      </c>
      <c r="T123" s="5" t="str">
        <f t="shared" ref="T123:T124" si="1828">IF(T116="","",T116-S116)</f>
        <v/>
      </c>
      <c r="U123" s="5" t="str">
        <f t="shared" ref="U123:U124" si="1829">IF(U116="","",U116-T116)</f>
        <v/>
      </c>
      <c r="V123" s="5" t="str">
        <f t="shared" ref="V123:V124" si="1830">IF(V116="","",V116-U116)</f>
        <v/>
      </c>
      <c r="W123" s="5" t="str">
        <f t="shared" ref="W123:W124" si="1831">IF(W116="","",W116-V116)</f>
        <v/>
      </c>
      <c r="X123" s="5" t="str">
        <f t="shared" ref="X123:X124" si="1832">IF(X116="","",X116-W116)</f>
        <v/>
      </c>
      <c r="Y123" s="5" t="str">
        <f t="shared" ref="Y123:Y124" si="1833">IF(Y116="","",Y116-X116)</f>
        <v/>
      </c>
      <c r="Z123" s="5" t="str">
        <f t="shared" ref="Z123:Z124" si="1834">IF(Z116="","",Z116-Y116)</f>
        <v/>
      </c>
      <c r="AA123" s="5" t="str">
        <f t="shared" ref="AA123:AA124" si="1835">IF(AA116="","",AA116-Z116)</f>
        <v/>
      </c>
      <c r="AB123" s="5" t="str">
        <f t="shared" ref="AB123:AB124" si="1836">IF(AB116="","",AB116-AA116)</f>
        <v/>
      </c>
      <c r="AC123" s="5" t="str">
        <f t="shared" ref="AC123:AC124" si="1837">IF(AC116="","",AC116-AB116)</f>
        <v/>
      </c>
      <c r="AD123" s="5" t="str">
        <f t="shared" ref="AD123:AD124" si="1838">IF(AD116="","",AD116-AC116)</f>
        <v/>
      </c>
      <c r="AE123" s="5" t="str">
        <f t="shared" ref="AE123:AE124" si="1839">IF(AE116="","",AE116-AD116)</f>
        <v/>
      </c>
      <c r="AF123" s="5" t="str">
        <f t="shared" ref="AF123:AF124" si="1840">IF(AF116="","",AF116-AE116)</f>
        <v/>
      </c>
      <c r="AG123" s="5" t="str">
        <f t="shared" ref="AG123:AG124" si="1841">IF(AG116="","",AG116-AF116)</f>
        <v/>
      </c>
      <c r="AH123" s="5" t="str">
        <f t="shared" ref="AH123:AH124" si="1842">IF(AH116="","",AH116-AG116)</f>
        <v/>
      </c>
      <c r="AI123" s="5" t="str">
        <f t="shared" ref="AI123:AI124" si="1843">IF(AI116="","",AI116-AH116)</f>
        <v/>
      </c>
      <c r="AJ123" s="5" t="str">
        <f t="shared" ref="AJ123:AJ124" si="1844">IF(AJ116="","",AJ116-AI116)</f>
        <v/>
      </c>
      <c r="AK123" s="5" t="str">
        <f t="shared" ref="AK123:AK124" si="1845">IF(AK116="","",AK116-AJ116)</f>
        <v/>
      </c>
      <c r="AL123" s="5" t="str">
        <f t="shared" ref="AL123:AL124" si="1846">IF(AL116="","",AL116-AK116)</f>
        <v/>
      </c>
      <c r="AM123" s="5" t="str">
        <f t="shared" ref="AM123:AM124" si="1847">IF(AM116="","",AM116-AL116)</f>
        <v/>
      </c>
      <c r="AN123" s="5" t="str">
        <f t="shared" ref="AN123:AN124" si="1848">IF(AN116="","",AN116-AM116)</f>
        <v/>
      </c>
      <c r="AO123" s="5" t="str">
        <f t="shared" ref="AO123:AO124" si="1849">IF(AO116="","",AO116-AN116)</f>
        <v/>
      </c>
      <c r="AP123" s="5" t="str">
        <f t="shared" ref="AP123:AS123" si="1850">IF(AP116="","",AP116-AO116)</f>
        <v/>
      </c>
      <c r="AQ123" s="5" t="str">
        <f t="shared" si="1850"/>
        <v/>
      </c>
      <c r="AR123" s="5" t="str">
        <f t="shared" si="1850"/>
        <v/>
      </c>
      <c r="AS123" s="5" t="str">
        <f t="shared" si="1850"/>
        <v/>
      </c>
    </row>
    <row r="124" spans="1:45" x14ac:dyDescent="0.15">
      <c r="A124" s="7">
        <f>SUM(C124:AS124)</f>
        <v>3</v>
      </c>
      <c r="B124" s="6" t="s">
        <v>14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2</v>
      </c>
      <c r="K124" s="5">
        <f t="shared" si="1819"/>
        <v>0</v>
      </c>
      <c r="L124" s="5">
        <f t="shared" si="1820"/>
        <v>0</v>
      </c>
      <c r="M124" s="5">
        <f t="shared" si="1821"/>
        <v>1</v>
      </c>
      <c r="N124" s="5" t="str">
        <f t="shared" si="1822"/>
        <v/>
      </c>
      <c r="O124" s="5" t="str">
        <f t="shared" si="1823"/>
        <v/>
      </c>
      <c r="P124" s="5" t="str">
        <f t="shared" si="1824"/>
        <v/>
      </c>
      <c r="Q124" s="5" t="str">
        <f t="shared" si="1825"/>
        <v/>
      </c>
      <c r="R124" s="5" t="str">
        <f t="shared" si="1826"/>
        <v/>
      </c>
      <c r="S124" s="5" t="str">
        <f t="shared" si="1827"/>
        <v/>
      </c>
      <c r="T124" s="5" t="str">
        <f t="shared" si="1828"/>
        <v/>
      </c>
      <c r="U124" s="5" t="str">
        <f t="shared" si="1829"/>
        <v/>
      </c>
      <c r="V124" s="5" t="str">
        <f t="shared" si="1830"/>
        <v/>
      </c>
      <c r="W124" s="5" t="str">
        <f t="shared" si="1831"/>
        <v/>
      </c>
      <c r="X124" s="5" t="str">
        <f t="shared" si="1832"/>
        <v/>
      </c>
      <c r="Y124" s="5" t="str">
        <f t="shared" si="1833"/>
        <v/>
      </c>
      <c r="Z124" s="5" t="str">
        <f t="shared" si="1834"/>
        <v/>
      </c>
      <c r="AA124" s="5" t="str">
        <f t="shared" si="1835"/>
        <v/>
      </c>
      <c r="AB124" s="5" t="str">
        <f t="shared" si="1836"/>
        <v/>
      </c>
      <c r="AC124" s="5" t="str">
        <f t="shared" si="1837"/>
        <v/>
      </c>
      <c r="AD124" s="5" t="str">
        <f t="shared" si="1838"/>
        <v/>
      </c>
      <c r="AE124" s="5" t="str">
        <f t="shared" si="1839"/>
        <v/>
      </c>
      <c r="AF124" s="5" t="str">
        <f t="shared" si="1840"/>
        <v/>
      </c>
      <c r="AG124" s="5" t="str">
        <f t="shared" si="1841"/>
        <v/>
      </c>
      <c r="AH124" s="5" t="str">
        <f t="shared" si="1842"/>
        <v/>
      </c>
      <c r="AI124" s="5" t="str">
        <f t="shared" si="1843"/>
        <v/>
      </c>
      <c r="AJ124" s="5" t="str">
        <f t="shared" si="1844"/>
        <v/>
      </c>
      <c r="AK124" s="5" t="str">
        <f t="shared" si="1845"/>
        <v/>
      </c>
      <c r="AL124" s="5" t="str">
        <f t="shared" si="1846"/>
        <v/>
      </c>
      <c r="AM124" s="5" t="str">
        <f t="shared" si="1847"/>
        <v/>
      </c>
      <c r="AN124" s="5" t="str">
        <f t="shared" si="1848"/>
        <v/>
      </c>
      <c r="AO124" s="5" t="str">
        <f t="shared" si="1849"/>
        <v/>
      </c>
      <c r="AP124" s="5" t="str">
        <f t="shared" ref="AP124:AS124" si="1851">IF(AP117="","",AP117-AO117)</f>
        <v/>
      </c>
      <c r="AQ124" s="5" t="str">
        <f t="shared" si="1851"/>
        <v/>
      </c>
      <c r="AR124" s="5" t="str">
        <f t="shared" si="1851"/>
        <v/>
      </c>
      <c r="AS124" s="5" t="str">
        <f t="shared" si="1851"/>
        <v/>
      </c>
    </row>
    <row r="125" spans="1:45" x14ac:dyDescent="0.15">
      <c r="A125" s="7">
        <f>SUM(C125:AS125)</f>
        <v>4</v>
      </c>
      <c r="B125" s="6" t="s">
        <v>15</v>
      </c>
      <c r="C125" s="5">
        <v>0</v>
      </c>
      <c r="D125" s="5">
        <v>0</v>
      </c>
      <c r="E125" s="5">
        <v>0</v>
      </c>
      <c r="F125" s="5">
        <v>1</v>
      </c>
      <c r="G125" s="5">
        <v>0</v>
      </c>
      <c r="H125" s="5">
        <v>0</v>
      </c>
      <c r="I125" s="5">
        <v>0</v>
      </c>
      <c r="J125" s="5">
        <v>2</v>
      </c>
      <c r="K125" s="5">
        <f t="shared" ref="K125" si="1852">IF(K118="","",J118+J119-K118)</f>
        <v>0</v>
      </c>
      <c r="L125" s="5">
        <f t="shared" ref="L125" si="1853">IF(L118="","",K118+K119-L118)</f>
        <v>0</v>
      </c>
      <c r="M125" s="5">
        <f t="shared" ref="M125" si="1854">IF(M118="","",L118+L119-M118)</f>
        <v>1</v>
      </c>
      <c r="N125" s="5" t="str">
        <f t="shared" ref="N125" si="1855">IF(N118="","",M118+M119-N118)</f>
        <v/>
      </c>
      <c r="O125" s="5" t="str">
        <f t="shared" ref="O125" si="1856">IF(O118="","",N118+N119-O118)</f>
        <v/>
      </c>
      <c r="P125" s="5" t="str">
        <f t="shared" ref="P125" si="1857">IF(P118="","",O118+O119-P118)</f>
        <v/>
      </c>
      <c r="Q125" s="5" t="str">
        <f t="shared" ref="Q125" si="1858">IF(Q118="","",P118+P119-Q118)</f>
        <v/>
      </c>
      <c r="R125" s="5" t="str">
        <f t="shared" ref="R125" si="1859">IF(R118="","",Q118+Q119-R118)</f>
        <v/>
      </c>
      <c r="S125" s="5" t="str">
        <f t="shared" ref="S125" si="1860">IF(S118="","",R118+R119-S118)</f>
        <v/>
      </c>
      <c r="T125" s="5" t="str">
        <f t="shared" ref="T125" si="1861">IF(T118="","",S118+S119-T118)</f>
        <v/>
      </c>
      <c r="U125" s="5" t="str">
        <f t="shared" ref="U125" si="1862">IF(U118="","",T118+T119-U118)</f>
        <v/>
      </c>
      <c r="V125" s="5" t="str">
        <f t="shared" ref="V125" si="1863">IF(V118="","",U118+U119-V118)</f>
        <v/>
      </c>
      <c r="W125" s="5" t="str">
        <f t="shared" ref="W125" si="1864">IF(W118="","",V118+V119-W118)</f>
        <v/>
      </c>
      <c r="X125" s="5" t="str">
        <f t="shared" ref="X125" si="1865">IF(X118="","",W118+W119-X118)</f>
        <v/>
      </c>
      <c r="Y125" s="5" t="str">
        <f t="shared" ref="Y125" si="1866">IF(Y118="","",X118+X119-Y118)</f>
        <v/>
      </c>
      <c r="Z125" s="5" t="str">
        <f t="shared" ref="Z125" si="1867">IF(Z118="","",Y118+Y119-Z118)</f>
        <v/>
      </c>
      <c r="AA125" s="5" t="str">
        <f t="shared" ref="AA125" si="1868">IF(AA118="","",Z118+Z119-AA118)</f>
        <v/>
      </c>
      <c r="AB125" s="5" t="str">
        <f t="shared" ref="AB125" si="1869">IF(AB118="","",AA118+AA119-AB118)</f>
        <v/>
      </c>
      <c r="AC125" s="5" t="str">
        <f t="shared" ref="AC125" si="1870">IF(AC118="","",AB118+AB119-AC118)</f>
        <v/>
      </c>
      <c r="AD125" s="5" t="str">
        <f t="shared" ref="AD125" si="1871">IF(AD118="","",AC118+AC119-AD118)</f>
        <v/>
      </c>
      <c r="AE125" s="5" t="str">
        <f t="shared" ref="AE125" si="1872">IF(AE118="","",AD118+AD119-AE118)</f>
        <v/>
      </c>
      <c r="AF125" s="5" t="str">
        <f t="shared" ref="AF125" si="1873">IF(AF118="","",AE118+AE119-AF118)</f>
        <v/>
      </c>
      <c r="AG125" s="5" t="str">
        <f t="shared" ref="AG125" si="1874">IF(AG118="","",AF118+AF119-AG118)</f>
        <v/>
      </c>
      <c r="AH125" s="5" t="str">
        <f t="shared" ref="AH125" si="1875">IF(AH118="","",AG118+AG119-AH118)</f>
        <v/>
      </c>
      <c r="AI125" s="5" t="str">
        <f t="shared" ref="AI125" si="1876">IF(AI118="","",AH118+AH119-AI118)</f>
        <v/>
      </c>
      <c r="AJ125" s="5" t="str">
        <f t="shared" ref="AJ125" si="1877">IF(AJ118="","",AI118+AI119-AJ118)</f>
        <v/>
      </c>
      <c r="AK125" s="5" t="str">
        <f t="shared" ref="AK125" si="1878">IF(AK118="","",AJ118+AJ119-AK118)</f>
        <v/>
      </c>
      <c r="AL125" s="5" t="str">
        <f t="shared" ref="AL125" si="1879">IF(AL118="","",AK118+AK119-AL118)</f>
        <v/>
      </c>
      <c r="AM125" s="5" t="str">
        <f t="shared" ref="AM125" si="1880">IF(AM118="","",AL118+AL119-AM118)</f>
        <v/>
      </c>
      <c r="AN125" s="5" t="str">
        <f t="shared" ref="AN125" si="1881">IF(AN118="","",AM118+AM119-AN118)</f>
        <v/>
      </c>
      <c r="AO125" s="5" t="str">
        <f t="shared" ref="AO125" si="1882">IF(AO118="","",AN118+AN119-AO118)</f>
        <v/>
      </c>
      <c r="AP125" s="5" t="str">
        <f t="shared" ref="AP125:AS125" si="1883">IF(AP118="","",AO118+AO119-AP118)</f>
        <v/>
      </c>
      <c r="AQ125" s="5" t="str">
        <f t="shared" si="1883"/>
        <v/>
      </c>
      <c r="AR125" s="5" t="str">
        <f t="shared" si="1883"/>
        <v/>
      </c>
      <c r="AS125" s="5" t="str">
        <f t="shared" si="1883"/>
        <v/>
      </c>
    </row>
    <row r="126" spans="1:45" x14ac:dyDescent="0.15">
      <c r="A126" s="7">
        <f>SUM(C126:AS126)</f>
        <v>1400</v>
      </c>
      <c r="B126" s="6" t="s">
        <v>16</v>
      </c>
      <c r="C126" s="5">
        <v>0</v>
      </c>
      <c r="D126" s="5">
        <v>0</v>
      </c>
      <c r="E126" s="5">
        <v>0</v>
      </c>
      <c r="F126" s="5">
        <v>350</v>
      </c>
      <c r="G126" s="5">
        <v>0</v>
      </c>
      <c r="H126" s="5">
        <v>0</v>
      </c>
      <c r="I126" s="5">
        <v>0</v>
      </c>
      <c r="J126" s="5">
        <v>700</v>
      </c>
      <c r="K126" s="5">
        <f t="shared" ref="I126:AO126" si="1884">IF(K116="","",K125*K120)</f>
        <v>0</v>
      </c>
      <c r="L126" s="5">
        <f t="shared" si="1884"/>
        <v>0</v>
      </c>
      <c r="M126" s="5">
        <f t="shared" si="1884"/>
        <v>350</v>
      </c>
      <c r="N126" s="5" t="str">
        <f t="shared" si="1884"/>
        <v/>
      </c>
      <c r="O126" s="5" t="str">
        <f t="shared" si="1884"/>
        <v/>
      </c>
      <c r="P126" s="5" t="str">
        <f t="shared" si="1884"/>
        <v/>
      </c>
      <c r="Q126" s="5" t="str">
        <f t="shared" si="1884"/>
        <v/>
      </c>
      <c r="R126" s="5" t="str">
        <f t="shared" si="1884"/>
        <v/>
      </c>
      <c r="S126" s="5" t="str">
        <f t="shared" si="1884"/>
        <v/>
      </c>
      <c r="T126" s="5" t="str">
        <f t="shared" si="1884"/>
        <v/>
      </c>
      <c r="U126" s="5" t="str">
        <f t="shared" si="1884"/>
        <v/>
      </c>
      <c r="V126" s="5" t="str">
        <f t="shared" si="1884"/>
        <v/>
      </c>
      <c r="W126" s="5" t="str">
        <f t="shared" si="1884"/>
        <v/>
      </c>
      <c r="X126" s="5" t="str">
        <f t="shared" si="1884"/>
        <v/>
      </c>
      <c r="Y126" s="5" t="str">
        <f t="shared" si="1884"/>
        <v/>
      </c>
      <c r="Z126" s="5" t="str">
        <f t="shared" si="1884"/>
        <v/>
      </c>
      <c r="AA126" s="5" t="str">
        <f t="shared" si="1884"/>
        <v/>
      </c>
      <c r="AB126" s="5" t="str">
        <f t="shared" si="1884"/>
        <v/>
      </c>
      <c r="AC126" s="5" t="str">
        <f t="shared" si="1884"/>
        <v/>
      </c>
      <c r="AD126" s="5" t="str">
        <f t="shared" si="1884"/>
        <v/>
      </c>
      <c r="AE126" s="5" t="str">
        <f t="shared" si="1884"/>
        <v/>
      </c>
      <c r="AF126" s="5" t="str">
        <f t="shared" si="1884"/>
        <v/>
      </c>
      <c r="AG126" s="5" t="str">
        <f t="shared" si="1884"/>
        <v/>
      </c>
      <c r="AH126" s="5" t="str">
        <f t="shared" si="1884"/>
        <v/>
      </c>
      <c r="AI126" s="5" t="str">
        <f t="shared" si="1884"/>
        <v/>
      </c>
      <c r="AJ126" s="5" t="str">
        <f t="shared" si="1884"/>
        <v/>
      </c>
      <c r="AK126" s="5" t="str">
        <f t="shared" si="1884"/>
        <v/>
      </c>
      <c r="AL126" s="5" t="str">
        <f t="shared" si="1884"/>
        <v/>
      </c>
      <c r="AM126" s="5" t="str">
        <f t="shared" si="1884"/>
        <v/>
      </c>
      <c r="AN126" s="5" t="str">
        <f t="shared" si="1884"/>
        <v/>
      </c>
      <c r="AO126" s="5" t="str">
        <f t="shared" si="1884"/>
        <v/>
      </c>
      <c r="AP126" s="5" t="str">
        <f t="shared" ref="AP126:AS126" si="1885">IF(AP116="","",AP125*AP120)</f>
        <v/>
      </c>
      <c r="AQ126" s="5" t="str">
        <f t="shared" si="1885"/>
        <v/>
      </c>
      <c r="AR126" s="5" t="str">
        <f t="shared" si="1885"/>
        <v/>
      </c>
      <c r="AS126" s="5" t="str">
        <f t="shared" si="1885"/>
        <v/>
      </c>
    </row>
    <row r="127" spans="1:45" ht="12" thickBot="1" x14ac:dyDescent="0.2">
      <c r="A127" s="4">
        <f>IF(A126="","",A126/(A123*100))</f>
        <v>4.912280701754386E-2</v>
      </c>
      <c r="B127" s="6" t="s">
        <v>18</v>
      </c>
      <c r="C127" s="18" t="s">
        <v>19</v>
      </c>
      <c r="D127" s="18" t="s">
        <v>19</v>
      </c>
      <c r="E127" s="18" t="s">
        <v>19</v>
      </c>
      <c r="F127" s="18">
        <v>9.45945945945946E-2</v>
      </c>
      <c r="G127" s="18" t="s">
        <v>19</v>
      </c>
      <c r="H127" s="18" t="s">
        <v>19</v>
      </c>
      <c r="I127" s="18" t="s">
        <v>19</v>
      </c>
      <c r="J127" s="18">
        <v>4.2424242424242427E-2</v>
      </c>
      <c r="K127" s="18" t="str">
        <f t="shared" ref="I127:AO127" si="1886">IF(K126="","",IF(K126=0,"",K126/(K123*100)))</f>
        <v/>
      </c>
      <c r="L127" s="18" t="str">
        <f t="shared" si="1886"/>
        <v/>
      </c>
      <c r="M127" s="18">
        <f t="shared" si="1886"/>
        <v>4.2168674698795178E-2</v>
      </c>
      <c r="N127" s="18" t="str">
        <f t="shared" si="1886"/>
        <v/>
      </c>
      <c r="O127" s="18" t="str">
        <f t="shared" si="1886"/>
        <v/>
      </c>
      <c r="P127" s="18" t="str">
        <f t="shared" si="1886"/>
        <v/>
      </c>
      <c r="Q127" s="18" t="str">
        <f t="shared" si="1886"/>
        <v/>
      </c>
      <c r="R127" s="18" t="str">
        <f t="shared" si="1886"/>
        <v/>
      </c>
      <c r="S127" s="18" t="str">
        <f t="shared" si="1886"/>
        <v/>
      </c>
      <c r="T127" s="18" t="str">
        <f t="shared" si="1886"/>
        <v/>
      </c>
      <c r="U127" s="18" t="str">
        <f t="shared" si="1886"/>
        <v/>
      </c>
      <c r="V127" s="18" t="str">
        <f t="shared" si="1886"/>
        <v/>
      </c>
      <c r="W127" s="18" t="str">
        <f t="shared" si="1886"/>
        <v/>
      </c>
      <c r="X127" s="18" t="str">
        <f t="shared" si="1886"/>
        <v/>
      </c>
      <c r="Y127" s="18" t="str">
        <f t="shared" si="1886"/>
        <v/>
      </c>
      <c r="Z127" s="18" t="str">
        <f t="shared" si="1886"/>
        <v/>
      </c>
      <c r="AA127" s="18" t="str">
        <f t="shared" si="1886"/>
        <v/>
      </c>
      <c r="AB127" s="18" t="str">
        <f t="shared" si="1886"/>
        <v/>
      </c>
      <c r="AC127" s="18" t="str">
        <f t="shared" si="1886"/>
        <v/>
      </c>
      <c r="AD127" s="18" t="str">
        <f t="shared" si="1886"/>
        <v/>
      </c>
      <c r="AE127" s="18" t="str">
        <f t="shared" si="1886"/>
        <v/>
      </c>
      <c r="AF127" s="18" t="str">
        <f t="shared" si="1886"/>
        <v/>
      </c>
      <c r="AG127" s="18" t="str">
        <f t="shared" si="1886"/>
        <v/>
      </c>
      <c r="AH127" s="18" t="str">
        <f t="shared" si="1886"/>
        <v/>
      </c>
      <c r="AI127" s="18" t="str">
        <f t="shared" si="1886"/>
        <v/>
      </c>
      <c r="AJ127" s="18" t="str">
        <f t="shared" si="1886"/>
        <v/>
      </c>
      <c r="AK127" s="18" t="str">
        <f t="shared" si="1886"/>
        <v/>
      </c>
      <c r="AL127" s="18" t="str">
        <f t="shared" si="1886"/>
        <v/>
      </c>
      <c r="AM127" s="18" t="str">
        <f t="shared" si="1886"/>
        <v/>
      </c>
      <c r="AN127" s="18" t="str">
        <f t="shared" si="1886"/>
        <v/>
      </c>
      <c r="AO127" s="18" t="str">
        <f t="shared" si="1886"/>
        <v/>
      </c>
      <c r="AP127" s="18" t="str">
        <f t="shared" ref="AP127:AS127" si="1887">IF(AP126="","",IF(AP126=0,"",AP126/(AP123*100)))</f>
        <v/>
      </c>
      <c r="AQ127" s="18" t="str">
        <f t="shared" si="1887"/>
        <v/>
      </c>
      <c r="AR127" s="18" t="str">
        <f t="shared" si="1887"/>
        <v/>
      </c>
      <c r="AS127" s="18" t="str">
        <f t="shared" si="1887"/>
        <v/>
      </c>
    </row>
    <row r="128" spans="1:45" x14ac:dyDescent="0.15">
      <c r="A128" s="17" t="s">
        <v>59</v>
      </c>
      <c r="B128" s="9" t="s">
        <v>2</v>
      </c>
      <c r="C128" s="8">
        <v>15577</v>
      </c>
      <c r="D128" s="8">
        <v>15577</v>
      </c>
      <c r="E128" s="8">
        <v>15577</v>
      </c>
      <c r="F128" s="8">
        <v>15617</v>
      </c>
      <c r="G128" s="8">
        <v>15617</v>
      </c>
      <c r="H128" s="8">
        <v>15617</v>
      </c>
      <c r="I128" s="8">
        <v>15617</v>
      </c>
      <c r="J128" s="8">
        <v>15701</v>
      </c>
      <c r="K128" s="8">
        <f t="shared" ref="K128:K129" si="1888">IF(K$8="","",J128)</f>
        <v>15701</v>
      </c>
      <c r="L128" s="8">
        <f t="shared" ref="L128:L129" si="1889">IF(L$8="","",K128)</f>
        <v>15701</v>
      </c>
      <c r="M128" s="8">
        <v>15759</v>
      </c>
      <c r="N128" s="8" t="str">
        <f t="shared" ref="N128:N129" si="1890">IF(N$8="","",M128)</f>
        <v/>
      </c>
      <c r="O128" s="8" t="str">
        <f t="shared" ref="O128:O129" si="1891">IF(O$8="","",N128)</f>
        <v/>
      </c>
      <c r="P128" s="8" t="str">
        <f t="shared" ref="P128:P129" si="1892">IF(P$8="","",O128)</f>
        <v/>
      </c>
      <c r="Q128" s="8" t="str">
        <f>IF(Q$8="","",P128)</f>
        <v/>
      </c>
      <c r="R128" s="8" t="str">
        <f t="shared" ref="R128:R129" si="1893">IF(R$8="","",Q128)</f>
        <v/>
      </c>
      <c r="S128" s="8" t="str">
        <f t="shared" ref="S128:S129" si="1894">IF(S$8="","",R128)</f>
        <v/>
      </c>
      <c r="T128" s="8" t="str">
        <f>IF(T$8="","",S128)</f>
        <v/>
      </c>
      <c r="U128" s="8" t="str">
        <f t="shared" ref="U128:U129" si="1895">IF(U$8="","",T128)</f>
        <v/>
      </c>
      <c r="V128" s="8" t="str">
        <f t="shared" ref="V128:V129" si="1896">IF(V$8="","",U128)</f>
        <v/>
      </c>
      <c r="W128" s="8" t="str">
        <f t="shared" ref="W128:W129" si="1897">IF(W$8="","",V128)</f>
        <v/>
      </c>
      <c r="X128" s="8" t="str">
        <f>IF(X$8="","",W128)</f>
        <v/>
      </c>
      <c r="Y128" s="8" t="str">
        <f t="shared" ref="Y128:Y129" si="1898">IF(Y$8="","",X128)</f>
        <v/>
      </c>
      <c r="Z128" s="8" t="str">
        <f t="shared" ref="Z128:Z129" si="1899">IF(Z$8="","",Y128)</f>
        <v/>
      </c>
      <c r="AA128" s="8" t="str">
        <f>IF(AA$8="","",Z128)</f>
        <v/>
      </c>
      <c r="AB128" s="8" t="str">
        <f t="shared" ref="AB128:AB129" si="1900">IF(AB$8="","",AA128)</f>
        <v/>
      </c>
      <c r="AC128" s="8" t="str">
        <f t="shared" ref="AC128:AC129" si="1901">IF(AC$8="","",AB128)</f>
        <v/>
      </c>
      <c r="AD128" s="8" t="str">
        <f>IF(AD$8="","",AC128)</f>
        <v/>
      </c>
      <c r="AE128" s="8" t="str">
        <f t="shared" ref="AE128:AE129" si="1902">IF(AE$8="","",AD128)</f>
        <v/>
      </c>
      <c r="AF128" s="8" t="str">
        <f t="shared" ref="AF128:AF129" si="1903">IF(AF$8="","",AE128)</f>
        <v/>
      </c>
      <c r="AG128" s="8" t="str">
        <f t="shared" ref="AG128:AG129" si="1904">IF(AG$8="","",AF128)</f>
        <v/>
      </c>
      <c r="AH128" s="8" t="str">
        <f>IF(AH$8="","",AG128)</f>
        <v/>
      </c>
      <c r="AI128" s="8" t="str">
        <f t="shared" ref="AI128:AI129" si="1905">IF(AI$8="","",AH128)</f>
        <v/>
      </c>
      <c r="AJ128" s="8" t="str">
        <f t="shared" ref="AJ128:AJ129" si="1906">IF(AJ$8="","",AI128)</f>
        <v/>
      </c>
      <c r="AK128" s="8" t="str">
        <f t="shared" ref="AK128:AK129" si="1907">IF(AK$8="","",AJ128)</f>
        <v/>
      </c>
      <c r="AL128" s="8" t="str">
        <f>IF(AL$8="","",AK128)</f>
        <v/>
      </c>
      <c r="AM128" s="8" t="str">
        <f t="shared" ref="AM128:AM129" si="1908">IF(AM$8="","",AL128)</f>
        <v/>
      </c>
      <c r="AN128" s="8" t="str">
        <f t="shared" ref="AN128:AN129" si="1909">IF(AN$8="","",AM128)</f>
        <v/>
      </c>
      <c r="AO128" s="8" t="str">
        <f t="shared" ref="AO128:AO129" si="1910">IF(AO$8="","",AN128)</f>
        <v/>
      </c>
      <c r="AP128" s="8" t="str">
        <f t="shared" ref="AP128:AS128" si="1911">IF(AP$8="","",AO128)</f>
        <v/>
      </c>
      <c r="AQ128" s="8" t="str">
        <f t="shared" si="1911"/>
        <v/>
      </c>
      <c r="AR128" s="8" t="str">
        <f t="shared" si="1911"/>
        <v/>
      </c>
      <c r="AS128" s="8" t="str">
        <f t="shared" si="1911"/>
        <v/>
      </c>
    </row>
    <row r="129" spans="1:45" x14ac:dyDescent="0.15">
      <c r="A129" s="16" t="s">
        <v>24</v>
      </c>
      <c r="B129" s="9" t="s">
        <v>4</v>
      </c>
      <c r="C129" s="8">
        <v>475</v>
      </c>
      <c r="D129" s="8">
        <v>475</v>
      </c>
      <c r="E129" s="8">
        <v>475</v>
      </c>
      <c r="F129" s="8">
        <v>476</v>
      </c>
      <c r="G129" s="8">
        <v>476</v>
      </c>
      <c r="H129" s="8">
        <v>476</v>
      </c>
      <c r="I129" s="8">
        <v>476</v>
      </c>
      <c r="J129" s="8">
        <v>480</v>
      </c>
      <c r="K129" s="8">
        <f t="shared" si="1888"/>
        <v>480</v>
      </c>
      <c r="L129" s="8">
        <f t="shared" si="1889"/>
        <v>480</v>
      </c>
      <c r="M129" s="8">
        <v>481</v>
      </c>
      <c r="N129" s="8" t="str">
        <f t="shared" si="1890"/>
        <v/>
      </c>
      <c r="O129" s="8" t="str">
        <f t="shared" si="1891"/>
        <v/>
      </c>
      <c r="P129" s="8" t="str">
        <f t="shared" si="1892"/>
        <v/>
      </c>
      <c r="Q129" s="8" t="str">
        <f>IF(Q$8="","",P129)</f>
        <v/>
      </c>
      <c r="R129" s="8" t="str">
        <f t="shared" si="1893"/>
        <v/>
      </c>
      <c r="S129" s="8" t="str">
        <f t="shared" si="1894"/>
        <v/>
      </c>
      <c r="T129" s="8" t="str">
        <f>IF(T$8="","",S129)</f>
        <v/>
      </c>
      <c r="U129" s="8" t="str">
        <f t="shared" si="1895"/>
        <v/>
      </c>
      <c r="V129" s="8" t="str">
        <f t="shared" si="1896"/>
        <v/>
      </c>
      <c r="W129" s="8" t="str">
        <f t="shared" si="1897"/>
        <v/>
      </c>
      <c r="X129" s="8" t="str">
        <f>IF(X$8="","",W129)</f>
        <v/>
      </c>
      <c r="Y129" s="8" t="str">
        <f t="shared" si="1898"/>
        <v/>
      </c>
      <c r="Z129" s="8" t="str">
        <f t="shared" si="1899"/>
        <v/>
      </c>
      <c r="AA129" s="8" t="str">
        <f>IF(AA$8="","",Z129)</f>
        <v/>
      </c>
      <c r="AB129" s="8" t="str">
        <f t="shared" si="1900"/>
        <v/>
      </c>
      <c r="AC129" s="8" t="str">
        <f t="shared" si="1901"/>
        <v/>
      </c>
      <c r="AD129" s="8" t="str">
        <f>IF(AD$8="","",AC129)</f>
        <v/>
      </c>
      <c r="AE129" s="8" t="str">
        <f t="shared" si="1902"/>
        <v/>
      </c>
      <c r="AF129" s="8" t="str">
        <f t="shared" si="1903"/>
        <v/>
      </c>
      <c r="AG129" s="8" t="str">
        <f t="shared" si="1904"/>
        <v/>
      </c>
      <c r="AH129" s="8" t="str">
        <f>IF(AH$8="","",AG129)</f>
        <v/>
      </c>
      <c r="AI129" s="8" t="str">
        <f t="shared" si="1905"/>
        <v/>
      </c>
      <c r="AJ129" s="8" t="str">
        <f t="shared" si="1906"/>
        <v/>
      </c>
      <c r="AK129" s="8" t="str">
        <f t="shared" si="1907"/>
        <v/>
      </c>
      <c r="AL129" s="8" t="str">
        <f>IF(AL$8="","",AK129)</f>
        <v/>
      </c>
      <c r="AM129" s="8" t="str">
        <f t="shared" si="1908"/>
        <v/>
      </c>
      <c r="AN129" s="8" t="str">
        <f t="shared" si="1909"/>
        <v/>
      </c>
      <c r="AO129" s="8" t="str">
        <f t="shared" si="1910"/>
        <v/>
      </c>
      <c r="AP129" s="8" t="str">
        <f t="shared" ref="AP129:AS129" si="1912">IF(AP$8="","",AO129)</f>
        <v/>
      </c>
      <c r="AQ129" s="8" t="str">
        <f t="shared" si="1912"/>
        <v/>
      </c>
      <c r="AR129" s="8" t="str">
        <f t="shared" si="1912"/>
        <v/>
      </c>
      <c r="AS129" s="8" t="str">
        <f t="shared" si="1912"/>
        <v/>
      </c>
    </row>
    <row r="130" spans="1:45" x14ac:dyDescent="0.15">
      <c r="A130" s="15">
        <v>4</v>
      </c>
      <c r="B130" s="9" t="s">
        <v>5</v>
      </c>
      <c r="C130" s="8">
        <v>10</v>
      </c>
      <c r="D130" s="8">
        <v>10</v>
      </c>
      <c r="E130" s="8">
        <v>10</v>
      </c>
      <c r="F130" s="8">
        <v>9</v>
      </c>
      <c r="G130" s="8">
        <v>9</v>
      </c>
      <c r="H130" s="8">
        <v>9</v>
      </c>
      <c r="I130" s="8">
        <v>9</v>
      </c>
      <c r="J130" s="8">
        <v>5</v>
      </c>
      <c r="K130" s="8">
        <f t="shared" ref="K130" si="1913">IF(K128="","",(J130+J131))</f>
        <v>12</v>
      </c>
      <c r="L130" s="8">
        <f t="shared" ref="L130" si="1914">IF(L128="","",(K130+K131))</f>
        <v>12</v>
      </c>
      <c r="M130" s="8">
        <v>11</v>
      </c>
      <c r="N130" s="8" t="str">
        <f t="shared" ref="N130" si="1915">IF(N128="","",(M130+M131))</f>
        <v/>
      </c>
      <c r="O130" s="8" t="str">
        <f t="shared" ref="O130" si="1916">IF(O128="","",(N130+N131))</f>
        <v/>
      </c>
      <c r="P130" s="8" t="str">
        <f t="shared" ref="P130" si="1917">IF(P128="","",(O130+O131))</f>
        <v/>
      </c>
      <c r="Q130" s="8" t="str">
        <f>IF(Q128="","",(P130+P131))</f>
        <v/>
      </c>
      <c r="R130" s="8" t="str">
        <f t="shared" ref="R130" si="1918">IF(R128="","",(Q130+Q131))</f>
        <v/>
      </c>
      <c r="S130" s="8" t="str">
        <f t="shared" ref="S130" si="1919">IF(S128="","",(R130+R131))</f>
        <v/>
      </c>
      <c r="T130" s="8" t="str">
        <f>IF(T128="","",(S130+S131))</f>
        <v/>
      </c>
      <c r="U130" s="8" t="str">
        <f t="shared" ref="U130" si="1920">IF(U128="","",(T130+T131))</f>
        <v/>
      </c>
      <c r="V130" s="8" t="str">
        <f t="shared" ref="V130" si="1921">IF(V128="","",(U130+U131))</f>
        <v/>
      </c>
      <c r="W130" s="8" t="str">
        <f t="shared" ref="W130" si="1922">IF(W128="","",(V130+V131))</f>
        <v/>
      </c>
      <c r="X130" s="8" t="str">
        <f>IF(X128="","",(W130+W131))</f>
        <v/>
      </c>
      <c r="Y130" s="8" t="str">
        <f t="shared" ref="Y130" si="1923">IF(Y128="","",(X130+X131))</f>
        <v/>
      </c>
      <c r="Z130" s="8" t="str">
        <f t="shared" ref="Z130" si="1924">IF(Z128="","",(Y130+Y131))</f>
        <v/>
      </c>
      <c r="AA130" s="8" t="str">
        <f>IF(AA128="","",(Z130+Z131))</f>
        <v/>
      </c>
      <c r="AB130" s="8" t="str">
        <f t="shared" ref="AB130" si="1925">IF(AB128="","",(AA130+AA131))</f>
        <v/>
      </c>
      <c r="AC130" s="8" t="str">
        <f t="shared" ref="AC130" si="1926">IF(AC128="","",(AB130+AB131))</f>
        <v/>
      </c>
      <c r="AD130" s="8" t="str">
        <f>IF(AD128="","",(AC130+AC131))</f>
        <v/>
      </c>
      <c r="AE130" s="8" t="str">
        <f t="shared" ref="AE130" si="1927">IF(AE128="","",(AD130+AD131))</f>
        <v/>
      </c>
      <c r="AF130" s="8" t="str">
        <f t="shared" ref="AF130" si="1928">IF(AF128="","",(AE130+AE131))</f>
        <v/>
      </c>
      <c r="AG130" s="8" t="str">
        <f t="shared" ref="AG130" si="1929">IF(AG128="","",(AF130+AF131))</f>
        <v/>
      </c>
      <c r="AH130" s="8" t="str">
        <f>IF(AH128="","",(AG130+AG131))</f>
        <v/>
      </c>
      <c r="AI130" s="8" t="str">
        <f t="shared" ref="AI130" si="1930">IF(AI128="","",(AH130+AH131))</f>
        <v/>
      </c>
      <c r="AJ130" s="8" t="str">
        <f t="shared" ref="AJ130" si="1931">IF(AJ128="","",(AI130+AI131))</f>
        <v/>
      </c>
      <c r="AK130" s="8" t="str">
        <f t="shared" ref="AK130" si="1932">IF(AK128="","",(AJ130+AJ131))</f>
        <v/>
      </c>
      <c r="AL130" s="8" t="str">
        <f>IF(AL128="","",(AK130+AK131))</f>
        <v/>
      </c>
      <c r="AM130" s="8" t="str">
        <f t="shared" ref="AM130" si="1933">IF(AM128="","",(AL130+AL131))</f>
        <v/>
      </c>
      <c r="AN130" s="8" t="str">
        <f t="shared" ref="AN130" si="1934">IF(AN128="","",(AM130+AM131))</f>
        <v/>
      </c>
      <c r="AO130" s="8" t="str">
        <f t="shared" ref="AO130" si="1935">IF(AO128="","",(AN130+AN131))</f>
        <v/>
      </c>
      <c r="AP130" s="8" t="str">
        <f t="shared" ref="AP130:AS130" si="1936">IF(AP128="","",(AO130+AO131))</f>
        <v/>
      </c>
      <c r="AQ130" s="8" t="str">
        <f t="shared" si="1936"/>
        <v/>
      </c>
      <c r="AR130" s="8" t="str">
        <f t="shared" si="1936"/>
        <v/>
      </c>
      <c r="AS130" s="8" t="str">
        <f t="shared" si="1936"/>
        <v/>
      </c>
    </row>
    <row r="131" spans="1:45" x14ac:dyDescent="0.15">
      <c r="A131" s="14"/>
      <c r="B131" s="9" t="s">
        <v>7</v>
      </c>
      <c r="C131" s="8"/>
      <c r="D131" s="8"/>
      <c r="E131" s="8"/>
      <c r="F131" s="8"/>
      <c r="G131" s="8"/>
      <c r="H131" s="8"/>
      <c r="I131" s="8"/>
      <c r="J131" s="8">
        <v>7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</row>
    <row r="132" spans="1:45" x14ac:dyDescent="0.15">
      <c r="A132" s="7"/>
      <c r="B132" s="9" t="s">
        <v>8</v>
      </c>
      <c r="C132" s="8">
        <v>200</v>
      </c>
      <c r="D132" s="8">
        <v>200</v>
      </c>
      <c r="E132" s="8">
        <v>200</v>
      </c>
      <c r="F132" s="8">
        <v>200</v>
      </c>
      <c r="G132" s="8">
        <v>200</v>
      </c>
      <c r="H132" s="8">
        <v>200</v>
      </c>
      <c r="I132" s="8">
        <v>200</v>
      </c>
      <c r="J132" s="8">
        <v>200</v>
      </c>
      <c r="K132" s="8">
        <f t="shared" ref="K132" si="1937">IF(K128="","",J132)</f>
        <v>200</v>
      </c>
      <c r="L132" s="8">
        <f t="shared" ref="L132" si="1938">IF(L128="","",K132)</f>
        <v>200</v>
      </c>
      <c r="M132" s="8">
        <f t="shared" ref="M132" si="1939">IF(M128="","",L132)</f>
        <v>200</v>
      </c>
      <c r="N132" s="8" t="str">
        <f t="shared" ref="N132" si="1940">IF(N128="","",M132)</f>
        <v/>
      </c>
      <c r="O132" s="8" t="str">
        <f t="shared" ref="O132" si="1941">IF(O128="","",N132)</f>
        <v/>
      </c>
      <c r="P132" s="8" t="str">
        <f t="shared" ref="P132" si="1942">IF(P128="","",O132)</f>
        <v/>
      </c>
      <c r="Q132" s="8" t="str">
        <f t="shared" ref="Q132" si="1943">IF(Q128="","",P132)</f>
        <v/>
      </c>
      <c r="R132" s="8" t="str">
        <f t="shared" ref="R132" si="1944">IF(R128="","",Q132)</f>
        <v/>
      </c>
      <c r="S132" s="8" t="str">
        <f t="shared" ref="S132" si="1945">IF(S128="","",R132)</f>
        <v/>
      </c>
      <c r="T132" s="8" t="str">
        <f t="shared" ref="T132" si="1946">IF(T128="","",S132)</f>
        <v/>
      </c>
      <c r="U132" s="8" t="str">
        <f t="shared" ref="U132" si="1947">IF(U128="","",T132)</f>
        <v/>
      </c>
      <c r="V132" s="8" t="str">
        <f t="shared" ref="V132" si="1948">IF(V128="","",U132)</f>
        <v/>
      </c>
      <c r="W132" s="8" t="str">
        <f t="shared" ref="W132" si="1949">IF(W128="","",V132)</f>
        <v/>
      </c>
      <c r="X132" s="8" t="str">
        <f t="shared" ref="X132" si="1950">IF(X128="","",W132)</f>
        <v/>
      </c>
      <c r="Y132" s="8" t="str">
        <f t="shared" ref="Y132" si="1951">IF(Y128="","",X132)</f>
        <v/>
      </c>
      <c r="Z132" s="8" t="str">
        <f t="shared" ref="Z132" si="1952">IF(Z128="","",Y132)</f>
        <v/>
      </c>
      <c r="AA132" s="8" t="str">
        <f t="shared" ref="AA132" si="1953">IF(AA128="","",Z132)</f>
        <v/>
      </c>
      <c r="AB132" s="8" t="str">
        <f t="shared" ref="AB132" si="1954">IF(AB128="","",AA132)</f>
        <v/>
      </c>
      <c r="AC132" s="8" t="str">
        <f t="shared" ref="AC132" si="1955">IF(AC128="","",AB132)</f>
        <v/>
      </c>
      <c r="AD132" s="8" t="str">
        <f t="shared" ref="AD132" si="1956">IF(AD128="","",AC132)</f>
        <v/>
      </c>
      <c r="AE132" s="8" t="str">
        <f t="shared" ref="AE132" si="1957">IF(AE128="","",AD132)</f>
        <v/>
      </c>
      <c r="AF132" s="8" t="str">
        <f t="shared" ref="AF132" si="1958">IF(AF128="","",AE132)</f>
        <v/>
      </c>
      <c r="AG132" s="8" t="str">
        <f t="shared" ref="AG132" si="1959">IF(AG128="","",AF132)</f>
        <v/>
      </c>
      <c r="AH132" s="8" t="str">
        <f t="shared" ref="AH132" si="1960">IF(AH128="","",AG132)</f>
        <v/>
      </c>
      <c r="AI132" s="8" t="str">
        <f t="shared" ref="AI132" si="1961">IF(AI128="","",AH132)</f>
        <v/>
      </c>
      <c r="AJ132" s="8" t="str">
        <f t="shared" ref="AJ132" si="1962">IF(AJ128="","",AI132)</f>
        <v/>
      </c>
      <c r="AK132" s="8" t="str">
        <f t="shared" ref="AK132" si="1963">IF(AK128="","",AJ132)</f>
        <v/>
      </c>
      <c r="AL132" s="8" t="str">
        <f t="shared" ref="AL132" si="1964">IF(AL128="","",AK132)</f>
        <v/>
      </c>
      <c r="AM132" s="8" t="str">
        <f t="shared" ref="AM132" si="1965">IF(AM128="","",AL132)</f>
        <v/>
      </c>
      <c r="AN132" s="8" t="str">
        <f t="shared" ref="AN132" si="1966">IF(AN128="","",AM132)</f>
        <v/>
      </c>
      <c r="AO132" s="8" t="str">
        <f t="shared" ref="AO132" si="1967">IF(AO128="","",AN132)</f>
        <v/>
      </c>
      <c r="AP132" s="8" t="str">
        <f t="shared" ref="AP132:AS132" si="1968">IF(AP128="","",AO132)</f>
        <v/>
      </c>
      <c r="AQ132" s="8" t="str">
        <f t="shared" si="1968"/>
        <v/>
      </c>
      <c r="AR132" s="8" t="str">
        <f t="shared" si="1968"/>
        <v/>
      </c>
      <c r="AS132" s="8" t="str">
        <f t="shared" si="1968"/>
        <v/>
      </c>
    </row>
    <row r="133" spans="1:45" s="85" customFormat="1" x14ac:dyDescent="0.15">
      <c r="A133" s="14" t="s">
        <v>9</v>
      </c>
      <c r="B133" s="13" t="s">
        <v>10</v>
      </c>
      <c r="C133" s="12" t="s">
        <v>69</v>
      </c>
      <c r="D133" s="12" t="s">
        <v>69</v>
      </c>
      <c r="E133" s="12" t="s">
        <v>69</v>
      </c>
      <c r="F133" s="12" t="s">
        <v>69</v>
      </c>
      <c r="G133" s="12" t="s">
        <v>69</v>
      </c>
      <c r="H133" s="12" t="s">
        <v>69</v>
      </c>
      <c r="I133" s="12" t="s">
        <v>69</v>
      </c>
      <c r="J133" s="12" t="s">
        <v>69</v>
      </c>
      <c r="K133" s="12" t="str">
        <f t="shared" ref="K133" si="1969">IF(K128="","",J133)</f>
        <v>バタースクイーズ</v>
      </c>
      <c r="L133" s="12" t="str">
        <f t="shared" ref="L133" si="1970">IF(L128="","",K133)</f>
        <v>バタースクイーズ</v>
      </c>
      <c r="M133" s="12" t="str">
        <f t="shared" ref="M133" si="1971">IF(M128="","",L133)</f>
        <v>バタースクイーズ</v>
      </c>
      <c r="N133" s="12" t="str">
        <f t="shared" ref="N133" si="1972">IF(N128="","",M133)</f>
        <v/>
      </c>
      <c r="O133" s="12" t="str">
        <f t="shared" ref="O133" si="1973">IF(O128="","",N133)</f>
        <v/>
      </c>
      <c r="P133" s="12" t="str">
        <f t="shared" ref="P133" si="1974">IF(P128="","",O133)</f>
        <v/>
      </c>
      <c r="Q133" s="12" t="str">
        <f t="shared" ref="Q133" si="1975">IF(Q128="","",P133)</f>
        <v/>
      </c>
      <c r="R133" s="12" t="str">
        <f t="shared" ref="R133" si="1976">IF(R128="","",Q133)</f>
        <v/>
      </c>
      <c r="S133" s="12" t="str">
        <f t="shared" ref="S133" si="1977">IF(S128="","",R133)</f>
        <v/>
      </c>
      <c r="T133" s="12" t="str">
        <f t="shared" ref="T133" si="1978">IF(T128="","",S133)</f>
        <v/>
      </c>
      <c r="U133" s="12" t="str">
        <f t="shared" ref="U133" si="1979">IF(U128="","",T133)</f>
        <v/>
      </c>
      <c r="V133" s="12" t="str">
        <f t="shared" ref="V133" si="1980">IF(V128="","",U133)</f>
        <v/>
      </c>
      <c r="W133" s="12" t="str">
        <f t="shared" ref="W133" si="1981">IF(W128="","",V133)</f>
        <v/>
      </c>
      <c r="X133" s="12" t="str">
        <f t="shared" ref="X133" si="1982">IF(X128="","",W133)</f>
        <v/>
      </c>
      <c r="Y133" s="12" t="str">
        <f t="shared" ref="Y133" si="1983">IF(Y128="","",X133)</f>
        <v/>
      </c>
      <c r="Z133" s="12" t="str">
        <f t="shared" ref="Z133" si="1984">IF(Z128="","",Y133)</f>
        <v/>
      </c>
      <c r="AA133" s="12" t="str">
        <f t="shared" ref="AA133" si="1985">IF(AA128="","",Z133)</f>
        <v/>
      </c>
      <c r="AB133" s="12" t="str">
        <f t="shared" ref="AB133" si="1986">IF(AB128="","",AA133)</f>
        <v/>
      </c>
      <c r="AC133" s="12" t="str">
        <f t="shared" ref="AC133" si="1987">IF(AC128="","",AB133)</f>
        <v/>
      </c>
      <c r="AD133" s="12" t="str">
        <f t="shared" ref="AD133" si="1988">IF(AD128="","",AC133)</f>
        <v/>
      </c>
      <c r="AE133" s="12" t="str">
        <f t="shared" ref="AE133" si="1989">IF(AE128="","",AD133)</f>
        <v/>
      </c>
      <c r="AF133" s="12" t="str">
        <f t="shared" ref="AF133" si="1990">IF(AF128="","",AE133)</f>
        <v/>
      </c>
      <c r="AG133" s="12" t="str">
        <f t="shared" ref="AG133" si="1991">IF(AG128="","",AF133)</f>
        <v/>
      </c>
      <c r="AH133" s="12" t="str">
        <f t="shared" ref="AH133" si="1992">IF(AH128="","",AG133)</f>
        <v/>
      </c>
      <c r="AI133" s="12" t="str">
        <f t="shared" ref="AI133" si="1993">IF(AI128="","",AH133)</f>
        <v/>
      </c>
      <c r="AJ133" s="12" t="str">
        <f t="shared" ref="AJ133" si="1994">IF(AJ128="","",AI133)</f>
        <v/>
      </c>
      <c r="AK133" s="12" t="str">
        <f t="shared" ref="AK133" si="1995">IF(AK128="","",AJ133)</f>
        <v/>
      </c>
      <c r="AL133" s="12" t="str">
        <f t="shared" ref="AL133" si="1996">IF(AL128="","",AK133)</f>
        <v/>
      </c>
      <c r="AM133" s="12" t="str">
        <f t="shared" ref="AM133" si="1997">IF(AM128="","",AL133)</f>
        <v/>
      </c>
      <c r="AN133" s="12" t="str">
        <f t="shared" ref="AN133" si="1998">IF(AN128="","",AM133)</f>
        <v/>
      </c>
      <c r="AO133" s="12" t="str">
        <f t="shared" ref="AO133" si="1999">IF(AO128="","",AN133)</f>
        <v/>
      </c>
      <c r="AP133" s="12" t="str">
        <f t="shared" ref="AP133:AS133" si="2000">IF(AP128="","",AO133)</f>
        <v/>
      </c>
      <c r="AQ133" s="12" t="str">
        <f t="shared" si="2000"/>
        <v/>
      </c>
      <c r="AR133" s="12" t="str">
        <f t="shared" si="2000"/>
        <v/>
      </c>
      <c r="AS133" s="12" t="str">
        <f t="shared" si="2000"/>
        <v/>
      </c>
    </row>
    <row r="134" spans="1:45" x14ac:dyDescent="0.15">
      <c r="A134" s="7">
        <f>AVERAGE(C135:AS135)*30*100</f>
        <v>49636.36363636364</v>
      </c>
      <c r="B134" s="9" t="s">
        <v>12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</row>
    <row r="135" spans="1:45" x14ac:dyDescent="0.15">
      <c r="A135" s="7">
        <f>SUM(C135:AS135)</f>
        <v>182</v>
      </c>
      <c r="B135" s="6"/>
      <c r="C135" s="5">
        <v>0</v>
      </c>
      <c r="D135" s="5">
        <v>0</v>
      </c>
      <c r="E135" s="5">
        <v>0</v>
      </c>
      <c r="F135" s="5">
        <v>40</v>
      </c>
      <c r="G135" s="5">
        <v>0</v>
      </c>
      <c r="H135" s="5">
        <v>0</v>
      </c>
      <c r="I135" s="5">
        <v>0</v>
      </c>
      <c r="J135" s="5">
        <v>84</v>
      </c>
      <c r="K135" s="5">
        <f t="shared" ref="K135:K136" si="2001">IF(K128="","",K128-J128)</f>
        <v>0</v>
      </c>
      <c r="L135" s="5">
        <f t="shared" ref="L135:L136" si="2002">IF(L128="","",L128-K128)</f>
        <v>0</v>
      </c>
      <c r="M135" s="5">
        <f t="shared" ref="M135:M136" si="2003">IF(M128="","",M128-L128)</f>
        <v>58</v>
      </c>
      <c r="N135" s="5" t="str">
        <f t="shared" ref="N135:N136" si="2004">IF(N128="","",N128-M128)</f>
        <v/>
      </c>
      <c r="O135" s="5" t="str">
        <f t="shared" ref="O135:O136" si="2005">IF(O128="","",O128-N128)</f>
        <v/>
      </c>
      <c r="P135" s="5" t="str">
        <f t="shared" ref="P135:P136" si="2006">IF(P128="","",P128-O128)</f>
        <v/>
      </c>
      <c r="Q135" s="5" t="str">
        <f t="shared" ref="Q135:Q136" si="2007">IF(Q128="","",Q128-P128)</f>
        <v/>
      </c>
      <c r="R135" s="5" t="str">
        <f t="shared" ref="R135:R136" si="2008">IF(R128="","",R128-Q128)</f>
        <v/>
      </c>
      <c r="S135" s="5" t="str">
        <f t="shared" ref="S135:S136" si="2009">IF(S128="","",S128-R128)</f>
        <v/>
      </c>
      <c r="T135" s="5" t="str">
        <f t="shared" ref="T135:T136" si="2010">IF(T128="","",T128-S128)</f>
        <v/>
      </c>
      <c r="U135" s="5" t="str">
        <f t="shared" ref="U135:U136" si="2011">IF(U128="","",U128-T128)</f>
        <v/>
      </c>
      <c r="V135" s="5" t="str">
        <f t="shared" ref="V135:V136" si="2012">IF(V128="","",V128-U128)</f>
        <v/>
      </c>
      <c r="W135" s="5" t="str">
        <f t="shared" ref="W135:W136" si="2013">IF(W128="","",W128-V128)</f>
        <v/>
      </c>
      <c r="X135" s="5" t="str">
        <f t="shared" ref="X135:X136" si="2014">IF(X128="","",X128-W128)</f>
        <v/>
      </c>
      <c r="Y135" s="5" t="str">
        <f t="shared" ref="Y135:Y136" si="2015">IF(Y128="","",Y128-X128)</f>
        <v/>
      </c>
      <c r="Z135" s="5" t="str">
        <f t="shared" ref="Z135:Z136" si="2016">IF(Z128="","",Z128-Y128)</f>
        <v/>
      </c>
      <c r="AA135" s="5" t="str">
        <f t="shared" ref="AA135:AA136" si="2017">IF(AA128="","",AA128-Z128)</f>
        <v/>
      </c>
      <c r="AB135" s="5" t="str">
        <f t="shared" ref="AB135:AB136" si="2018">IF(AB128="","",AB128-AA128)</f>
        <v/>
      </c>
      <c r="AC135" s="5" t="str">
        <f t="shared" ref="AC135:AC136" si="2019">IF(AC128="","",AC128-AB128)</f>
        <v/>
      </c>
      <c r="AD135" s="5" t="str">
        <f t="shared" ref="AD135:AD136" si="2020">IF(AD128="","",AD128-AC128)</f>
        <v/>
      </c>
      <c r="AE135" s="5" t="str">
        <f t="shared" ref="AE135:AE136" si="2021">IF(AE128="","",AE128-AD128)</f>
        <v/>
      </c>
      <c r="AF135" s="5" t="str">
        <f t="shared" ref="AF135:AF136" si="2022">IF(AF128="","",AF128-AE128)</f>
        <v/>
      </c>
      <c r="AG135" s="5" t="str">
        <f t="shared" ref="AG135:AG136" si="2023">IF(AG128="","",AG128-AF128)</f>
        <v/>
      </c>
      <c r="AH135" s="5" t="str">
        <f t="shared" ref="AH135:AH136" si="2024">IF(AH128="","",AH128-AG128)</f>
        <v/>
      </c>
      <c r="AI135" s="5" t="str">
        <f t="shared" ref="AI135:AI136" si="2025">IF(AI128="","",AI128-AH128)</f>
        <v/>
      </c>
      <c r="AJ135" s="5" t="str">
        <f t="shared" ref="AJ135:AJ136" si="2026">IF(AJ128="","",AJ128-AI128)</f>
        <v/>
      </c>
      <c r="AK135" s="5" t="str">
        <f t="shared" ref="AK135:AK136" si="2027">IF(AK128="","",AK128-AJ128)</f>
        <v/>
      </c>
      <c r="AL135" s="5" t="str">
        <f t="shared" ref="AL135:AL136" si="2028">IF(AL128="","",AL128-AK128)</f>
        <v/>
      </c>
      <c r="AM135" s="5" t="str">
        <f t="shared" ref="AM135:AM136" si="2029">IF(AM128="","",AM128-AL128)</f>
        <v/>
      </c>
      <c r="AN135" s="5" t="str">
        <f t="shared" ref="AN135:AN136" si="2030">IF(AN128="","",AN128-AM128)</f>
        <v/>
      </c>
      <c r="AO135" s="5" t="str">
        <f t="shared" ref="AO135:AO136" si="2031">IF(AO128="","",AO128-AN128)</f>
        <v/>
      </c>
      <c r="AP135" s="5" t="str">
        <f t="shared" ref="AP135:AS135" si="2032">IF(AP128="","",AP128-AO128)</f>
        <v/>
      </c>
      <c r="AQ135" s="5" t="str">
        <f t="shared" si="2032"/>
        <v/>
      </c>
      <c r="AR135" s="5" t="str">
        <f t="shared" si="2032"/>
        <v/>
      </c>
      <c r="AS135" s="5" t="str">
        <f t="shared" si="2032"/>
        <v/>
      </c>
    </row>
    <row r="136" spans="1:45" x14ac:dyDescent="0.15">
      <c r="A136" s="7">
        <f>SUM(C136:AS136)</f>
        <v>6</v>
      </c>
      <c r="B136" s="6"/>
      <c r="C136" s="5">
        <v>0</v>
      </c>
      <c r="D136" s="5">
        <v>0</v>
      </c>
      <c r="E136" s="5">
        <v>0</v>
      </c>
      <c r="F136" s="5">
        <v>1</v>
      </c>
      <c r="G136" s="5">
        <v>0</v>
      </c>
      <c r="H136" s="5">
        <v>0</v>
      </c>
      <c r="I136" s="5">
        <v>0</v>
      </c>
      <c r="J136" s="5">
        <v>4</v>
      </c>
      <c r="K136" s="5">
        <f t="shared" si="2001"/>
        <v>0</v>
      </c>
      <c r="L136" s="5">
        <f t="shared" si="2002"/>
        <v>0</v>
      </c>
      <c r="M136" s="5">
        <f t="shared" si="2003"/>
        <v>1</v>
      </c>
      <c r="N136" s="5" t="str">
        <f t="shared" si="2004"/>
        <v/>
      </c>
      <c r="O136" s="5" t="str">
        <f t="shared" si="2005"/>
        <v/>
      </c>
      <c r="P136" s="5" t="str">
        <f t="shared" si="2006"/>
        <v/>
      </c>
      <c r="Q136" s="5" t="str">
        <f t="shared" si="2007"/>
        <v/>
      </c>
      <c r="R136" s="5" t="str">
        <f t="shared" si="2008"/>
        <v/>
      </c>
      <c r="S136" s="5" t="str">
        <f t="shared" si="2009"/>
        <v/>
      </c>
      <c r="T136" s="5" t="str">
        <f t="shared" si="2010"/>
        <v/>
      </c>
      <c r="U136" s="5" t="str">
        <f t="shared" si="2011"/>
        <v/>
      </c>
      <c r="V136" s="5" t="str">
        <f t="shared" si="2012"/>
        <v/>
      </c>
      <c r="W136" s="5" t="str">
        <f t="shared" si="2013"/>
        <v/>
      </c>
      <c r="X136" s="5" t="str">
        <f t="shared" si="2014"/>
        <v/>
      </c>
      <c r="Y136" s="5" t="str">
        <f t="shared" si="2015"/>
        <v/>
      </c>
      <c r="Z136" s="5" t="str">
        <f t="shared" si="2016"/>
        <v/>
      </c>
      <c r="AA136" s="5" t="str">
        <f t="shared" si="2017"/>
        <v/>
      </c>
      <c r="AB136" s="5" t="str">
        <f t="shared" si="2018"/>
        <v/>
      </c>
      <c r="AC136" s="5" t="str">
        <f t="shared" si="2019"/>
        <v/>
      </c>
      <c r="AD136" s="5" t="str">
        <f t="shared" si="2020"/>
        <v/>
      </c>
      <c r="AE136" s="5" t="str">
        <f t="shared" si="2021"/>
        <v/>
      </c>
      <c r="AF136" s="5" t="str">
        <f t="shared" si="2022"/>
        <v/>
      </c>
      <c r="AG136" s="5" t="str">
        <f t="shared" si="2023"/>
        <v/>
      </c>
      <c r="AH136" s="5" t="str">
        <f t="shared" si="2024"/>
        <v/>
      </c>
      <c r="AI136" s="5" t="str">
        <f t="shared" si="2025"/>
        <v/>
      </c>
      <c r="AJ136" s="5" t="str">
        <f t="shared" si="2026"/>
        <v/>
      </c>
      <c r="AK136" s="5" t="str">
        <f t="shared" si="2027"/>
        <v/>
      </c>
      <c r="AL136" s="5" t="str">
        <f t="shared" si="2028"/>
        <v/>
      </c>
      <c r="AM136" s="5" t="str">
        <f t="shared" si="2029"/>
        <v/>
      </c>
      <c r="AN136" s="5" t="str">
        <f t="shared" si="2030"/>
        <v/>
      </c>
      <c r="AO136" s="5" t="str">
        <f t="shared" si="2031"/>
        <v/>
      </c>
      <c r="AP136" s="5" t="str">
        <f t="shared" ref="AP136:AS136" si="2033">IF(AP129="","",AP129-AO129)</f>
        <v/>
      </c>
      <c r="AQ136" s="5" t="str">
        <f t="shared" si="2033"/>
        <v/>
      </c>
      <c r="AR136" s="5" t="str">
        <f t="shared" si="2033"/>
        <v/>
      </c>
      <c r="AS136" s="5" t="str">
        <f t="shared" si="2033"/>
        <v/>
      </c>
    </row>
    <row r="137" spans="1:45" x14ac:dyDescent="0.15">
      <c r="A137" s="7">
        <f>SUM(C137:AS137)</f>
        <v>6</v>
      </c>
      <c r="B137" s="6"/>
      <c r="C137" s="5">
        <v>0</v>
      </c>
      <c r="D137" s="5">
        <v>0</v>
      </c>
      <c r="E137" s="5">
        <v>0</v>
      </c>
      <c r="F137" s="5">
        <v>1</v>
      </c>
      <c r="G137" s="5">
        <v>0</v>
      </c>
      <c r="H137" s="5">
        <v>0</v>
      </c>
      <c r="I137" s="5">
        <v>0</v>
      </c>
      <c r="J137" s="5">
        <v>4</v>
      </c>
      <c r="K137" s="5">
        <f t="shared" ref="K137" si="2034">IF(K130="","",J130+J131-K130)</f>
        <v>0</v>
      </c>
      <c r="L137" s="5">
        <f t="shared" ref="L137" si="2035">IF(L130="","",K130+K131-L130)</f>
        <v>0</v>
      </c>
      <c r="M137" s="5">
        <f t="shared" ref="M137" si="2036">IF(M130="","",L130+L131-M130)</f>
        <v>1</v>
      </c>
      <c r="N137" s="5" t="str">
        <f t="shared" ref="N137" si="2037">IF(N130="","",M130+M131-N130)</f>
        <v/>
      </c>
      <c r="O137" s="5" t="str">
        <f t="shared" ref="O137" si="2038">IF(O130="","",N130+N131-O130)</f>
        <v/>
      </c>
      <c r="P137" s="5" t="str">
        <f t="shared" ref="P137" si="2039">IF(P130="","",O130+O131-P130)</f>
        <v/>
      </c>
      <c r="Q137" s="5" t="str">
        <f t="shared" ref="Q137" si="2040">IF(Q130="","",P130+P131-Q130)</f>
        <v/>
      </c>
      <c r="R137" s="5" t="str">
        <f t="shared" ref="R137" si="2041">IF(R130="","",Q130+Q131-R130)</f>
        <v/>
      </c>
      <c r="S137" s="5" t="str">
        <f t="shared" ref="S137" si="2042">IF(S130="","",R130+R131-S130)</f>
        <v/>
      </c>
      <c r="T137" s="5" t="str">
        <f t="shared" ref="T137" si="2043">IF(T130="","",S130+S131-T130)</f>
        <v/>
      </c>
      <c r="U137" s="5" t="str">
        <f t="shared" ref="U137" si="2044">IF(U130="","",T130+T131-U130)</f>
        <v/>
      </c>
      <c r="V137" s="5" t="str">
        <f t="shared" ref="V137" si="2045">IF(V130="","",U130+U131-V130)</f>
        <v/>
      </c>
      <c r="W137" s="5" t="str">
        <f t="shared" ref="W137" si="2046">IF(W130="","",V130+V131-W130)</f>
        <v/>
      </c>
      <c r="X137" s="5" t="str">
        <f t="shared" ref="X137" si="2047">IF(X130="","",W130+W131-X130)</f>
        <v/>
      </c>
      <c r="Y137" s="5" t="str">
        <f t="shared" ref="Y137" si="2048">IF(Y130="","",X130+X131-Y130)</f>
        <v/>
      </c>
      <c r="Z137" s="5" t="str">
        <f t="shared" ref="Z137" si="2049">IF(Z130="","",Y130+Y131-Z130)</f>
        <v/>
      </c>
      <c r="AA137" s="5" t="str">
        <f t="shared" ref="AA137" si="2050">IF(AA130="","",Z130+Z131-AA130)</f>
        <v/>
      </c>
      <c r="AB137" s="5" t="str">
        <f t="shared" ref="AB137" si="2051">IF(AB130="","",AA130+AA131-AB130)</f>
        <v/>
      </c>
      <c r="AC137" s="5" t="str">
        <f t="shared" ref="AC137" si="2052">IF(AC130="","",AB130+AB131-AC130)</f>
        <v/>
      </c>
      <c r="AD137" s="5" t="str">
        <f t="shared" ref="AD137" si="2053">IF(AD130="","",AC130+AC131-AD130)</f>
        <v/>
      </c>
      <c r="AE137" s="5" t="str">
        <f t="shared" ref="AE137" si="2054">IF(AE130="","",AD130+AD131-AE130)</f>
        <v/>
      </c>
      <c r="AF137" s="5" t="str">
        <f t="shared" ref="AF137" si="2055">IF(AF130="","",AE130+AE131-AF130)</f>
        <v/>
      </c>
      <c r="AG137" s="5" t="str">
        <f t="shared" ref="AG137" si="2056">IF(AG130="","",AF130+AF131-AG130)</f>
        <v/>
      </c>
      <c r="AH137" s="5" t="str">
        <f t="shared" ref="AH137" si="2057">IF(AH130="","",AG130+AG131-AH130)</f>
        <v/>
      </c>
      <c r="AI137" s="5" t="str">
        <f t="shared" ref="AI137" si="2058">IF(AI130="","",AH130+AH131-AI130)</f>
        <v/>
      </c>
      <c r="AJ137" s="5" t="str">
        <f t="shared" ref="AJ137" si="2059">IF(AJ130="","",AI130+AI131-AJ130)</f>
        <v/>
      </c>
      <c r="AK137" s="5" t="str">
        <f t="shared" ref="AK137" si="2060">IF(AK130="","",AJ130+AJ131-AK130)</f>
        <v/>
      </c>
      <c r="AL137" s="5" t="str">
        <f t="shared" ref="AL137" si="2061">IF(AL130="","",AK130+AK131-AL130)</f>
        <v/>
      </c>
      <c r="AM137" s="5" t="str">
        <f t="shared" ref="AM137" si="2062">IF(AM130="","",AL130+AL131-AM130)</f>
        <v/>
      </c>
      <c r="AN137" s="5" t="str">
        <f t="shared" ref="AN137" si="2063">IF(AN130="","",AM130+AM131-AN130)</f>
        <v/>
      </c>
      <c r="AO137" s="5" t="str">
        <f t="shared" ref="AO137" si="2064">IF(AO130="","",AN130+AN131-AO130)</f>
        <v/>
      </c>
      <c r="AP137" s="5" t="str">
        <f t="shared" ref="AP137:AS137" si="2065">IF(AP130="","",AO130+AO131-AP130)</f>
        <v/>
      </c>
      <c r="AQ137" s="5" t="str">
        <f t="shared" si="2065"/>
        <v/>
      </c>
      <c r="AR137" s="5" t="str">
        <f t="shared" si="2065"/>
        <v/>
      </c>
      <c r="AS137" s="5" t="str">
        <f t="shared" si="2065"/>
        <v/>
      </c>
    </row>
    <row r="138" spans="1:45" x14ac:dyDescent="0.15">
      <c r="A138" s="7">
        <f>SUM(C138:AS138)</f>
        <v>1200</v>
      </c>
      <c r="B138" s="6"/>
      <c r="C138" s="5">
        <v>0</v>
      </c>
      <c r="D138" s="5">
        <v>0</v>
      </c>
      <c r="E138" s="5">
        <v>0</v>
      </c>
      <c r="F138" s="5">
        <v>200</v>
      </c>
      <c r="G138" s="5">
        <v>0</v>
      </c>
      <c r="H138" s="5">
        <v>0</v>
      </c>
      <c r="I138" s="5">
        <v>0</v>
      </c>
      <c r="J138" s="5">
        <v>800</v>
      </c>
      <c r="K138" s="5">
        <f t="shared" ref="I138:AO138" si="2066">IF(K128="","",K137*K132)</f>
        <v>0</v>
      </c>
      <c r="L138" s="5">
        <f t="shared" si="2066"/>
        <v>0</v>
      </c>
      <c r="M138" s="5">
        <f t="shared" si="2066"/>
        <v>200</v>
      </c>
      <c r="N138" s="5" t="str">
        <f t="shared" si="2066"/>
        <v/>
      </c>
      <c r="O138" s="5" t="str">
        <f t="shared" si="2066"/>
        <v/>
      </c>
      <c r="P138" s="5" t="str">
        <f t="shared" si="2066"/>
        <v/>
      </c>
      <c r="Q138" s="5" t="str">
        <f t="shared" si="2066"/>
        <v/>
      </c>
      <c r="R138" s="5" t="str">
        <f t="shared" si="2066"/>
        <v/>
      </c>
      <c r="S138" s="5" t="str">
        <f t="shared" si="2066"/>
        <v/>
      </c>
      <c r="T138" s="5" t="str">
        <f t="shared" si="2066"/>
        <v/>
      </c>
      <c r="U138" s="5" t="str">
        <f t="shared" si="2066"/>
        <v/>
      </c>
      <c r="V138" s="5" t="str">
        <f t="shared" si="2066"/>
        <v/>
      </c>
      <c r="W138" s="5" t="str">
        <f t="shared" si="2066"/>
        <v/>
      </c>
      <c r="X138" s="5" t="str">
        <f t="shared" si="2066"/>
        <v/>
      </c>
      <c r="Y138" s="5" t="str">
        <f t="shared" si="2066"/>
        <v/>
      </c>
      <c r="Z138" s="5" t="str">
        <f t="shared" si="2066"/>
        <v/>
      </c>
      <c r="AA138" s="5" t="str">
        <f t="shared" si="2066"/>
        <v/>
      </c>
      <c r="AB138" s="5" t="str">
        <f t="shared" si="2066"/>
        <v/>
      </c>
      <c r="AC138" s="5" t="str">
        <f t="shared" si="2066"/>
        <v/>
      </c>
      <c r="AD138" s="5" t="str">
        <f t="shared" si="2066"/>
        <v/>
      </c>
      <c r="AE138" s="5" t="str">
        <f t="shared" si="2066"/>
        <v/>
      </c>
      <c r="AF138" s="5" t="str">
        <f t="shared" si="2066"/>
        <v/>
      </c>
      <c r="AG138" s="5" t="str">
        <f t="shared" si="2066"/>
        <v/>
      </c>
      <c r="AH138" s="5" t="str">
        <f t="shared" si="2066"/>
        <v/>
      </c>
      <c r="AI138" s="5" t="str">
        <f t="shared" si="2066"/>
        <v/>
      </c>
      <c r="AJ138" s="5" t="str">
        <f t="shared" si="2066"/>
        <v/>
      </c>
      <c r="AK138" s="5" t="str">
        <f t="shared" si="2066"/>
        <v/>
      </c>
      <c r="AL138" s="5" t="str">
        <f t="shared" si="2066"/>
        <v/>
      </c>
      <c r="AM138" s="5" t="str">
        <f t="shared" si="2066"/>
        <v/>
      </c>
      <c r="AN138" s="5" t="str">
        <f t="shared" si="2066"/>
        <v/>
      </c>
      <c r="AO138" s="5" t="str">
        <f t="shared" si="2066"/>
        <v/>
      </c>
      <c r="AP138" s="5" t="str">
        <f t="shared" ref="AP138:AS138" si="2067">IF(AP128="","",AP137*AP132)</f>
        <v/>
      </c>
      <c r="AQ138" s="5" t="str">
        <f t="shared" si="2067"/>
        <v/>
      </c>
      <c r="AR138" s="5" t="str">
        <f t="shared" si="2067"/>
        <v/>
      </c>
      <c r="AS138" s="5" t="str">
        <f t="shared" si="2067"/>
        <v/>
      </c>
    </row>
    <row r="139" spans="1:45" ht="12" thickBot="1" x14ac:dyDescent="0.2">
      <c r="A139" s="4">
        <f>IF(A138="","",A138/(A135*100))</f>
        <v>6.5934065934065936E-2</v>
      </c>
      <c r="B139" s="3"/>
      <c r="C139" s="2" t="s">
        <v>19</v>
      </c>
      <c r="D139" s="2" t="s">
        <v>19</v>
      </c>
      <c r="E139" s="2" t="s">
        <v>19</v>
      </c>
      <c r="F139" s="2">
        <v>0.05</v>
      </c>
      <c r="G139" s="2" t="s">
        <v>19</v>
      </c>
      <c r="H139" s="2" t="s">
        <v>19</v>
      </c>
      <c r="I139" s="2" t="s">
        <v>19</v>
      </c>
      <c r="J139" s="2">
        <v>9.5238095238095233E-2</v>
      </c>
      <c r="K139" s="2" t="str">
        <f t="shared" ref="I139:AO139" si="2068">IF(K138="","",IF(K138=0,"",K138/(K135*100)))</f>
        <v/>
      </c>
      <c r="L139" s="2" t="str">
        <f t="shared" si="2068"/>
        <v/>
      </c>
      <c r="M139" s="2">
        <f t="shared" si="2068"/>
        <v>3.4482758620689655E-2</v>
      </c>
      <c r="N139" s="2" t="str">
        <f t="shared" si="2068"/>
        <v/>
      </c>
      <c r="O139" s="2" t="str">
        <f t="shared" si="2068"/>
        <v/>
      </c>
      <c r="P139" s="2" t="str">
        <f t="shared" si="2068"/>
        <v/>
      </c>
      <c r="Q139" s="2" t="str">
        <f t="shared" si="2068"/>
        <v/>
      </c>
      <c r="R139" s="2" t="str">
        <f t="shared" si="2068"/>
        <v/>
      </c>
      <c r="S139" s="2" t="str">
        <f t="shared" si="2068"/>
        <v/>
      </c>
      <c r="T139" s="2" t="str">
        <f t="shared" si="2068"/>
        <v/>
      </c>
      <c r="U139" s="2" t="str">
        <f t="shared" si="2068"/>
        <v/>
      </c>
      <c r="V139" s="2" t="str">
        <f t="shared" si="2068"/>
        <v/>
      </c>
      <c r="W139" s="2" t="str">
        <f t="shared" si="2068"/>
        <v/>
      </c>
      <c r="X139" s="2" t="str">
        <f t="shared" si="2068"/>
        <v/>
      </c>
      <c r="Y139" s="2" t="str">
        <f t="shared" si="2068"/>
        <v/>
      </c>
      <c r="Z139" s="2" t="str">
        <f t="shared" si="2068"/>
        <v/>
      </c>
      <c r="AA139" s="2" t="str">
        <f t="shared" si="2068"/>
        <v/>
      </c>
      <c r="AB139" s="2" t="str">
        <f t="shared" si="2068"/>
        <v/>
      </c>
      <c r="AC139" s="2" t="str">
        <f t="shared" si="2068"/>
        <v/>
      </c>
      <c r="AD139" s="2" t="str">
        <f t="shared" si="2068"/>
        <v/>
      </c>
      <c r="AE139" s="2" t="str">
        <f t="shared" si="2068"/>
        <v/>
      </c>
      <c r="AF139" s="2" t="str">
        <f t="shared" si="2068"/>
        <v/>
      </c>
      <c r="AG139" s="2" t="str">
        <f t="shared" si="2068"/>
        <v/>
      </c>
      <c r="AH139" s="2" t="str">
        <f t="shared" si="2068"/>
        <v/>
      </c>
      <c r="AI139" s="2" t="str">
        <f t="shared" si="2068"/>
        <v/>
      </c>
      <c r="AJ139" s="2" t="str">
        <f t="shared" si="2068"/>
        <v/>
      </c>
      <c r="AK139" s="2" t="str">
        <f t="shared" si="2068"/>
        <v/>
      </c>
      <c r="AL139" s="2" t="str">
        <f t="shared" si="2068"/>
        <v/>
      </c>
      <c r="AM139" s="2" t="str">
        <f t="shared" si="2068"/>
        <v/>
      </c>
      <c r="AN139" s="2" t="str">
        <f t="shared" si="2068"/>
        <v/>
      </c>
      <c r="AO139" s="2" t="str">
        <f t="shared" si="2068"/>
        <v/>
      </c>
      <c r="AP139" s="2" t="str">
        <f t="shared" ref="AP139:AS139" si="2069">IF(AP138="","",IF(AP138=0,"",AP138/(AP135*100)))</f>
        <v/>
      </c>
      <c r="AQ139" s="2" t="str">
        <f t="shared" si="2069"/>
        <v/>
      </c>
      <c r="AR139" s="2" t="str">
        <f t="shared" si="2069"/>
        <v/>
      </c>
      <c r="AS139" s="2" t="str">
        <f t="shared" si="2069"/>
        <v/>
      </c>
    </row>
    <row r="140" spans="1:45" x14ac:dyDescent="0.15">
      <c r="A140" s="22" t="s">
        <v>59</v>
      </c>
      <c r="B140" s="21" t="s">
        <v>2</v>
      </c>
      <c r="C140" s="20">
        <v>10152</v>
      </c>
      <c r="D140" s="20">
        <v>10152</v>
      </c>
      <c r="E140" s="20">
        <v>10152</v>
      </c>
      <c r="F140" s="20">
        <v>10236</v>
      </c>
      <c r="G140" s="20">
        <v>10236</v>
      </c>
      <c r="H140" s="20">
        <v>10236</v>
      </c>
      <c r="I140" s="20">
        <v>10236</v>
      </c>
      <c r="J140" s="20">
        <v>10309</v>
      </c>
      <c r="K140" s="20">
        <f t="shared" ref="K140:K141" si="2070">IF(K$8="","",J140)</f>
        <v>10309</v>
      </c>
      <c r="L140" s="20">
        <f t="shared" ref="L140:L141" si="2071">IF(L$8="","",K140)</f>
        <v>10309</v>
      </c>
      <c r="M140" s="20">
        <v>10386</v>
      </c>
      <c r="N140" s="20" t="str">
        <f t="shared" ref="N140:N141" si="2072">IF(N$8="","",M140)</f>
        <v/>
      </c>
      <c r="O140" s="20" t="str">
        <f t="shared" ref="O140:O141" si="2073">IF(O$8="","",N140)</f>
        <v/>
      </c>
      <c r="P140" s="20" t="str">
        <f t="shared" ref="P140:P141" si="2074">IF(P$8="","",O140)</f>
        <v/>
      </c>
      <c r="Q140" s="20" t="str">
        <f>IF(Q$8="","",P140)</f>
        <v/>
      </c>
      <c r="R140" s="20" t="str">
        <f t="shared" ref="R140:R141" si="2075">IF(R$8="","",Q140)</f>
        <v/>
      </c>
      <c r="S140" s="20" t="str">
        <f t="shared" ref="S140:S141" si="2076">IF(S$8="","",R140)</f>
        <v/>
      </c>
      <c r="T140" s="20" t="str">
        <f>IF(T$8="","",S140)</f>
        <v/>
      </c>
      <c r="U140" s="20" t="str">
        <f t="shared" ref="U140:U141" si="2077">IF(U$8="","",T140)</f>
        <v/>
      </c>
      <c r="V140" s="20" t="str">
        <f t="shared" ref="V140:V141" si="2078">IF(V$8="","",U140)</f>
        <v/>
      </c>
      <c r="W140" s="20" t="str">
        <f t="shared" ref="W140:W141" si="2079">IF(W$8="","",V140)</f>
        <v/>
      </c>
      <c r="X140" s="20" t="str">
        <f>IF(X$8="","",W140)</f>
        <v/>
      </c>
      <c r="Y140" s="20" t="str">
        <f t="shared" ref="Y140:Y141" si="2080">IF(Y$8="","",X140)</f>
        <v/>
      </c>
      <c r="Z140" s="20" t="str">
        <f t="shared" ref="Z140:Z141" si="2081">IF(Z$8="","",Y140)</f>
        <v/>
      </c>
      <c r="AA140" s="20" t="str">
        <f>IF(AA$8="","",Z140)</f>
        <v/>
      </c>
      <c r="AB140" s="20" t="str">
        <f t="shared" ref="AB140:AB141" si="2082">IF(AB$8="","",AA140)</f>
        <v/>
      </c>
      <c r="AC140" s="20" t="str">
        <f t="shared" ref="AC140:AC141" si="2083">IF(AC$8="","",AB140)</f>
        <v/>
      </c>
      <c r="AD140" s="20" t="str">
        <f>IF(AD$8="","",AC140)</f>
        <v/>
      </c>
      <c r="AE140" s="20" t="str">
        <f t="shared" ref="AE140:AE141" si="2084">IF(AE$8="","",AD140)</f>
        <v/>
      </c>
      <c r="AF140" s="20" t="str">
        <f t="shared" ref="AF140:AF141" si="2085">IF(AF$8="","",AE140)</f>
        <v/>
      </c>
      <c r="AG140" s="20" t="str">
        <f t="shared" ref="AG140:AG141" si="2086">IF(AG$8="","",AF140)</f>
        <v/>
      </c>
      <c r="AH140" s="20" t="str">
        <f>IF(AH$8="","",AG140)</f>
        <v/>
      </c>
      <c r="AI140" s="20" t="str">
        <f t="shared" ref="AI140:AI141" si="2087">IF(AI$8="","",AH140)</f>
        <v/>
      </c>
      <c r="AJ140" s="20" t="str">
        <f t="shared" ref="AJ140:AJ141" si="2088">IF(AJ$8="","",AI140)</f>
        <v/>
      </c>
      <c r="AK140" s="20" t="str">
        <f t="shared" ref="AK140:AK141" si="2089">IF(AK$8="","",AJ140)</f>
        <v/>
      </c>
      <c r="AL140" s="20" t="str">
        <f>IF(AL$8="","",AK140)</f>
        <v/>
      </c>
      <c r="AM140" s="20" t="str">
        <f t="shared" ref="AM140:AM141" si="2090">IF(AM$8="","",AL140)</f>
        <v/>
      </c>
      <c r="AN140" s="20" t="str">
        <f t="shared" ref="AN140:AN141" si="2091">IF(AN$8="","",AM140)</f>
        <v/>
      </c>
      <c r="AO140" s="20" t="str">
        <f t="shared" ref="AO140:AO141" si="2092">IF(AO$8="","",AN140)</f>
        <v/>
      </c>
      <c r="AP140" s="20" t="str">
        <f t="shared" ref="AP140:AS140" si="2093">IF(AP$8="","",AO140)</f>
        <v/>
      </c>
      <c r="AQ140" s="20" t="str">
        <f t="shared" si="2093"/>
        <v/>
      </c>
      <c r="AR140" s="20" t="str">
        <f t="shared" si="2093"/>
        <v/>
      </c>
      <c r="AS140" s="20" t="str">
        <f t="shared" si="2093"/>
        <v/>
      </c>
    </row>
    <row r="141" spans="1:45" x14ac:dyDescent="0.15">
      <c r="A141" s="16" t="s">
        <v>27</v>
      </c>
      <c r="B141" s="9" t="s">
        <v>4</v>
      </c>
      <c r="C141" s="8">
        <v>224</v>
      </c>
      <c r="D141" s="8">
        <v>224</v>
      </c>
      <c r="E141" s="8">
        <v>224</v>
      </c>
      <c r="F141" s="8">
        <v>225</v>
      </c>
      <c r="G141" s="8">
        <v>225</v>
      </c>
      <c r="H141" s="8">
        <v>225</v>
      </c>
      <c r="I141" s="8">
        <v>225</v>
      </c>
      <c r="J141" s="8">
        <v>225</v>
      </c>
      <c r="K141" s="8">
        <f t="shared" si="2070"/>
        <v>225</v>
      </c>
      <c r="L141" s="8">
        <f t="shared" si="2071"/>
        <v>225</v>
      </c>
      <c r="M141" s="8">
        <v>226</v>
      </c>
      <c r="N141" s="8" t="str">
        <f t="shared" si="2072"/>
        <v/>
      </c>
      <c r="O141" s="8" t="str">
        <f t="shared" si="2073"/>
        <v/>
      </c>
      <c r="P141" s="8" t="str">
        <f t="shared" si="2074"/>
        <v/>
      </c>
      <c r="Q141" s="8" t="str">
        <f>IF(Q$8="","",P141)</f>
        <v/>
      </c>
      <c r="R141" s="8" t="str">
        <f t="shared" si="2075"/>
        <v/>
      </c>
      <c r="S141" s="8" t="str">
        <f t="shared" si="2076"/>
        <v/>
      </c>
      <c r="T141" s="8" t="str">
        <f>IF(T$8="","",S141)</f>
        <v/>
      </c>
      <c r="U141" s="8" t="str">
        <f t="shared" si="2077"/>
        <v/>
      </c>
      <c r="V141" s="8" t="str">
        <f t="shared" si="2078"/>
        <v/>
      </c>
      <c r="W141" s="8" t="str">
        <f t="shared" si="2079"/>
        <v/>
      </c>
      <c r="X141" s="8" t="str">
        <f>IF(X$8="","",W141)</f>
        <v/>
      </c>
      <c r="Y141" s="8" t="str">
        <f t="shared" si="2080"/>
        <v/>
      </c>
      <c r="Z141" s="8" t="str">
        <f t="shared" si="2081"/>
        <v/>
      </c>
      <c r="AA141" s="8" t="str">
        <f>IF(AA$8="","",Z141)</f>
        <v/>
      </c>
      <c r="AB141" s="8" t="str">
        <f t="shared" si="2082"/>
        <v/>
      </c>
      <c r="AC141" s="8" t="str">
        <f t="shared" si="2083"/>
        <v/>
      </c>
      <c r="AD141" s="8" t="str">
        <f>IF(AD$8="","",AC141)</f>
        <v/>
      </c>
      <c r="AE141" s="8" t="str">
        <f t="shared" si="2084"/>
        <v/>
      </c>
      <c r="AF141" s="8" t="str">
        <f t="shared" si="2085"/>
        <v/>
      </c>
      <c r="AG141" s="8" t="str">
        <f t="shared" si="2086"/>
        <v/>
      </c>
      <c r="AH141" s="8" t="str">
        <f>IF(AH$8="","",AG141)</f>
        <v/>
      </c>
      <c r="AI141" s="8" t="str">
        <f t="shared" si="2087"/>
        <v/>
      </c>
      <c r="AJ141" s="8" t="str">
        <f t="shared" si="2088"/>
        <v/>
      </c>
      <c r="AK141" s="8" t="str">
        <f t="shared" si="2089"/>
        <v/>
      </c>
      <c r="AL141" s="8" t="str">
        <f t="shared" ref="AL140:AL141" si="2094">IF(AL$8="","",AK141)</f>
        <v/>
      </c>
      <c r="AM141" s="8" t="str">
        <f t="shared" si="2090"/>
        <v/>
      </c>
      <c r="AN141" s="8" t="str">
        <f t="shared" si="2091"/>
        <v/>
      </c>
      <c r="AO141" s="8" t="str">
        <f t="shared" si="2092"/>
        <v/>
      </c>
      <c r="AP141" s="8" t="str">
        <f t="shared" ref="AP141:AS141" si="2095">IF(AP$8="","",AO141)</f>
        <v/>
      </c>
      <c r="AQ141" s="8" t="str">
        <f t="shared" si="2095"/>
        <v/>
      </c>
      <c r="AR141" s="8" t="str">
        <f t="shared" si="2095"/>
        <v/>
      </c>
      <c r="AS141" s="8" t="str">
        <f t="shared" si="2095"/>
        <v/>
      </c>
    </row>
    <row r="142" spans="1:45" x14ac:dyDescent="0.15">
      <c r="A142" s="15">
        <v>1</v>
      </c>
      <c r="B142" s="9" t="s">
        <v>5</v>
      </c>
      <c r="C142" s="8">
        <v>9</v>
      </c>
      <c r="D142" s="8">
        <v>9</v>
      </c>
      <c r="E142" s="8">
        <v>9</v>
      </c>
      <c r="F142" s="8">
        <v>8</v>
      </c>
      <c r="G142" s="8">
        <v>8</v>
      </c>
      <c r="H142" s="8">
        <v>8</v>
      </c>
      <c r="I142" s="8">
        <v>8</v>
      </c>
      <c r="J142" s="8">
        <v>8</v>
      </c>
      <c r="K142" s="8">
        <f t="shared" ref="K142" si="2096">IF(K140="","",(J142+J143))</f>
        <v>8</v>
      </c>
      <c r="L142" s="8">
        <f t="shared" ref="L142" si="2097">IF(L140="","",(K142+K143))</f>
        <v>8</v>
      </c>
      <c r="M142" s="8">
        <v>7</v>
      </c>
      <c r="N142" s="8" t="str">
        <f t="shared" ref="N142" si="2098">IF(N140="","",(M142+M143))</f>
        <v/>
      </c>
      <c r="O142" s="8" t="str">
        <f t="shared" ref="O142" si="2099">IF(O140="","",(N142+N143))</f>
        <v/>
      </c>
      <c r="P142" s="8" t="str">
        <f t="shared" ref="P142" si="2100">IF(P140="","",(O142+O143))</f>
        <v/>
      </c>
      <c r="Q142" s="8" t="str">
        <f>IF(Q140="","",(P142+P143))</f>
        <v/>
      </c>
      <c r="R142" s="8" t="str">
        <f t="shared" ref="R142" si="2101">IF(R140="","",(Q142+Q143))</f>
        <v/>
      </c>
      <c r="S142" s="8" t="str">
        <f t="shared" ref="S142" si="2102">IF(S140="","",(R142+R143))</f>
        <v/>
      </c>
      <c r="T142" s="8" t="str">
        <f>IF(T140="","",(S142+S143))</f>
        <v/>
      </c>
      <c r="U142" s="8" t="str">
        <f t="shared" ref="U142" si="2103">IF(U140="","",(T142+T143))</f>
        <v/>
      </c>
      <c r="V142" s="8" t="str">
        <f t="shared" ref="V142" si="2104">IF(V140="","",(U142+U143))</f>
        <v/>
      </c>
      <c r="W142" s="8" t="str">
        <f t="shared" ref="W142" si="2105">IF(W140="","",(V142+V143))</f>
        <v/>
      </c>
      <c r="X142" s="8" t="str">
        <f>IF(X140="","",(W142+W143))</f>
        <v/>
      </c>
      <c r="Y142" s="8" t="str">
        <f t="shared" ref="Y142" si="2106">IF(Y140="","",(X142+X143))</f>
        <v/>
      </c>
      <c r="Z142" s="8" t="str">
        <f t="shared" ref="Z142" si="2107">IF(Z140="","",(Y142+Y143))</f>
        <v/>
      </c>
      <c r="AA142" s="8" t="str">
        <f>IF(AA140="","",(Z142+Z143))</f>
        <v/>
      </c>
      <c r="AB142" s="8" t="str">
        <f t="shared" ref="AB142" si="2108">IF(AB140="","",(AA142+AA143))</f>
        <v/>
      </c>
      <c r="AC142" s="8" t="str">
        <f t="shared" ref="AC142" si="2109">IF(AC140="","",(AB142+AB143))</f>
        <v/>
      </c>
      <c r="AD142" s="8" t="str">
        <f t="shared" ref="AD142" si="2110">IF(AD140="","",(AC142+AC143))</f>
        <v/>
      </c>
      <c r="AE142" s="8" t="str">
        <f t="shared" ref="AE142" si="2111">IF(AE140="","",(AD142+AD143))</f>
        <v/>
      </c>
      <c r="AF142" s="8" t="str">
        <f t="shared" ref="AF142" si="2112">IF(AF140="","",(AE142+AE143))</f>
        <v/>
      </c>
      <c r="AG142" s="8" t="str">
        <f t="shared" ref="AG142" si="2113">IF(AG140="","",(AF142+AF143))</f>
        <v/>
      </c>
      <c r="AH142" s="8" t="str">
        <f>IF(AH140="","",(AG142+AG143))</f>
        <v/>
      </c>
      <c r="AI142" s="8" t="str">
        <f t="shared" ref="AI142" si="2114">IF(AI140="","",(AH142+AH143))</f>
        <v/>
      </c>
      <c r="AJ142" s="8" t="str">
        <f t="shared" ref="AJ142" si="2115">IF(AJ140="","",(AI142+AI143))</f>
        <v/>
      </c>
      <c r="AK142" s="8" t="str">
        <f t="shared" ref="AK142" si="2116">IF(AK140="","",(AJ142+AJ143))</f>
        <v/>
      </c>
      <c r="AL142" s="8" t="str">
        <f t="shared" ref="AL142" si="2117">IF(AL140="","",(AK142+AK143))</f>
        <v/>
      </c>
      <c r="AM142" s="8" t="str">
        <f t="shared" ref="AM142" si="2118">IF(AM140="","",(AL142+AL143))</f>
        <v/>
      </c>
      <c r="AN142" s="8" t="str">
        <f t="shared" ref="AN142" si="2119">IF(AN140="","",(AM142+AM143))</f>
        <v/>
      </c>
      <c r="AO142" s="8" t="str">
        <f t="shared" ref="AO142" si="2120">IF(AO140="","",(AN142+AN143))</f>
        <v/>
      </c>
      <c r="AP142" s="8" t="str">
        <f t="shared" ref="AP142:AS142" si="2121">IF(AP140="","",(AO142+AO143))</f>
        <v/>
      </c>
      <c r="AQ142" s="8" t="str">
        <f t="shared" si="2121"/>
        <v/>
      </c>
      <c r="AR142" s="8" t="str">
        <f t="shared" si="2121"/>
        <v/>
      </c>
      <c r="AS142" s="8" t="str">
        <f t="shared" si="2121"/>
        <v/>
      </c>
    </row>
    <row r="143" spans="1:45" x14ac:dyDescent="0.15">
      <c r="A143" s="92" t="s">
        <v>6</v>
      </c>
      <c r="B143" s="9" t="s">
        <v>7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>
        <v>6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</row>
    <row r="144" spans="1:45" x14ac:dyDescent="0.15">
      <c r="A144" s="93">
        <f>+(A147+A159+A171+A183)*100</f>
        <v>88500</v>
      </c>
      <c r="B144" s="9" t="s">
        <v>8</v>
      </c>
      <c r="C144" s="8">
        <v>500</v>
      </c>
      <c r="D144" s="8">
        <v>500</v>
      </c>
      <c r="E144" s="8">
        <v>500</v>
      </c>
      <c r="F144" s="8">
        <v>500</v>
      </c>
      <c r="G144" s="8">
        <v>500</v>
      </c>
      <c r="H144" s="8">
        <v>500</v>
      </c>
      <c r="I144" s="8">
        <v>500</v>
      </c>
      <c r="J144" s="8">
        <v>500</v>
      </c>
      <c r="K144" s="8">
        <f t="shared" ref="K144" si="2122">IF(K140="","",J144)</f>
        <v>500</v>
      </c>
      <c r="L144" s="8">
        <f t="shared" ref="L144" si="2123">IF(L140="","",K144)</f>
        <v>500</v>
      </c>
      <c r="M144" s="8">
        <f t="shared" ref="M144" si="2124">IF(M140="","",L144)</f>
        <v>500</v>
      </c>
      <c r="N144" s="8" t="str">
        <f t="shared" ref="N144" si="2125">IF(N140="","",M144)</f>
        <v/>
      </c>
      <c r="O144" s="8" t="str">
        <f t="shared" ref="O144" si="2126">IF(O140="","",N144)</f>
        <v/>
      </c>
      <c r="P144" s="8" t="str">
        <f t="shared" ref="P144" si="2127">IF(P140="","",O144)</f>
        <v/>
      </c>
      <c r="Q144" s="8" t="str">
        <f t="shared" ref="Q144" si="2128">IF(Q140="","",P144)</f>
        <v/>
      </c>
      <c r="R144" s="8" t="str">
        <f t="shared" ref="R144" si="2129">IF(R140="","",Q144)</f>
        <v/>
      </c>
      <c r="S144" s="8" t="str">
        <f t="shared" ref="S144" si="2130">IF(S140="","",R144)</f>
        <v/>
      </c>
      <c r="T144" s="8" t="str">
        <f t="shared" ref="T144" si="2131">IF(T140="","",S144)</f>
        <v/>
      </c>
      <c r="U144" s="8" t="str">
        <f t="shared" ref="U144" si="2132">IF(U140="","",T144)</f>
        <v/>
      </c>
      <c r="V144" s="8" t="str">
        <f t="shared" ref="V144" si="2133">IF(V140="","",U144)</f>
        <v/>
      </c>
      <c r="W144" s="8" t="str">
        <f t="shared" ref="W144" si="2134">IF(W140="","",V144)</f>
        <v/>
      </c>
      <c r="X144" s="8" t="str">
        <f t="shared" ref="X144" si="2135">IF(X140="","",W144)</f>
        <v/>
      </c>
      <c r="Y144" s="8" t="str">
        <f t="shared" ref="Y144" si="2136">IF(Y140="","",X144)</f>
        <v/>
      </c>
      <c r="Z144" s="8" t="str">
        <f t="shared" ref="Z144" si="2137">IF(Z140="","",Y144)</f>
        <v/>
      </c>
      <c r="AA144" s="8" t="str">
        <f t="shared" ref="AA144" si="2138">IF(AA140="","",Z144)</f>
        <v/>
      </c>
      <c r="AB144" s="8" t="str">
        <f t="shared" ref="AB144" si="2139">IF(AB140="","",AA144)</f>
        <v/>
      </c>
      <c r="AC144" s="8" t="str">
        <f t="shared" ref="AC144" si="2140">IF(AC140="","",AB144)</f>
        <v/>
      </c>
      <c r="AD144" s="8" t="str">
        <f t="shared" ref="AD144" si="2141">IF(AD140="","",AC144)</f>
        <v/>
      </c>
      <c r="AE144" s="8" t="str">
        <f t="shared" ref="AE144" si="2142">IF(AE140="","",AD144)</f>
        <v/>
      </c>
      <c r="AF144" s="8" t="str">
        <f t="shared" ref="AF144" si="2143">IF(AF140="","",AE144)</f>
        <v/>
      </c>
      <c r="AG144" s="8" t="str">
        <f t="shared" ref="AG144" si="2144">IF(AG140="","",AF144)</f>
        <v/>
      </c>
      <c r="AH144" s="8" t="str">
        <f t="shared" ref="AH144" si="2145">IF(AH140="","",AG144)</f>
        <v/>
      </c>
      <c r="AI144" s="8" t="str">
        <f t="shared" ref="AI144" si="2146">IF(AI140="","",AH144)</f>
        <v/>
      </c>
      <c r="AJ144" s="8" t="str">
        <f t="shared" ref="AJ144" si="2147">IF(AJ140="","",AI144)</f>
        <v/>
      </c>
      <c r="AK144" s="8" t="str">
        <f t="shared" ref="AK144" si="2148">IF(AK140="","",AJ144)</f>
        <v/>
      </c>
      <c r="AL144" s="8" t="str">
        <f t="shared" ref="AL144" si="2149">IF(AL140="","",AK144)</f>
        <v/>
      </c>
      <c r="AM144" s="8" t="str">
        <f t="shared" ref="AM144" si="2150">IF(AM140="","",AL144)</f>
        <v/>
      </c>
      <c r="AN144" s="8" t="str">
        <f t="shared" ref="AN144" si="2151">IF(AN140="","",AM144)</f>
        <v/>
      </c>
      <c r="AO144" s="8" t="str">
        <f t="shared" ref="AO144" si="2152">IF(AO140="","",AN144)</f>
        <v/>
      </c>
      <c r="AP144" s="8" t="str">
        <f t="shared" ref="AP144:AS144" si="2153">IF(AP140="","",AO144)</f>
        <v/>
      </c>
      <c r="AQ144" s="8" t="str">
        <f t="shared" si="2153"/>
        <v/>
      </c>
      <c r="AR144" s="8" t="str">
        <f t="shared" si="2153"/>
        <v/>
      </c>
      <c r="AS144" s="8" t="str">
        <f t="shared" si="2153"/>
        <v/>
      </c>
    </row>
    <row r="145" spans="1:45" s="85" customFormat="1" x14ac:dyDescent="0.15">
      <c r="A145" s="14" t="s">
        <v>9</v>
      </c>
      <c r="B145" s="13" t="s">
        <v>10</v>
      </c>
      <c r="C145" s="12" t="s">
        <v>357</v>
      </c>
      <c r="D145" s="12" t="s">
        <v>357</v>
      </c>
      <c r="E145" s="12" t="s">
        <v>357</v>
      </c>
      <c r="F145" s="12" t="s">
        <v>357</v>
      </c>
      <c r="G145" s="12" t="s">
        <v>357</v>
      </c>
      <c r="H145" s="12" t="s">
        <v>357</v>
      </c>
      <c r="I145" s="12" t="s">
        <v>357</v>
      </c>
      <c r="J145" s="12" t="s">
        <v>357</v>
      </c>
      <c r="K145" s="12" t="str">
        <f t="shared" ref="K145" si="2154">IF(K140="","",J145)</f>
        <v>たまごっちミニポシェット</v>
      </c>
      <c r="L145" s="12" t="str">
        <f t="shared" ref="L145" si="2155">IF(L140="","",K145)</f>
        <v>たまごっちミニポシェット</v>
      </c>
      <c r="M145" s="12" t="str">
        <f t="shared" ref="M145" si="2156">IF(M140="","",L145)</f>
        <v>たまごっちミニポシェット</v>
      </c>
      <c r="N145" s="12" t="str">
        <f t="shared" ref="N145" si="2157">IF(N140="","",M145)</f>
        <v/>
      </c>
      <c r="O145" s="12" t="str">
        <f t="shared" ref="O145" si="2158">IF(O140="","",N145)</f>
        <v/>
      </c>
      <c r="P145" s="12" t="str">
        <f>IF(P140="","",O145)</f>
        <v/>
      </c>
      <c r="Q145" s="12" t="str">
        <f>IF(Q140="","",P145)</f>
        <v/>
      </c>
      <c r="R145" s="12" t="str">
        <f t="shared" ref="R145" si="2159">IF(R140="","",Q145)</f>
        <v/>
      </c>
      <c r="S145" s="12" t="str">
        <f t="shared" ref="S145" si="2160">IF(S140="","",R145)</f>
        <v/>
      </c>
      <c r="T145" s="12" t="str">
        <f t="shared" ref="T145" si="2161">IF(T140="","",S145)</f>
        <v/>
      </c>
      <c r="U145" s="12" t="str">
        <f t="shared" ref="U145" si="2162">IF(U140="","",T145)</f>
        <v/>
      </c>
      <c r="V145" s="12" t="str">
        <f t="shared" ref="V145" si="2163">IF(V140="","",U145)</f>
        <v/>
      </c>
      <c r="W145" s="12" t="str">
        <f t="shared" ref="W145" si="2164">IF(W140="","",V145)</f>
        <v/>
      </c>
      <c r="X145" s="12" t="str">
        <f t="shared" ref="X145" si="2165">IF(X140="","",W145)</f>
        <v/>
      </c>
      <c r="Y145" s="12" t="str">
        <f t="shared" ref="Y145" si="2166">IF(Y140="","",X145)</f>
        <v/>
      </c>
      <c r="Z145" s="12" t="str">
        <f t="shared" ref="Z145" si="2167">IF(Z140="","",Y145)</f>
        <v/>
      </c>
      <c r="AA145" s="12" t="str">
        <f t="shared" ref="AA145" si="2168">IF(AA140="","",Z145)</f>
        <v/>
      </c>
      <c r="AB145" s="12" t="str">
        <f t="shared" ref="AB145" si="2169">IF(AB140="","",AA145)</f>
        <v/>
      </c>
      <c r="AC145" s="12" t="str">
        <f t="shared" ref="AC145" si="2170">IF(AC140="","",AB145)</f>
        <v/>
      </c>
      <c r="AD145" s="12" t="str">
        <f t="shared" ref="AD145" si="2171">IF(AD140="","",AC145)</f>
        <v/>
      </c>
      <c r="AE145" s="12" t="str">
        <f t="shared" ref="AE145" si="2172">IF(AE140="","",AD145)</f>
        <v/>
      </c>
      <c r="AF145" s="12" t="str">
        <f t="shared" ref="AF145" si="2173">IF(AF140="","",AE145)</f>
        <v/>
      </c>
      <c r="AG145" s="12" t="str">
        <f t="shared" ref="AG145" si="2174">IF(AG140="","",AF145)</f>
        <v/>
      </c>
      <c r="AH145" s="12" t="str">
        <f t="shared" ref="AH145" si="2175">IF(AH140="","",AG145)</f>
        <v/>
      </c>
      <c r="AI145" s="12" t="str">
        <f t="shared" ref="AI145" si="2176">IF(AI140="","",AH145)</f>
        <v/>
      </c>
      <c r="AJ145" s="12" t="str">
        <f t="shared" ref="AJ145" si="2177">IF(AJ140="","",AI145)</f>
        <v/>
      </c>
      <c r="AK145" s="12" t="str">
        <f t="shared" ref="AK145" si="2178">IF(AK140="","",AJ145)</f>
        <v/>
      </c>
      <c r="AL145" s="12" t="str">
        <f t="shared" ref="AL145" si="2179">IF(AL140="","",AK145)</f>
        <v/>
      </c>
      <c r="AM145" s="12" t="str">
        <f t="shared" ref="AM145" si="2180">IF(AM140="","",AL145)</f>
        <v/>
      </c>
      <c r="AN145" s="12" t="str">
        <f t="shared" ref="AN145" si="2181">IF(AN140="","",AM145)</f>
        <v/>
      </c>
      <c r="AO145" s="12" t="str">
        <f t="shared" ref="AO145" si="2182">IF(AO140="","",AN145)</f>
        <v/>
      </c>
      <c r="AP145" s="12" t="str">
        <f t="shared" ref="AP145:AS145" si="2183">IF(AP140="","",AO145)</f>
        <v/>
      </c>
      <c r="AQ145" s="12" t="str">
        <f t="shared" si="2183"/>
        <v/>
      </c>
      <c r="AR145" s="12" t="str">
        <f t="shared" si="2183"/>
        <v/>
      </c>
      <c r="AS145" s="12" t="str">
        <f t="shared" si="2183"/>
        <v/>
      </c>
    </row>
    <row r="146" spans="1:45" x14ac:dyDescent="0.15">
      <c r="A146" s="7">
        <f>AVERAGE(C147:AS147)*30*100</f>
        <v>63818.181818181823</v>
      </c>
      <c r="B146" s="9" t="s">
        <v>12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</row>
    <row r="147" spans="1:45" x14ac:dyDescent="0.15">
      <c r="A147" s="7">
        <f>SUM(C147:AS147)</f>
        <v>234</v>
      </c>
      <c r="B147" s="6" t="s">
        <v>13</v>
      </c>
      <c r="C147" s="5">
        <v>0</v>
      </c>
      <c r="D147" s="5">
        <v>0</v>
      </c>
      <c r="E147" s="5">
        <v>0</v>
      </c>
      <c r="F147" s="5">
        <v>84</v>
      </c>
      <c r="G147" s="5">
        <v>0</v>
      </c>
      <c r="H147" s="5">
        <v>0</v>
      </c>
      <c r="I147" s="5">
        <v>0</v>
      </c>
      <c r="J147" s="5">
        <v>73</v>
      </c>
      <c r="K147" s="5">
        <f t="shared" ref="K147:K148" si="2184">IF(K140="","",K140-J140)</f>
        <v>0</v>
      </c>
      <c r="L147" s="5">
        <f t="shared" ref="L147:L148" si="2185">IF(L140="","",L140-K140)</f>
        <v>0</v>
      </c>
      <c r="M147" s="5">
        <f t="shared" ref="M147:M148" si="2186">IF(M140="","",M140-L140)</f>
        <v>77</v>
      </c>
      <c r="N147" s="5" t="str">
        <f t="shared" ref="N147:N148" si="2187">IF(N140="","",N140-M140)</f>
        <v/>
      </c>
      <c r="O147" s="5" t="str">
        <f t="shared" ref="O147:O148" si="2188">IF(O140="","",O140-N140)</f>
        <v/>
      </c>
      <c r="P147" s="5" t="str">
        <f t="shared" ref="P147:P148" si="2189">IF(P140="","",P140-O140)</f>
        <v/>
      </c>
      <c r="Q147" s="5" t="str">
        <f t="shared" ref="Q147:Q148" si="2190">IF(Q140="","",Q140-P140)</f>
        <v/>
      </c>
      <c r="R147" s="5" t="str">
        <f t="shared" ref="R147:R148" si="2191">IF(R140="","",R140-Q140)</f>
        <v/>
      </c>
      <c r="S147" s="5" t="str">
        <f t="shared" ref="S147:S148" si="2192">IF(S140="","",S140-R140)</f>
        <v/>
      </c>
      <c r="T147" s="5" t="str">
        <f t="shared" ref="T147:T148" si="2193">IF(T140="","",T140-S140)</f>
        <v/>
      </c>
      <c r="U147" s="5" t="str">
        <f t="shared" ref="U147:U148" si="2194">IF(U140="","",U140-T140)</f>
        <v/>
      </c>
      <c r="V147" s="5" t="str">
        <f t="shared" ref="V147:V148" si="2195">IF(V140="","",V140-U140)</f>
        <v/>
      </c>
      <c r="W147" s="5" t="str">
        <f t="shared" ref="W147:W148" si="2196">IF(W140="","",W140-V140)</f>
        <v/>
      </c>
      <c r="X147" s="5" t="str">
        <f t="shared" ref="X147:X148" si="2197">IF(X140="","",X140-W140)</f>
        <v/>
      </c>
      <c r="Y147" s="5" t="str">
        <f t="shared" ref="Y147:Y148" si="2198">IF(Y140="","",Y140-X140)</f>
        <v/>
      </c>
      <c r="Z147" s="5" t="str">
        <f t="shared" ref="Z147:Z148" si="2199">IF(Z140="","",Z140-Y140)</f>
        <v/>
      </c>
      <c r="AA147" s="5" t="str">
        <f t="shared" ref="AA147:AA148" si="2200">IF(AA140="","",AA140-Z140)</f>
        <v/>
      </c>
      <c r="AB147" s="5" t="str">
        <f t="shared" ref="AB147:AB148" si="2201">IF(AB140="","",AB140-AA140)</f>
        <v/>
      </c>
      <c r="AC147" s="5" t="str">
        <f t="shared" ref="AC147:AC148" si="2202">IF(AC140="","",AC140-AB140)</f>
        <v/>
      </c>
      <c r="AD147" s="5" t="str">
        <f t="shared" ref="AD147:AD148" si="2203">IF(AD140="","",AD140-AC140)</f>
        <v/>
      </c>
      <c r="AE147" s="5" t="str">
        <f t="shared" ref="AE147:AE148" si="2204">IF(AE140="","",AE140-AD140)</f>
        <v/>
      </c>
      <c r="AF147" s="5" t="str">
        <f t="shared" ref="AF147:AF148" si="2205">IF(AF140="","",AF140-AE140)</f>
        <v/>
      </c>
      <c r="AG147" s="5" t="str">
        <f t="shared" ref="AG147:AG148" si="2206">IF(AG140="","",AG140-AF140)</f>
        <v/>
      </c>
      <c r="AH147" s="5" t="str">
        <f t="shared" ref="AH147:AH148" si="2207">IF(AH140="","",AH140-AG140)</f>
        <v/>
      </c>
      <c r="AI147" s="5" t="str">
        <f t="shared" ref="AI147:AI148" si="2208">IF(AI140="","",AI140-AH140)</f>
        <v/>
      </c>
      <c r="AJ147" s="5" t="str">
        <f t="shared" ref="AJ147:AJ148" si="2209">IF(AJ140="","",AJ140-AI140)</f>
        <v/>
      </c>
      <c r="AK147" s="5" t="str">
        <f t="shared" ref="AK147:AK148" si="2210">IF(AK140="","",AK140-AJ140)</f>
        <v/>
      </c>
      <c r="AL147" s="5" t="str">
        <f t="shared" ref="AL147:AL148" si="2211">IF(AL140="","",AL140-AK140)</f>
        <v/>
      </c>
      <c r="AM147" s="5" t="str">
        <f t="shared" ref="AM147:AM148" si="2212">IF(AM140="","",AM140-AL140)</f>
        <v/>
      </c>
      <c r="AN147" s="5" t="str">
        <f t="shared" ref="AN147:AN148" si="2213">IF(AN140="","",AN140-AM140)</f>
        <v/>
      </c>
      <c r="AO147" s="5" t="str">
        <f t="shared" ref="AO147:AO148" si="2214">IF(AO140="","",AO140-AN140)</f>
        <v/>
      </c>
      <c r="AP147" s="5" t="str">
        <f t="shared" ref="AP147:AS147" si="2215">IF(AP140="","",AP140-AO140)</f>
        <v/>
      </c>
      <c r="AQ147" s="5" t="str">
        <f t="shared" si="2215"/>
        <v/>
      </c>
      <c r="AR147" s="5" t="str">
        <f t="shared" si="2215"/>
        <v/>
      </c>
      <c r="AS147" s="5" t="str">
        <f t="shared" si="2215"/>
        <v/>
      </c>
    </row>
    <row r="148" spans="1:45" x14ac:dyDescent="0.15">
      <c r="A148" s="7">
        <f>SUM(C148:AS148)</f>
        <v>2</v>
      </c>
      <c r="B148" s="6" t="s">
        <v>14</v>
      </c>
      <c r="C148" s="5">
        <v>0</v>
      </c>
      <c r="D148" s="5">
        <v>0</v>
      </c>
      <c r="E148" s="5">
        <v>0</v>
      </c>
      <c r="F148" s="5">
        <v>1</v>
      </c>
      <c r="G148" s="5">
        <v>0</v>
      </c>
      <c r="H148" s="5">
        <v>0</v>
      </c>
      <c r="I148" s="5">
        <v>0</v>
      </c>
      <c r="J148" s="5">
        <v>0</v>
      </c>
      <c r="K148" s="5">
        <f t="shared" si="2184"/>
        <v>0</v>
      </c>
      <c r="L148" s="5">
        <f t="shared" si="2185"/>
        <v>0</v>
      </c>
      <c r="M148" s="5">
        <f t="shared" si="2186"/>
        <v>1</v>
      </c>
      <c r="N148" s="5" t="str">
        <f t="shared" si="2187"/>
        <v/>
      </c>
      <c r="O148" s="5" t="str">
        <f t="shared" si="2188"/>
        <v/>
      </c>
      <c r="P148" s="5" t="str">
        <f t="shared" si="2189"/>
        <v/>
      </c>
      <c r="Q148" s="5" t="str">
        <f t="shared" si="2190"/>
        <v/>
      </c>
      <c r="R148" s="5" t="str">
        <f t="shared" si="2191"/>
        <v/>
      </c>
      <c r="S148" s="5" t="str">
        <f t="shared" si="2192"/>
        <v/>
      </c>
      <c r="T148" s="5" t="str">
        <f t="shared" si="2193"/>
        <v/>
      </c>
      <c r="U148" s="5" t="str">
        <f t="shared" si="2194"/>
        <v/>
      </c>
      <c r="V148" s="5" t="str">
        <f t="shared" si="2195"/>
        <v/>
      </c>
      <c r="W148" s="5" t="str">
        <f t="shared" si="2196"/>
        <v/>
      </c>
      <c r="X148" s="5" t="str">
        <f t="shared" si="2197"/>
        <v/>
      </c>
      <c r="Y148" s="5" t="str">
        <f t="shared" si="2198"/>
        <v/>
      </c>
      <c r="Z148" s="5" t="str">
        <f t="shared" si="2199"/>
        <v/>
      </c>
      <c r="AA148" s="5" t="str">
        <f t="shared" si="2200"/>
        <v/>
      </c>
      <c r="AB148" s="5" t="str">
        <f t="shared" si="2201"/>
        <v/>
      </c>
      <c r="AC148" s="5" t="str">
        <f t="shared" si="2202"/>
        <v/>
      </c>
      <c r="AD148" s="5" t="str">
        <f t="shared" si="2203"/>
        <v/>
      </c>
      <c r="AE148" s="5" t="str">
        <f t="shared" si="2204"/>
        <v/>
      </c>
      <c r="AF148" s="5" t="str">
        <f t="shared" si="2205"/>
        <v/>
      </c>
      <c r="AG148" s="5" t="str">
        <f t="shared" si="2206"/>
        <v/>
      </c>
      <c r="AH148" s="5" t="str">
        <f t="shared" si="2207"/>
        <v/>
      </c>
      <c r="AI148" s="5" t="str">
        <f t="shared" si="2208"/>
        <v/>
      </c>
      <c r="AJ148" s="5" t="str">
        <f t="shared" si="2209"/>
        <v/>
      </c>
      <c r="AK148" s="5" t="str">
        <f t="shared" si="2210"/>
        <v/>
      </c>
      <c r="AL148" s="5" t="str">
        <f t="shared" si="2211"/>
        <v/>
      </c>
      <c r="AM148" s="5" t="str">
        <f t="shared" si="2212"/>
        <v/>
      </c>
      <c r="AN148" s="5" t="str">
        <f t="shared" si="2213"/>
        <v/>
      </c>
      <c r="AO148" s="5" t="str">
        <f t="shared" si="2214"/>
        <v/>
      </c>
      <c r="AP148" s="5" t="str">
        <f t="shared" ref="AP148:AS148" si="2216">IF(AP141="","",AP141-AO141)</f>
        <v/>
      </c>
      <c r="AQ148" s="5" t="str">
        <f t="shared" si="2216"/>
        <v/>
      </c>
      <c r="AR148" s="5" t="str">
        <f t="shared" si="2216"/>
        <v/>
      </c>
      <c r="AS148" s="5" t="str">
        <f t="shared" si="2216"/>
        <v/>
      </c>
    </row>
    <row r="149" spans="1:45" x14ac:dyDescent="0.15">
      <c r="A149" s="7">
        <f>SUM(C149:AS149)</f>
        <v>2</v>
      </c>
      <c r="B149" s="6" t="s">
        <v>15</v>
      </c>
      <c r="C149" s="5">
        <v>0</v>
      </c>
      <c r="D149" s="5">
        <v>0</v>
      </c>
      <c r="E149" s="5">
        <v>0</v>
      </c>
      <c r="F149" s="5">
        <v>1</v>
      </c>
      <c r="G149" s="5">
        <v>0</v>
      </c>
      <c r="H149" s="5">
        <v>0</v>
      </c>
      <c r="I149" s="5">
        <v>0</v>
      </c>
      <c r="J149" s="5">
        <v>0</v>
      </c>
      <c r="K149" s="5">
        <f t="shared" ref="K149" si="2217">IF(K142="","",J142+J143-K142)</f>
        <v>0</v>
      </c>
      <c r="L149" s="5">
        <f t="shared" ref="L149" si="2218">IF(L142="","",K142+K143-L142)</f>
        <v>0</v>
      </c>
      <c r="M149" s="5">
        <f t="shared" ref="M149" si="2219">IF(M142="","",L142+L143-M142)</f>
        <v>1</v>
      </c>
      <c r="N149" s="5" t="str">
        <f t="shared" ref="N149" si="2220">IF(N142="","",M142+M143-N142)</f>
        <v/>
      </c>
      <c r="O149" s="5" t="str">
        <f t="shared" ref="O149" si="2221">IF(O142="","",N142+N143-O142)</f>
        <v/>
      </c>
      <c r="P149" s="5" t="str">
        <f t="shared" ref="P149" si="2222">IF(P142="","",O142+O143-P142)</f>
        <v/>
      </c>
      <c r="Q149" s="5" t="str">
        <f t="shared" ref="Q149" si="2223">IF(Q142="","",P142+P143-Q142)</f>
        <v/>
      </c>
      <c r="R149" s="5" t="str">
        <f t="shared" ref="R149" si="2224">IF(R142="","",Q142+Q143-R142)</f>
        <v/>
      </c>
      <c r="S149" s="5" t="str">
        <f t="shared" ref="S149" si="2225">IF(S142="","",R142+R143-S142)</f>
        <v/>
      </c>
      <c r="T149" s="5" t="str">
        <f t="shared" ref="T149" si="2226">IF(T142="","",S142+S143-T142)</f>
        <v/>
      </c>
      <c r="U149" s="5" t="str">
        <f t="shared" ref="U149" si="2227">IF(U142="","",T142+T143-U142)</f>
        <v/>
      </c>
      <c r="V149" s="5" t="str">
        <f t="shared" ref="V149" si="2228">IF(V142="","",U142+U143-V142)</f>
        <v/>
      </c>
      <c r="W149" s="5" t="str">
        <f t="shared" ref="W149" si="2229">IF(W142="","",V142+V143-W142)</f>
        <v/>
      </c>
      <c r="X149" s="5" t="str">
        <f t="shared" ref="X149" si="2230">IF(X142="","",W142+W143-X142)</f>
        <v/>
      </c>
      <c r="Y149" s="5" t="str">
        <f t="shared" ref="Y149" si="2231">IF(Y142="","",X142+X143-Y142)</f>
        <v/>
      </c>
      <c r="Z149" s="5" t="str">
        <f t="shared" ref="Z149" si="2232">IF(Z142="","",Y142+Y143-Z142)</f>
        <v/>
      </c>
      <c r="AA149" s="5" t="str">
        <f t="shared" ref="AA149" si="2233">IF(AA142="","",Z142+Z143-AA142)</f>
        <v/>
      </c>
      <c r="AB149" s="5" t="str">
        <f t="shared" ref="AB149" si="2234">IF(AB142="","",AA142+AA143-AB142)</f>
        <v/>
      </c>
      <c r="AC149" s="5" t="str">
        <f t="shared" ref="AC149" si="2235">IF(AC142="","",AB142+AB143-AC142)</f>
        <v/>
      </c>
      <c r="AD149" s="5" t="str">
        <f t="shared" ref="AD149" si="2236">IF(AD142="","",AC142+AC143-AD142)</f>
        <v/>
      </c>
      <c r="AE149" s="5" t="str">
        <f t="shared" ref="AE149" si="2237">IF(AE142="","",AD142+AD143-AE142)</f>
        <v/>
      </c>
      <c r="AF149" s="5" t="str">
        <f t="shared" ref="AF149" si="2238">IF(AF142="","",AE142+AE143-AF142)</f>
        <v/>
      </c>
      <c r="AG149" s="5" t="str">
        <f t="shared" ref="AG149" si="2239">IF(AG142="","",AF142+AF143-AG142)</f>
        <v/>
      </c>
      <c r="AH149" s="5" t="str">
        <f t="shared" ref="AH149" si="2240">IF(AH142="","",AG142+AG143-AH142)</f>
        <v/>
      </c>
      <c r="AI149" s="5" t="str">
        <f t="shared" ref="AI149" si="2241">IF(AI142="","",AH142+AH143-AI142)</f>
        <v/>
      </c>
      <c r="AJ149" s="5" t="str">
        <f t="shared" ref="AJ149" si="2242">IF(AJ142="","",AI142+AI143-AJ142)</f>
        <v/>
      </c>
      <c r="AK149" s="5" t="str">
        <f t="shared" ref="AK149" si="2243">IF(AK142="","",AJ142+AJ143-AK142)</f>
        <v/>
      </c>
      <c r="AL149" s="5" t="str">
        <f t="shared" ref="AL149" si="2244">IF(AL142="","",AK142+AK143-AL142)</f>
        <v/>
      </c>
      <c r="AM149" s="5" t="str">
        <f t="shared" ref="AM149" si="2245">IF(AM142="","",AL142+AL143-AM142)</f>
        <v/>
      </c>
      <c r="AN149" s="5" t="str">
        <f t="shared" ref="AN149" si="2246">IF(AN142="","",AM142+AM143-AN142)</f>
        <v/>
      </c>
      <c r="AO149" s="5" t="str">
        <f t="shared" ref="AO149" si="2247">IF(AO142="","",AN142+AN143-AO142)</f>
        <v/>
      </c>
      <c r="AP149" s="5" t="str">
        <f t="shared" ref="AP149:AS149" si="2248">IF(AP142="","",AO142+AO143-AP142)</f>
        <v/>
      </c>
      <c r="AQ149" s="5" t="str">
        <f t="shared" si="2248"/>
        <v/>
      </c>
      <c r="AR149" s="5" t="str">
        <f t="shared" si="2248"/>
        <v/>
      </c>
      <c r="AS149" s="5" t="str">
        <f t="shared" si="2248"/>
        <v/>
      </c>
    </row>
    <row r="150" spans="1:45" x14ac:dyDescent="0.15">
      <c r="A150" s="7">
        <f>SUM(C150:AS150)</f>
        <v>1000</v>
      </c>
      <c r="B150" s="6" t="s">
        <v>16</v>
      </c>
      <c r="C150" s="5">
        <v>0</v>
      </c>
      <c r="D150" s="5">
        <v>0</v>
      </c>
      <c r="E150" s="5">
        <v>0</v>
      </c>
      <c r="F150" s="5">
        <v>500</v>
      </c>
      <c r="G150" s="5">
        <v>0</v>
      </c>
      <c r="H150" s="5">
        <v>0</v>
      </c>
      <c r="I150" s="5">
        <v>0</v>
      </c>
      <c r="J150" s="5">
        <v>0</v>
      </c>
      <c r="K150" s="5">
        <f t="shared" ref="I150:AO150" si="2249">IF(K140="","",K149*K144)</f>
        <v>0</v>
      </c>
      <c r="L150" s="5">
        <f t="shared" si="2249"/>
        <v>0</v>
      </c>
      <c r="M150" s="5">
        <f t="shared" si="2249"/>
        <v>500</v>
      </c>
      <c r="N150" s="5" t="str">
        <f t="shared" si="2249"/>
        <v/>
      </c>
      <c r="O150" s="5" t="str">
        <f t="shared" si="2249"/>
        <v/>
      </c>
      <c r="P150" s="5" t="str">
        <f t="shared" si="2249"/>
        <v/>
      </c>
      <c r="Q150" s="5" t="str">
        <f t="shared" si="2249"/>
        <v/>
      </c>
      <c r="R150" s="5" t="str">
        <f t="shared" si="2249"/>
        <v/>
      </c>
      <c r="S150" s="5" t="str">
        <f t="shared" si="2249"/>
        <v/>
      </c>
      <c r="T150" s="5" t="str">
        <f t="shared" si="2249"/>
        <v/>
      </c>
      <c r="U150" s="5" t="str">
        <f t="shared" si="2249"/>
        <v/>
      </c>
      <c r="V150" s="5" t="str">
        <f t="shared" si="2249"/>
        <v/>
      </c>
      <c r="W150" s="5" t="str">
        <f t="shared" si="2249"/>
        <v/>
      </c>
      <c r="X150" s="5" t="str">
        <f t="shared" si="2249"/>
        <v/>
      </c>
      <c r="Y150" s="5" t="str">
        <f t="shared" si="2249"/>
        <v/>
      </c>
      <c r="Z150" s="5" t="str">
        <f t="shared" si="2249"/>
        <v/>
      </c>
      <c r="AA150" s="5" t="str">
        <f t="shared" si="2249"/>
        <v/>
      </c>
      <c r="AB150" s="5" t="str">
        <f t="shared" si="2249"/>
        <v/>
      </c>
      <c r="AC150" s="5" t="str">
        <f t="shared" si="2249"/>
        <v/>
      </c>
      <c r="AD150" s="5" t="str">
        <f t="shared" si="2249"/>
        <v/>
      </c>
      <c r="AE150" s="5" t="str">
        <f t="shared" si="2249"/>
        <v/>
      </c>
      <c r="AF150" s="5" t="str">
        <f t="shared" si="2249"/>
        <v/>
      </c>
      <c r="AG150" s="5" t="str">
        <f t="shared" si="2249"/>
        <v/>
      </c>
      <c r="AH150" s="5" t="str">
        <f t="shared" si="2249"/>
        <v/>
      </c>
      <c r="AI150" s="5" t="str">
        <f t="shared" si="2249"/>
        <v/>
      </c>
      <c r="AJ150" s="5" t="str">
        <f t="shared" si="2249"/>
        <v/>
      </c>
      <c r="AK150" s="5" t="str">
        <f t="shared" si="2249"/>
        <v/>
      </c>
      <c r="AL150" s="5" t="str">
        <f t="shared" si="2249"/>
        <v/>
      </c>
      <c r="AM150" s="5" t="str">
        <f t="shared" si="2249"/>
        <v/>
      </c>
      <c r="AN150" s="5" t="str">
        <f t="shared" si="2249"/>
        <v/>
      </c>
      <c r="AO150" s="5" t="str">
        <f t="shared" si="2249"/>
        <v/>
      </c>
      <c r="AP150" s="5" t="str">
        <f t="shared" ref="AP150:AS150" si="2250">IF(AP140="","",AP149*AP144)</f>
        <v/>
      </c>
      <c r="AQ150" s="5" t="str">
        <f t="shared" si="2250"/>
        <v/>
      </c>
      <c r="AR150" s="5" t="str">
        <f t="shared" si="2250"/>
        <v/>
      </c>
      <c r="AS150" s="5" t="str">
        <f t="shared" si="2250"/>
        <v/>
      </c>
    </row>
    <row r="151" spans="1:45" ht="12" thickBot="1" x14ac:dyDescent="0.2">
      <c r="A151" s="4">
        <f>IF(A150="","",A150/(A147*100))</f>
        <v>4.2735042735042736E-2</v>
      </c>
      <c r="B151" s="6" t="s">
        <v>18</v>
      </c>
      <c r="C151" s="18" t="s">
        <v>19</v>
      </c>
      <c r="D151" s="18" t="s">
        <v>19</v>
      </c>
      <c r="E151" s="18" t="s">
        <v>19</v>
      </c>
      <c r="F151" s="18">
        <v>5.9523809523809521E-2</v>
      </c>
      <c r="G151" s="18" t="s">
        <v>19</v>
      </c>
      <c r="H151" s="18" t="s">
        <v>19</v>
      </c>
      <c r="I151" s="18" t="s">
        <v>19</v>
      </c>
      <c r="J151" s="18" t="s">
        <v>19</v>
      </c>
      <c r="K151" s="18" t="str">
        <f t="shared" ref="I151:AO151" si="2251">IF(K150="","",IF(K150=0,"",K150/(K147*100)))</f>
        <v/>
      </c>
      <c r="L151" s="18" t="str">
        <f t="shared" si="2251"/>
        <v/>
      </c>
      <c r="M151" s="18">
        <f t="shared" si="2251"/>
        <v>6.4935064935064929E-2</v>
      </c>
      <c r="N151" s="18" t="str">
        <f t="shared" si="2251"/>
        <v/>
      </c>
      <c r="O151" s="18" t="str">
        <f t="shared" si="2251"/>
        <v/>
      </c>
      <c r="P151" s="18" t="str">
        <f t="shared" si="2251"/>
        <v/>
      </c>
      <c r="Q151" s="18" t="str">
        <f t="shared" si="2251"/>
        <v/>
      </c>
      <c r="R151" s="18" t="str">
        <f t="shared" si="2251"/>
        <v/>
      </c>
      <c r="S151" s="18" t="str">
        <f t="shared" si="2251"/>
        <v/>
      </c>
      <c r="T151" s="18" t="str">
        <f t="shared" si="2251"/>
        <v/>
      </c>
      <c r="U151" s="18" t="str">
        <f t="shared" si="2251"/>
        <v/>
      </c>
      <c r="V151" s="18" t="str">
        <f t="shared" si="2251"/>
        <v/>
      </c>
      <c r="W151" s="18" t="str">
        <f t="shared" si="2251"/>
        <v/>
      </c>
      <c r="X151" s="18" t="str">
        <f t="shared" si="2251"/>
        <v/>
      </c>
      <c r="Y151" s="18" t="str">
        <f t="shared" si="2251"/>
        <v/>
      </c>
      <c r="Z151" s="18" t="str">
        <f t="shared" si="2251"/>
        <v/>
      </c>
      <c r="AA151" s="18" t="str">
        <f t="shared" si="2251"/>
        <v/>
      </c>
      <c r="AB151" s="18" t="str">
        <f t="shared" si="2251"/>
        <v/>
      </c>
      <c r="AC151" s="18" t="str">
        <f t="shared" si="2251"/>
        <v/>
      </c>
      <c r="AD151" s="18" t="str">
        <f t="shared" si="2251"/>
        <v/>
      </c>
      <c r="AE151" s="18" t="str">
        <f t="shared" si="2251"/>
        <v/>
      </c>
      <c r="AF151" s="18" t="str">
        <f t="shared" si="2251"/>
        <v/>
      </c>
      <c r="AG151" s="18" t="str">
        <f t="shared" si="2251"/>
        <v/>
      </c>
      <c r="AH151" s="18" t="str">
        <f t="shared" si="2251"/>
        <v/>
      </c>
      <c r="AI151" s="18" t="str">
        <f t="shared" si="2251"/>
        <v/>
      </c>
      <c r="AJ151" s="18" t="str">
        <f t="shared" si="2251"/>
        <v/>
      </c>
      <c r="AK151" s="18" t="str">
        <f t="shared" si="2251"/>
        <v/>
      </c>
      <c r="AL151" s="18" t="str">
        <f t="shared" si="2251"/>
        <v/>
      </c>
      <c r="AM151" s="18" t="str">
        <f t="shared" si="2251"/>
        <v/>
      </c>
      <c r="AN151" s="18" t="str">
        <f t="shared" si="2251"/>
        <v/>
      </c>
      <c r="AO151" s="18" t="str">
        <f t="shared" si="2251"/>
        <v/>
      </c>
      <c r="AP151" s="18" t="str">
        <f t="shared" ref="AP151:AS151" si="2252">IF(AP150="","",IF(AP150=0,"",AP150/(AP147*100)))</f>
        <v/>
      </c>
      <c r="AQ151" s="18" t="str">
        <f t="shared" si="2252"/>
        <v/>
      </c>
      <c r="AR151" s="18" t="str">
        <f t="shared" si="2252"/>
        <v/>
      </c>
      <c r="AS151" s="18" t="str">
        <f t="shared" si="2252"/>
        <v/>
      </c>
    </row>
    <row r="152" spans="1:45" x14ac:dyDescent="0.15">
      <c r="A152" s="17" t="s">
        <v>59</v>
      </c>
      <c r="B152" s="9" t="s">
        <v>2</v>
      </c>
      <c r="C152" s="8">
        <v>10779</v>
      </c>
      <c r="D152" s="8">
        <v>10779</v>
      </c>
      <c r="E152" s="8">
        <v>10779</v>
      </c>
      <c r="F152" s="8">
        <v>10942</v>
      </c>
      <c r="G152" s="8">
        <v>10942</v>
      </c>
      <c r="H152" s="8">
        <v>10942</v>
      </c>
      <c r="I152" s="8">
        <v>10942</v>
      </c>
      <c r="J152" s="8">
        <v>10977</v>
      </c>
      <c r="K152" s="8">
        <f t="shared" ref="K152:K153" si="2253">IF(K$8="","",J152)</f>
        <v>10977</v>
      </c>
      <c r="L152" s="8">
        <f t="shared" ref="L152:L153" si="2254">IF(L$8="","",K152)</f>
        <v>10977</v>
      </c>
      <c r="M152" s="8">
        <v>11047</v>
      </c>
      <c r="N152" s="8" t="str">
        <f t="shared" ref="N152:N153" si="2255">IF(N$8="","",M152)</f>
        <v/>
      </c>
      <c r="O152" s="8" t="str">
        <f t="shared" ref="O152:O153" si="2256">IF(O$8="","",N152)</f>
        <v/>
      </c>
      <c r="P152" s="8" t="str">
        <f t="shared" ref="P152:P153" si="2257">IF(P$8="","",O152)</f>
        <v/>
      </c>
      <c r="Q152" s="8" t="str">
        <f>IF(Q$8="","",P152)</f>
        <v/>
      </c>
      <c r="R152" s="8" t="str">
        <f t="shared" ref="R152:R153" si="2258">IF(R$8="","",Q152)</f>
        <v/>
      </c>
      <c r="S152" s="8" t="str">
        <f t="shared" ref="S152:S153" si="2259">IF(S$8="","",R152)</f>
        <v/>
      </c>
      <c r="T152" s="8" t="str">
        <f>IF(T$8="","",S152)</f>
        <v/>
      </c>
      <c r="U152" s="8" t="str">
        <f t="shared" ref="U152:U153" si="2260">IF(U$8="","",T152)</f>
        <v/>
      </c>
      <c r="V152" s="8" t="str">
        <f t="shared" ref="V152:V153" si="2261">IF(V$8="","",U152)</f>
        <v/>
      </c>
      <c r="W152" s="8" t="str">
        <f t="shared" ref="W152:W153" si="2262">IF(W$8="","",V152)</f>
        <v/>
      </c>
      <c r="X152" s="8" t="str">
        <f>IF(X$8="","",W152)</f>
        <v/>
      </c>
      <c r="Y152" s="8" t="str">
        <f t="shared" ref="Y152:Y153" si="2263">IF(Y$8="","",X152)</f>
        <v/>
      </c>
      <c r="Z152" s="8" t="str">
        <f t="shared" ref="Z152:Z153" si="2264">IF(Z$8="","",Y152)</f>
        <v/>
      </c>
      <c r="AA152" s="8" t="str">
        <f>IF(AA$8="","",Z152)</f>
        <v/>
      </c>
      <c r="AB152" s="8" t="str">
        <f t="shared" ref="AB152:AB153" si="2265">IF(AB$8="","",AA152)</f>
        <v/>
      </c>
      <c r="AC152" s="8" t="str">
        <f t="shared" ref="AC152:AC153" si="2266">IF(AC$8="","",AB152)</f>
        <v/>
      </c>
      <c r="AD152" s="8" t="str">
        <f>IF(AD$8="","",AC152)</f>
        <v/>
      </c>
      <c r="AE152" s="8" t="str">
        <f t="shared" ref="AE152:AE153" si="2267">IF(AE$8="","",AD152)</f>
        <v/>
      </c>
      <c r="AF152" s="8" t="str">
        <f t="shared" ref="AF152:AF153" si="2268">IF(AF$8="","",AE152)</f>
        <v/>
      </c>
      <c r="AG152" s="8" t="str">
        <f t="shared" ref="AG152:AG153" si="2269">IF(AG$8="","",AF152)</f>
        <v/>
      </c>
      <c r="AH152" s="8" t="str">
        <f>IF(AH$8="","",AG152)</f>
        <v/>
      </c>
      <c r="AI152" s="8" t="str">
        <f t="shared" ref="AI152:AI153" si="2270">IF(AI$8="","",AH152)</f>
        <v/>
      </c>
      <c r="AJ152" s="8" t="str">
        <f t="shared" ref="AJ152:AJ153" si="2271">IF(AJ$8="","",AI152)</f>
        <v/>
      </c>
      <c r="AK152" s="8" t="str">
        <f t="shared" ref="AK152:AK153" si="2272">IF(AK$8="","",AJ152)</f>
        <v/>
      </c>
      <c r="AL152" s="8" t="str">
        <f>IF(AL$8="","",AK152)</f>
        <v/>
      </c>
      <c r="AM152" s="8" t="str">
        <f t="shared" ref="AM152:AM153" si="2273">IF(AM$8="","",AL152)</f>
        <v/>
      </c>
      <c r="AN152" s="8" t="str">
        <f t="shared" ref="AN152:AN153" si="2274">IF(AN$8="","",AM152)</f>
        <v/>
      </c>
      <c r="AO152" s="8" t="str">
        <f t="shared" ref="AO152:AO153" si="2275">IF(AO$8="","",AN152)</f>
        <v/>
      </c>
      <c r="AP152" s="8" t="str">
        <f t="shared" ref="AP152:AS152" si="2276">IF(AP$8="","",AO152)</f>
        <v/>
      </c>
      <c r="AQ152" s="8" t="str">
        <f t="shared" si="2276"/>
        <v/>
      </c>
      <c r="AR152" s="8" t="str">
        <f t="shared" si="2276"/>
        <v/>
      </c>
      <c r="AS152" s="8" t="str">
        <f t="shared" si="2276"/>
        <v/>
      </c>
    </row>
    <row r="153" spans="1:45" x14ac:dyDescent="0.15">
      <c r="A153" s="16" t="s">
        <v>29</v>
      </c>
      <c r="B153" s="9" t="s">
        <v>4</v>
      </c>
      <c r="C153" s="8">
        <v>473</v>
      </c>
      <c r="D153" s="8">
        <v>473</v>
      </c>
      <c r="E153" s="8">
        <v>473</v>
      </c>
      <c r="F153" s="8">
        <v>474</v>
      </c>
      <c r="G153" s="8">
        <v>474</v>
      </c>
      <c r="H153" s="8">
        <v>474</v>
      </c>
      <c r="I153" s="8">
        <v>474</v>
      </c>
      <c r="J153" s="8">
        <v>476</v>
      </c>
      <c r="K153" s="8">
        <f t="shared" si="2253"/>
        <v>476</v>
      </c>
      <c r="L153" s="8">
        <f t="shared" si="2254"/>
        <v>476</v>
      </c>
      <c r="M153" s="8">
        <v>477</v>
      </c>
      <c r="N153" s="8" t="str">
        <f t="shared" si="2255"/>
        <v/>
      </c>
      <c r="O153" s="8" t="str">
        <f t="shared" si="2256"/>
        <v/>
      </c>
      <c r="P153" s="8" t="str">
        <f t="shared" si="2257"/>
        <v/>
      </c>
      <c r="Q153" s="8" t="str">
        <f>IF(Q$8="","",P153)</f>
        <v/>
      </c>
      <c r="R153" s="8" t="str">
        <f t="shared" si="2258"/>
        <v/>
      </c>
      <c r="S153" s="8" t="str">
        <f t="shared" si="2259"/>
        <v/>
      </c>
      <c r="T153" s="8" t="str">
        <f t="shared" ref="T153" si="2277">IF(T$8="","",S153)</f>
        <v/>
      </c>
      <c r="U153" s="8" t="str">
        <f t="shared" si="2260"/>
        <v/>
      </c>
      <c r="V153" s="8" t="str">
        <f t="shared" si="2261"/>
        <v/>
      </c>
      <c r="W153" s="8" t="str">
        <f t="shared" si="2262"/>
        <v/>
      </c>
      <c r="X153" s="8" t="str">
        <f t="shared" ref="X153" si="2278">IF(X$8="","",W153)</f>
        <v/>
      </c>
      <c r="Y153" s="8" t="str">
        <f t="shared" si="2263"/>
        <v/>
      </c>
      <c r="Z153" s="8" t="str">
        <f t="shared" si="2264"/>
        <v/>
      </c>
      <c r="AA153" s="8" t="str">
        <f>IF(AA$8="","",Z153)</f>
        <v/>
      </c>
      <c r="AB153" s="8" t="str">
        <f t="shared" si="2265"/>
        <v/>
      </c>
      <c r="AC153" s="8" t="str">
        <f t="shared" si="2266"/>
        <v/>
      </c>
      <c r="AD153" s="8" t="str">
        <f>IF(AD$8="","",AC153)</f>
        <v/>
      </c>
      <c r="AE153" s="8" t="str">
        <f t="shared" si="2267"/>
        <v/>
      </c>
      <c r="AF153" s="8" t="str">
        <f t="shared" si="2268"/>
        <v/>
      </c>
      <c r="AG153" s="8" t="str">
        <f t="shared" si="2269"/>
        <v/>
      </c>
      <c r="AH153" s="8" t="str">
        <f>IF(AH$8="","",AG153)</f>
        <v/>
      </c>
      <c r="AI153" s="8" t="str">
        <f t="shared" si="2270"/>
        <v/>
      </c>
      <c r="AJ153" s="8" t="str">
        <f t="shared" si="2271"/>
        <v/>
      </c>
      <c r="AK153" s="8" t="str">
        <f t="shared" si="2272"/>
        <v/>
      </c>
      <c r="AL153" s="8" t="str">
        <f>IF(AL$8="","",AK153)</f>
        <v/>
      </c>
      <c r="AM153" s="8" t="str">
        <f t="shared" si="2273"/>
        <v/>
      </c>
      <c r="AN153" s="8" t="str">
        <f t="shared" si="2274"/>
        <v/>
      </c>
      <c r="AO153" s="8" t="str">
        <f t="shared" si="2275"/>
        <v/>
      </c>
      <c r="AP153" s="8" t="str">
        <f t="shared" ref="AP153:AS153" si="2279">IF(AP$8="","",AO153)</f>
        <v/>
      </c>
      <c r="AQ153" s="8" t="str">
        <f t="shared" si="2279"/>
        <v/>
      </c>
      <c r="AR153" s="8" t="str">
        <f t="shared" si="2279"/>
        <v/>
      </c>
      <c r="AS153" s="8" t="str">
        <f t="shared" si="2279"/>
        <v/>
      </c>
    </row>
    <row r="154" spans="1:45" x14ac:dyDescent="0.15">
      <c r="A154" s="15">
        <v>2</v>
      </c>
      <c r="B154" s="9" t="s">
        <v>5</v>
      </c>
      <c r="C154" s="8">
        <v>10</v>
      </c>
      <c r="D154" s="8">
        <v>10</v>
      </c>
      <c r="E154" s="8">
        <v>10</v>
      </c>
      <c r="F154" s="8">
        <v>9</v>
      </c>
      <c r="G154" s="8">
        <v>11</v>
      </c>
      <c r="H154" s="8">
        <v>11</v>
      </c>
      <c r="I154" s="8">
        <v>11</v>
      </c>
      <c r="J154" s="8">
        <v>9</v>
      </c>
      <c r="K154" s="8">
        <f t="shared" ref="K154" si="2280">IF(K152="","",(J154+J155))</f>
        <v>9</v>
      </c>
      <c r="L154" s="8">
        <f t="shared" ref="L154" si="2281">IF(L152="","",(K154+K155))</f>
        <v>9</v>
      </c>
      <c r="M154" s="8">
        <v>8</v>
      </c>
      <c r="N154" s="8" t="str">
        <f t="shared" ref="N154" si="2282">IF(N152="","",(M154+M155))</f>
        <v/>
      </c>
      <c r="O154" s="8" t="str">
        <f t="shared" ref="O154" si="2283">IF(O152="","",(N154+N155))</f>
        <v/>
      </c>
      <c r="P154" s="8" t="str">
        <f t="shared" ref="P154" si="2284">IF(P152="","",(O154+O155))</f>
        <v/>
      </c>
      <c r="Q154" s="8" t="str">
        <f>IF(Q152="","",(P154+P155))</f>
        <v/>
      </c>
      <c r="R154" s="8" t="str">
        <f t="shared" ref="R154" si="2285">IF(R152="","",(Q154+Q155))</f>
        <v/>
      </c>
      <c r="S154" s="8" t="str">
        <f t="shared" ref="S154" si="2286">IF(S152="","",(R154+R155))</f>
        <v/>
      </c>
      <c r="T154" s="8" t="str">
        <f t="shared" ref="T154" si="2287">IF(T152="","",(S154+S155))</f>
        <v/>
      </c>
      <c r="U154" s="8" t="str">
        <f t="shared" ref="U154" si="2288">IF(U152="","",(T154+T155))</f>
        <v/>
      </c>
      <c r="V154" s="8" t="str">
        <f t="shared" ref="V154" si="2289">IF(V152="","",(U154+U155))</f>
        <v/>
      </c>
      <c r="W154" s="8" t="str">
        <f t="shared" ref="W154" si="2290">IF(W152="","",(V154+V155))</f>
        <v/>
      </c>
      <c r="X154" s="8" t="str">
        <f t="shared" ref="X154" si="2291">IF(X152="","",(W154+W155))</f>
        <v/>
      </c>
      <c r="Y154" s="8" t="str">
        <f t="shared" ref="Y154" si="2292">IF(Y152="","",(X154+X155))</f>
        <v/>
      </c>
      <c r="Z154" s="8" t="str">
        <f t="shared" ref="Z154" si="2293">IF(Z152="","",(Y154+Y155))</f>
        <v/>
      </c>
      <c r="AA154" s="8" t="str">
        <f>IF(AA152="","",(Z154+Z155))</f>
        <v/>
      </c>
      <c r="AB154" s="8" t="str">
        <f t="shared" ref="AB154" si="2294">IF(AB152="","",(AA154+AA155))</f>
        <v/>
      </c>
      <c r="AC154" s="8" t="str">
        <f t="shared" ref="AC154" si="2295">IF(AC152="","",(AB154+AB155))</f>
        <v/>
      </c>
      <c r="AD154" s="8" t="str">
        <f>IF(AD152="","",(AC154+AC155))</f>
        <v/>
      </c>
      <c r="AE154" s="8" t="str">
        <f t="shared" ref="AE154" si="2296">IF(AE152="","",(AD154+AD155))</f>
        <v/>
      </c>
      <c r="AF154" s="8" t="str">
        <f t="shared" ref="AF154" si="2297">IF(AF152="","",(AE154+AE155))</f>
        <v/>
      </c>
      <c r="AG154" s="8" t="str">
        <f t="shared" ref="AG154" si="2298">IF(AG152="","",(AF154+AF155))</f>
        <v/>
      </c>
      <c r="AH154" s="8" t="str">
        <f>IF(AH152="","",(AG154+AG155))</f>
        <v/>
      </c>
      <c r="AI154" s="8" t="str">
        <f t="shared" ref="AI154" si="2299">IF(AI152="","",(AH154+AH155))</f>
        <v/>
      </c>
      <c r="AJ154" s="8" t="str">
        <f t="shared" ref="AJ154" si="2300">IF(AJ152="","",(AI154+AI155))</f>
        <v/>
      </c>
      <c r="AK154" s="8" t="str">
        <f t="shared" ref="AK154" si="2301">IF(AK152="","",(AJ154+AJ155))</f>
        <v/>
      </c>
      <c r="AL154" s="8" t="str">
        <f>IF(AL152="","",(AK154+AK155))</f>
        <v/>
      </c>
      <c r="AM154" s="8" t="str">
        <f t="shared" ref="AM154" si="2302">IF(AM152="","",(AL154+AL155))</f>
        <v/>
      </c>
      <c r="AN154" s="8" t="str">
        <f t="shared" ref="AN154" si="2303">IF(AN152="","",(AM154+AM155))</f>
        <v/>
      </c>
      <c r="AO154" s="8" t="str">
        <f t="shared" ref="AO154" si="2304">IF(AO152="","",(AN154+AN155))</f>
        <v/>
      </c>
      <c r="AP154" s="8" t="str">
        <f t="shared" ref="AP154:AS154" si="2305">IF(AP152="","",(AO154+AO155))</f>
        <v/>
      </c>
      <c r="AQ154" s="8" t="str">
        <f t="shared" si="2305"/>
        <v/>
      </c>
      <c r="AR154" s="8" t="str">
        <f t="shared" si="2305"/>
        <v/>
      </c>
      <c r="AS154" s="8" t="str">
        <f t="shared" si="2305"/>
        <v/>
      </c>
    </row>
    <row r="155" spans="1:45" x14ac:dyDescent="0.15">
      <c r="A155" s="14"/>
      <c r="B155" s="9" t="s">
        <v>7</v>
      </c>
      <c r="C155" s="8"/>
      <c r="D155" s="8"/>
      <c r="E155" s="8"/>
      <c r="F155" s="8">
        <v>2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</row>
    <row r="156" spans="1:45" x14ac:dyDescent="0.15">
      <c r="A156" s="7"/>
      <c r="B156" s="9" t="s">
        <v>8</v>
      </c>
      <c r="C156" s="8">
        <v>682</v>
      </c>
      <c r="D156" s="8">
        <v>682</v>
      </c>
      <c r="E156" s="8">
        <v>682</v>
      </c>
      <c r="F156" s="8">
        <v>682</v>
      </c>
      <c r="G156" s="8">
        <v>682</v>
      </c>
      <c r="H156" s="8">
        <v>682</v>
      </c>
      <c r="I156" s="8">
        <v>682</v>
      </c>
      <c r="J156" s="8">
        <v>682</v>
      </c>
      <c r="K156" s="8">
        <f t="shared" ref="K156" si="2306">IF(K152="","",J156)</f>
        <v>682</v>
      </c>
      <c r="L156" s="8">
        <f t="shared" ref="L156" si="2307">IF(L152="","",K156)</f>
        <v>682</v>
      </c>
      <c r="M156" s="8">
        <f t="shared" ref="M156" si="2308">IF(M152="","",L156)</f>
        <v>682</v>
      </c>
      <c r="N156" s="8" t="str">
        <f t="shared" ref="N156" si="2309">IF(N152="","",M156)</f>
        <v/>
      </c>
      <c r="O156" s="8" t="str">
        <f t="shared" ref="O156" si="2310">IF(O152="","",N156)</f>
        <v/>
      </c>
      <c r="P156" s="8" t="str">
        <f t="shared" ref="P156" si="2311">IF(P152="","",O156)</f>
        <v/>
      </c>
      <c r="Q156" s="8" t="str">
        <f>IF(Q152="","",P156)</f>
        <v/>
      </c>
      <c r="R156" s="8" t="str">
        <f t="shared" ref="R156" si="2312">IF(R152="","",Q156)</f>
        <v/>
      </c>
      <c r="S156" s="8" t="str">
        <f t="shared" ref="S156" si="2313">IF(S152="","",R156)</f>
        <v/>
      </c>
      <c r="T156" s="8" t="str">
        <f t="shared" ref="T156" si="2314">IF(T152="","",S156)</f>
        <v/>
      </c>
      <c r="U156" s="8" t="str">
        <f t="shared" ref="U156" si="2315">IF(U152="","",T156)</f>
        <v/>
      </c>
      <c r="V156" s="8" t="str">
        <f t="shared" ref="V156" si="2316">IF(V152="","",U156)</f>
        <v/>
      </c>
      <c r="W156" s="8" t="str">
        <f t="shared" ref="W156" si="2317">IF(W152="","",V156)</f>
        <v/>
      </c>
      <c r="X156" s="8" t="str">
        <f t="shared" ref="X156" si="2318">IF(X152="","",W156)</f>
        <v/>
      </c>
      <c r="Y156" s="8" t="str">
        <f t="shared" ref="Y156" si="2319">IF(Y152="","",X156)</f>
        <v/>
      </c>
      <c r="Z156" s="8" t="str">
        <f t="shared" ref="Z156" si="2320">IF(Z152="","",Y156)</f>
        <v/>
      </c>
      <c r="AA156" s="8" t="str">
        <f t="shared" ref="AA156" si="2321">IF(AA152="","",Z156)</f>
        <v/>
      </c>
      <c r="AB156" s="8" t="str">
        <f t="shared" ref="AB156" si="2322">IF(AB152="","",AA156)</f>
        <v/>
      </c>
      <c r="AC156" s="8" t="str">
        <f t="shared" ref="AC156" si="2323">IF(AC152="","",AB156)</f>
        <v/>
      </c>
      <c r="AD156" s="8" t="str">
        <f t="shared" ref="AD156" si="2324">IF(AD152="","",AC156)</f>
        <v/>
      </c>
      <c r="AE156" s="8" t="str">
        <f t="shared" ref="AE156" si="2325">IF(AE152="","",AD156)</f>
        <v/>
      </c>
      <c r="AF156" s="8" t="str">
        <f t="shared" ref="AF156" si="2326">IF(AF152="","",AE156)</f>
        <v/>
      </c>
      <c r="AG156" s="8" t="str">
        <f t="shared" ref="AG156" si="2327">IF(AG152="","",AF156)</f>
        <v/>
      </c>
      <c r="AH156" s="8" t="str">
        <f t="shared" ref="AH156" si="2328">IF(AH152="","",AG156)</f>
        <v/>
      </c>
      <c r="AI156" s="8" t="str">
        <f t="shared" ref="AI156" si="2329">IF(AI152="","",AH156)</f>
        <v/>
      </c>
      <c r="AJ156" s="8" t="str">
        <f t="shared" ref="AJ156" si="2330">IF(AJ152="","",AI156)</f>
        <v/>
      </c>
      <c r="AK156" s="8" t="str">
        <f t="shared" ref="AK156" si="2331">IF(AK152="","",AJ156)</f>
        <v/>
      </c>
      <c r="AL156" s="8" t="str">
        <f t="shared" ref="AL156" si="2332">IF(AL152="","",AK156)</f>
        <v/>
      </c>
      <c r="AM156" s="8" t="str">
        <f t="shared" ref="AM156" si="2333">IF(AM152="","",AL156)</f>
        <v/>
      </c>
      <c r="AN156" s="8" t="str">
        <f t="shared" ref="AN156" si="2334">IF(AN152="","",AM156)</f>
        <v/>
      </c>
      <c r="AO156" s="8" t="str">
        <f t="shared" ref="AO156" si="2335">IF(AO152="","",AN156)</f>
        <v/>
      </c>
      <c r="AP156" s="8" t="str">
        <f t="shared" ref="AP156:AS156" si="2336">IF(AP152="","",AO156)</f>
        <v/>
      </c>
      <c r="AQ156" s="8" t="str">
        <f t="shared" si="2336"/>
        <v/>
      </c>
      <c r="AR156" s="8" t="str">
        <f t="shared" si="2336"/>
        <v/>
      </c>
      <c r="AS156" s="8" t="str">
        <f t="shared" si="2336"/>
        <v/>
      </c>
    </row>
    <row r="157" spans="1:45" s="85" customFormat="1" x14ac:dyDescent="0.15">
      <c r="A157" s="14" t="s">
        <v>9</v>
      </c>
      <c r="B157" s="13" t="s">
        <v>10</v>
      </c>
      <c r="C157" s="12" t="s">
        <v>352</v>
      </c>
      <c r="D157" s="12" t="s">
        <v>352</v>
      </c>
      <c r="E157" s="12" t="s">
        <v>352</v>
      </c>
      <c r="F157" s="12" t="s">
        <v>352</v>
      </c>
      <c r="G157" s="12" t="s">
        <v>352</v>
      </c>
      <c r="H157" s="12" t="s">
        <v>352</v>
      </c>
      <c r="I157" s="12" t="s">
        <v>352</v>
      </c>
      <c r="J157" s="12" t="s">
        <v>352</v>
      </c>
      <c r="K157" s="12" t="str">
        <f t="shared" ref="K157" si="2337">IF(K152="","",J157)</f>
        <v>ベアブリック</v>
      </c>
      <c r="L157" s="12" t="str">
        <f t="shared" ref="L157" si="2338">IF(L152="","",K157)</f>
        <v>ベアブリック</v>
      </c>
      <c r="M157" s="12" t="str">
        <f t="shared" ref="M157" si="2339">IF(M152="","",L157)</f>
        <v>ベアブリック</v>
      </c>
      <c r="N157" s="12" t="str">
        <f t="shared" ref="N157" si="2340">IF(N152="","",M157)</f>
        <v/>
      </c>
      <c r="O157" s="12" t="str">
        <f t="shared" ref="O157" si="2341">IF(O152="","",N157)</f>
        <v/>
      </c>
      <c r="P157" s="12" t="str">
        <f t="shared" ref="P157" si="2342">IF(P152="","",O157)</f>
        <v/>
      </c>
      <c r="Q157" s="12" t="str">
        <f t="shared" ref="Q157" si="2343">IF(Q152="","",P157)</f>
        <v/>
      </c>
      <c r="R157" s="12" t="str">
        <f t="shared" ref="R157" si="2344">IF(R152="","",Q157)</f>
        <v/>
      </c>
      <c r="S157" s="12" t="str">
        <f t="shared" ref="S157" si="2345">IF(S152="","",R157)</f>
        <v/>
      </c>
      <c r="T157" s="12" t="str">
        <f t="shared" ref="T157" si="2346">IF(T152="","",S157)</f>
        <v/>
      </c>
      <c r="U157" s="12" t="str">
        <f t="shared" ref="U157" si="2347">IF(U152="","",T157)</f>
        <v/>
      </c>
      <c r="V157" s="12" t="str">
        <f t="shared" ref="V157" si="2348">IF(V152="","",U157)</f>
        <v/>
      </c>
      <c r="W157" s="12" t="str">
        <f t="shared" ref="W157" si="2349">IF(W152="","",V157)</f>
        <v/>
      </c>
      <c r="X157" s="12" t="str">
        <f t="shared" ref="X157" si="2350">IF(X152="","",W157)</f>
        <v/>
      </c>
      <c r="Y157" s="12" t="str">
        <f t="shared" ref="Y157" si="2351">IF(Y152="","",X157)</f>
        <v/>
      </c>
      <c r="Z157" s="12" t="str">
        <f t="shared" ref="Z157" si="2352">IF(Z152="","",Y157)</f>
        <v/>
      </c>
      <c r="AA157" s="12" t="str">
        <f t="shared" ref="AA157" si="2353">IF(AA152="","",Z157)</f>
        <v/>
      </c>
      <c r="AB157" s="12" t="str">
        <f t="shared" ref="AB157" si="2354">IF(AB152="","",AA157)</f>
        <v/>
      </c>
      <c r="AC157" s="12" t="str">
        <f t="shared" ref="AC157" si="2355">IF(AC152="","",AB157)</f>
        <v/>
      </c>
      <c r="AD157" s="12" t="str">
        <f t="shared" ref="AD157" si="2356">IF(AD152="","",AC157)</f>
        <v/>
      </c>
      <c r="AE157" s="12" t="str">
        <f t="shared" ref="AE157" si="2357">IF(AE152="","",AD157)</f>
        <v/>
      </c>
      <c r="AF157" s="12" t="str">
        <f t="shared" ref="AF157" si="2358">IF(AF152="","",AE157)</f>
        <v/>
      </c>
      <c r="AG157" s="12" t="str">
        <f t="shared" ref="AG157" si="2359">IF(AG152="","",AF157)</f>
        <v/>
      </c>
      <c r="AH157" s="12" t="str">
        <f t="shared" ref="AH157" si="2360">IF(AH152="","",AG157)</f>
        <v/>
      </c>
      <c r="AI157" s="12" t="str">
        <f t="shared" ref="AI157" si="2361">IF(AI152="","",AH157)</f>
        <v/>
      </c>
      <c r="AJ157" s="12" t="str">
        <f t="shared" ref="AJ157" si="2362">IF(AJ152="","",AI157)</f>
        <v/>
      </c>
      <c r="AK157" s="12" t="str">
        <f t="shared" ref="AK157" si="2363">IF(AK152="","",AJ157)</f>
        <v/>
      </c>
      <c r="AL157" s="12" t="str">
        <f t="shared" ref="AL157" si="2364">IF(AL152="","",AK157)</f>
        <v/>
      </c>
      <c r="AM157" s="12" t="str">
        <f t="shared" ref="AM157" si="2365">IF(AM152="","",AL157)</f>
        <v/>
      </c>
      <c r="AN157" s="12" t="str">
        <f t="shared" ref="AN157" si="2366">IF(AN152="","",AM157)</f>
        <v/>
      </c>
      <c r="AO157" s="12" t="str">
        <f t="shared" ref="AO157" si="2367">IF(AO152="","",AN157)</f>
        <v/>
      </c>
      <c r="AP157" s="12" t="str">
        <f t="shared" ref="AP157:AS157" si="2368">IF(AP152="","",AO157)</f>
        <v/>
      </c>
      <c r="AQ157" s="12" t="str">
        <f t="shared" si="2368"/>
        <v/>
      </c>
      <c r="AR157" s="12" t="str">
        <f t="shared" si="2368"/>
        <v/>
      </c>
      <c r="AS157" s="12" t="str">
        <f t="shared" si="2368"/>
        <v/>
      </c>
    </row>
    <row r="158" spans="1:45" x14ac:dyDescent="0.15">
      <c r="A158" s="7">
        <f>AVERAGE(C159:AS159)*30*100</f>
        <v>73090.909090909088</v>
      </c>
      <c r="B158" s="9" t="s">
        <v>12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</row>
    <row r="159" spans="1:45" x14ac:dyDescent="0.15">
      <c r="A159" s="7">
        <f>SUM(C159:AS159)</f>
        <v>268</v>
      </c>
      <c r="B159" s="6" t="s">
        <v>13</v>
      </c>
      <c r="C159" s="5">
        <v>0</v>
      </c>
      <c r="D159" s="5">
        <v>0</v>
      </c>
      <c r="E159" s="5">
        <v>0</v>
      </c>
      <c r="F159" s="5">
        <v>163</v>
      </c>
      <c r="G159" s="5">
        <v>0</v>
      </c>
      <c r="H159" s="5">
        <v>0</v>
      </c>
      <c r="I159" s="5">
        <v>0</v>
      </c>
      <c r="J159" s="5">
        <v>35</v>
      </c>
      <c r="K159" s="5">
        <f t="shared" ref="K159:K160" si="2369">IF(K152="","",K152-J152)</f>
        <v>0</v>
      </c>
      <c r="L159" s="5">
        <f t="shared" ref="L159:L160" si="2370">IF(L152="","",L152-K152)</f>
        <v>0</v>
      </c>
      <c r="M159" s="5">
        <f t="shared" ref="M159:M160" si="2371">IF(M152="","",M152-L152)</f>
        <v>70</v>
      </c>
      <c r="N159" s="5" t="str">
        <f t="shared" ref="N159:N160" si="2372">IF(N152="","",N152-M152)</f>
        <v/>
      </c>
      <c r="O159" s="5" t="str">
        <f t="shared" ref="O159:O160" si="2373">IF(O152="","",O152-N152)</f>
        <v/>
      </c>
      <c r="P159" s="5" t="str">
        <f t="shared" ref="P159:P160" si="2374">IF(P152="","",P152-O152)</f>
        <v/>
      </c>
      <c r="Q159" s="5" t="str">
        <f t="shared" ref="Q159:Q160" si="2375">IF(Q152="","",Q152-P152)</f>
        <v/>
      </c>
      <c r="R159" s="5" t="str">
        <f t="shared" ref="R159:R160" si="2376">IF(R152="","",R152-Q152)</f>
        <v/>
      </c>
      <c r="S159" s="5" t="str">
        <f t="shared" ref="S159:S160" si="2377">IF(S152="","",S152-R152)</f>
        <v/>
      </c>
      <c r="T159" s="5" t="str">
        <f t="shared" ref="T159:T160" si="2378">IF(T152="","",T152-S152)</f>
        <v/>
      </c>
      <c r="U159" s="5" t="str">
        <f t="shared" ref="U159:U160" si="2379">IF(U152="","",U152-T152)</f>
        <v/>
      </c>
      <c r="V159" s="5" t="str">
        <f t="shared" ref="V159:V160" si="2380">IF(V152="","",V152-U152)</f>
        <v/>
      </c>
      <c r="W159" s="5" t="str">
        <f t="shared" ref="W159:W160" si="2381">IF(W152="","",W152-V152)</f>
        <v/>
      </c>
      <c r="X159" s="5" t="str">
        <f t="shared" ref="X159:X160" si="2382">IF(X152="","",X152-W152)</f>
        <v/>
      </c>
      <c r="Y159" s="5" t="str">
        <f t="shared" ref="Y159:Y160" si="2383">IF(Y152="","",Y152-X152)</f>
        <v/>
      </c>
      <c r="Z159" s="5" t="str">
        <f t="shared" ref="Z159:Z160" si="2384">IF(Z152="","",Z152-Y152)</f>
        <v/>
      </c>
      <c r="AA159" s="5" t="str">
        <f t="shared" ref="AA159:AA160" si="2385">IF(AA152="","",AA152-Z152)</f>
        <v/>
      </c>
      <c r="AB159" s="5" t="str">
        <f t="shared" ref="AB159:AB160" si="2386">IF(AB152="","",AB152-AA152)</f>
        <v/>
      </c>
      <c r="AC159" s="5" t="str">
        <f t="shared" ref="AC159:AC160" si="2387">IF(AC152="","",AC152-AB152)</f>
        <v/>
      </c>
      <c r="AD159" s="5" t="str">
        <f t="shared" ref="AD159:AD160" si="2388">IF(AD152="","",AD152-AC152)</f>
        <v/>
      </c>
      <c r="AE159" s="5" t="str">
        <f t="shared" ref="AE159:AE160" si="2389">IF(AE152="","",AE152-AD152)</f>
        <v/>
      </c>
      <c r="AF159" s="5" t="str">
        <f t="shared" ref="AF159:AF160" si="2390">IF(AF152="","",AF152-AE152)</f>
        <v/>
      </c>
      <c r="AG159" s="5" t="str">
        <f t="shared" ref="AG159:AG160" si="2391">IF(AG152="","",AG152-AF152)</f>
        <v/>
      </c>
      <c r="AH159" s="5" t="str">
        <f t="shared" ref="AH159:AH160" si="2392">IF(AH152="","",AH152-AG152)</f>
        <v/>
      </c>
      <c r="AI159" s="5" t="str">
        <f t="shared" ref="AI159:AI160" si="2393">IF(AI152="","",AI152-AH152)</f>
        <v/>
      </c>
      <c r="AJ159" s="5" t="str">
        <f t="shared" ref="AJ159:AJ160" si="2394">IF(AJ152="","",AJ152-AI152)</f>
        <v/>
      </c>
      <c r="AK159" s="5" t="str">
        <f t="shared" ref="AK159:AK160" si="2395">IF(AK152="","",AK152-AJ152)</f>
        <v/>
      </c>
      <c r="AL159" s="5" t="str">
        <f t="shared" ref="AL159:AL160" si="2396">IF(AL152="","",AL152-AK152)</f>
        <v/>
      </c>
      <c r="AM159" s="5" t="str">
        <f t="shared" ref="AM159:AM160" si="2397">IF(AM152="","",AM152-AL152)</f>
        <v/>
      </c>
      <c r="AN159" s="5" t="str">
        <f t="shared" ref="AN159:AN160" si="2398">IF(AN152="","",AN152-AM152)</f>
        <v/>
      </c>
      <c r="AO159" s="5" t="str">
        <f t="shared" ref="AO159:AO160" si="2399">IF(AO152="","",AO152-AN152)</f>
        <v/>
      </c>
      <c r="AP159" s="5" t="str">
        <f t="shared" ref="AP159:AS159" si="2400">IF(AP152="","",AP152-AO152)</f>
        <v/>
      </c>
      <c r="AQ159" s="5" t="str">
        <f t="shared" si="2400"/>
        <v/>
      </c>
      <c r="AR159" s="5" t="str">
        <f t="shared" si="2400"/>
        <v/>
      </c>
      <c r="AS159" s="5" t="str">
        <f t="shared" si="2400"/>
        <v/>
      </c>
    </row>
    <row r="160" spans="1:45" x14ac:dyDescent="0.15">
      <c r="A160" s="7">
        <f>SUM(C160:AS160)</f>
        <v>4</v>
      </c>
      <c r="B160" s="6" t="s">
        <v>14</v>
      </c>
      <c r="C160" s="5">
        <v>0</v>
      </c>
      <c r="D160" s="5">
        <v>0</v>
      </c>
      <c r="E160" s="5">
        <v>0</v>
      </c>
      <c r="F160" s="5">
        <v>1</v>
      </c>
      <c r="G160" s="5">
        <v>0</v>
      </c>
      <c r="H160" s="5">
        <v>0</v>
      </c>
      <c r="I160" s="5">
        <v>0</v>
      </c>
      <c r="J160" s="5">
        <v>2</v>
      </c>
      <c r="K160" s="5">
        <f t="shared" si="2369"/>
        <v>0</v>
      </c>
      <c r="L160" s="5">
        <f t="shared" si="2370"/>
        <v>0</v>
      </c>
      <c r="M160" s="5">
        <f t="shared" si="2371"/>
        <v>1</v>
      </c>
      <c r="N160" s="5" t="str">
        <f t="shared" si="2372"/>
        <v/>
      </c>
      <c r="O160" s="5" t="str">
        <f t="shared" si="2373"/>
        <v/>
      </c>
      <c r="P160" s="5" t="str">
        <f t="shared" si="2374"/>
        <v/>
      </c>
      <c r="Q160" s="5" t="str">
        <f t="shared" si="2375"/>
        <v/>
      </c>
      <c r="R160" s="5" t="str">
        <f t="shared" si="2376"/>
        <v/>
      </c>
      <c r="S160" s="5" t="str">
        <f t="shared" si="2377"/>
        <v/>
      </c>
      <c r="T160" s="5" t="str">
        <f t="shared" si="2378"/>
        <v/>
      </c>
      <c r="U160" s="5" t="str">
        <f t="shared" si="2379"/>
        <v/>
      </c>
      <c r="V160" s="5" t="str">
        <f t="shared" si="2380"/>
        <v/>
      </c>
      <c r="W160" s="5" t="str">
        <f t="shared" si="2381"/>
        <v/>
      </c>
      <c r="X160" s="5" t="str">
        <f t="shared" si="2382"/>
        <v/>
      </c>
      <c r="Y160" s="5" t="str">
        <f t="shared" si="2383"/>
        <v/>
      </c>
      <c r="Z160" s="5" t="str">
        <f t="shared" si="2384"/>
        <v/>
      </c>
      <c r="AA160" s="5" t="str">
        <f t="shared" si="2385"/>
        <v/>
      </c>
      <c r="AB160" s="5" t="str">
        <f t="shared" si="2386"/>
        <v/>
      </c>
      <c r="AC160" s="5" t="str">
        <f t="shared" si="2387"/>
        <v/>
      </c>
      <c r="AD160" s="5" t="str">
        <f t="shared" si="2388"/>
        <v/>
      </c>
      <c r="AE160" s="5" t="str">
        <f t="shared" si="2389"/>
        <v/>
      </c>
      <c r="AF160" s="5" t="str">
        <f t="shared" si="2390"/>
        <v/>
      </c>
      <c r="AG160" s="5" t="str">
        <f t="shared" si="2391"/>
        <v/>
      </c>
      <c r="AH160" s="5" t="str">
        <f t="shared" si="2392"/>
        <v/>
      </c>
      <c r="AI160" s="5" t="str">
        <f t="shared" si="2393"/>
        <v/>
      </c>
      <c r="AJ160" s="5" t="str">
        <f t="shared" si="2394"/>
        <v/>
      </c>
      <c r="AK160" s="5" t="str">
        <f t="shared" si="2395"/>
        <v/>
      </c>
      <c r="AL160" s="5" t="str">
        <f t="shared" si="2396"/>
        <v/>
      </c>
      <c r="AM160" s="5" t="str">
        <f t="shared" si="2397"/>
        <v/>
      </c>
      <c r="AN160" s="5" t="str">
        <f t="shared" si="2398"/>
        <v/>
      </c>
      <c r="AO160" s="5" t="str">
        <f t="shared" si="2399"/>
        <v/>
      </c>
      <c r="AP160" s="5" t="str">
        <f t="shared" ref="AP160:AS160" si="2401">IF(AP153="","",AP153-AO153)</f>
        <v/>
      </c>
      <c r="AQ160" s="5" t="str">
        <f t="shared" si="2401"/>
        <v/>
      </c>
      <c r="AR160" s="5" t="str">
        <f t="shared" si="2401"/>
        <v/>
      </c>
      <c r="AS160" s="5" t="str">
        <f t="shared" si="2401"/>
        <v/>
      </c>
    </row>
    <row r="161" spans="1:45" x14ac:dyDescent="0.15">
      <c r="A161" s="7">
        <f>SUM(C161:AS161)</f>
        <v>4</v>
      </c>
      <c r="B161" s="6" t="s">
        <v>15</v>
      </c>
      <c r="C161" s="5">
        <v>0</v>
      </c>
      <c r="D161" s="5">
        <v>0</v>
      </c>
      <c r="E161" s="5">
        <v>0</v>
      </c>
      <c r="F161" s="5">
        <v>1</v>
      </c>
      <c r="G161" s="5">
        <v>0</v>
      </c>
      <c r="H161" s="5">
        <v>0</v>
      </c>
      <c r="I161" s="5">
        <v>0</v>
      </c>
      <c r="J161" s="5">
        <v>2</v>
      </c>
      <c r="K161" s="5">
        <f t="shared" ref="K161" si="2402">IF(K154="","",J154+J155-K154)</f>
        <v>0</v>
      </c>
      <c r="L161" s="5">
        <f t="shared" ref="L161" si="2403">IF(L154="","",K154+K155-L154)</f>
        <v>0</v>
      </c>
      <c r="M161" s="5">
        <f t="shared" ref="M161" si="2404">IF(M154="","",L154+L155-M154)</f>
        <v>1</v>
      </c>
      <c r="N161" s="5" t="str">
        <f t="shared" ref="N161" si="2405">IF(N154="","",M154+M155-N154)</f>
        <v/>
      </c>
      <c r="O161" s="5" t="str">
        <f t="shared" ref="O161" si="2406">IF(O154="","",N154+N155-O154)</f>
        <v/>
      </c>
      <c r="P161" s="5" t="str">
        <f t="shared" ref="P161" si="2407">IF(P154="","",O154+O155-P154)</f>
        <v/>
      </c>
      <c r="Q161" s="5" t="str">
        <f t="shared" ref="Q161" si="2408">IF(Q154="","",P154+P155-Q154)</f>
        <v/>
      </c>
      <c r="R161" s="5" t="str">
        <f t="shared" ref="R161" si="2409">IF(R154="","",Q154+Q155-R154)</f>
        <v/>
      </c>
      <c r="S161" s="5" t="str">
        <f t="shared" ref="S161" si="2410">IF(S154="","",R154+R155-S154)</f>
        <v/>
      </c>
      <c r="T161" s="5" t="str">
        <f t="shared" ref="T161" si="2411">IF(T154="","",S154+S155-T154)</f>
        <v/>
      </c>
      <c r="U161" s="5" t="str">
        <f t="shared" ref="U161" si="2412">IF(U154="","",T154+T155-U154)</f>
        <v/>
      </c>
      <c r="V161" s="5" t="str">
        <f t="shared" ref="V161" si="2413">IF(V154="","",U154+U155-V154)</f>
        <v/>
      </c>
      <c r="W161" s="5" t="str">
        <f t="shared" ref="W161" si="2414">IF(W154="","",V154+V155-W154)</f>
        <v/>
      </c>
      <c r="X161" s="5" t="str">
        <f t="shared" ref="X161" si="2415">IF(X154="","",W154+W155-X154)</f>
        <v/>
      </c>
      <c r="Y161" s="5" t="str">
        <f t="shared" ref="Y161" si="2416">IF(Y154="","",X154+X155-Y154)</f>
        <v/>
      </c>
      <c r="Z161" s="5" t="str">
        <f t="shared" ref="Z161" si="2417">IF(Z154="","",Y154+Y155-Z154)</f>
        <v/>
      </c>
      <c r="AA161" s="5" t="str">
        <f t="shared" ref="AA161" si="2418">IF(AA154="","",Z154+Z155-AA154)</f>
        <v/>
      </c>
      <c r="AB161" s="5" t="str">
        <f t="shared" ref="AB161" si="2419">IF(AB154="","",AA154+AA155-AB154)</f>
        <v/>
      </c>
      <c r="AC161" s="5" t="str">
        <f t="shared" ref="AC161" si="2420">IF(AC154="","",AB154+AB155-AC154)</f>
        <v/>
      </c>
      <c r="AD161" s="5" t="str">
        <f t="shared" ref="AD161" si="2421">IF(AD154="","",AC154+AC155-AD154)</f>
        <v/>
      </c>
      <c r="AE161" s="5" t="str">
        <f t="shared" ref="AE161" si="2422">IF(AE154="","",AD154+AD155-AE154)</f>
        <v/>
      </c>
      <c r="AF161" s="5" t="str">
        <f t="shared" ref="AF161" si="2423">IF(AF154="","",AE154+AE155-AF154)</f>
        <v/>
      </c>
      <c r="AG161" s="5" t="str">
        <f t="shared" ref="AG161" si="2424">IF(AG154="","",AF154+AF155-AG154)</f>
        <v/>
      </c>
      <c r="AH161" s="5" t="str">
        <f t="shared" ref="AH161" si="2425">IF(AH154="","",AG154+AG155-AH154)</f>
        <v/>
      </c>
      <c r="AI161" s="5" t="str">
        <f t="shared" ref="AI161" si="2426">IF(AI154="","",AH154+AH155-AI154)</f>
        <v/>
      </c>
      <c r="AJ161" s="5" t="str">
        <f t="shared" ref="AJ161" si="2427">IF(AJ154="","",AI154+AI155-AJ154)</f>
        <v/>
      </c>
      <c r="AK161" s="5" t="str">
        <f t="shared" ref="AK161" si="2428">IF(AK154="","",AJ154+AJ155-AK154)</f>
        <v/>
      </c>
      <c r="AL161" s="5" t="str">
        <f t="shared" ref="AL161" si="2429">IF(AL154="","",AK154+AK155-AL154)</f>
        <v/>
      </c>
      <c r="AM161" s="5" t="str">
        <f t="shared" ref="AM161" si="2430">IF(AM154="","",AL154+AL155-AM154)</f>
        <v/>
      </c>
      <c r="AN161" s="5" t="str">
        <f t="shared" ref="AN161" si="2431">IF(AN154="","",AM154+AM155-AN154)</f>
        <v/>
      </c>
      <c r="AO161" s="5" t="str">
        <f t="shared" ref="AO161" si="2432">IF(AO154="","",AN154+AN155-AO154)</f>
        <v/>
      </c>
      <c r="AP161" s="5" t="str">
        <f t="shared" ref="AP161:AS161" si="2433">IF(AP154="","",AO154+AO155-AP154)</f>
        <v/>
      </c>
      <c r="AQ161" s="5" t="str">
        <f t="shared" si="2433"/>
        <v/>
      </c>
      <c r="AR161" s="5" t="str">
        <f t="shared" si="2433"/>
        <v/>
      </c>
      <c r="AS161" s="5" t="str">
        <f t="shared" si="2433"/>
        <v/>
      </c>
    </row>
    <row r="162" spans="1:45" x14ac:dyDescent="0.15">
      <c r="A162" s="7">
        <f>SUM(C162:AS162)</f>
        <v>2728</v>
      </c>
      <c r="B162" s="6" t="s">
        <v>16</v>
      </c>
      <c r="C162" s="5">
        <v>0</v>
      </c>
      <c r="D162" s="5">
        <v>0</v>
      </c>
      <c r="E162" s="5">
        <v>0</v>
      </c>
      <c r="F162" s="5">
        <v>682</v>
      </c>
      <c r="G162" s="5">
        <v>0</v>
      </c>
      <c r="H162" s="5">
        <v>0</v>
      </c>
      <c r="I162" s="5">
        <v>0</v>
      </c>
      <c r="J162" s="5">
        <v>1364</v>
      </c>
      <c r="K162" s="5">
        <f t="shared" ref="I162:AO162" si="2434">IF(K152="","",K161*K156)</f>
        <v>0</v>
      </c>
      <c r="L162" s="5">
        <f t="shared" si="2434"/>
        <v>0</v>
      </c>
      <c r="M162" s="5">
        <f t="shared" si="2434"/>
        <v>682</v>
      </c>
      <c r="N162" s="5" t="str">
        <f t="shared" si="2434"/>
        <v/>
      </c>
      <c r="O162" s="5" t="str">
        <f t="shared" si="2434"/>
        <v/>
      </c>
      <c r="P162" s="5" t="str">
        <f t="shared" si="2434"/>
        <v/>
      </c>
      <c r="Q162" s="5" t="str">
        <f t="shared" si="2434"/>
        <v/>
      </c>
      <c r="R162" s="5" t="str">
        <f t="shared" si="2434"/>
        <v/>
      </c>
      <c r="S162" s="5" t="str">
        <f t="shared" si="2434"/>
        <v/>
      </c>
      <c r="T162" s="5" t="str">
        <f t="shared" si="2434"/>
        <v/>
      </c>
      <c r="U162" s="5" t="str">
        <f t="shared" si="2434"/>
        <v/>
      </c>
      <c r="V162" s="5" t="str">
        <f t="shared" si="2434"/>
        <v/>
      </c>
      <c r="W162" s="5" t="str">
        <f t="shared" si="2434"/>
        <v/>
      </c>
      <c r="X162" s="5" t="str">
        <f t="shared" si="2434"/>
        <v/>
      </c>
      <c r="Y162" s="5" t="str">
        <f t="shared" si="2434"/>
        <v/>
      </c>
      <c r="Z162" s="5" t="str">
        <f t="shared" si="2434"/>
        <v/>
      </c>
      <c r="AA162" s="5" t="str">
        <f t="shared" si="2434"/>
        <v/>
      </c>
      <c r="AB162" s="5" t="str">
        <f t="shared" si="2434"/>
        <v/>
      </c>
      <c r="AC162" s="5" t="str">
        <f t="shared" si="2434"/>
        <v/>
      </c>
      <c r="AD162" s="5" t="str">
        <f t="shared" si="2434"/>
        <v/>
      </c>
      <c r="AE162" s="5" t="str">
        <f t="shared" si="2434"/>
        <v/>
      </c>
      <c r="AF162" s="5" t="str">
        <f t="shared" si="2434"/>
        <v/>
      </c>
      <c r="AG162" s="5" t="str">
        <f t="shared" si="2434"/>
        <v/>
      </c>
      <c r="AH162" s="5" t="str">
        <f t="shared" si="2434"/>
        <v/>
      </c>
      <c r="AI162" s="5" t="str">
        <f t="shared" si="2434"/>
        <v/>
      </c>
      <c r="AJ162" s="5" t="str">
        <f t="shared" si="2434"/>
        <v/>
      </c>
      <c r="AK162" s="5" t="str">
        <f t="shared" si="2434"/>
        <v/>
      </c>
      <c r="AL162" s="5" t="str">
        <f t="shared" si="2434"/>
        <v/>
      </c>
      <c r="AM162" s="5" t="str">
        <f t="shared" si="2434"/>
        <v/>
      </c>
      <c r="AN162" s="5" t="str">
        <f t="shared" si="2434"/>
        <v/>
      </c>
      <c r="AO162" s="5" t="str">
        <f t="shared" si="2434"/>
        <v/>
      </c>
      <c r="AP162" s="5" t="str">
        <f t="shared" ref="AP162:AS162" si="2435">IF(AP152="","",AP161*AP156)</f>
        <v/>
      </c>
      <c r="AQ162" s="5" t="str">
        <f t="shared" si="2435"/>
        <v/>
      </c>
      <c r="AR162" s="5" t="str">
        <f t="shared" si="2435"/>
        <v/>
      </c>
      <c r="AS162" s="5" t="str">
        <f t="shared" si="2435"/>
        <v/>
      </c>
    </row>
    <row r="163" spans="1:45" ht="12" thickBot="1" x14ac:dyDescent="0.2">
      <c r="A163" s="4">
        <f>IF(A162="","",A162/(A159*100))</f>
        <v>0.1017910447761194</v>
      </c>
      <c r="B163" s="6" t="s">
        <v>18</v>
      </c>
      <c r="C163" s="18" t="s">
        <v>19</v>
      </c>
      <c r="D163" s="18" t="s">
        <v>19</v>
      </c>
      <c r="E163" s="18" t="s">
        <v>19</v>
      </c>
      <c r="F163" s="18">
        <v>4.1840490797546009E-2</v>
      </c>
      <c r="G163" s="18" t="s">
        <v>19</v>
      </c>
      <c r="H163" s="18" t="s">
        <v>19</v>
      </c>
      <c r="I163" s="18" t="s">
        <v>19</v>
      </c>
      <c r="J163" s="18">
        <v>0.38971428571428574</v>
      </c>
      <c r="K163" s="18" t="str">
        <f t="shared" ref="I163:AO163" si="2436">IF(K162="","",IF(K162=0,"",K162/(K159*100)))</f>
        <v/>
      </c>
      <c r="L163" s="18" t="str">
        <f t="shared" si="2436"/>
        <v/>
      </c>
      <c r="M163" s="18">
        <f t="shared" si="2436"/>
        <v>9.7428571428571434E-2</v>
      </c>
      <c r="N163" s="18" t="str">
        <f t="shared" si="2436"/>
        <v/>
      </c>
      <c r="O163" s="18" t="str">
        <f t="shared" si="2436"/>
        <v/>
      </c>
      <c r="P163" s="18" t="str">
        <f t="shared" si="2436"/>
        <v/>
      </c>
      <c r="Q163" s="18" t="str">
        <f t="shared" si="2436"/>
        <v/>
      </c>
      <c r="R163" s="18" t="str">
        <f t="shared" si="2436"/>
        <v/>
      </c>
      <c r="S163" s="18" t="str">
        <f t="shared" si="2436"/>
        <v/>
      </c>
      <c r="T163" s="18" t="str">
        <f t="shared" si="2436"/>
        <v/>
      </c>
      <c r="U163" s="18" t="str">
        <f t="shared" si="2436"/>
        <v/>
      </c>
      <c r="V163" s="18" t="str">
        <f t="shared" si="2436"/>
        <v/>
      </c>
      <c r="W163" s="18" t="str">
        <f t="shared" si="2436"/>
        <v/>
      </c>
      <c r="X163" s="18" t="str">
        <f t="shared" si="2436"/>
        <v/>
      </c>
      <c r="Y163" s="18" t="str">
        <f t="shared" si="2436"/>
        <v/>
      </c>
      <c r="Z163" s="18" t="str">
        <f t="shared" si="2436"/>
        <v/>
      </c>
      <c r="AA163" s="18" t="str">
        <f t="shared" si="2436"/>
        <v/>
      </c>
      <c r="AB163" s="18" t="str">
        <f t="shared" si="2436"/>
        <v/>
      </c>
      <c r="AC163" s="18" t="str">
        <f t="shared" si="2436"/>
        <v/>
      </c>
      <c r="AD163" s="18" t="str">
        <f t="shared" si="2436"/>
        <v/>
      </c>
      <c r="AE163" s="18" t="str">
        <f t="shared" si="2436"/>
        <v/>
      </c>
      <c r="AF163" s="18" t="str">
        <f t="shared" si="2436"/>
        <v/>
      </c>
      <c r="AG163" s="18" t="str">
        <f t="shared" si="2436"/>
        <v/>
      </c>
      <c r="AH163" s="18" t="str">
        <f t="shared" si="2436"/>
        <v/>
      </c>
      <c r="AI163" s="18" t="str">
        <f t="shared" si="2436"/>
        <v/>
      </c>
      <c r="AJ163" s="18" t="str">
        <f t="shared" si="2436"/>
        <v/>
      </c>
      <c r="AK163" s="18" t="str">
        <f t="shared" si="2436"/>
        <v/>
      </c>
      <c r="AL163" s="18" t="str">
        <f t="shared" si="2436"/>
        <v/>
      </c>
      <c r="AM163" s="18" t="str">
        <f t="shared" si="2436"/>
        <v/>
      </c>
      <c r="AN163" s="18" t="str">
        <f t="shared" si="2436"/>
        <v/>
      </c>
      <c r="AO163" s="18" t="str">
        <f t="shared" si="2436"/>
        <v/>
      </c>
      <c r="AP163" s="18" t="str">
        <f t="shared" ref="AP163:AS163" si="2437">IF(AP162="","",IF(AP162=0,"",AP162/(AP159*100)))</f>
        <v/>
      </c>
      <c r="AQ163" s="18" t="str">
        <f t="shared" si="2437"/>
        <v/>
      </c>
      <c r="AR163" s="18" t="str">
        <f t="shared" si="2437"/>
        <v/>
      </c>
      <c r="AS163" s="18" t="str">
        <f t="shared" si="2437"/>
        <v/>
      </c>
    </row>
    <row r="164" spans="1:45" x14ac:dyDescent="0.15">
      <c r="A164" s="17" t="s">
        <v>59</v>
      </c>
      <c r="B164" s="9" t="s">
        <v>2</v>
      </c>
      <c r="C164" s="8">
        <v>13161</v>
      </c>
      <c r="D164" s="8">
        <v>13161</v>
      </c>
      <c r="E164" s="8">
        <v>13161</v>
      </c>
      <c r="F164" s="8">
        <v>13254</v>
      </c>
      <c r="G164" s="8">
        <v>13254</v>
      </c>
      <c r="H164" s="8">
        <v>13254</v>
      </c>
      <c r="I164" s="8">
        <v>13254</v>
      </c>
      <c r="J164" s="8">
        <v>13286</v>
      </c>
      <c r="K164" s="8">
        <f t="shared" ref="K164:K165" si="2438">IF(K$8="","",J164)</f>
        <v>13286</v>
      </c>
      <c r="L164" s="8">
        <f t="shared" ref="L164:L165" si="2439">IF(L$8="","",K164)</f>
        <v>13286</v>
      </c>
      <c r="M164" s="8">
        <v>13318</v>
      </c>
      <c r="N164" s="8" t="str">
        <f t="shared" ref="N164:N165" si="2440">IF(N$8="","",M164)</f>
        <v/>
      </c>
      <c r="O164" s="8" t="str">
        <f t="shared" ref="O164:O165" si="2441">IF(O$8="","",N164)</f>
        <v/>
      </c>
      <c r="P164" s="8" t="str">
        <f t="shared" ref="P164:P165" si="2442">IF(P$8="","",O164)</f>
        <v/>
      </c>
      <c r="Q164" s="8" t="str">
        <f>IF(Q$8="","",P164)</f>
        <v/>
      </c>
      <c r="R164" s="8" t="str">
        <f t="shared" ref="R164:R165" si="2443">IF(R$8="","",Q164)</f>
        <v/>
      </c>
      <c r="S164" s="8" t="str">
        <f t="shared" ref="S164:S165" si="2444">IF(S$8="","",R164)</f>
        <v/>
      </c>
      <c r="T164" s="8" t="str">
        <f>IF(T$8="","",S164)</f>
        <v/>
      </c>
      <c r="U164" s="8" t="str">
        <f t="shared" ref="U164:U165" si="2445">IF(U$8="","",T164)</f>
        <v/>
      </c>
      <c r="V164" s="8" t="str">
        <f t="shared" ref="V164:V165" si="2446">IF(V$8="","",U164)</f>
        <v/>
      </c>
      <c r="W164" s="8" t="str">
        <f t="shared" ref="W164:W165" si="2447">IF(W$8="","",V164)</f>
        <v/>
      </c>
      <c r="X164" s="8" t="str">
        <f>IF(X$8="","",W164)</f>
        <v/>
      </c>
      <c r="Y164" s="8" t="str">
        <f t="shared" ref="Y164:Y165" si="2448">IF(Y$8="","",X164)</f>
        <v/>
      </c>
      <c r="Z164" s="8" t="str">
        <f t="shared" ref="Z164:Z165" si="2449">IF(Z$8="","",Y164)</f>
        <v/>
      </c>
      <c r="AA164" s="8" t="str">
        <f>IF(AA$8="","",Z164)</f>
        <v/>
      </c>
      <c r="AB164" s="8" t="str">
        <f t="shared" ref="AB164:AB165" si="2450">IF(AB$8="","",AA164)</f>
        <v/>
      </c>
      <c r="AC164" s="8" t="str">
        <f t="shared" ref="AC164:AC165" si="2451">IF(AC$8="","",AB164)</f>
        <v/>
      </c>
      <c r="AD164" s="8" t="str">
        <f>IF(AD$8="","",AC164)</f>
        <v/>
      </c>
      <c r="AE164" s="8" t="str">
        <f t="shared" ref="AE164:AE165" si="2452">IF(AE$8="","",AD164)</f>
        <v/>
      </c>
      <c r="AF164" s="8" t="str">
        <f t="shared" ref="AF164:AF165" si="2453">IF(AF$8="","",AE164)</f>
        <v/>
      </c>
      <c r="AG164" s="8" t="str">
        <f t="shared" ref="AG164:AG165" si="2454">IF(AG$8="","",AF164)</f>
        <v/>
      </c>
      <c r="AH164" s="8" t="str">
        <f>IF(AH$8="","",AG164)</f>
        <v/>
      </c>
      <c r="AI164" s="8" t="str">
        <f t="shared" ref="AI164:AI165" si="2455">IF(AI$8="","",AH164)</f>
        <v/>
      </c>
      <c r="AJ164" s="8" t="str">
        <f t="shared" ref="AJ164:AJ165" si="2456">IF(AJ$8="","",AI164)</f>
        <v/>
      </c>
      <c r="AK164" s="8" t="str">
        <f t="shared" ref="AK164:AK165" si="2457">IF(AK$8="","",AJ164)</f>
        <v/>
      </c>
      <c r="AL164" s="8" t="str">
        <f>IF(AL$8="","",AK164)</f>
        <v/>
      </c>
      <c r="AM164" s="8" t="str">
        <f t="shared" ref="AM164:AM165" si="2458">IF(AM$8="","",AL164)</f>
        <v/>
      </c>
      <c r="AN164" s="8" t="str">
        <f t="shared" ref="AN164:AN165" si="2459">IF(AN$8="","",AM164)</f>
        <v/>
      </c>
      <c r="AO164" s="8" t="str">
        <f t="shared" ref="AO164:AO165" si="2460">IF(AO$8="","",AN164)</f>
        <v/>
      </c>
      <c r="AP164" s="8" t="str">
        <f t="shared" ref="AP164:AS164" si="2461">IF(AP$8="","",AO164)</f>
        <v/>
      </c>
      <c r="AQ164" s="8" t="str">
        <f t="shared" si="2461"/>
        <v/>
      </c>
      <c r="AR164" s="8" t="str">
        <f t="shared" si="2461"/>
        <v/>
      </c>
      <c r="AS164" s="8" t="str">
        <f t="shared" si="2461"/>
        <v/>
      </c>
    </row>
    <row r="165" spans="1:45" x14ac:dyDescent="0.15">
      <c r="A165" s="16" t="s">
        <v>29</v>
      </c>
      <c r="B165" s="9" t="s">
        <v>4</v>
      </c>
      <c r="C165" s="8">
        <v>250</v>
      </c>
      <c r="D165" s="8">
        <v>250</v>
      </c>
      <c r="E165" s="8">
        <v>250</v>
      </c>
      <c r="F165" s="8">
        <v>251</v>
      </c>
      <c r="G165" s="8">
        <v>251</v>
      </c>
      <c r="H165" s="8">
        <v>251</v>
      </c>
      <c r="I165" s="8">
        <v>251</v>
      </c>
      <c r="J165" s="8">
        <v>252</v>
      </c>
      <c r="K165" s="8">
        <f t="shared" si="2438"/>
        <v>252</v>
      </c>
      <c r="L165" s="8">
        <f t="shared" si="2439"/>
        <v>252</v>
      </c>
      <c r="M165" s="8">
        <v>253</v>
      </c>
      <c r="N165" s="8" t="str">
        <f t="shared" si="2440"/>
        <v/>
      </c>
      <c r="O165" s="8" t="str">
        <f t="shared" si="2441"/>
        <v/>
      </c>
      <c r="P165" s="8" t="str">
        <f t="shared" si="2442"/>
        <v/>
      </c>
      <c r="Q165" s="8" t="str">
        <f>IF(Q$8="","",P165)</f>
        <v/>
      </c>
      <c r="R165" s="8" t="str">
        <f t="shared" si="2443"/>
        <v/>
      </c>
      <c r="S165" s="8" t="str">
        <f t="shared" si="2444"/>
        <v/>
      </c>
      <c r="T165" s="8" t="str">
        <f>IF(T$8="","",S165)</f>
        <v/>
      </c>
      <c r="U165" s="8" t="str">
        <f t="shared" si="2445"/>
        <v/>
      </c>
      <c r="V165" s="8" t="str">
        <f t="shared" si="2446"/>
        <v/>
      </c>
      <c r="W165" s="8" t="str">
        <f t="shared" si="2447"/>
        <v/>
      </c>
      <c r="X165" s="8" t="str">
        <f t="shared" ref="X165" si="2462">IF(X$8="","",W165)</f>
        <v/>
      </c>
      <c r="Y165" s="8" t="str">
        <f t="shared" si="2448"/>
        <v/>
      </c>
      <c r="Z165" s="8" t="str">
        <f t="shared" si="2449"/>
        <v/>
      </c>
      <c r="AA165" s="8" t="str">
        <f>IF(AA$8="","",Z165)</f>
        <v/>
      </c>
      <c r="AB165" s="8" t="str">
        <f t="shared" si="2450"/>
        <v/>
      </c>
      <c r="AC165" s="8" t="str">
        <f t="shared" si="2451"/>
        <v/>
      </c>
      <c r="AD165" s="8" t="str">
        <f t="shared" ref="AD165" si="2463">IF(AD$8="","",AC165)</f>
        <v/>
      </c>
      <c r="AE165" s="8" t="str">
        <f t="shared" si="2452"/>
        <v/>
      </c>
      <c r="AF165" s="8" t="str">
        <f t="shared" si="2453"/>
        <v/>
      </c>
      <c r="AG165" s="8" t="str">
        <f t="shared" si="2454"/>
        <v/>
      </c>
      <c r="AH165" s="8" t="str">
        <f>IF(AH$8="","",AG165)</f>
        <v/>
      </c>
      <c r="AI165" s="8" t="str">
        <f t="shared" si="2455"/>
        <v/>
      </c>
      <c r="AJ165" s="8" t="str">
        <f t="shared" si="2456"/>
        <v/>
      </c>
      <c r="AK165" s="8" t="str">
        <f t="shared" si="2457"/>
        <v/>
      </c>
      <c r="AL165" s="8" t="str">
        <f>IF(AL$8="","",AK165)</f>
        <v/>
      </c>
      <c r="AM165" s="8" t="str">
        <f t="shared" si="2458"/>
        <v/>
      </c>
      <c r="AN165" s="8" t="str">
        <f t="shared" si="2459"/>
        <v/>
      </c>
      <c r="AO165" s="8" t="str">
        <f t="shared" si="2460"/>
        <v/>
      </c>
      <c r="AP165" s="8" t="str">
        <f t="shared" ref="AP165:AS165" si="2464">IF(AP$8="","",AO165)</f>
        <v/>
      </c>
      <c r="AQ165" s="8" t="str">
        <f t="shared" si="2464"/>
        <v/>
      </c>
      <c r="AR165" s="8" t="str">
        <f t="shared" si="2464"/>
        <v/>
      </c>
      <c r="AS165" s="8" t="str">
        <f t="shared" si="2464"/>
        <v/>
      </c>
    </row>
    <row r="166" spans="1:45" x14ac:dyDescent="0.15">
      <c r="A166" s="15">
        <v>3</v>
      </c>
      <c r="B166" s="9" t="s">
        <v>5</v>
      </c>
      <c r="C166" s="8">
        <v>10</v>
      </c>
      <c r="D166" s="8">
        <v>10</v>
      </c>
      <c r="E166" s="8">
        <v>10</v>
      </c>
      <c r="F166" s="8">
        <v>9</v>
      </c>
      <c r="G166" s="8">
        <v>9</v>
      </c>
      <c r="H166" s="8">
        <v>9</v>
      </c>
      <c r="I166" s="8">
        <v>9</v>
      </c>
      <c r="J166" s="8">
        <v>8</v>
      </c>
      <c r="K166" s="8">
        <f t="shared" ref="K166" si="2465">IF(K164="","",(J166+J167))</f>
        <v>8</v>
      </c>
      <c r="L166" s="8">
        <f t="shared" ref="L166" si="2466">IF(L164="","",(K166+K167))</f>
        <v>8</v>
      </c>
      <c r="M166" s="8">
        <v>7</v>
      </c>
      <c r="N166" s="8" t="str">
        <f t="shared" ref="N166" si="2467">IF(N164="","",(M166+M167))</f>
        <v/>
      </c>
      <c r="O166" s="8" t="str">
        <f t="shared" ref="O166" si="2468">IF(O164="","",(N166+N167))</f>
        <v/>
      </c>
      <c r="P166" s="8" t="str">
        <f t="shared" ref="P166" si="2469">IF(P164="","",(O166+O167))</f>
        <v/>
      </c>
      <c r="Q166" s="8" t="str">
        <f t="shared" ref="Q166" si="2470">IF(Q164="","",(P166+P167))</f>
        <v/>
      </c>
      <c r="R166" s="8" t="str">
        <f t="shared" ref="R166" si="2471">IF(R164="","",(Q166+Q167))</f>
        <v/>
      </c>
      <c r="S166" s="8" t="str">
        <f t="shared" ref="S166" si="2472">IF(S164="","",(R166+R167))</f>
        <v/>
      </c>
      <c r="T166" s="8" t="str">
        <f>IF(T164="","",(S166+S167))</f>
        <v/>
      </c>
      <c r="U166" s="8" t="str">
        <f t="shared" ref="U166" si="2473">IF(U164="","",(T166+T167))</f>
        <v/>
      </c>
      <c r="V166" s="8" t="str">
        <f t="shared" ref="V166" si="2474">IF(V164="","",(U166+U167))</f>
        <v/>
      </c>
      <c r="W166" s="8" t="str">
        <f t="shared" ref="W166" si="2475">IF(W164="","",(V166+V167))</f>
        <v/>
      </c>
      <c r="X166" s="8" t="str">
        <f t="shared" ref="X166" si="2476">IF(X164="","",(W166+W167))</f>
        <v/>
      </c>
      <c r="Y166" s="8" t="str">
        <f t="shared" ref="Y166" si="2477">IF(Y164="","",(X166+X167))</f>
        <v/>
      </c>
      <c r="Z166" s="8" t="str">
        <f t="shared" ref="Z166" si="2478">IF(Z164="","",(Y166+Y167))</f>
        <v/>
      </c>
      <c r="AA166" s="8" t="str">
        <f>IF(AA164="","",(Z166+Z167))</f>
        <v/>
      </c>
      <c r="AB166" s="8" t="str">
        <f t="shared" ref="AB166" si="2479">IF(AB164="","",(AA166+AA167))</f>
        <v/>
      </c>
      <c r="AC166" s="8" t="str">
        <f t="shared" ref="AC166" si="2480">IF(AC164="","",(AB166+AB167))</f>
        <v/>
      </c>
      <c r="AD166" s="8" t="str">
        <f t="shared" ref="AD166" si="2481">IF(AD164="","",(AC166+AC167))</f>
        <v/>
      </c>
      <c r="AE166" s="8" t="str">
        <f t="shared" ref="AE166" si="2482">IF(AE164="","",(AD166+AD167))</f>
        <v/>
      </c>
      <c r="AF166" s="8" t="str">
        <f t="shared" ref="AF166" si="2483">IF(AF164="","",(AE166+AE167))</f>
        <v/>
      </c>
      <c r="AG166" s="8" t="str">
        <f t="shared" ref="AG166" si="2484">IF(AG164="","",(AF166+AF167))</f>
        <v/>
      </c>
      <c r="AH166" s="8" t="str">
        <f>IF(AH164="","",(AG166+AG167))</f>
        <v/>
      </c>
      <c r="AI166" s="8" t="str">
        <f t="shared" ref="AI166" si="2485">IF(AI164="","",(AH166+AH167))</f>
        <v/>
      </c>
      <c r="AJ166" s="8" t="str">
        <f t="shared" ref="AJ166" si="2486">IF(AJ164="","",(AI166+AI167))</f>
        <v/>
      </c>
      <c r="AK166" s="8" t="str">
        <f t="shared" ref="AK166" si="2487">IF(AK164="","",(AJ166+AJ167))</f>
        <v/>
      </c>
      <c r="AL166" s="8" t="str">
        <f>IF(AL164="","",(AK166+AK167))</f>
        <v/>
      </c>
      <c r="AM166" s="8" t="str">
        <f t="shared" ref="AM166" si="2488">IF(AM164="","",(AL166+AL167))</f>
        <v/>
      </c>
      <c r="AN166" s="8" t="str">
        <f t="shared" ref="AN166" si="2489">IF(AN164="","",(AM166+AM167))</f>
        <v/>
      </c>
      <c r="AO166" s="8" t="str">
        <f t="shared" ref="AO166" si="2490">IF(AO164="","",(AN166+AN167))</f>
        <v/>
      </c>
      <c r="AP166" s="8" t="str">
        <f t="shared" ref="AP166:AS166" si="2491">IF(AP164="","",(AO166+AO167))</f>
        <v/>
      </c>
      <c r="AQ166" s="8" t="str">
        <f t="shared" si="2491"/>
        <v/>
      </c>
      <c r="AR166" s="8" t="str">
        <f t="shared" si="2491"/>
        <v/>
      </c>
      <c r="AS166" s="8" t="str">
        <f t="shared" si="2491"/>
        <v/>
      </c>
    </row>
    <row r="167" spans="1:45" x14ac:dyDescent="0.15">
      <c r="A167" s="14"/>
      <c r="B167" s="9" t="s">
        <v>7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>
        <v>5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</row>
    <row r="168" spans="1:45" x14ac:dyDescent="0.15">
      <c r="A168" s="7"/>
      <c r="B168" s="9" t="s">
        <v>8</v>
      </c>
      <c r="C168" s="8">
        <v>350</v>
      </c>
      <c r="D168" s="8">
        <v>350</v>
      </c>
      <c r="E168" s="8">
        <v>350</v>
      </c>
      <c r="F168" s="8">
        <v>350</v>
      </c>
      <c r="G168" s="8">
        <v>350</v>
      </c>
      <c r="H168" s="8">
        <v>350</v>
      </c>
      <c r="I168" s="8">
        <v>350</v>
      </c>
      <c r="J168" s="8">
        <v>350</v>
      </c>
      <c r="K168" s="8">
        <f t="shared" ref="K168" si="2492">IF(K164="","",J168)</f>
        <v>350</v>
      </c>
      <c r="L168" s="8">
        <f t="shared" ref="L168" si="2493">IF(L164="","",K168)</f>
        <v>350</v>
      </c>
      <c r="M168" s="8">
        <f t="shared" ref="M168" si="2494">IF(M164="","",L168)</f>
        <v>350</v>
      </c>
      <c r="N168" s="8" t="str">
        <f t="shared" ref="N168" si="2495">IF(N164="","",M168)</f>
        <v/>
      </c>
      <c r="O168" s="8" t="str">
        <f t="shared" ref="O168" si="2496">IF(O164="","",N168)</f>
        <v/>
      </c>
      <c r="P168" s="8" t="str">
        <f t="shared" ref="P168" si="2497">IF(P164="","",O168)</f>
        <v/>
      </c>
      <c r="Q168" s="8" t="str">
        <f t="shared" ref="Q168" si="2498">IF(Q164="","",P168)</f>
        <v/>
      </c>
      <c r="R168" s="8" t="str">
        <f t="shared" ref="R168" si="2499">IF(R164="","",Q168)</f>
        <v/>
      </c>
      <c r="S168" s="8" t="str">
        <f t="shared" ref="S168" si="2500">IF(S164="","",R168)</f>
        <v/>
      </c>
      <c r="T168" s="8" t="str">
        <f t="shared" ref="T168" si="2501">IF(T164="","",S168)</f>
        <v/>
      </c>
      <c r="U168" s="8" t="str">
        <f t="shared" ref="U168" si="2502">IF(U164="","",T168)</f>
        <v/>
      </c>
      <c r="V168" s="8" t="str">
        <f t="shared" ref="V168" si="2503">IF(V164="","",U168)</f>
        <v/>
      </c>
      <c r="W168" s="8" t="str">
        <f t="shared" ref="W168" si="2504">IF(W164="","",V168)</f>
        <v/>
      </c>
      <c r="X168" s="8" t="str">
        <f t="shared" ref="X168" si="2505">IF(X164="","",W168)</f>
        <v/>
      </c>
      <c r="Y168" s="8" t="str">
        <f t="shared" ref="Y168" si="2506">IF(Y164="","",X168)</f>
        <v/>
      </c>
      <c r="Z168" s="8" t="str">
        <f t="shared" ref="Z168" si="2507">IF(Z164="","",Y168)</f>
        <v/>
      </c>
      <c r="AA168" s="8" t="str">
        <f t="shared" ref="AA168" si="2508">IF(AA164="","",Z168)</f>
        <v/>
      </c>
      <c r="AB168" s="8" t="str">
        <f t="shared" ref="AB168" si="2509">IF(AB164="","",AA168)</f>
        <v/>
      </c>
      <c r="AC168" s="8" t="str">
        <f t="shared" ref="AC168" si="2510">IF(AC164="","",AB168)</f>
        <v/>
      </c>
      <c r="AD168" s="8" t="str">
        <f t="shared" ref="AD168" si="2511">IF(AD164="","",AC168)</f>
        <v/>
      </c>
      <c r="AE168" s="8" t="str">
        <f t="shared" ref="AE168" si="2512">IF(AE164="","",AD168)</f>
        <v/>
      </c>
      <c r="AF168" s="8" t="str">
        <f t="shared" ref="AF168" si="2513">IF(AF164="","",AE168)</f>
        <v/>
      </c>
      <c r="AG168" s="8" t="str">
        <f t="shared" ref="AG168" si="2514">IF(AG164="","",AF168)</f>
        <v/>
      </c>
      <c r="AH168" s="8" t="str">
        <f t="shared" ref="AH168" si="2515">IF(AH164="","",AG168)</f>
        <v/>
      </c>
      <c r="AI168" s="8" t="str">
        <f t="shared" ref="AI168" si="2516">IF(AI164="","",AH168)</f>
        <v/>
      </c>
      <c r="AJ168" s="8" t="str">
        <f t="shared" ref="AJ168" si="2517">IF(AJ164="","",AI168)</f>
        <v/>
      </c>
      <c r="AK168" s="8" t="str">
        <f t="shared" ref="AK168" si="2518">IF(AK164="","",AJ168)</f>
        <v/>
      </c>
      <c r="AL168" s="8" t="str">
        <f t="shared" ref="AL168" si="2519">IF(AL164="","",AK168)</f>
        <v/>
      </c>
      <c r="AM168" s="8" t="str">
        <f t="shared" ref="AM168" si="2520">IF(AM164="","",AL168)</f>
        <v/>
      </c>
      <c r="AN168" s="8" t="str">
        <f t="shared" ref="AN168" si="2521">IF(AN164="","",AM168)</f>
        <v/>
      </c>
      <c r="AO168" s="8" t="str">
        <f t="shared" ref="AO168" si="2522">IF(AO164="","",AN168)</f>
        <v/>
      </c>
      <c r="AP168" s="8" t="str">
        <f t="shared" ref="AP168:AS168" si="2523">IF(AP164="","",AO168)</f>
        <v/>
      </c>
      <c r="AQ168" s="8" t="str">
        <f t="shared" si="2523"/>
        <v/>
      </c>
      <c r="AR168" s="8" t="str">
        <f t="shared" si="2523"/>
        <v/>
      </c>
      <c r="AS168" s="8" t="str">
        <f t="shared" si="2523"/>
        <v/>
      </c>
    </row>
    <row r="169" spans="1:45" s="85" customFormat="1" x14ac:dyDescent="0.15">
      <c r="A169" s="14" t="s">
        <v>9</v>
      </c>
      <c r="B169" s="13" t="s">
        <v>10</v>
      </c>
      <c r="C169" s="12" t="s">
        <v>339</v>
      </c>
      <c r="D169" s="12" t="s">
        <v>339</v>
      </c>
      <c r="E169" s="12" t="s">
        <v>339</v>
      </c>
      <c r="F169" s="12" t="s">
        <v>339</v>
      </c>
      <c r="G169" s="12" t="s">
        <v>339</v>
      </c>
      <c r="H169" s="12" t="s">
        <v>339</v>
      </c>
      <c r="I169" s="12" t="s">
        <v>339</v>
      </c>
      <c r="J169" s="12" t="s">
        <v>339</v>
      </c>
      <c r="K169" s="12" t="str">
        <f t="shared" ref="K169" si="2524">IF(K164="","",J169)</f>
        <v>モンチッチマスコットフルーツ</v>
      </c>
      <c r="L169" s="12" t="str">
        <f t="shared" ref="L169" si="2525">IF(L164="","",K169)</f>
        <v>モンチッチマスコットフルーツ</v>
      </c>
      <c r="M169" s="12" t="str">
        <f t="shared" ref="M169" si="2526">IF(M164="","",L169)</f>
        <v>モンチッチマスコットフルーツ</v>
      </c>
      <c r="N169" s="12" t="str">
        <f t="shared" ref="N169" si="2527">IF(N164="","",M169)</f>
        <v/>
      </c>
      <c r="O169" s="12" t="str">
        <f t="shared" ref="O169" si="2528">IF(O164="","",N169)</f>
        <v/>
      </c>
      <c r="P169" s="12" t="str">
        <f t="shared" ref="P169" si="2529">IF(P164="","",O169)</f>
        <v/>
      </c>
      <c r="Q169" s="12" t="str">
        <f t="shared" ref="Q169" si="2530">IF(Q164="","",P169)</f>
        <v/>
      </c>
      <c r="R169" s="12" t="str">
        <f t="shared" ref="R169" si="2531">IF(R164="","",Q169)</f>
        <v/>
      </c>
      <c r="S169" s="12" t="str">
        <f t="shared" ref="S169" si="2532">IF(S164="","",R169)</f>
        <v/>
      </c>
      <c r="T169" s="12" t="str">
        <f t="shared" ref="T169" si="2533">IF(T164="","",S169)</f>
        <v/>
      </c>
      <c r="U169" s="12" t="str">
        <f t="shared" ref="U169" si="2534">IF(U164="","",T169)</f>
        <v/>
      </c>
      <c r="V169" s="12" t="str">
        <f t="shared" ref="V169" si="2535">IF(V164="","",U169)</f>
        <v/>
      </c>
      <c r="W169" s="12" t="str">
        <f t="shared" ref="W169" si="2536">IF(W164="","",V169)</f>
        <v/>
      </c>
      <c r="X169" s="12" t="str">
        <f>IF(X164="","",W169)</f>
        <v/>
      </c>
      <c r="Y169" s="12" t="str">
        <f t="shared" ref="Y169" si="2537">IF(Y164="","",X169)</f>
        <v/>
      </c>
      <c r="Z169" s="12" t="str">
        <f t="shared" ref="Z169" si="2538">IF(Z164="","",Y169)</f>
        <v/>
      </c>
      <c r="AA169" s="12" t="str">
        <f t="shared" ref="AA169" si="2539">IF(AA164="","",Z169)</f>
        <v/>
      </c>
      <c r="AB169" s="12" t="str">
        <f t="shared" ref="AB169" si="2540">IF(AB164="","",AA169)</f>
        <v/>
      </c>
      <c r="AC169" s="12" t="str">
        <f t="shared" ref="AC169" si="2541">IF(AC164="","",AB169)</f>
        <v/>
      </c>
      <c r="AD169" s="12" t="str">
        <f t="shared" ref="AD169" si="2542">IF(AD164="","",AC169)</f>
        <v/>
      </c>
      <c r="AE169" s="12" t="str">
        <f t="shared" ref="AE169" si="2543">IF(AE164="","",AD169)</f>
        <v/>
      </c>
      <c r="AF169" s="12" t="str">
        <f t="shared" ref="AF169" si="2544">IF(AF164="","",AE169)</f>
        <v/>
      </c>
      <c r="AG169" s="12" t="str">
        <f t="shared" ref="AG169" si="2545">IF(AG164="","",AF169)</f>
        <v/>
      </c>
      <c r="AH169" s="12" t="str">
        <f t="shared" ref="AH169" si="2546">IF(AH164="","",AG169)</f>
        <v/>
      </c>
      <c r="AI169" s="12" t="str">
        <f t="shared" ref="AI169" si="2547">IF(AI164="","",AH169)</f>
        <v/>
      </c>
      <c r="AJ169" s="12" t="str">
        <f t="shared" ref="AJ169" si="2548">IF(AJ164="","",AI169)</f>
        <v/>
      </c>
      <c r="AK169" s="12" t="str">
        <f t="shared" ref="AK169" si="2549">IF(AK164="","",AJ169)</f>
        <v/>
      </c>
      <c r="AL169" s="12" t="str">
        <f t="shared" ref="AL169" si="2550">IF(AL164="","",AK169)</f>
        <v/>
      </c>
      <c r="AM169" s="12" t="str">
        <f t="shared" ref="AM169" si="2551">IF(AM164="","",AL169)</f>
        <v/>
      </c>
      <c r="AN169" s="12" t="str">
        <f t="shared" ref="AN169" si="2552">IF(AN164="","",AM169)</f>
        <v/>
      </c>
      <c r="AO169" s="12" t="str">
        <f t="shared" ref="AO169" si="2553">IF(AO164="","",AN169)</f>
        <v/>
      </c>
      <c r="AP169" s="12" t="str">
        <f t="shared" ref="AP169:AS169" si="2554">IF(AP164="","",AO169)</f>
        <v/>
      </c>
      <c r="AQ169" s="12" t="str">
        <f t="shared" si="2554"/>
        <v/>
      </c>
      <c r="AR169" s="12" t="str">
        <f t="shared" si="2554"/>
        <v/>
      </c>
      <c r="AS169" s="12" t="str">
        <f t="shared" si="2554"/>
        <v/>
      </c>
    </row>
    <row r="170" spans="1:45" x14ac:dyDescent="0.15">
      <c r="A170" s="7">
        <f>AVERAGE(C171:AS171)*30*100</f>
        <v>42818.181818181816</v>
      </c>
      <c r="B170" s="9" t="s">
        <v>12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</row>
    <row r="171" spans="1:45" x14ac:dyDescent="0.15">
      <c r="A171" s="7">
        <f>SUM(C171:AS171)</f>
        <v>157</v>
      </c>
      <c r="B171" s="6" t="s">
        <v>13</v>
      </c>
      <c r="C171" s="5">
        <v>0</v>
      </c>
      <c r="D171" s="5">
        <v>0</v>
      </c>
      <c r="E171" s="5">
        <v>0</v>
      </c>
      <c r="F171" s="5">
        <v>93</v>
      </c>
      <c r="G171" s="5">
        <v>0</v>
      </c>
      <c r="H171" s="5">
        <v>0</v>
      </c>
      <c r="I171" s="5">
        <v>0</v>
      </c>
      <c r="J171" s="5">
        <v>32</v>
      </c>
      <c r="K171" s="5">
        <f t="shared" ref="K171:K172" si="2555">IF(K164="","",K164-J164)</f>
        <v>0</v>
      </c>
      <c r="L171" s="5">
        <f t="shared" ref="L171:L172" si="2556">IF(L164="","",L164-K164)</f>
        <v>0</v>
      </c>
      <c r="M171" s="5">
        <f t="shared" ref="M171:M172" si="2557">IF(M164="","",M164-L164)</f>
        <v>32</v>
      </c>
      <c r="N171" s="5" t="str">
        <f t="shared" ref="N171:N172" si="2558">IF(N164="","",N164-M164)</f>
        <v/>
      </c>
      <c r="O171" s="5" t="str">
        <f t="shared" ref="O171:O172" si="2559">IF(O164="","",O164-N164)</f>
        <v/>
      </c>
      <c r="P171" s="5" t="str">
        <f t="shared" ref="P171:P172" si="2560">IF(P164="","",P164-O164)</f>
        <v/>
      </c>
      <c r="Q171" s="5" t="str">
        <f t="shared" ref="Q171:Q172" si="2561">IF(Q164="","",Q164-P164)</f>
        <v/>
      </c>
      <c r="R171" s="5" t="str">
        <f t="shared" ref="R171:R172" si="2562">IF(R164="","",R164-Q164)</f>
        <v/>
      </c>
      <c r="S171" s="5" t="str">
        <f t="shared" ref="S171:S172" si="2563">IF(S164="","",S164-R164)</f>
        <v/>
      </c>
      <c r="T171" s="5" t="str">
        <f t="shared" ref="T171:T172" si="2564">IF(T164="","",T164-S164)</f>
        <v/>
      </c>
      <c r="U171" s="5" t="str">
        <f t="shared" ref="U171:U172" si="2565">IF(U164="","",U164-T164)</f>
        <v/>
      </c>
      <c r="V171" s="5" t="str">
        <f t="shared" ref="V171:V172" si="2566">IF(V164="","",V164-U164)</f>
        <v/>
      </c>
      <c r="W171" s="5" t="str">
        <f t="shared" ref="W171:W172" si="2567">IF(W164="","",W164-V164)</f>
        <v/>
      </c>
      <c r="X171" s="5" t="str">
        <f t="shared" ref="X171:X172" si="2568">IF(X164="","",X164-W164)</f>
        <v/>
      </c>
      <c r="Y171" s="5" t="str">
        <f t="shared" ref="Y171:Y172" si="2569">IF(Y164="","",Y164-X164)</f>
        <v/>
      </c>
      <c r="Z171" s="5" t="str">
        <f t="shared" ref="Z171:Z172" si="2570">IF(Z164="","",Z164-Y164)</f>
        <v/>
      </c>
      <c r="AA171" s="5" t="str">
        <f t="shared" ref="AA171:AA172" si="2571">IF(AA164="","",AA164-Z164)</f>
        <v/>
      </c>
      <c r="AB171" s="5" t="str">
        <f t="shared" ref="AB171:AB172" si="2572">IF(AB164="","",AB164-AA164)</f>
        <v/>
      </c>
      <c r="AC171" s="5" t="str">
        <f t="shared" ref="AC171:AC172" si="2573">IF(AC164="","",AC164-AB164)</f>
        <v/>
      </c>
      <c r="AD171" s="5" t="str">
        <f t="shared" ref="AD171:AD172" si="2574">IF(AD164="","",AD164-AC164)</f>
        <v/>
      </c>
      <c r="AE171" s="5" t="str">
        <f t="shared" ref="AE171:AE172" si="2575">IF(AE164="","",AE164-AD164)</f>
        <v/>
      </c>
      <c r="AF171" s="5" t="str">
        <f t="shared" ref="AF171:AF172" si="2576">IF(AF164="","",AF164-AE164)</f>
        <v/>
      </c>
      <c r="AG171" s="5" t="str">
        <f t="shared" ref="AG171:AG172" si="2577">IF(AG164="","",AG164-AF164)</f>
        <v/>
      </c>
      <c r="AH171" s="5" t="str">
        <f t="shared" ref="AH171:AH172" si="2578">IF(AH164="","",AH164-AG164)</f>
        <v/>
      </c>
      <c r="AI171" s="5" t="str">
        <f t="shared" ref="AI171:AI172" si="2579">IF(AI164="","",AI164-AH164)</f>
        <v/>
      </c>
      <c r="AJ171" s="5" t="str">
        <f t="shared" ref="AJ171:AJ172" si="2580">IF(AJ164="","",AJ164-AI164)</f>
        <v/>
      </c>
      <c r="AK171" s="5" t="str">
        <f t="shared" ref="AK171:AK172" si="2581">IF(AK164="","",AK164-AJ164)</f>
        <v/>
      </c>
      <c r="AL171" s="5" t="str">
        <f t="shared" ref="AL171:AL172" si="2582">IF(AL164="","",AL164-AK164)</f>
        <v/>
      </c>
      <c r="AM171" s="5" t="str">
        <f t="shared" ref="AM171:AM172" si="2583">IF(AM164="","",AM164-AL164)</f>
        <v/>
      </c>
      <c r="AN171" s="5" t="str">
        <f t="shared" ref="AN171:AN172" si="2584">IF(AN164="","",AN164-AM164)</f>
        <v/>
      </c>
      <c r="AO171" s="5" t="str">
        <f t="shared" ref="AO171:AO172" si="2585">IF(AO164="","",AO164-AN164)</f>
        <v/>
      </c>
      <c r="AP171" s="5" t="str">
        <f t="shared" ref="AP171:AS171" si="2586">IF(AP164="","",AP164-AO164)</f>
        <v/>
      </c>
      <c r="AQ171" s="5" t="str">
        <f t="shared" si="2586"/>
        <v/>
      </c>
      <c r="AR171" s="5" t="str">
        <f t="shared" si="2586"/>
        <v/>
      </c>
      <c r="AS171" s="5" t="str">
        <f t="shared" si="2586"/>
        <v/>
      </c>
    </row>
    <row r="172" spans="1:45" x14ac:dyDescent="0.15">
      <c r="A172" s="7">
        <f>SUM(C172:AS172)</f>
        <v>3</v>
      </c>
      <c r="B172" s="6" t="s">
        <v>14</v>
      </c>
      <c r="C172" s="5">
        <v>0</v>
      </c>
      <c r="D172" s="5">
        <v>0</v>
      </c>
      <c r="E172" s="5">
        <v>0</v>
      </c>
      <c r="F172" s="5">
        <v>1</v>
      </c>
      <c r="G172" s="5">
        <v>0</v>
      </c>
      <c r="H172" s="5">
        <v>0</v>
      </c>
      <c r="I172" s="5">
        <v>0</v>
      </c>
      <c r="J172" s="5">
        <v>1</v>
      </c>
      <c r="K172" s="5">
        <f t="shared" si="2555"/>
        <v>0</v>
      </c>
      <c r="L172" s="5">
        <f t="shared" si="2556"/>
        <v>0</v>
      </c>
      <c r="M172" s="5">
        <f t="shared" si="2557"/>
        <v>1</v>
      </c>
      <c r="N172" s="5" t="str">
        <f t="shared" si="2558"/>
        <v/>
      </c>
      <c r="O172" s="5" t="str">
        <f t="shared" si="2559"/>
        <v/>
      </c>
      <c r="P172" s="5" t="str">
        <f t="shared" si="2560"/>
        <v/>
      </c>
      <c r="Q172" s="5" t="str">
        <f t="shared" si="2561"/>
        <v/>
      </c>
      <c r="R172" s="5" t="str">
        <f t="shared" si="2562"/>
        <v/>
      </c>
      <c r="S172" s="5" t="str">
        <f t="shared" si="2563"/>
        <v/>
      </c>
      <c r="T172" s="5" t="str">
        <f t="shared" si="2564"/>
        <v/>
      </c>
      <c r="U172" s="5" t="str">
        <f t="shared" si="2565"/>
        <v/>
      </c>
      <c r="V172" s="5" t="str">
        <f t="shared" si="2566"/>
        <v/>
      </c>
      <c r="W172" s="5" t="str">
        <f t="shared" si="2567"/>
        <v/>
      </c>
      <c r="X172" s="5" t="str">
        <f t="shared" si="2568"/>
        <v/>
      </c>
      <c r="Y172" s="5" t="str">
        <f t="shared" si="2569"/>
        <v/>
      </c>
      <c r="Z172" s="5" t="str">
        <f t="shared" si="2570"/>
        <v/>
      </c>
      <c r="AA172" s="5" t="str">
        <f t="shared" si="2571"/>
        <v/>
      </c>
      <c r="AB172" s="5" t="str">
        <f t="shared" si="2572"/>
        <v/>
      </c>
      <c r="AC172" s="5" t="str">
        <f t="shared" si="2573"/>
        <v/>
      </c>
      <c r="AD172" s="5" t="str">
        <f t="shared" si="2574"/>
        <v/>
      </c>
      <c r="AE172" s="5" t="str">
        <f t="shared" si="2575"/>
        <v/>
      </c>
      <c r="AF172" s="5" t="str">
        <f t="shared" si="2576"/>
        <v/>
      </c>
      <c r="AG172" s="5" t="str">
        <f t="shared" si="2577"/>
        <v/>
      </c>
      <c r="AH172" s="5" t="str">
        <f t="shared" si="2578"/>
        <v/>
      </c>
      <c r="AI172" s="5" t="str">
        <f t="shared" si="2579"/>
        <v/>
      </c>
      <c r="AJ172" s="5" t="str">
        <f t="shared" si="2580"/>
        <v/>
      </c>
      <c r="AK172" s="5" t="str">
        <f t="shared" si="2581"/>
        <v/>
      </c>
      <c r="AL172" s="5" t="str">
        <f t="shared" si="2582"/>
        <v/>
      </c>
      <c r="AM172" s="5" t="str">
        <f t="shared" si="2583"/>
        <v/>
      </c>
      <c r="AN172" s="5" t="str">
        <f t="shared" si="2584"/>
        <v/>
      </c>
      <c r="AO172" s="5" t="str">
        <f t="shared" si="2585"/>
        <v/>
      </c>
      <c r="AP172" s="5" t="str">
        <f t="shared" ref="AP172:AS172" si="2587">IF(AP165="","",AP165-AO165)</f>
        <v/>
      </c>
      <c r="AQ172" s="5" t="str">
        <f t="shared" si="2587"/>
        <v/>
      </c>
      <c r="AR172" s="5" t="str">
        <f t="shared" si="2587"/>
        <v/>
      </c>
      <c r="AS172" s="5" t="str">
        <f t="shared" si="2587"/>
        <v/>
      </c>
    </row>
    <row r="173" spans="1:45" x14ac:dyDescent="0.15">
      <c r="A173" s="7">
        <f>SUM(C173:AS173)</f>
        <v>3</v>
      </c>
      <c r="B173" s="6" t="s">
        <v>15</v>
      </c>
      <c r="C173" s="5">
        <v>0</v>
      </c>
      <c r="D173" s="5">
        <v>0</v>
      </c>
      <c r="E173" s="5">
        <v>0</v>
      </c>
      <c r="F173" s="5">
        <v>1</v>
      </c>
      <c r="G173" s="5">
        <v>0</v>
      </c>
      <c r="H173" s="5">
        <v>0</v>
      </c>
      <c r="I173" s="5">
        <v>0</v>
      </c>
      <c r="J173" s="5">
        <v>1</v>
      </c>
      <c r="K173" s="5">
        <f t="shared" ref="K173" si="2588">IF(K166="","",J166+J167-K166)</f>
        <v>0</v>
      </c>
      <c r="L173" s="5">
        <f t="shared" ref="L173" si="2589">IF(L166="","",K166+K167-L166)</f>
        <v>0</v>
      </c>
      <c r="M173" s="5">
        <f t="shared" ref="M173" si="2590">IF(M166="","",L166+L167-M166)</f>
        <v>1</v>
      </c>
      <c r="N173" s="5" t="str">
        <f t="shared" ref="N173" si="2591">IF(N166="","",M166+M167-N166)</f>
        <v/>
      </c>
      <c r="O173" s="5" t="str">
        <f t="shared" ref="O173" si="2592">IF(O166="","",N166+N167-O166)</f>
        <v/>
      </c>
      <c r="P173" s="5" t="str">
        <f t="shared" ref="P173" si="2593">IF(P166="","",O166+O167-P166)</f>
        <v/>
      </c>
      <c r="Q173" s="5" t="str">
        <f t="shared" ref="Q173" si="2594">IF(Q166="","",P166+P167-Q166)</f>
        <v/>
      </c>
      <c r="R173" s="5" t="str">
        <f t="shared" ref="R173" si="2595">IF(R166="","",Q166+Q167-R166)</f>
        <v/>
      </c>
      <c r="S173" s="5" t="str">
        <f t="shared" ref="S173" si="2596">IF(S166="","",R166+R167-S166)</f>
        <v/>
      </c>
      <c r="T173" s="5" t="str">
        <f t="shared" ref="T173" si="2597">IF(T166="","",S166+S167-T166)</f>
        <v/>
      </c>
      <c r="U173" s="5" t="str">
        <f t="shared" ref="U173" si="2598">IF(U166="","",T166+T167-U166)</f>
        <v/>
      </c>
      <c r="V173" s="5" t="str">
        <f t="shared" ref="V173" si="2599">IF(V166="","",U166+U167-V166)</f>
        <v/>
      </c>
      <c r="W173" s="5" t="str">
        <f t="shared" ref="W173" si="2600">IF(W166="","",V166+V167-W166)</f>
        <v/>
      </c>
      <c r="X173" s="5" t="str">
        <f t="shared" ref="X173" si="2601">IF(X166="","",W166+W167-X166)</f>
        <v/>
      </c>
      <c r="Y173" s="5" t="str">
        <f t="shared" ref="Y173" si="2602">IF(Y166="","",X166+X167-Y166)</f>
        <v/>
      </c>
      <c r="Z173" s="5" t="str">
        <f t="shared" ref="Z173" si="2603">IF(Z166="","",Y166+Y167-Z166)</f>
        <v/>
      </c>
      <c r="AA173" s="5" t="str">
        <f t="shared" ref="AA173" si="2604">IF(AA166="","",Z166+Z167-AA166)</f>
        <v/>
      </c>
      <c r="AB173" s="5" t="str">
        <f t="shared" ref="AB173" si="2605">IF(AB166="","",AA166+AA167-AB166)</f>
        <v/>
      </c>
      <c r="AC173" s="5" t="str">
        <f t="shared" ref="AC173" si="2606">IF(AC166="","",AB166+AB167-AC166)</f>
        <v/>
      </c>
      <c r="AD173" s="5" t="str">
        <f t="shared" ref="AD173" si="2607">IF(AD166="","",AC166+AC167-AD166)</f>
        <v/>
      </c>
      <c r="AE173" s="5" t="str">
        <f t="shared" ref="AE173" si="2608">IF(AE166="","",AD166+AD167-AE166)</f>
        <v/>
      </c>
      <c r="AF173" s="5" t="str">
        <f t="shared" ref="AF173" si="2609">IF(AF166="","",AE166+AE167-AF166)</f>
        <v/>
      </c>
      <c r="AG173" s="5" t="str">
        <f t="shared" ref="AG173" si="2610">IF(AG166="","",AF166+AF167-AG166)</f>
        <v/>
      </c>
      <c r="AH173" s="5" t="str">
        <f t="shared" ref="AH173" si="2611">IF(AH166="","",AG166+AG167-AH166)</f>
        <v/>
      </c>
      <c r="AI173" s="5" t="str">
        <f t="shared" ref="AI173" si="2612">IF(AI166="","",AH166+AH167-AI166)</f>
        <v/>
      </c>
      <c r="AJ173" s="5" t="str">
        <f t="shared" ref="AJ173" si="2613">IF(AJ166="","",AI166+AI167-AJ166)</f>
        <v/>
      </c>
      <c r="AK173" s="5" t="str">
        <f t="shared" ref="AK173" si="2614">IF(AK166="","",AJ166+AJ167-AK166)</f>
        <v/>
      </c>
      <c r="AL173" s="5" t="str">
        <f t="shared" ref="AL173" si="2615">IF(AL166="","",AK166+AK167-AL166)</f>
        <v/>
      </c>
      <c r="AM173" s="5" t="str">
        <f t="shared" ref="AM173" si="2616">IF(AM166="","",AL166+AL167-AM166)</f>
        <v/>
      </c>
      <c r="AN173" s="5" t="str">
        <f t="shared" ref="AN173" si="2617">IF(AN166="","",AM166+AM167-AN166)</f>
        <v/>
      </c>
      <c r="AO173" s="5" t="str">
        <f t="shared" ref="AO173" si="2618">IF(AO166="","",AN166+AN167-AO166)</f>
        <v/>
      </c>
      <c r="AP173" s="5" t="str">
        <f t="shared" ref="AP173:AS173" si="2619">IF(AP166="","",AO166+AO167-AP166)</f>
        <v/>
      </c>
      <c r="AQ173" s="5" t="str">
        <f t="shared" si="2619"/>
        <v/>
      </c>
      <c r="AR173" s="5" t="str">
        <f t="shared" si="2619"/>
        <v/>
      </c>
      <c r="AS173" s="5" t="str">
        <f t="shared" si="2619"/>
        <v/>
      </c>
    </row>
    <row r="174" spans="1:45" x14ac:dyDescent="0.15">
      <c r="A174" s="7">
        <f>SUM(C174:AS174)</f>
        <v>1050</v>
      </c>
      <c r="B174" s="6" t="s">
        <v>16</v>
      </c>
      <c r="C174" s="5">
        <v>0</v>
      </c>
      <c r="D174" s="5">
        <v>0</v>
      </c>
      <c r="E174" s="5">
        <v>0</v>
      </c>
      <c r="F174" s="5">
        <v>350</v>
      </c>
      <c r="G174" s="5">
        <v>0</v>
      </c>
      <c r="H174" s="5">
        <v>0</v>
      </c>
      <c r="I174" s="5">
        <v>0</v>
      </c>
      <c r="J174" s="5">
        <v>350</v>
      </c>
      <c r="K174" s="5">
        <f t="shared" ref="I174:AO174" si="2620">IF(K164="","",K173*K168)</f>
        <v>0</v>
      </c>
      <c r="L174" s="5">
        <f t="shared" si="2620"/>
        <v>0</v>
      </c>
      <c r="M174" s="5">
        <f t="shared" si="2620"/>
        <v>350</v>
      </c>
      <c r="N174" s="5" t="str">
        <f t="shared" si="2620"/>
        <v/>
      </c>
      <c r="O174" s="5" t="str">
        <f t="shared" si="2620"/>
        <v/>
      </c>
      <c r="P174" s="5" t="str">
        <f t="shared" si="2620"/>
        <v/>
      </c>
      <c r="Q174" s="5" t="str">
        <f t="shared" si="2620"/>
        <v/>
      </c>
      <c r="R174" s="5" t="str">
        <f t="shared" si="2620"/>
        <v/>
      </c>
      <c r="S174" s="5" t="str">
        <f t="shared" si="2620"/>
        <v/>
      </c>
      <c r="T174" s="5" t="str">
        <f t="shared" si="2620"/>
        <v/>
      </c>
      <c r="U174" s="5" t="str">
        <f t="shared" si="2620"/>
        <v/>
      </c>
      <c r="V174" s="5" t="str">
        <f t="shared" si="2620"/>
        <v/>
      </c>
      <c r="W174" s="5" t="str">
        <f t="shared" si="2620"/>
        <v/>
      </c>
      <c r="X174" s="5" t="str">
        <f t="shared" si="2620"/>
        <v/>
      </c>
      <c r="Y174" s="5" t="str">
        <f t="shared" si="2620"/>
        <v/>
      </c>
      <c r="Z174" s="5" t="str">
        <f t="shared" si="2620"/>
        <v/>
      </c>
      <c r="AA174" s="5" t="str">
        <f t="shared" si="2620"/>
        <v/>
      </c>
      <c r="AB174" s="5" t="str">
        <f t="shared" si="2620"/>
        <v/>
      </c>
      <c r="AC174" s="5" t="str">
        <f t="shared" si="2620"/>
        <v/>
      </c>
      <c r="AD174" s="5" t="str">
        <f t="shared" si="2620"/>
        <v/>
      </c>
      <c r="AE174" s="5" t="str">
        <f t="shared" si="2620"/>
        <v/>
      </c>
      <c r="AF174" s="5" t="str">
        <f t="shared" si="2620"/>
        <v/>
      </c>
      <c r="AG174" s="5" t="str">
        <f t="shared" si="2620"/>
        <v/>
      </c>
      <c r="AH174" s="5" t="str">
        <f t="shared" si="2620"/>
        <v/>
      </c>
      <c r="AI174" s="5" t="str">
        <f t="shared" si="2620"/>
        <v/>
      </c>
      <c r="AJ174" s="5" t="str">
        <f t="shared" si="2620"/>
        <v/>
      </c>
      <c r="AK174" s="5" t="str">
        <f t="shared" si="2620"/>
        <v/>
      </c>
      <c r="AL174" s="5" t="str">
        <f t="shared" si="2620"/>
        <v/>
      </c>
      <c r="AM174" s="5" t="str">
        <f t="shared" si="2620"/>
        <v/>
      </c>
      <c r="AN174" s="5" t="str">
        <f t="shared" si="2620"/>
        <v/>
      </c>
      <c r="AO174" s="5" t="str">
        <f t="shared" si="2620"/>
        <v/>
      </c>
      <c r="AP174" s="5" t="str">
        <f t="shared" ref="AP174:AS174" si="2621">IF(AP164="","",AP173*AP168)</f>
        <v/>
      </c>
      <c r="AQ174" s="5" t="str">
        <f t="shared" si="2621"/>
        <v/>
      </c>
      <c r="AR174" s="5" t="str">
        <f t="shared" si="2621"/>
        <v/>
      </c>
      <c r="AS174" s="5" t="str">
        <f t="shared" si="2621"/>
        <v/>
      </c>
    </row>
    <row r="175" spans="1:45" ht="12" thickBot="1" x14ac:dyDescent="0.2">
      <c r="A175" s="4">
        <f>IF(A174="","",A174/(A171*100))</f>
        <v>6.6878980891719744E-2</v>
      </c>
      <c r="B175" s="6" t="s">
        <v>18</v>
      </c>
      <c r="C175" s="18" t="s">
        <v>19</v>
      </c>
      <c r="D175" s="18" t="s">
        <v>19</v>
      </c>
      <c r="E175" s="18" t="s">
        <v>19</v>
      </c>
      <c r="F175" s="18">
        <v>3.7634408602150539E-2</v>
      </c>
      <c r="G175" s="18" t="s">
        <v>19</v>
      </c>
      <c r="H175" s="18" t="s">
        <v>19</v>
      </c>
      <c r="I175" s="18" t="s">
        <v>19</v>
      </c>
      <c r="J175" s="18">
        <v>0.109375</v>
      </c>
      <c r="K175" s="18" t="str">
        <f t="shared" ref="I175:AO175" si="2622">IF(K174="","",IF(K174=0,"",K174/(K171*100)))</f>
        <v/>
      </c>
      <c r="L175" s="18" t="str">
        <f t="shared" si="2622"/>
        <v/>
      </c>
      <c r="M175" s="18">
        <f t="shared" si="2622"/>
        <v>0.109375</v>
      </c>
      <c r="N175" s="18" t="str">
        <f t="shared" si="2622"/>
        <v/>
      </c>
      <c r="O175" s="18" t="str">
        <f t="shared" si="2622"/>
        <v/>
      </c>
      <c r="P175" s="18" t="str">
        <f t="shared" si="2622"/>
        <v/>
      </c>
      <c r="Q175" s="18" t="str">
        <f t="shared" si="2622"/>
        <v/>
      </c>
      <c r="R175" s="18" t="str">
        <f t="shared" si="2622"/>
        <v/>
      </c>
      <c r="S175" s="18" t="str">
        <f t="shared" si="2622"/>
        <v/>
      </c>
      <c r="T175" s="18" t="str">
        <f t="shared" si="2622"/>
        <v/>
      </c>
      <c r="U175" s="18" t="str">
        <f t="shared" si="2622"/>
        <v/>
      </c>
      <c r="V175" s="18" t="str">
        <f t="shared" si="2622"/>
        <v/>
      </c>
      <c r="W175" s="18" t="str">
        <f t="shared" si="2622"/>
        <v/>
      </c>
      <c r="X175" s="18" t="str">
        <f t="shared" si="2622"/>
        <v/>
      </c>
      <c r="Y175" s="18" t="str">
        <f t="shared" si="2622"/>
        <v/>
      </c>
      <c r="Z175" s="18" t="str">
        <f t="shared" si="2622"/>
        <v/>
      </c>
      <c r="AA175" s="18" t="str">
        <f t="shared" si="2622"/>
        <v/>
      </c>
      <c r="AB175" s="18" t="str">
        <f t="shared" si="2622"/>
        <v/>
      </c>
      <c r="AC175" s="18" t="str">
        <f t="shared" si="2622"/>
        <v/>
      </c>
      <c r="AD175" s="18" t="str">
        <f t="shared" si="2622"/>
        <v/>
      </c>
      <c r="AE175" s="18" t="str">
        <f t="shared" si="2622"/>
        <v/>
      </c>
      <c r="AF175" s="18" t="str">
        <f t="shared" si="2622"/>
        <v/>
      </c>
      <c r="AG175" s="18" t="str">
        <f t="shared" si="2622"/>
        <v/>
      </c>
      <c r="AH175" s="18" t="str">
        <f t="shared" si="2622"/>
        <v/>
      </c>
      <c r="AI175" s="18" t="str">
        <f t="shared" si="2622"/>
        <v/>
      </c>
      <c r="AJ175" s="18" t="str">
        <f t="shared" si="2622"/>
        <v/>
      </c>
      <c r="AK175" s="18" t="str">
        <f t="shared" si="2622"/>
        <v/>
      </c>
      <c r="AL175" s="18" t="str">
        <f t="shared" si="2622"/>
        <v/>
      </c>
      <c r="AM175" s="18" t="str">
        <f t="shared" si="2622"/>
        <v/>
      </c>
      <c r="AN175" s="18" t="str">
        <f t="shared" si="2622"/>
        <v/>
      </c>
      <c r="AO175" s="18" t="str">
        <f t="shared" si="2622"/>
        <v/>
      </c>
      <c r="AP175" s="18" t="str">
        <f t="shared" ref="AP175:AS175" si="2623">IF(AP174="","",IF(AP174=0,"",AP174/(AP171*100)))</f>
        <v/>
      </c>
      <c r="AQ175" s="18" t="str">
        <f t="shared" si="2623"/>
        <v/>
      </c>
      <c r="AR175" s="18" t="str">
        <f t="shared" si="2623"/>
        <v/>
      </c>
      <c r="AS175" s="18" t="str">
        <f t="shared" si="2623"/>
        <v/>
      </c>
    </row>
    <row r="176" spans="1:45" x14ac:dyDescent="0.15">
      <c r="A176" s="17" t="s">
        <v>59</v>
      </c>
      <c r="B176" s="9" t="s">
        <v>2</v>
      </c>
      <c r="C176" s="8">
        <v>21282</v>
      </c>
      <c r="D176" s="8">
        <v>21282</v>
      </c>
      <c r="E176" s="8">
        <v>21282</v>
      </c>
      <c r="F176" s="8">
        <v>21373</v>
      </c>
      <c r="G176" s="8">
        <v>21373</v>
      </c>
      <c r="H176" s="8">
        <v>21373</v>
      </c>
      <c r="I176" s="8">
        <v>21373</v>
      </c>
      <c r="J176" s="8">
        <v>21445</v>
      </c>
      <c r="K176" s="8">
        <f t="shared" ref="K176:K177" si="2624">IF(K$8="","",J176)</f>
        <v>21445</v>
      </c>
      <c r="L176" s="8">
        <f t="shared" ref="L176:L177" si="2625">IF(L$8="","",K176)</f>
        <v>21445</v>
      </c>
      <c r="M176" s="8">
        <v>21508</v>
      </c>
      <c r="N176" s="8" t="str">
        <f t="shared" ref="N176:N177" si="2626">IF(N$8="","",M176)</f>
        <v/>
      </c>
      <c r="O176" s="8" t="str">
        <f t="shared" ref="O176:O177" si="2627">IF(O$8="","",N176)</f>
        <v/>
      </c>
      <c r="P176" s="8" t="str">
        <f t="shared" ref="P176:P177" si="2628">IF(P$8="","",O176)</f>
        <v/>
      </c>
      <c r="Q176" s="8" t="str">
        <f>IF(Q$8="","",P176)</f>
        <v/>
      </c>
      <c r="R176" s="8" t="str">
        <f t="shared" ref="R176:R177" si="2629">IF(R$8="","",Q176)</f>
        <v/>
      </c>
      <c r="S176" s="8" t="str">
        <f t="shared" ref="S176:S177" si="2630">IF(S$8="","",R176)</f>
        <v/>
      </c>
      <c r="T176" s="8" t="str">
        <f>IF(T$8="","",S176)</f>
        <v/>
      </c>
      <c r="U176" s="8" t="str">
        <f t="shared" ref="U176:U177" si="2631">IF(U$8="","",T176)</f>
        <v/>
      </c>
      <c r="V176" s="8" t="str">
        <f t="shared" ref="V176:V177" si="2632">IF(V$8="","",U176)</f>
        <v/>
      </c>
      <c r="W176" s="8" t="str">
        <f t="shared" ref="W176:W177" si="2633">IF(W$8="","",V176)</f>
        <v/>
      </c>
      <c r="X176" s="8" t="str">
        <f>IF(X$8="","",W176)</f>
        <v/>
      </c>
      <c r="Y176" s="8" t="str">
        <f t="shared" ref="Y176:Y177" si="2634">IF(Y$8="","",X176)</f>
        <v/>
      </c>
      <c r="Z176" s="8" t="str">
        <f t="shared" ref="Z176:Z177" si="2635">IF(Z$8="","",Y176)</f>
        <v/>
      </c>
      <c r="AA176" s="8" t="str">
        <f>IF(AA$8="","",Z176)</f>
        <v/>
      </c>
      <c r="AB176" s="8" t="str">
        <f t="shared" ref="AB176:AB177" si="2636">IF(AB$8="","",AA176)</f>
        <v/>
      </c>
      <c r="AC176" s="8" t="str">
        <f t="shared" ref="AC176:AC177" si="2637">IF(AC$8="","",AB176)</f>
        <v/>
      </c>
      <c r="AD176" s="8" t="str">
        <f>IF(AD$8="","",AC176)</f>
        <v/>
      </c>
      <c r="AE176" s="8" t="str">
        <f t="shared" ref="AE176:AE177" si="2638">IF(AE$8="","",AD176)</f>
        <v/>
      </c>
      <c r="AF176" s="8" t="str">
        <f t="shared" ref="AF176:AF177" si="2639">IF(AF$8="","",AE176)</f>
        <v/>
      </c>
      <c r="AG176" s="8" t="str">
        <f t="shared" ref="AG176:AG177" si="2640">IF(AG$8="","",AF176)</f>
        <v/>
      </c>
      <c r="AH176" s="8" t="str">
        <f>IF(AH$8="","",AG176)</f>
        <v/>
      </c>
      <c r="AI176" s="8" t="str">
        <f t="shared" ref="AI176:AI177" si="2641">IF(AI$8="","",AH176)</f>
        <v/>
      </c>
      <c r="AJ176" s="8" t="str">
        <f t="shared" ref="AJ176:AJ177" si="2642">IF(AJ$8="","",AI176)</f>
        <v/>
      </c>
      <c r="AK176" s="8" t="str">
        <f t="shared" ref="AK176:AK177" si="2643">IF(AK$8="","",AJ176)</f>
        <v/>
      </c>
      <c r="AL176" s="8" t="str">
        <f>IF(AL$8="","",AK176)</f>
        <v/>
      </c>
      <c r="AM176" s="8" t="str">
        <f t="shared" ref="AM176:AM177" si="2644">IF(AM$8="","",AL176)</f>
        <v/>
      </c>
      <c r="AN176" s="8" t="str">
        <f t="shared" ref="AN176:AN177" si="2645">IF(AN$8="","",AM176)</f>
        <v/>
      </c>
      <c r="AO176" s="8" t="str">
        <f t="shared" ref="AO176:AO177" si="2646">IF(AO$8="","",AN176)</f>
        <v/>
      </c>
      <c r="AP176" s="8" t="str">
        <f t="shared" ref="AP176:AS176" si="2647">IF(AP$8="","",AO176)</f>
        <v/>
      </c>
      <c r="AQ176" s="8" t="str">
        <f t="shared" si="2647"/>
        <v/>
      </c>
      <c r="AR176" s="8" t="str">
        <f t="shared" si="2647"/>
        <v/>
      </c>
      <c r="AS176" s="8" t="str">
        <f t="shared" si="2647"/>
        <v/>
      </c>
    </row>
    <row r="177" spans="1:45" x14ac:dyDescent="0.15">
      <c r="A177" s="16" t="s">
        <v>29</v>
      </c>
      <c r="B177" s="9" t="s">
        <v>4</v>
      </c>
      <c r="C177" s="8">
        <v>366</v>
      </c>
      <c r="D177" s="8">
        <v>366</v>
      </c>
      <c r="E177" s="8">
        <v>366</v>
      </c>
      <c r="F177" s="8">
        <v>367</v>
      </c>
      <c r="G177" s="8">
        <v>367</v>
      </c>
      <c r="H177" s="8">
        <v>367</v>
      </c>
      <c r="I177" s="8">
        <v>367</v>
      </c>
      <c r="J177" s="8">
        <v>367</v>
      </c>
      <c r="K177" s="8">
        <f t="shared" si="2624"/>
        <v>367</v>
      </c>
      <c r="L177" s="8">
        <f t="shared" si="2625"/>
        <v>367</v>
      </c>
      <c r="M177" s="8">
        <v>368</v>
      </c>
      <c r="N177" s="8" t="str">
        <f t="shared" si="2626"/>
        <v/>
      </c>
      <c r="O177" s="8" t="str">
        <f t="shared" si="2627"/>
        <v/>
      </c>
      <c r="P177" s="8" t="str">
        <f t="shared" si="2628"/>
        <v/>
      </c>
      <c r="Q177" s="8" t="str">
        <f>IF(Q$8="","",P177)</f>
        <v/>
      </c>
      <c r="R177" s="8" t="str">
        <f t="shared" si="2629"/>
        <v/>
      </c>
      <c r="S177" s="8" t="str">
        <f t="shared" si="2630"/>
        <v/>
      </c>
      <c r="T177" s="8" t="str">
        <f>IF(T$8="","",S177)</f>
        <v/>
      </c>
      <c r="U177" s="8" t="str">
        <f t="shared" si="2631"/>
        <v/>
      </c>
      <c r="V177" s="8" t="str">
        <f t="shared" si="2632"/>
        <v/>
      </c>
      <c r="W177" s="8" t="str">
        <f t="shared" si="2633"/>
        <v/>
      </c>
      <c r="X177" s="8" t="str">
        <f>IF(X$8="","",W177)</f>
        <v/>
      </c>
      <c r="Y177" s="8" t="str">
        <f t="shared" si="2634"/>
        <v/>
      </c>
      <c r="Z177" s="8" t="str">
        <f t="shared" si="2635"/>
        <v/>
      </c>
      <c r="AA177" s="8" t="str">
        <f>IF(AA$8="","",Z177)</f>
        <v/>
      </c>
      <c r="AB177" s="8" t="str">
        <f t="shared" si="2636"/>
        <v/>
      </c>
      <c r="AC177" s="8" t="str">
        <f t="shared" si="2637"/>
        <v/>
      </c>
      <c r="AD177" s="8" t="str">
        <f>IF(AD$8="","",AC177)</f>
        <v/>
      </c>
      <c r="AE177" s="8" t="str">
        <f t="shared" si="2638"/>
        <v/>
      </c>
      <c r="AF177" s="8" t="str">
        <f t="shared" si="2639"/>
        <v/>
      </c>
      <c r="AG177" s="8" t="str">
        <f t="shared" si="2640"/>
        <v/>
      </c>
      <c r="AH177" s="8" t="str">
        <f>IF(AH$8="","",AG177)</f>
        <v/>
      </c>
      <c r="AI177" s="8" t="str">
        <f t="shared" si="2641"/>
        <v/>
      </c>
      <c r="AJ177" s="8" t="str">
        <f t="shared" si="2642"/>
        <v/>
      </c>
      <c r="AK177" s="8" t="str">
        <f t="shared" si="2643"/>
        <v/>
      </c>
      <c r="AL177" s="8" t="str">
        <f t="shared" ref="AL176:AL177" si="2648">IF(AL$8="","",AK177)</f>
        <v/>
      </c>
      <c r="AM177" s="8" t="str">
        <f t="shared" si="2644"/>
        <v/>
      </c>
      <c r="AN177" s="8" t="str">
        <f t="shared" si="2645"/>
        <v/>
      </c>
      <c r="AO177" s="8" t="str">
        <f t="shared" si="2646"/>
        <v/>
      </c>
      <c r="AP177" s="8" t="str">
        <f t="shared" ref="AP177:AS177" si="2649">IF(AP$8="","",AO177)</f>
        <v/>
      </c>
      <c r="AQ177" s="8" t="str">
        <f t="shared" si="2649"/>
        <v/>
      </c>
      <c r="AR177" s="8" t="str">
        <f t="shared" si="2649"/>
        <v/>
      </c>
      <c r="AS177" s="8" t="str">
        <f t="shared" si="2649"/>
        <v/>
      </c>
    </row>
    <row r="178" spans="1:45" x14ac:dyDescent="0.15">
      <c r="A178" s="15">
        <v>4</v>
      </c>
      <c r="B178" s="9" t="s">
        <v>5</v>
      </c>
      <c r="C178" s="8">
        <v>8</v>
      </c>
      <c r="D178" s="8">
        <v>8</v>
      </c>
      <c r="E178" s="8">
        <v>8</v>
      </c>
      <c r="F178" s="8">
        <v>7</v>
      </c>
      <c r="G178" s="8">
        <v>7</v>
      </c>
      <c r="H178" s="8">
        <v>7</v>
      </c>
      <c r="I178" s="8">
        <v>7</v>
      </c>
      <c r="J178" s="8">
        <v>7</v>
      </c>
      <c r="K178" s="8">
        <f t="shared" ref="K178" si="2650">IF(K176="","",(J178+J179))</f>
        <v>7</v>
      </c>
      <c r="L178" s="8">
        <f t="shared" ref="L178" si="2651">IF(L176="","",(K178+K179))</f>
        <v>7</v>
      </c>
      <c r="M178" s="8">
        <v>6</v>
      </c>
      <c r="N178" s="8" t="str">
        <f t="shared" ref="N178" si="2652">IF(N176="","",(M178+M179))</f>
        <v/>
      </c>
      <c r="O178" s="8" t="str">
        <f t="shared" ref="O178" si="2653">IF(O176="","",(N178+N179))</f>
        <v/>
      </c>
      <c r="P178" s="8" t="str">
        <f t="shared" ref="P178" si="2654">IF(P176="","",(O178+O179))</f>
        <v/>
      </c>
      <c r="Q178" s="8" t="str">
        <f>IF(Q176="","",(P178+P179))</f>
        <v/>
      </c>
      <c r="R178" s="8" t="str">
        <f t="shared" ref="R178" si="2655">IF(R176="","",(Q178+Q179))</f>
        <v/>
      </c>
      <c r="S178" s="8" t="str">
        <f t="shared" ref="S178" si="2656">IF(S176="","",(R178+R179))</f>
        <v/>
      </c>
      <c r="T178" s="8" t="str">
        <f>IF(T176="","",(S178+S179))</f>
        <v/>
      </c>
      <c r="U178" s="8" t="str">
        <f t="shared" ref="U178" si="2657">IF(U176="","",(T178+T179))</f>
        <v/>
      </c>
      <c r="V178" s="8" t="str">
        <f t="shared" ref="V178" si="2658">IF(V176="","",(U178+U179))</f>
        <v/>
      </c>
      <c r="W178" s="8" t="str">
        <f t="shared" ref="W178" si="2659">IF(W176="","",(V178+V179))</f>
        <v/>
      </c>
      <c r="X178" s="8" t="str">
        <f t="shared" ref="X178" si="2660">IF(X176="","",(W178+W179))</f>
        <v/>
      </c>
      <c r="Y178" s="8" t="str">
        <f t="shared" ref="Y178" si="2661">IF(Y176="","",(X178+X179))</f>
        <v/>
      </c>
      <c r="Z178" s="8" t="str">
        <f t="shared" ref="Z178" si="2662">IF(Z176="","",(Y178+Y179))</f>
        <v/>
      </c>
      <c r="AA178" s="8" t="str">
        <f>IF(AA176="","",(Z178+Z179))</f>
        <v/>
      </c>
      <c r="AB178" s="8" t="str">
        <f t="shared" ref="AB178" si="2663">IF(AB176="","",(AA178+AA179))</f>
        <v/>
      </c>
      <c r="AC178" s="8" t="str">
        <f t="shared" ref="AC178" si="2664">IF(AC176="","",(AB178+AB179))</f>
        <v/>
      </c>
      <c r="AD178" s="8" t="str">
        <f>IF(AD176="","",(AC178+AC179))</f>
        <v/>
      </c>
      <c r="AE178" s="8" t="str">
        <f t="shared" ref="AE178" si="2665">IF(AE176="","",(AD178+AD179))</f>
        <v/>
      </c>
      <c r="AF178" s="8" t="str">
        <f t="shared" ref="AF178" si="2666">IF(AF176="","",(AE178+AE179))</f>
        <v/>
      </c>
      <c r="AG178" s="8" t="str">
        <f t="shared" ref="AG178" si="2667">IF(AG176="","",(AF178+AF179))</f>
        <v/>
      </c>
      <c r="AH178" s="8" t="str">
        <f>IF(AH176="","",(AG178+AG179))</f>
        <v/>
      </c>
      <c r="AI178" s="8" t="str">
        <f t="shared" ref="AI178" si="2668">IF(AI176="","",(AH178+AH179))</f>
        <v/>
      </c>
      <c r="AJ178" s="8" t="str">
        <f t="shared" ref="AJ178" si="2669">IF(AJ176="","",(AI178+AI179))</f>
        <v/>
      </c>
      <c r="AK178" s="8" t="str">
        <f t="shared" ref="AK178" si="2670">IF(AK176="","",(AJ178+AJ179))</f>
        <v/>
      </c>
      <c r="AL178" s="8" t="str">
        <f t="shared" ref="AL178" si="2671">IF(AL176="","",(AK178+AK179))</f>
        <v/>
      </c>
      <c r="AM178" s="8" t="str">
        <f t="shared" ref="AM178" si="2672">IF(AM176="","",(AL178+AL179))</f>
        <v/>
      </c>
      <c r="AN178" s="8" t="str">
        <f t="shared" ref="AN178" si="2673">IF(AN176="","",(AM178+AM179))</f>
        <v/>
      </c>
      <c r="AO178" s="8" t="str">
        <f t="shared" ref="AO178" si="2674">IF(AO176="","",(AN178+AN179))</f>
        <v/>
      </c>
      <c r="AP178" s="8" t="str">
        <f t="shared" ref="AP178:AS178" si="2675">IF(AP176="","",(AO178+AO179))</f>
        <v/>
      </c>
      <c r="AQ178" s="8" t="str">
        <f t="shared" si="2675"/>
        <v/>
      </c>
      <c r="AR178" s="8" t="str">
        <f t="shared" si="2675"/>
        <v/>
      </c>
      <c r="AS178" s="8" t="str">
        <f t="shared" si="2675"/>
        <v/>
      </c>
    </row>
    <row r="179" spans="1:45" x14ac:dyDescent="0.15">
      <c r="A179" s="14"/>
      <c r="B179" s="9" t="s">
        <v>7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>
        <v>5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</row>
    <row r="180" spans="1:45" x14ac:dyDescent="0.15">
      <c r="A180" s="7"/>
      <c r="B180" s="9" t="s">
        <v>8</v>
      </c>
      <c r="C180" s="8">
        <v>300</v>
      </c>
      <c r="D180" s="8">
        <v>300</v>
      </c>
      <c r="E180" s="8">
        <v>300</v>
      </c>
      <c r="F180" s="8">
        <v>300</v>
      </c>
      <c r="G180" s="8">
        <v>300</v>
      </c>
      <c r="H180" s="8">
        <v>300</v>
      </c>
      <c r="I180" s="8">
        <v>300</v>
      </c>
      <c r="J180" s="8">
        <v>300</v>
      </c>
      <c r="K180" s="8">
        <f t="shared" ref="K180" si="2676">IF(K176="","",J180)</f>
        <v>300</v>
      </c>
      <c r="L180" s="8">
        <f t="shared" ref="L180" si="2677">IF(L176="","",K180)</f>
        <v>300</v>
      </c>
      <c r="M180" s="8">
        <f t="shared" ref="M180" si="2678">IF(M176="","",L180)</f>
        <v>300</v>
      </c>
      <c r="N180" s="8" t="str">
        <f t="shared" ref="N180" si="2679">IF(N176="","",M180)</f>
        <v/>
      </c>
      <c r="O180" s="8" t="str">
        <f t="shared" ref="O180" si="2680">IF(O176="","",N180)</f>
        <v/>
      </c>
      <c r="P180" s="8" t="str">
        <f t="shared" ref="P180" si="2681">IF(P176="","",O180)</f>
        <v/>
      </c>
      <c r="Q180" s="8" t="str">
        <f t="shared" ref="Q180" si="2682">IF(Q176="","",P180)</f>
        <v/>
      </c>
      <c r="R180" s="8" t="str">
        <f t="shared" ref="R180" si="2683">IF(R176="","",Q180)</f>
        <v/>
      </c>
      <c r="S180" s="8" t="str">
        <f t="shared" ref="S180" si="2684">IF(S176="","",R180)</f>
        <v/>
      </c>
      <c r="T180" s="8" t="str">
        <f t="shared" ref="T180" si="2685">IF(T176="","",S180)</f>
        <v/>
      </c>
      <c r="U180" s="8" t="str">
        <f t="shared" ref="U180" si="2686">IF(U176="","",T180)</f>
        <v/>
      </c>
      <c r="V180" s="8" t="str">
        <f t="shared" ref="V180" si="2687">IF(V176="","",U180)</f>
        <v/>
      </c>
      <c r="W180" s="8" t="str">
        <f t="shared" ref="W180" si="2688">IF(W176="","",V180)</f>
        <v/>
      </c>
      <c r="X180" s="8" t="str">
        <f t="shared" ref="X180" si="2689">IF(X176="","",W180)</f>
        <v/>
      </c>
      <c r="Y180" s="8" t="str">
        <f t="shared" ref="Y180" si="2690">IF(Y176="","",X180)</f>
        <v/>
      </c>
      <c r="Z180" s="8" t="str">
        <f t="shared" ref="Z180" si="2691">IF(Z176="","",Y180)</f>
        <v/>
      </c>
      <c r="AA180" s="8" t="str">
        <f t="shared" ref="AA180" si="2692">IF(AA176="","",Z180)</f>
        <v/>
      </c>
      <c r="AB180" s="8" t="str">
        <f t="shared" ref="AB180" si="2693">IF(AB176="","",AA180)</f>
        <v/>
      </c>
      <c r="AC180" s="8" t="str">
        <f t="shared" ref="AC180" si="2694">IF(AC176="","",AB180)</f>
        <v/>
      </c>
      <c r="AD180" s="8" t="str">
        <f t="shared" ref="AD180" si="2695">IF(AD176="","",AC180)</f>
        <v/>
      </c>
      <c r="AE180" s="8" t="str">
        <f t="shared" ref="AE180" si="2696">IF(AE176="","",AD180)</f>
        <v/>
      </c>
      <c r="AF180" s="8" t="str">
        <f t="shared" ref="AF180" si="2697">IF(AF176="","",AE180)</f>
        <v/>
      </c>
      <c r="AG180" s="8" t="str">
        <f t="shared" ref="AG180" si="2698">IF(AG176="","",AF180)</f>
        <v/>
      </c>
      <c r="AH180" s="8" t="str">
        <f t="shared" ref="AH180" si="2699">IF(AH176="","",AG180)</f>
        <v/>
      </c>
      <c r="AI180" s="8" t="str">
        <f t="shared" ref="AI180" si="2700">IF(AI176="","",AH180)</f>
        <v/>
      </c>
      <c r="AJ180" s="8" t="str">
        <f t="shared" ref="AJ180" si="2701">IF(AJ176="","",AI180)</f>
        <v/>
      </c>
      <c r="AK180" s="8" t="str">
        <f t="shared" ref="AK180" si="2702">IF(AK176="","",AJ180)</f>
        <v/>
      </c>
      <c r="AL180" s="8" t="str">
        <f t="shared" ref="AL180" si="2703">IF(AL176="","",AK180)</f>
        <v/>
      </c>
      <c r="AM180" s="8" t="str">
        <f t="shared" ref="AM180" si="2704">IF(AM176="","",AL180)</f>
        <v/>
      </c>
      <c r="AN180" s="8" t="str">
        <f t="shared" ref="AN180" si="2705">IF(AN176="","",AM180)</f>
        <v/>
      </c>
      <c r="AO180" s="8" t="str">
        <f t="shared" ref="AO180" si="2706">IF(AO176="","",AN180)</f>
        <v/>
      </c>
      <c r="AP180" s="8" t="str">
        <f t="shared" ref="AP180:AS180" si="2707">IF(AP176="","",AO180)</f>
        <v/>
      </c>
      <c r="AQ180" s="8" t="str">
        <f t="shared" si="2707"/>
        <v/>
      </c>
      <c r="AR180" s="8" t="str">
        <f t="shared" si="2707"/>
        <v/>
      </c>
      <c r="AS180" s="8" t="str">
        <f t="shared" si="2707"/>
        <v/>
      </c>
    </row>
    <row r="181" spans="1:45" s="85" customFormat="1" x14ac:dyDescent="0.15">
      <c r="A181" s="14" t="s">
        <v>9</v>
      </c>
      <c r="B181" s="13" t="s">
        <v>10</v>
      </c>
      <c r="C181" s="12" t="s">
        <v>21</v>
      </c>
      <c r="D181" s="12" t="s">
        <v>21</v>
      </c>
      <c r="E181" s="12" t="s">
        <v>21</v>
      </c>
      <c r="F181" s="12" t="s">
        <v>21</v>
      </c>
      <c r="G181" s="12" t="s">
        <v>21</v>
      </c>
      <c r="H181" s="12" t="s">
        <v>21</v>
      </c>
      <c r="I181" s="12" t="s">
        <v>21</v>
      </c>
      <c r="J181" s="12" t="s">
        <v>21</v>
      </c>
      <c r="K181" s="12" t="str">
        <f t="shared" ref="K181" si="2708">IF(K176="","",J181)</f>
        <v>たまごっちマスコット</v>
      </c>
      <c r="L181" s="12" t="str">
        <f t="shared" ref="L181" si="2709">IF(L176="","",K181)</f>
        <v>たまごっちマスコット</v>
      </c>
      <c r="M181" s="12" t="str">
        <f t="shared" ref="M181" si="2710">IF(M176="","",L181)</f>
        <v>たまごっちマスコット</v>
      </c>
      <c r="N181" s="12" t="str">
        <f t="shared" ref="N181" si="2711">IF(N176="","",M181)</f>
        <v/>
      </c>
      <c r="O181" s="12" t="str">
        <f t="shared" ref="O181" si="2712">IF(O176="","",N181)</f>
        <v/>
      </c>
      <c r="P181" s="12" t="str">
        <f t="shared" ref="P181" si="2713">IF(P176="","",O181)</f>
        <v/>
      </c>
      <c r="Q181" s="12" t="str">
        <f t="shared" ref="Q181" si="2714">IF(Q176="","",P181)</f>
        <v/>
      </c>
      <c r="R181" s="12" t="str">
        <f t="shared" ref="R181" si="2715">IF(R176="","",Q181)</f>
        <v/>
      </c>
      <c r="S181" s="12" t="str">
        <f t="shared" ref="S181" si="2716">IF(S176="","",R181)</f>
        <v/>
      </c>
      <c r="T181" s="12" t="str">
        <f t="shared" ref="T181" si="2717">IF(T176="","",S181)</f>
        <v/>
      </c>
      <c r="U181" s="12" t="str">
        <f t="shared" ref="U181" si="2718">IF(U176="","",T181)</f>
        <v/>
      </c>
      <c r="V181" s="12" t="str">
        <f t="shared" ref="V181" si="2719">IF(V176="","",U181)</f>
        <v/>
      </c>
      <c r="W181" s="12" t="str">
        <f t="shared" ref="W181" si="2720">IF(W176="","",V181)</f>
        <v/>
      </c>
      <c r="X181" s="12" t="str">
        <f t="shared" ref="X181" si="2721">IF(X176="","",W181)</f>
        <v/>
      </c>
      <c r="Y181" s="12" t="str">
        <f t="shared" ref="Y181" si="2722">IF(Y176="","",X181)</f>
        <v/>
      </c>
      <c r="Z181" s="12" t="str">
        <f t="shared" ref="Z181" si="2723">IF(Z176="","",Y181)</f>
        <v/>
      </c>
      <c r="AA181" s="12" t="str">
        <f t="shared" ref="AA181" si="2724">IF(AA176="","",Z181)</f>
        <v/>
      </c>
      <c r="AB181" s="12" t="str">
        <f t="shared" ref="AB181" si="2725">IF(AB176="","",AA181)</f>
        <v/>
      </c>
      <c r="AC181" s="12" t="str">
        <f t="shared" ref="AC181" si="2726">IF(AC176="","",AB181)</f>
        <v/>
      </c>
      <c r="AD181" s="12" t="str">
        <f t="shared" ref="AD181" si="2727">IF(AD176="","",AC181)</f>
        <v/>
      </c>
      <c r="AE181" s="12" t="str">
        <f t="shared" ref="AE181" si="2728">IF(AE176="","",AD181)</f>
        <v/>
      </c>
      <c r="AF181" s="12" t="str">
        <f t="shared" ref="AF181" si="2729">IF(AF176="","",AE181)</f>
        <v/>
      </c>
      <c r="AG181" s="12" t="str">
        <f t="shared" ref="AG181" si="2730">IF(AG176="","",AF181)</f>
        <v/>
      </c>
      <c r="AH181" s="12" t="str">
        <f t="shared" ref="AH181" si="2731">IF(AH176="","",AG181)</f>
        <v/>
      </c>
      <c r="AI181" s="12" t="str">
        <f t="shared" ref="AI181" si="2732">IF(AI176="","",AH181)</f>
        <v/>
      </c>
      <c r="AJ181" s="12" t="str">
        <f t="shared" ref="AJ181" si="2733">IF(AJ176="","",AI181)</f>
        <v/>
      </c>
      <c r="AK181" s="12" t="str">
        <f t="shared" ref="AK181" si="2734">IF(AK176="","",AJ181)</f>
        <v/>
      </c>
      <c r="AL181" s="12" t="str">
        <f t="shared" ref="AL181" si="2735">IF(AL176="","",AK181)</f>
        <v/>
      </c>
      <c r="AM181" s="12" t="str">
        <f t="shared" ref="AM181" si="2736">IF(AM176="","",AL181)</f>
        <v/>
      </c>
      <c r="AN181" s="12" t="str">
        <f t="shared" ref="AN181" si="2737">IF(AN176="","",AM181)</f>
        <v/>
      </c>
      <c r="AO181" s="12" t="str">
        <f t="shared" ref="AO181" si="2738">IF(AO176="","",AN181)</f>
        <v/>
      </c>
      <c r="AP181" s="12" t="str">
        <f t="shared" ref="AP181:AS181" si="2739">IF(AP176="","",AO181)</f>
        <v/>
      </c>
      <c r="AQ181" s="12" t="str">
        <f t="shared" si="2739"/>
        <v/>
      </c>
      <c r="AR181" s="12" t="str">
        <f t="shared" si="2739"/>
        <v/>
      </c>
      <c r="AS181" s="12" t="str">
        <f t="shared" si="2739"/>
        <v/>
      </c>
    </row>
    <row r="182" spans="1:45" x14ac:dyDescent="0.15">
      <c r="A182" s="7">
        <f>AVERAGE(C183:AS183)*30*100</f>
        <v>61636.36363636364</v>
      </c>
      <c r="B182" s="9" t="s">
        <v>12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</row>
    <row r="183" spans="1:45" x14ac:dyDescent="0.15">
      <c r="A183" s="7">
        <f>SUM(C183:AS183)</f>
        <v>226</v>
      </c>
      <c r="B183" s="6" t="s">
        <v>13</v>
      </c>
      <c r="C183" s="5">
        <v>0</v>
      </c>
      <c r="D183" s="5">
        <v>0</v>
      </c>
      <c r="E183" s="5">
        <v>0</v>
      </c>
      <c r="F183" s="5">
        <v>91</v>
      </c>
      <c r="G183" s="5">
        <v>0</v>
      </c>
      <c r="H183" s="5">
        <v>0</v>
      </c>
      <c r="I183" s="5">
        <v>0</v>
      </c>
      <c r="J183" s="5">
        <v>72</v>
      </c>
      <c r="K183" s="5">
        <f t="shared" ref="K183:K184" si="2740">IF(K176="","",K176-J176)</f>
        <v>0</v>
      </c>
      <c r="L183" s="5">
        <f t="shared" ref="L183:L184" si="2741">IF(L176="","",L176-K176)</f>
        <v>0</v>
      </c>
      <c r="M183" s="5">
        <f t="shared" ref="M183:M184" si="2742">IF(M176="","",M176-L176)</f>
        <v>63</v>
      </c>
      <c r="N183" s="5" t="str">
        <f t="shared" ref="N183:N184" si="2743">IF(N176="","",N176-M176)</f>
        <v/>
      </c>
      <c r="O183" s="5" t="str">
        <f t="shared" ref="O183:O184" si="2744">IF(O176="","",O176-N176)</f>
        <v/>
      </c>
      <c r="P183" s="5" t="str">
        <f t="shared" ref="P183:P184" si="2745">IF(P176="","",P176-O176)</f>
        <v/>
      </c>
      <c r="Q183" s="5" t="str">
        <f t="shared" ref="Q183:Q184" si="2746">IF(Q176="","",Q176-P176)</f>
        <v/>
      </c>
      <c r="R183" s="5" t="str">
        <f t="shared" ref="R183:R184" si="2747">IF(R176="","",R176-Q176)</f>
        <v/>
      </c>
      <c r="S183" s="5" t="str">
        <f t="shared" ref="S183:S184" si="2748">IF(S176="","",S176-R176)</f>
        <v/>
      </c>
      <c r="T183" s="5" t="str">
        <f t="shared" ref="T183:T184" si="2749">IF(T176="","",T176-S176)</f>
        <v/>
      </c>
      <c r="U183" s="5" t="str">
        <f t="shared" ref="U183:U184" si="2750">IF(U176="","",U176-T176)</f>
        <v/>
      </c>
      <c r="V183" s="5" t="str">
        <f t="shared" ref="V183:V184" si="2751">IF(V176="","",V176-U176)</f>
        <v/>
      </c>
      <c r="W183" s="5" t="str">
        <f t="shared" ref="W183:W184" si="2752">IF(W176="","",W176-V176)</f>
        <v/>
      </c>
      <c r="X183" s="5" t="str">
        <f t="shared" ref="X183:X184" si="2753">IF(X176="","",X176-W176)</f>
        <v/>
      </c>
      <c r="Y183" s="5" t="str">
        <f t="shared" ref="Y183:Y184" si="2754">IF(Y176="","",Y176-X176)</f>
        <v/>
      </c>
      <c r="Z183" s="5" t="str">
        <f t="shared" ref="Z183:Z184" si="2755">IF(Z176="","",Z176-Y176)</f>
        <v/>
      </c>
      <c r="AA183" s="5" t="str">
        <f t="shared" ref="AA183:AA184" si="2756">IF(AA176="","",AA176-Z176)</f>
        <v/>
      </c>
      <c r="AB183" s="5" t="str">
        <f t="shared" ref="AB183:AB184" si="2757">IF(AB176="","",AB176-AA176)</f>
        <v/>
      </c>
      <c r="AC183" s="5" t="str">
        <f t="shared" ref="AC183:AC184" si="2758">IF(AC176="","",AC176-AB176)</f>
        <v/>
      </c>
      <c r="AD183" s="5" t="str">
        <f t="shared" ref="AD183:AD184" si="2759">IF(AD176="","",AD176-AC176)</f>
        <v/>
      </c>
      <c r="AE183" s="5" t="str">
        <f t="shared" ref="AE183:AE184" si="2760">IF(AE176="","",AE176-AD176)</f>
        <v/>
      </c>
      <c r="AF183" s="5" t="str">
        <f t="shared" ref="AF183:AF184" si="2761">IF(AF176="","",AF176-AE176)</f>
        <v/>
      </c>
      <c r="AG183" s="5" t="str">
        <f t="shared" ref="AG183:AG184" si="2762">IF(AG176="","",AG176-AF176)</f>
        <v/>
      </c>
      <c r="AH183" s="5" t="str">
        <f t="shared" ref="AH183:AH184" si="2763">IF(AH176="","",AH176-AG176)</f>
        <v/>
      </c>
      <c r="AI183" s="5" t="str">
        <f t="shared" ref="AI183:AI184" si="2764">IF(AI176="","",AI176-AH176)</f>
        <v/>
      </c>
      <c r="AJ183" s="5" t="str">
        <f t="shared" ref="AJ183:AJ184" si="2765">IF(AJ176="","",AJ176-AI176)</f>
        <v/>
      </c>
      <c r="AK183" s="5" t="str">
        <f t="shared" ref="AK183:AK184" si="2766">IF(AK176="","",AK176-AJ176)</f>
        <v/>
      </c>
      <c r="AL183" s="5" t="str">
        <f t="shared" ref="AL183:AL184" si="2767">IF(AL176="","",AL176-AK176)</f>
        <v/>
      </c>
      <c r="AM183" s="5" t="str">
        <f t="shared" ref="AM183:AM184" si="2768">IF(AM176="","",AM176-AL176)</f>
        <v/>
      </c>
      <c r="AN183" s="5" t="str">
        <f t="shared" ref="AN183:AN184" si="2769">IF(AN176="","",AN176-AM176)</f>
        <v/>
      </c>
      <c r="AO183" s="5" t="str">
        <f t="shared" ref="AO183:AO184" si="2770">IF(AO176="","",AO176-AN176)</f>
        <v/>
      </c>
      <c r="AP183" s="5" t="str">
        <f t="shared" ref="AP183:AS183" si="2771">IF(AP176="","",AP176-AO176)</f>
        <v/>
      </c>
      <c r="AQ183" s="5" t="str">
        <f t="shared" si="2771"/>
        <v/>
      </c>
      <c r="AR183" s="5" t="str">
        <f t="shared" si="2771"/>
        <v/>
      </c>
      <c r="AS183" s="5" t="str">
        <f t="shared" si="2771"/>
        <v/>
      </c>
    </row>
    <row r="184" spans="1:45" x14ac:dyDescent="0.15">
      <c r="A184" s="7">
        <f>SUM(C184:AS184)</f>
        <v>2</v>
      </c>
      <c r="B184" s="6" t="s">
        <v>14</v>
      </c>
      <c r="C184" s="5">
        <v>0</v>
      </c>
      <c r="D184" s="5">
        <v>0</v>
      </c>
      <c r="E184" s="5">
        <v>0</v>
      </c>
      <c r="F184" s="5">
        <v>1</v>
      </c>
      <c r="G184" s="5">
        <v>0</v>
      </c>
      <c r="H184" s="5">
        <v>0</v>
      </c>
      <c r="I184" s="5">
        <v>0</v>
      </c>
      <c r="J184" s="5">
        <v>0</v>
      </c>
      <c r="K184" s="5">
        <f t="shared" si="2740"/>
        <v>0</v>
      </c>
      <c r="L184" s="5">
        <f t="shared" si="2741"/>
        <v>0</v>
      </c>
      <c r="M184" s="5">
        <f t="shared" si="2742"/>
        <v>1</v>
      </c>
      <c r="N184" s="5" t="str">
        <f t="shared" si="2743"/>
        <v/>
      </c>
      <c r="O184" s="5" t="str">
        <f t="shared" si="2744"/>
        <v/>
      </c>
      <c r="P184" s="5" t="str">
        <f t="shared" si="2745"/>
        <v/>
      </c>
      <c r="Q184" s="5" t="str">
        <f t="shared" si="2746"/>
        <v/>
      </c>
      <c r="R184" s="5" t="str">
        <f t="shared" si="2747"/>
        <v/>
      </c>
      <c r="S184" s="5" t="str">
        <f t="shared" si="2748"/>
        <v/>
      </c>
      <c r="T184" s="5" t="str">
        <f t="shared" si="2749"/>
        <v/>
      </c>
      <c r="U184" s="5" t="str">
        <f t="shared" si="2750"/>
        <v/>
      </c>
      <c r="V184" s="5" t="str">
        <f t="shared" si="2751"/>
        <v/>
      </c>
      <c r="W184" s="5" t="str">
        <f t="shared" si="2752"/>
        <v/>
      </c>
      <c r="X184" s="5" t="str">
        <f t="shared" si="2753"/>
        <v/>
      </c>
      <c r="Y184" s="5" t="str">
        <f t="shared" si="2754"/>
        <v/>
      </c>
      <c r="Z184" s="5" t="str">
        <f t="shared" si="2755"/>
        <v/>
      </c>
      <c r="AA184" s="5" t="str">
        <f t="shared" si="2756"/>
        <v/>
      </c>
      <c r="AB184" s="5" t="str">
        <f t="shared" si="2757"/>
        <v/>
      </c>
      <c r="AC184" s="5" t="str">
        <f t="shared" si="2758"/>
        <v/>
      </c>
      <c r="AD184" s="5" t="str">
        <f t="shared" si="2759"/>
        <v/>
      </c>
      <c r="AE184" s="5" t="str">
        <f t="shared" si="2760"/>
        <v/>
      </c>
      <c r="AF184" s="5" t="str">
        <f t="shared" si="2761"/>
        <v/>
      </c>
      <c r="AG184" s="5" t="str">
        <f t="shared" si="2762"/>
        <v/>
      </c>
      <c r="AH184" s="5" t="str">
        <f t="shared" si="2763"/>
        <v/>
      </c>
      <c r="AI184" s="5" t="str">
        <f t="shared" si="2764"/>
        <v/>
      </c>
      <c r="AJ184" s="5" t="str">
        <f t="shared" si="2765"/>
        <v/>
      </c>
      <c r="AK184" s="5" t="str">
        <f t="shared" si="2766"/>
        <v/>
      </c>
      <c r="AL184" s="5" t="str">
        <f t="shared" si="2767"/>
        <v/>
      </c>
      <c r="AM184" s="5" t="str">
        <f t="shared" si="2768"/>
        <v/>
      </c>
      <c r="AN184" s="5" t="str">
        <f t="shared" si="2769"/>
        <v/>
      </c>
      <c r="AO184" s="5" t="str">
        <f t="shared" si="2770"/>
        <v/>
      </c>
      <c r="AP184" s="5" t="str">
        <f t="shared" ref="AP184:AS184" si="2772">IF(AP177="","",AP177-AO177)</f>
        <v/>
      </c>
      <c r="AQ184" s="5" t="str">
        <f t="shared" si="2772"/>
        <v/>
      </c>
      <c r="AR184" s="5" t="str">
        <f t="shared" si="2772"/>
        <v/>
      </c>
      <c r="AS184" s="5" t="str">
        <f t="shared" si="2772"/>
        <v/>
      </c>
    </row>
    <row r="185" spans="1:45" x14ac:dyDescent="0.15">
      <c r="A185" s="7">
        <f>SUM(C185:AS185)</f>
        <v>2</v>
      </c>
      <c r="B185" s="6" t="s">
        <v>15</v>
      </c>
      <c r="C185" s="5">
        <v>0</v>
      </c>
      <c r="D185" s="5">
        <v>0</v>
      </c>
      <c r="E185" s="5">
        <v>0</v>
      </c>
      <c r="F185" s="5">
        <v>1</v>
      </c>
      <c r="G185" s="5">
        <v>0</v>
      </c>
      <c r="H185" s="5">
        <v>0</v>
      </c>
      <c r="I185" s="5">
        <v>0</v>
      </c>
      <c r="J185" s="5">
        <v>0</v>
      </c>
      <c r="K185" s="5">
        <f t="shared" ref="K185" si="2773">IF(K178="","",J178+J179-K178)</f>
        <v>0</v>
      </c>
      <c r="L185" s="5">
        <f t="shared" ref="L185" si="2774">IF(L178="","",K178+K179-L178)</f>
        <v>0</v>
      </c>
      <c r="M185" s="5">
        <f t="shared" ref="M185" si="2775">IF(M178="","",L178+L179-M178)</f>
        <v>1</v>
      </c>
      <c r="N185" s="5" t="str">
        <f t="shared" ref="N185" si="2776">IF(N178="","",M178+M179-N178)</f>
        <v/>
      </c>
      <c r="O185" s="5" t="str">
        <f t="shared" ref="O185" si="2777">IF(O178="","",N178+N179-O178)</f>
        <v/>
      </c>
      <c r="P185" s="5" t="str">
        <f t="shared" ref="P185" si="2778">IF(P178="","",O178+O179-P178)</f>
        <v/>
      </c>
      <c r="Q185" s="5" t="str">
        <f t="shared" ref="Q185" si="2779">IF(Q178="","",P178+P179-Q178)</f>
        <v/>
      </c>
      <c r="R185" s="5" t="str">
        <f t="shared" ref="R185" si="2780">IF(R178="","",Q178+Q179-R178)</f>
        <v/>
      </c>
      <c r="S185" s="5" t="str">
        <f t="shared" ref="S185" si="2781">IF(S178="","",R178+R179-S178)</f>
        <v/>
      </c>
      <c r="T185" s="5" t="str">
        <f t="shared" ref="T185" si="2782">IF(T178="","",S178+S179-T178)</f>
        <v/>
      </c>
      <c r="U185" s="5" t="str">
        <f t="shared" ref="U185" si="2783">IF(U178="","",T178+T179-U178)</f>
        <v/>
      </c>
      <c r="V185" s="5" t="str">
        <f t="shared" ref="V185" si="2784">IF(V178="","",U178+U179-V178)</f>
        <v/>
      </c>
      <c r="W185" s="5" t="str">
        <f t="shared" ref="W185" si="2785">IF(W178="","",V178+V179-W178)</f>
        <v/>
      </c>
      <c r="X185" s="5" t="str">
        <f t="shared" ref="X185" si="2786">IF(X178="","",W178+W179-X178)</f>
        <v/>
      </c>
      <c r="Y185" s="5" t="str">
        <f t="shared" ref="Y185" si="2787">IF(Y178="","",X178+X179-Y178)</f>
        <v/>
      </c>
      <c r="Z185" s="5" t="str">
        <f t="shared" ref="Z185" si="2788">IF(Z178="","",Y178+Y179-Z178)</f>
        <v/>
      </c>
      <c r="AA185" s="5" t="str">
        <f t="shared" ref="AA185" si="2789">IF(AA178="","",Z178+Z179-AA178)</f>
        <v/>
      </c>
      <c r="AB185" s="5" t="str">
        <f t="shared" ref="AB185" si="2790">IF(AB178="","",AA178+AA179-AB178)</f>
        <v/>
      </c>
      <c r="AC185" s="5" t="str">
        <f t="shared" ref="AC185" si="2791">IF(AC178="","",AB178+AB179-AC178)</f>
        <v/>
      </c>
      <c r="AD185" s="5" t="str">
        <f t="shared" ref="AD185" si="2792">IF(AD178="","",AC178+AC179-AD178)</f>
        <v/>
      </c>
      <c r="AE185" s="5" t="str">
        <f t="shared" ref="AE185" si="2793">IF(AE178="","",AD178+AD179-AE178)</f>
        <v/>
      </c>
      <c r="AF185" s="5" t="str">
        <f t="shared" ref="AF185" si="2794">IF(AF178="","",AE178+AE179-AF178)</f>
        <v/>
      </c>
      <c r="AG185" s="5" t="str">
        <f t="shared" ref="AG185" si="2795">IF(AG178="","",AF178+AF179-AG178)</f>
        <v/>
      </c>
      <c r="AH185" s="5" t="str">
        <f t="shared" ref="AH185" si="2796">IF(AH178="","",AG178+AG179-AH178)</f>
        <v/>
      </c>
      <c r="AI185" s="5" t="str">
        <f t="shared" ref="AI185" si="2797">IF(AI178="","",AH178+AH179-AI178)</f>
        <v/>
      </c>
      <c r="AJ185" s="5" t="str">
        <f t="shared" ref="AJ185" si="2798">IF(AJ178="","",AI178+AI179-AJ178)</f>
        <v/>
      </c>
      <c r="AK185" s="5" t="str">
        <f t="shared" ref="AK185" si="2799">IF(AK178="","",AJ178+AJ179-AK178)</f>
        <v/>
      </c>
      <c r="AL185" s="5" t="str">
        <f t="shared" ref="AL185" si="2800">IF(AL178="","",AK178+AK179-AL178)</f>
        <v/>
      </c>
      <c r="AM185" s="5" t="str">
        <f t="shared" ref="AM185" si="2801">IF(AM178="","",AL178+AL179-AM178)</f>
        <v/>
      </c>
      <c r="AN185" s="5" t="str">
        <f t="shared" ref="AN185" si="2802">IF(AN178="","",AM178+AM179-AN178)</f>
        <v/>
      </c>
      <c r="AO185" s="5" t="str">
        <f t="shared" ref="AO185" si="2803">IF(AO178="","",AN178+AN179-AO178)</f>
        <v/>
      </c>
      <c r="AP185" s="5" t="str">
        <f t="shared" ref="AP185:AS185" si="2804">IF(AP178="","",AO178+AO179-AP178)</f>
        <v/>
      </c>
      <c r="AQ185" s="5" t="str">
        <f t="shared" si="2804"/>
        <v/>
      </c>
      <c r="AR185" s="5" t="str">
        <f t="shared" si="2804"/>
        <v/>
      </c>
      <c r="AS185" s="5" t="str">
        <f t="shared" si="2804"/>
        <v/>
      </c>
    </row>
    <row r="186" spans="1:45" x14ac:dyDescent="0.15">
      <c r="A186" s="7">
        <f>SUM(C186:AS186)</f>
        <v>600</v>
      </c>
      <c r="B186" s="6" t="s">
        <v>16</v>
      </c>
      <c r="C186" s="5">
        <v>0</v>
      </c>
      <c r="D186" s="5">
        <v>0</v>
      </c>
      <c r="E186" s="5">
        <v>0</v>
      </c>
      <c r="F186" s="5">
        <v>300</v>
      </c>
      <c r="G186" s="5">
        <v>0</v>
      </c>
      <c r="H186" s="5">
        <v>0</v>
      </c>
      <c r="I186" s="5">
        <v>0</v>
      </c>
      <c r="J186" s="5">
        <v>0</v>
      </c>
      <c r="K186" s="5">
        <f t="shared" ref="I186:AO186" si="2805">IF(K176="","",K185*K180)</f>
        <v>0</v>
      </c>
      <c r="L186" s="5">
        <f t="shared" si="2805"/>
        <v>0</v>
      </c>
      <c r="M186" s="5">
        <f t="shared" si="2805"/>
        <v>300</v>
      </c>
      <c r="N186" s="5" t="str">
        <f t="shared" si="2805"/>
        <v/>
      </c>
      <c r="O186" s="5" t="str">
        <f t="shared" si="2805"/>
        <v/>
      </c>
      <c r="P186" s="5" t="str">
        <f t="shared" si="2805"/>
        <v/>
      </c>
      <c r="Q186" s="5" t="str">
        <f t="shared" si="2805"/>
        <v/>
      </c>
      <c r="R186" s="5" t="str">
        <f t="shared" si="2805"/>
        <v/>
      </c>
      <c r="S186" s="5" t="str">
        <f t="shared" si="2805"/>
        <v/>
      </c>
      <c r="T186" s="5" t="str">
        <f t="shared" si="2805"/>
        <v/>
      </c>
      <c r="U186" s="5" t="str">
        <f t="shared" si="2805"/>
        <v/>
      </c>
      <c r="V186" s="5" t="str">
        <f t="shared" si="2805"/>
        <v/>
      </c>
      <c r="W186" s="5" t="str">
        <f t="shared" si="2805"/>
        <v/>
      </c>
      <c r="X186" s="5" t="str">
        <f t="shared" si="2805"/>
        <v/>
      </c>
      <c r="Y186" s="5" t="str">
        <f t="shared" si="2805"/>
        <v/>
      </c>
      <c r="Z186" s="5" t="str">
        <f t="shared" si="2805"/>
        <v/>
      </c>
      <c r="AA186" s="5" t="str">
        <f t="shared" si="2805"/>
        <v/>
      </c>
      <c r="AB186" s="5" t="str">
        <f t="shared" si="2805"/>
        <v/>
      </c>
      <c r="AC186" s="5" t="str">
        <f t="shared" si="2805"/>
        <v/>
      </c>
      <c r="AD186" s="5" t="str">
        <f t="shared" si="2805"/>
        <v/>
      </c>
      <c r="AE186" s="5" t="str">
        <f t="shared" si="2805"/>
        <v/>
      </c>
      <c r="AF186" s="5" t="str">
        <f t="shared" si="2805"/>
        <v/>
      </c>
      <c r="AG186" s="5" t="str">
        <f t="shared" si="2805"/>
        <v/>
      </c>
      <c r="AH186" s="5" t="str">
        <f t="shared" si="2805"/>
        <v/>
      </c>
      <c r="AI186" s="5" t="str">
        <f t="shared" si="2805"/>
        <v/>
      </c>
      <c r="AJ186" s="5" t="str">
        <f t="shared" si="2805"/>
        <v/>
      </c>
      <c r="AK186" s="5" t="str">
        <f t="shared" si="2805"/>
        <v/>
      </c>
      <c r="AL186" s="5" t="str">
        <f t="shared" si="2805"/>
        <v/>
      </c>
      <c r="AM186" s="5" t="str">
        <f t="shared" si="2805"/>
        <v/>
      </c>
      <c r="AN186" s="5" t="str">
        <f t="shared" si="2805"/>
        <v/>
      </c>
      <c r="AO186" s="5" t="str">
        <f t="shared" si="2805"/>
        <v/>
      </c>
      <c r="AP186" s="5" t="str">
        <f t="shared" ref="AP186:AS186" si="2806">IF(AP176="","",AP185*AP180)</f>
        <v/>
      </c>
      <c r="AQ186" s="5" t="str">
        <f t="shared" si="2806"/>
        <v/>
      </c>
      <c r="AR186" s="5" t="str">
        <f t="shared" si="2806"/>
        <v/>
      </c>
      <c r="AS186" s="5" t="str">
        <f t="shared" si="2806"/>
        <v/>
      </c>
    </row>
    <row r="187" spans="1:45" ht="12" thickBot="1" x14ac:dyDescent="0.2">
      <c r="A187" s="4">
        <f>IF(A186="","",A186/(A183*100))</f>
        <v>2.6548672566371681E-2</v>
      </c>
      <c r="B187" s="3" t="s">
        <v>18</v>
      </c>
      <c r="C187" s="2" t="s">
        <v>19</v>
      </c>
      <c r="D187" s="2" t="s">
        <v>19</v>
      </c>
      <c r="E187" s="2" t="s">
        <v>19</v>
      </c>
      <c r="F187" s="2">
        <v>3.2967032967032968E-2</v>
      </c>
      <c r="G187" s="2" t="s">
        <v>19</v>
      </c>
      <c r="H187" s="2" t="s">
        <v>19</v>
      </c>
      <c r="I187" s="2" t="s">
        <v>19</v>
      </c>
      <c r="J187" s="2" t="s">
        <v>19</v>
      </c>
      <c r="K187" s="2" t="str">
        <f t="shared" ref="I187:AO187" si="2807">IF(K186="","",IF(K186=0,"",K186/(K183*100)))</f>
        <v/>
      </c>
      <c r="L187" s="2" t="str">
        <f t="shared" si="2807"/>
        <v/>
      </c>
      <c r="M187" s="2">
        <f t="shared" si="2807"/>
        <v>4.7619047619047616E-2</v>
      </c>
      <c r="N187" s="2" t="str">
        <f t="shared" si="2807"/>
        <v/>
      </c>
      <c r="O187" s="2" t="str">
        <f t="shared" si="2807"/>
        <v/>
      </c>
      <c r="P187" s="2" t="str">
        <f t="shared" si="2807"/>
        <v/>
      </c>
      <c r="Q187" s="2" t="str">
        <f t="shared" si="2807"/>
        <v/>
      </c>
      <c r="R187" s="2" t="str">
        <f t="shared" si="2807"/>
        <v/>
      </c>
      <c r="S187" s="2" t="str">
        <f t="shared" si="2807"/>
        <v/>
      </c>
      <c r="T187" s="2" t="str">
        <f t="shared" si="2807"/>
        <v/>
      </c>
      <c r="U187" s="2" t="str">
        <f t="shared" si="2807"/>
        <v/>
      </c>
      <c r="V187" s="2" t="str">
        <f t="shared" si="2807"/>
        <v/>
      </c>
      <c r="W187" s="2" t="str">
        <f t="shared" si="2807"/>
        <v/>
      </c>
      <c r="X187" s="2" t="str">
        <f t="shared" si="2807"/>
        <v/>
      </c>
      <c r="Y187" s="2" t="str">
        <f t="shared" si="2807"/>
        <v/>
      </c>
      <c r="Z187" s="2" t="str">
        <f t="shared" si="2807"/>
        <v/>
      </c>
      <c r="AA187" s="2" t="str">
        <f t="shared" si="2807"/>
        <v/>
      </c>
      <c r="AB187" s="2" t="str">
        <f t="shared" si="2807"/>
        <v/>
      </c>
      <c r="AC187" s="2" t="str">
        <f t="shared" si="2807"/>
        <v/>
      </c>
      <c r="AD187" s="2" t="str">
        <f t="shared" si="2807"/>
        <v/>
      </c>
      <c r="AE187" s="2" t="str">
        <f t="shared" si="2807"/>
        <v/>
      </c>
      <c r="AF187" s="2" t="str">
        <f t="shared" si="2807"/>
        <v/>
      </c>
      <c r="AG187" s="2" t="str">
        <f t="shared" si="2807"/>
        <v/>
      </c>
      <c r="AH187" s="2" t="str">
        <f t="shared" si="2807"/>
        <v/>
      </c>
      <c r="AI187" s="2" t="str">
        <f t="shared" si="2807"/>
        <v/>
      </c>
      <c r="AJ187" s="2" t="str">
        <f t="shared" si="2807"/>
        <v/>
      </c>
      <c r="AK187" s="2" t="str">
        <f t="shared" si="2807"/>
        <v/>
      </c>
      <c r="AL187" s="2" t="str">
        <f t="shared" si="2807"/>
        <v/>
      </c>
      <c r="AM187" s="2" t="str">
        <f t="shared" si="2807"/>
        <v/>
      </c>
      <c r="AN187" s="2" t="str">
        <f t="shared" si="2807"/>
        <v/>
      </c>
      <c r="AO187" s="2" t="str">
        <f t="shared" si="2807"/>
        <v/>
      </c>
      <c r="AP187" s="2" t="str">
        <f t="shared" ref="AP187:AS187" si="2808">IF(AP186="","",IF(AP186=0,"",AP186/(AP183*100)))</f>
        <v/>
      </c>
      <c r="AQ187" s="2" t="str">
        <f t="shared" si="2808"/>
        <v/>
      </c>
      <c r="AR187" s="2" t="str">
        <f t="shared" si="2808"/>
        <v/>
      </c>
      <c r="AS187" s="2" t="str">
        <f t="shared" si="2808"/>
        <v/>
      </c>
    </row>
    <row r="188" spans="1:45" x14ac:dyDescent="0.15">
      <c r="A188" s="22" t="s">
        <v>59</v>
      </c>
      <c r="B188" s="21" t="s">
        <v>2</v>
      </c>
      <c r="C188" s="20">
        <v>13077</v>
      </c>
      <c r="D188" s="20">
        <v>13077</v>
      </c>
      <c r="E188" s="20">
        <v>13077</v>
      </c>
      <c r="F188" s="20">
        <v>13141</v>
      </c>
      <c r="G188" s="20">
        <v>13141</v>
      </c>
      <c r="H188" s="20">
        <v>13141</v>
      </c>
      <c r="I188" s="20">
        <v>13141</v>
      </c>
      <c r="J188" s="20">
        <v>13159</v>
      </c>
      <c r="K188" s="20">
        <f t="shared" ref="K188:K189" si="2809">IF(K$8="","",J188)</f>
        <v>13159</v>
      </c>
      <c r="L188" s="20">
        <f t="shared" ref="L188:L189" si="2810">IF(L$8="","",K188)</f>
        <v>13159</v>
      </c>
      <c r="M188" s="20">
        <v>13220</v>
      </c>
      <c r="N188" s="20" t="str">
        <f t="shared" ref="N188:N189" si="2811">IF(N$8="","",M188)</f>
        <v/>
      </c>
      <c r="O188" s="20" t="str">
        <f t="shared" ref="O188:O189" si="2812">IF(O$8="","",N188)</f>
        <v/>
      </c>
      <c r="P188" s="20" t="str">
        <f t="shared" ref="P188:P189" si="2813">IF(P$8="","",O188)</f>
        <v/>
      </c>
      <c r="Q188" s="20" t="str">
        <f>IF(Q$8="","",P188)</f>
        <v/>
      </c>
      <c r="R188" s="20" t="str">
        <f t="shared" ref="R188:R189" si="2814">IF(R$8="","",Q188)</f>
        <v/>
      </c>
      <c r="S188" s="20" t="str">
        <f t="shared" ref="S188:S189" si="2815">IF(S$8="","",R188)</f>
        <v/>
      </c>
      <c r="T188" s="20" t="str">
        <f>IF(T$8="","",S188)</f>
        <v/>
      </c>
      <c r="U188" s="20" t="str">
        <f t="shared" ref="U188:U189" si="2816">IF(U$8="","",T188)</f>
        <v/>
      </c>
      <c r="V188" s="20" t="str">
        <f t="shared" ref="V188:V189" si="2817">IF(V$8="","",U188)</f>
        <v/>
      </c>
      <c r="W188" s="20" t="str">
        <f t="shared" ref="W188:W189" si="2818">IF(W$8="","",V188)</f>
        <v/>
      </c>
      <c r="X188" s="20" t="str">
        <f>IF(X$8="","",W188)</f>
        <v/>
      </c>
      <c r="Y188" s="20" t="str">
        <f t="shared" ref="Y188:Y189" si="2819">IF(Y$8="","",X188)</f>
        <v/>
      </c>
      <c r="Z188" s="20" t="str">
        <f t="shared" ref="Z188:Z189" si="2820">IF(Z$8="","",Y188)</f>
        <v/>
      </c>
      <c r="AA188" s="20" t="str">
        <f>IF(AA$8="","",Z188)</f>
        <v/>
      </c>
      <c r="AB188" s="20" t="str">
        <f t="shared" ref="AB188:AB189" si="2821">IF(AB$8="","",AA188)</f>
        <v/>
      </c>
      <c r="AC188" s="20" t="str">
        <f t="shared" ref="AC188:AC189" si="2822">IF(AC$8="","",AB188)</f>
        <v/>
      </c>
      <c r="AD188" s="20" t="str">
        <f>IF(AD$8="","",AC188)</f>
        <v/>
      </c>
      <c r="AE188" s="20" t="str">
        <f t="shared" ref="AE188:AE189" si="2823">IF(AE$8="","",AD188)</f>
        <v/>
      </c>
      <c r="AF188" s="20" t="str">
        <f t="shared" ref="AF188:AF189" si="2824">IF(AF$8="","",AE188)</f>
        <v/>
      </c>
      <c r="AG188" s="20" t="str">
        <f t="shared" ref="AG188:AG189" si="2825">IF(AG$8="","",AF188)</f>
        <v/>
      </c>
      <c r="AH188" s="20" t="str">
        <f>IF(AH$8="","",AG188)</f>
        <v/>
      </c>
      <c r="AI188" s="20" t="str">
        <f t="shared" ref="AI188:AI189" si="2826">IF(AI$8="","",AH188)</f>
        <v/>
      </c>
      <c r="AJ188" s="20" t="str">
        <f t="shared" ref="AJ188:AJ189" si="2827">IF(AJ$8="","",AI188)</f>
        <v/>
      </c>
      <c r="AK188" s="20" t="str">
        <f t="shared" ref="AK188:AK189" si="2828">IF(AK$8="","",AJ188)</f>
        <v/>
      </c>
      <c r="AL188" s="20" t="str">
        <f>IF(AL$8="","",AK188)</f>
        <v/>
      </c>
      <c r="AM188" s="20" t="str">
        <f t="shared" ref="AM188:AM189" si="2829">IF(AM$8="","",AL188)</f>
        <v/>
      </c>
      <c r="AN188" s="20" t="str">
        <f t="shared" ref="AN188:AN189" si="2830">IF(AN$8="","",AM188)</f>
        <v/>
      </c>
      <c r="AO188" s="20" t="str">
        <f t="shared" ref="AO188:AO189" si="2831">IF(AO$8="","",AN188)</f>
        <v/>
      </c>
      <c r="AP188" s="20" t="str">
        <f t="shared" ref="AP188:AS188" si="2832">IF(AP$8="","",AO188)</f>
        <v/>
      </c>
      <c r="AQ188" s="20" t="str">
        <f t="shared" si="2832"/>
        <v/>
      </c>
      <c r="AR188" s="20" t="str">
        <f t="shared" si="2832"/>
        <v/>
      </c>
      <c r="AS188" s="20" t="str">
        <f t="shared" si="2832"/>
        <v/>
      </c>
    </row>
    <row r="189" spans="1:45" x14ac:dyDescent="0.15">
      <c r="A189" s="16" t="s">
        <v>34</v>
      </c>
      <c r="B189" s="9" t="s">
        <v>4</v>
      </c>
      <c r="C189" s="8">
        <v>239</v>
      </c>
      <c r="D189" s="8">
        <v>239</v>
      </c>
      <c r="E189" s="8">
        <v>239</v>
      </c>
      <c r="F189" s="8">
        <v>239</v>
      </c>
      <c r="G189" s="8">
        <v>239</v>
      </c>
      <c r="H189" s="8">
        <v>239</v>
      </c>
      <c r="I189" s="8">
        <v>239</v>
      </c>
      <c r="J189" s="8">
        <v>240</v>
      </c>
      <c r="K189" s="8">
        <f t="shared" si="2809"/>
        <v>240</v>
      </c>
      <c r="L189" s="8">
        <f t="shared" si="2810"/>
        <v>240</v>
      </c>
      <c r="M189" s="8">
        <v>241</v>
      </c>
      <c r="N189" s="8" t="str">
        <f t="shared" si="2811"/>
        <v/>
      </c>
      <c r="O189" s="8" t="str">
        <f t="shared" si="2812"/>
        <v/>
      </c>
      <c r="P189" s="8" t="str">
        <f t="shared" si="2813"/>
        <v/>
      </c>
      <c r="Q189" s="8" t="str">
        <f>IF(Q$8="","",P189)</f>
        <v/>
      </c>
      <c r="R189" s="8" t="str">
        <f t="shared" si="2814"/>
        <v/>
      </c>
      <c r="S189" s="8" t="str">
        <f t="shared" si="2815"/>
        <v/>
      </c>
      <c r="T189" s="8" t="str">
        <f>IF(T$8="","",S189)</f>
        <v/>
      </c>
      <c r="U189" s="8" t="str">
        <f t="shared" si="2816"/>
        <v/>
      </c>
      <c r="V189" s="8" t="str">
        <f t="shared" si="2817"/>
        <v/>
      </c>
      <c r="W189" s="8" t="str">
        <f t="shared" si="2818"/>
        <v/>
      </c>
      <c r="X189" s="8" t="str">
        <f>IF(X$8="","",W189)</f>
        <v/>
      </c>
      <c r="Y189" s="8" t="str">
        <f t="shared" si="2819"/>
        <v/>
      </c>
      <c r="Z189" s="8" t="str">
        <f t="shared" si="2820"/>
        <v/>
      </c>
      <c r="AA189" s="8" t="str">
        <f>IF(AA$8="","",Z189)</f>
        <v/>
      </c>
      <c r="AB189" s="8" t="str">
        <f t="shared" si="2821"/>
        <v/>
      </c>
      <c r="AC189" s="8" t="str">
        <f t="shared" si="2822"/>
        <v/>
      </c>
      <c r="AD189" s="8" t="str">
        <f>IF(AD$8="","",AC189)</f>
        <v/>
      </c>
      <c r="AE189" s="8" t="str">
        <f t="shared" si="2823"/>
        <v/>
      </c>
      <c r="AF189" s="8" t="str">
        <f t="shared" si="2824"/>
        <v/>
      </c>
      <c r="AG189" s="8" t="str">
        <f t="shared" si="2825"/>
        <v/>
      </c>
      <c r="AH189" s="8" t="str">
        <f t="shared" ref="AH188:AH189" si="2833">IF(AH$8="","",AG189)</f>
        <v/>
      </c>
      <c r="AI189" s="8" t="str">
        <f t="shared" si="2826"/>
        <v/>
      </c>
      <c r="AJ189" s="8" t="str">
        <f t="shared" si="2827"/>
        <v/>
      </c>
      <c r="AK189" s="8" t="str">
        <f t="shared" si="2828"/>
        <v/>
      </c>
      <c r="AL189" s="8" t="str">
        <f>IF(AL$8="","",AK189)</f>
        <v/>
      </c>
      <c r="AM189" s="8" t="str">
        <f t="shared" si="2829"/>
        <v/>
      </c>
      <c r="AN189" s="8" t="str">
        <f t="shared" si="2830"/>
        <v/>
      </c>
      <c r="AO189" s="8" t="str">
        <f t="shared" si="2831"/>
        <v/>
      </c>
      <c r="AP189" s="8" t="str">
        <f t="shared" ref="AP189:AS189" si="2834">IF(AP$8="","",AO189)</f>
        <v/>
      </c>
      <c r="AQ189" s="8" t="str">
        <f t="shared" si="2834"/>
        <v/>
      </c>
      <c r="AR189" s="8" t="str">
        <f t="shared" si="2834"/>
        <v/>
      </c>
      <c r="AS189" s="8" t="str">
        <f t="shared" si="2834"/>
        <v/>
      </c>
    </row>
    <row r="190" spans="1:45" x14ac:dyDescent="0.15">
      <c r="A190" s="15">
        <v>1</v>
      </c>
      <c r="B190" s="9" t="s">
        <v>5</v>
      </c>
      <c r="C190" s="8">
        <v>9</v>
      </c>
      <c r="D190" s="8">
        <v>9</v>
      </c>
      <c r="E190" s="8">
        <v>9</v>
      </c>
      <c r="F190" s="8">
        <v>9</v>
      </c>
      <c r="G190" s="8">
        <v>11</v>
      </c>
      <c r="H190" s="8">
        <v>11</v>
      </c>
      <c r="I190" s="8">
        <v>11</v>
      </c>
      <c r="J190" s="8">
        <v>10</v>
      </c>
      <c r="K190" s="8">
        <f t="shared" ref="K190" si="2835">IF(K188="","",(J190+J191))</f>
        <v>10</v>
      </c>
      <c r="L190" s="8">
        <f t="shared" ref="L190" si="2836">IF(L188="","",(K190+K191))</f>
        <v>10</v>
      </c>
      <c r="M190" s="8">
        <v>7</v>
      </c>
      <c r="N190" s="8" t="str">
        <f t="shared" ref="N190" si="2837">IF(N188="","",(M190+M191))</f>
        <v/>
      </c>
      <c r="O190" s="8" t="str">
        <f t="shared" ref="O190" si="2838">IF(O188="","",(N190+N191))</f>
        <v/>
      </c>
      <c r="P190" s="8" t="str">
        <f t="shared" ref="P190" si="2839">IF(P188="","",(O190+O191))</f>
        <v/>
      </c>
      <c r="Q190" s="8" t="str">
        <f>IF(Q188="","",(P190+P191))</f>
        <v/>
      </c>
      <c r="R190" s="8" t="str">
        <f t="shared" ref="R190" si="2840">IF(R188="","",(Q190+Q191))</f>
        <v/>
      </c>
      <c r="S190" s="8" t="str">
        <f t="shared" ref="S190" si="2841">IF(S188="","",(R190+R191))</f>
        <v/>
      </c>
      <c r="T190" s="8" t="str">
        <f>IF(T188="","",(S190+S191))</f>
        <v/>
      </c>
      <c r="U190" s="8" t="str">
        <f t="shared" ref="U190" si="2842">IF(U188="","",(T190+T191))</f>
        <v/>
      </c>
      <c r="V190" s="8" t="str">
        <f t="shared" ref="V190" si="2843">IF(V188="","",(U190+U191))</f>
        <v/>
      </c>
      <c r="W190" s="8" t="str">
        <f t="shared" ref="W190" si="2844">IF(W188="","",(V190+V191))</f>
        <v/>
      </c>
      <c r="X190" s="8" t="str">
        <f>IF(X188="","",(W190+W191))</f>
        <v/>
      </c>
      <c r="Y190" s="8" t="str">
        <f t="shared" ref="Y190" si="2845">IF(Y188="","",(X190+X191))</f>
        <v/>
      </c>
      <c r="Z190" s="8" t="str">
        <f t="shared" ref="Z190" si="2846">IF(Z188="","",(Y190+Y191))</f>
        <v/>
      </c>
      <c r="AA190" s="8" t="str">
        <f>IF(AA188="","",(Z190+Z191))</f>
        <v/>
      </c>
      <c r="AB190" s="8" t="str">
        <f t="shared" ref="AB190" si="2847">IF(AB188="","",(AA190+AA191))</f>
        <v/>
      </c>
      <c r="AC190" s="8" t="str">
        <f t="shared" ref="AC190" si="2848">IF(AC188="","",(AB190+AB191))</f>
        <v/>
      </c>
      <c r="AD190" s="8" t="str">
        <f>IF(AD188="","",(AC190+AC191))</f>
        <v/>
      </c>
      <c r="AE190" s="8" t="str">
        <f t="shared" ref="AE190" si="2849">IF(AE188="","",(AD190+AD191))</f>
        <v/>
      </c>
      <c r="AF190" s="8" t="str">
        <f t="shared" ref="AF190" si="2850">IF(AF188="","",(AE190+AE191))</f>
        <v/>
      </c>
      <c r="AG190" s="8" t="str">
        <f t="shared" ref="AG190" si="2851">IF(AG188="","",(AF190+AF191))</f>
        <v/>
      </c>
      <c r="AH190" s="8" t="str">
        <f t="shared" ref="AH190" si="2852">IF(AH188="","",(AG190+AG191))</f>
        <v/>
      </c>
      <c r="AI190" s="8" t="str">
        <f t="shared" ref="AI190" si="2853">IF(AI188="","",(AH190+AH191))</f>
        <v/>
      </c>
      <c r="AJ190" s="8" t="str">
        <f t="shared" ref="AJ190" si="2854">IF(AJ188="","",(AI190+AI191))</f>
        <v/>
      </c>
      <c r="AK190" s="8" t="str">
        <f t="shared" ref="AK190" si="2855">IF(AK188="","",(AJ190+AJ191))</f>
        <v/>
      </c>
      <c r="AL190" s="8" t="str">
        <f>IF(AL188="","",(AK190+AK191))</f>
        <v/>
      </c>
      <c r="AM190" s="8" t="str">
        <f t="shared" ref="AM190" si="2856">IF(AM188="","",(AL190+AL191))</f>
        <v/>
      </c>
      <c r="AN190" s="8" t="str">
        <f t="shared" ref="AN190" si="2857">IF(AN188="","",(AM190+AM191))</f>
        <v/>
      </c>
      <c r="AO190" s="8" t="str">
        <f t="shared" ref="AO190" si="2858">IF(AO188="","",(AN190+AN191))</f>
        <v/>
      </c>
      <c r="AP190" s="8" t="str">
        <f t="shared" ref="AP190:AS190" si="2859">IF(AP188="","",(AO190+AO191))</f>
        <v/>
      </c>
      <c r="AQ190" s="8" t="str">
        <f t="shared" si="2859"/>
        <v/>
      </c>
      <c r="AR190" s="8" t="str">
        <f t="shared" si="2859"/>
        <v/>
      </c>
      <c r="AS190" s="8" t="str">
        <f t="shared" si="2859"/>
        <v/>
      </c>
    </row>
    <row r="191" spans="1:45" x14ac:dyDescent="0.15">
      <c r="A191" s="92" t="s">
        <v>6</v>
      </c>
      <c r="B191" s="9" t="s">
        <v>7</v>
      </c>
      <c r="C191" s="8"/>
      <c r="D191" s="8"/>
      <c r="E191" s="8"/>
      <c r="F191" s="8">
        <v>2</v>
      </c>
      <c r="G191" s="8"/>
      <c r="H191" s="8"/>
      <c r="I191" s="8"/>
      <c r="J191" s="8"/>
      <c r="K191" s="8"/>
      <c r="L191" s="8"/>
      <c r="M191" s="8">
        <v>4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</row>
    <row r="192" spans="1:45" x14ac:dyDescent="0.15">
      <c r="A192" s="93">
        <f>+(A195+A207+A219+A231)*100</f>
        <v>47800</v>
      </c>
      <c r="B192" s="9" t="s">
        <v>8</v>
      </c>
      <c r="C192" s="8">
        <v>750</v>
      </c>
      <c r="D192" s="8">
        <v>750</v>
      </c>
      <c r="E192" s="8">
        <v>750</v>
      </c>
      <c r="F192" s="8">
        <v>750</v>
      </c>
      <c r="G192" s="8">
        <v>750</v>
      </c>
      <c r="H192" s="8">
        <v>750</v>
      </c>
      <c r="I192" s="8">
        <v>750</v>
      </c>
      <c r="J192" s="8">
        <v>750</v>
      </c>
      <c r="K192" s="8">
        <f t="shared" ref="K192" si="2860">IF(K188="","",J192)</f>
        <v>750</v>
      </c>
      <c r="L192" s="8">
        <f t="shared" ref="L192" si="2861">IF(L188="","",K192)</f>
        <v>750</v>
      </c>
      <c r="M192" s="8">
        <f t="shared" ref="M192" si="2862">IF(M188="","",L192)</f>
        <v>750</v>
      </c>
      <c r="N192" s="8" t="str">
        <f t="shared" ref="N192" si="2863">IF(N188="","",M192)</f>
        <v/>
      </c>
      <c r="O192" s="8" t="str">
        <f t="shared" ref="O192" si="2864">IF(O188="","",N192)</f>
        <v/>
      </c>
      <c r="P192" s="8" t="str">
        <f t="shared" ref="P192" si="2865">IF(P188="","",O192)</f>
        <v/>
      </c>
      <c r="Q192" s="8" t="str">
        <f t="shared" ref="Q192" si="2866">IF(Q188="","",P192)</f>
        <v/>
      </c>
      <c r="R192" s="8" t="str">
        <f t="shared" ref="R192" si="2867">IF(R188="","",Q192)</f>
        <v/>
      </c>
      <c r="S192" s="8" t="str">
        <f t="shared" ref="S192" si="2868">IF(S188="","",R192)</f>
        <v/>
      </c>
      <c r="T192" s="8" t="str">
        <f t="shared" ref="T192" si="2869">IF(T188="","",S192)</f>
        <v/>
      </c>
      <c r="U192" s="8" t="str">
        <f t="shared" ref="U192" si="2870">IF(U188="","",T192)</f>
        <v/>
      </c>
      <c r="V192" s="8" t="str">
        <f t="shared" ref="V192" si="2871">IF(V188="","",U192)</f>
        <v/>
      </c>
      <c r="W192" s="8" t="str">
        <f t="shared" ref="W192" si="2872">IF(W188="","",V192)</f>
        <v/>
      </c>
      <c r="X192" s="8" t="str">
        <f t="shared" ref="X192" si="2873">IF(X188="","",W192)</f>
        <v/>
      </c>
      <c r="Y192" s="8" t="str">
        <f t="shared" ref="Y192" si="2874">IF(Y188="","",X192)</f>
        <v/>
      </c>
      <c r="Z192" s="8" t="str">
        <f t="shared" ref="Z192" si="2875">IF(Z188="","",Y192)</f>
        <v/>
      </c>
      <c r="AA192" s="8" t="str">
        <f t="shared" ref="AA192" si="2876">IF(AA188="","",Z192)</f>
        <v/>
      </c>
      <c r="AB192" s="8" t="str">
        <f t="shared" ref="AB192" si="2877">IF(AB188="","",AA192)</f>
        <v/>
      </c>
      <c r="AC192" s="8" t="str">
        <f t="shared" ref="AC192" si="2878">IF(AC188="","",AB192)</f>
        <v/>
      </c>
      <c r="AD192" s="8" t="str">
        <f t="shared" ref="AD192" si="2879">IF(AD188="","",AC192)</f>
        <v/>
      </c>
      <c r="AE192" s="8" t="str">
        <f t="shared" ref="AE192" si="2880">IF(AE188="","",AD192)</f>
        <v/>
      </c>
      <c r="AF192" s="8" t="str">
        <f t="shared" ref="AF192" si="2881">IF(AF188="","",AE192)</f>
        <v/>
      </c>
      <c r="AG192" s="8" t="str">
        <f t="shared" ref="AG192" si="2882">IF(AG188="","",AF192)</f>
        <v/>
      </c>
      <c r="AH192" s="8" t="str">
        <f t="shared" ref="AH192" si="2883">IF(AH188="","",AG192)</f>
        <v/>
      </c>
      <c r="AI192" s="8" t="str">
        <f t="shared" ref="AI192" si="2884">IF(AI188="","",AH192)</f>
        <v/>
      </c>
      <c r="AJ192" s="8" t="str">
        <f t="shared" ref="AJ192" si="2885">IF(AJ188="","",AI192)</f>
        <v/>
      </c>
      <c r="AK192" s="8" t="str">
        <f t="shared" ref="AK192" si="2886">IF(AK188="","",AJ192)</f>
        <v/>
      </c>
      <c r="AL192" s="8" t="str">
        <f t="shared" ref="AL192" si="2887">IF(AL188="","",AK192)</f>
        <v/>
      </c>
      <c r="AM192" s="8" t="str">
        <f t="shared" ref="AM192" si="2888">IF(AM188="","",AL192)</f>
        <v/>
      </c>
      <c r="AN192" s="8" t="str">
        <f t="shared" ref="AN192" si="2889">IF(AN188="","",AM192)</f>
        <v/>
      </c>
      <c r="AO192" s="8" t="str">
        <f t="shared" ref="AO192" si="2890">IF(AO188="","",AN192)</f>
        <v/>
      </c>
      <c r="AP192" s="8" t="str">
        <f t="shared" ref="AP192:AS192" si="2891">IF(AP188="","",AO192)</f>
        <v/>
      </c>
      <c r="AQ192" s="8" t="str">
        <f t="shared" si="2891"/>
        <v/>
      </c>
      <c r="AR192" s="8" t="str">
        <f t="shared" si="2891"/>
        <v/>
      </c>
      <c r="AS192" s="8" t="str">
        <f t="shared" si="2891"/>
        <v/>
      </c>
    </row>
    <row r="193" spans="1:45" s="85" customFormat="1" x14ac:dyDescent="0.15">
      <c r="A193" s="14" t="s">
        <v>9</v>
      </c>
      <c r="B193" s="13" t="s">
        <v>10</v>
      </c>
      <c r="C193" s="12" t="s">
        <v>360</v>
      </c>
      <c r="D193" s="12" t="s">
        <v>360</v>
      </c>
      <c r="E193" s="12" t="s">
        <v>360</v>
      </c>
      <c r="F193" s="12" t="s">
        <v>360</v>
      </c>
      <c r="G193" s="12" t="s">
        <v>360</v>
      </c>
      <c r="H193" s="12" t="s">
        <v>360</v>
      </c>
      <c r="I193" s="12" t="s">
        <v>360</v>
      </c>
      <c r="J193" s="12" t="s">
        <v>360</v>
      </c>
      <c r="K193" s="12" t="str">
        <f t="shared" ref="K193" si="2892">IF(K188="","",J193)</f>
        <v>パンケーキスクイーズ</v>
      </c>
      <c r="L193" s="12" t="str">
        <f t="shared" ref="L193" si="2893">IF(L188="","",K193)</f>
        <v>パンケーキスクイーズ</v>
      </c>
      <c r="M193" s="12" t="str">
        <f t="shared" ref="M193" si="2894">IF(M188="","",L193)</f>
        <v>パンケーキスクイーズ</v>
      </c>
      <c r="N193" s="12" t="str">
        <f t="shared" ref="N193" si="2895">IF(N188="","",M193)</f>
        <v/>
      </c>
      <c r="O193" s="12" t="str">
        <f t="shared" ref="O193" si="2896">IF(O188="","",N193)</f>
        <v/>
      </c>
      <c r="P193" s="12" t="str">
        <f t="shared" ref="P193" si="2897">IF(P188="","",O193)</f>
        <v/>
      </c>
      <c r="Q193" s="12" t="str">
        <f t="shared" ref="Q193" si="2898">IF(Q188="","",P193)</f>
        <v/>
      </c>
      <c r="R193" s="12" t="str">
        <f t="shared" ref="R193" si="2899">IF(R188="","",Q193)</f>
        <v/>
      </c>
      <c r="S193" s="12" t="str">
        <f t="shared" ref="S193" si="2900">IF(S188="","",R193)</f>
        <v/>
      </c>
      <c r="T193" s="12" t="str">
        <f t="shared" ref="T193" si="2901">IF(T188="","",S193)</f>
        <v/>
      </c>
      <c r="U193" s="12" t="str">
        <f t="shared" ref="U193" si="2902">IF(U188="","",T193)</f>
        <v/>
      </c>
      <c r="V193" s="12" t="str">
        <f t="shared" ref="V193" si="2903">IF(V188="","",U193)</f>
        <v/>
      </c>
      <c r="W193" s="12" t="str">
        <f t="shared" ref="W193" si="2904">IF(W188="","",V193)</f>
        <v/>
      </c>
      <c r="X193" s="12" t="str">
        <f>IF(X188="","",W193)</f>
        <v/>
      </c>
      <c r="Y193" s="12" t="str">
        <f t="shared" ref="Y193" si="2905">IF(Y188="","",X193)</f>
        <v/>
      </c>
      <c r="Z193" s="12" t="str">
        <f t="shared" ref="Z193" si="2906">IF(Z188="","",Y193)</f>
        <v/>
      </c>
      <c r="AA193" s="12" t="str">
        <f t="shared" ref="AA193" si="2907">IF(AA188="","",Z193)</f>
        <v/>
      </c>
      <c r="AB193" s="12" t="str">
        <f t="shared" ref="AB193" si="2908">IF(AB188="","",AA193)</f>
        <v/>
      </c>
      <c r="AC193" s="12" t="str">
        <f t="shared" ref="AC193" si="2909">IF(AC188="","",AB193)</f>
        <v/>
      </c>
      <c r="AD193" s="12" t="str">
        <f t="shared" ref="AD193" si="2910">IF(AD188="","",AC193)</f>
        <v/>
      </c>
      <c r="AE193" s="12" t="str">
        <f t="shared" ref="AE193" si="2911">IF(AE188="","",AD193)</f>
        <v/>
      </c>
      <c r="AF193" s="12" t="str">
        <f t="shared" ref="AF193" si="2912">IF(AF188="","",AE193)</f>
        <v/>
      </c>
      <c r="AG193" s="12" t="str">
        <f t="shared" ref="AG193" si="2913">IF(AG188="","",AF193)</f>
        <v/>
      </c>
      <c r="AH193" s="12" t="str">
        <f t="shared" ref="AH193" si="2914">IF(AH188="","",AG193)</f>
        <v/>
      </c>
      <c r="AI193" s="12" t="str">
        <f t="shared" ref="AI193" si="2915">IF(AI188="","",AH193)</f>
        <v/>
      </c>
      <c r="AJ193" s="12" t="str">
        <f t="shared" ref="AJ193" si="2916">IF(AJ188="","",AI193)</f>
        <v/>
      </c>
      <c r="AK193" s="12" t="str">
        <f t="shared" ref="AK193" si="2917">IF(AK188="","",AJ193)</f>
        <v/>
      </c>
      <c r="AL193" s="12" t="str">
        <f t="shared" ref="AL193" si="2918">IF(AL188="","",AK193)</f>
        <v/>
      </c>
      <c r="AM193" s="12" t="str">
        <f t="shared" ref="AM193" si="2919">IF(AM188="","",AL193)</f>
        <v/>
      </c>
      <c r="AN193" s="12" t="str">
        <f t="shared" ref="AN193" si="2920">IF(AN188="","",AM193)</f>
        <v/>
      </c>
      <c r="AO193" s="12" t="str">
        <f t="shared" ref="AO193" si="2921">IF(AO188="","",AN193)</f>
        <v/>
      </c>
      <c r="AP193" s="12" t="str">
        <f t="shared" ref="AP193:AS193" si="2922">IF(AP188="","",AO193)</f>
        <v/>
      </c>
      <c r="AQ193" s="12" t="str">
        <f t="shared" si="2922"/>
        <v/>
      </c>
      <c r="AR193" s="12" t="str">
        <f t="shared" si="2922"/>
        <v/>
      </c>
      <c r="AS193" s="12" t="str">
        <f t="shared" si="2922"/>
        <v/>
      </c>
    </row>
    <row r="194" spans="1:45" x14ac:dyDescent="0.15">
      <c r="A194" s="7">
        <f>AVERAGE(C195:AS195)*30*100</f>
        <v>39000</v>
      </c>
      <c r="B194" s="9" t="s">
        <v>12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</row>
    <row r="195" spans="1:45" x14ac:dyDescent="0.15">
      <c r="A195" s="7">
        <f>SUM(C195:AS195)</f>
        <v>143</v>
      </c>
      <c r="B195" s="6" t="s">
        <v>13</v>
      </c>
      <c r="C195" s="5">
        <v>0</v>
      </c>
      <c r="D195" s="5">
        <v>0</v>
      </c>
      <c r="E195" s="5">
        <v>0</v>
      </c>
      <c r="F195" s="5">
        <v>64</v>
      </c>
      <c r="G195" s="5">
        <v>0</v>
      </c>
      <c r="H195" s="5">
        <v>0</v>
      </c>
      <c r="I195" s="5">
        <v>0</v>
      </c>
      <c r="J195" s="5">
        <v>18</v>
      </c>
      <c r="K195" s="5">
        <f t="shared" ref="K195:K196" si="2923">IF(K188="","",K188-J188)</f>
        <v>0</v>
      </c>
      <c r="L195" s="5">
        <f t="shared" ref="L195:L196" si="2924">IF(L188="","",L188-K188)</f>
        <v>0</v>
      </c>
      <c r="M195" s="5">
        <f t="shared" ref="M195:M196" si="2925">IF(M188="","",M188-L188)</f>
        <v>61</v>
      </c>
      <c r="N195" s="5" t="str">
        <f t="shared" ref="N195:N196" si="2926">IF(N188="","",N188-M188)</f>
        <v/>
      </c>
      <c r="O195" s="5" t="str">
        <f t="shared" ref="O195:O196" si="2927">IF(O188="","",O188-N188)</f>
        <v/>
      </c>
      <c r="P195" s="5" t="str">
        <f t="shared" ref="P195:P196" si="2928">IF(P188="","",P188-O188)</f>
        <v/>
      </c>
      <c r="Q195" s="5" t="str">
        <f t="shared" ref="Q195:Q196" si="2929">IF(Q188="","",Q188-P188)</f>
        <v/>
      </c>
      <c r="R195" s="5" t="str">
        <f t="shared" ref="R195:R196" si="2930">IF(R188="","",R188-Q188)</f>
        <v/>
      </c>
      <c r="S195" s="5" t="str">
        <f t="shared" ref="S195:S196" si="2931">IF(S188="","",S188-R188)</f>
        <v/>
      </c>
      <c r="T195" s="5" t="str">
        <f t="shared" ref="T195:T196" si="2932">IF(T188="","",T188-S188)</f>
        <v/>
      </c>
      <c r="U195" s="5" t="str">
        <f t="shared" ref="U195:U196" si="2933">IF(U188="","",U188-T188)</f>
        <v/>
      </c>
      <c r="V195" s="5" t="str">
        <f t="shared" ref="V195:V196" si="2934">IF(V188="","",V188-U188)</f>
        <v/>
      </c>
      <c r="W195" s="5" t="str">
        <f t="shared" ref="W195:W196" si="2935">IF(W188="","",W188-V188)</f>
        <v/>
      </c>
      <c r="X195" s="5" t="str">
        <f t="shared" ref="X195:X196" si="2936">IF(X188="","",X188-W188)</f>
        <v/>
      </c>
      <c r="Y195" s="5" t="str">
        <f t="shared" ref="Y195:Y196" si="2937">IF(Y188="","",Y188-X188)</f>
        <v/>
      </c>
      <c r="Z195" s="5" t="str">
        <f t="shared" ref="Z195:Z196" si="2938">IF(Z188="","",Z188-Y188)</f>
        <v/>
      </c>
      <c r="AA195" s="5" t="str">
        <f t="shared" ref="AA195:AA196" si="2939">IF(AA188="","",AA188-Z188)</f>
        <v/>
      </c>
      <c r="AB195" s="5" t="str">
        <f t="shared" ref="AB195:AB196" si="2940">IF(AB188="","",AB188-AA188)</f>
        <v/>
      </c>
      <c r="AC195" s="5" t="str">
        <f t="shared" ref="AC195:AC196" si="2941">IF(AC188="","",AC188-AB188)</f>
        <v/>
      </c>
      <c r="AD195" s="5" t="str">
        <f t="shared" ref="AD195:AD196" si="2942">IF(AD188="","",AD188-AC188)</f>
        <v/>
      </c>
      <c r="AE195" s="5" t="str">
        <f t="shared" ref="AE195:AE196" si="2943">IF(AE188="","",AE188-AD188)</f>
        <v/>
      </c>
      <c r="AF195" s="5" t="str">
        <f t="shared" ref="AF195:AF196" si="2944">IF(AF188="","",AF188-AE188)</f>
        <v/>
      </c>
      <c r="AG195" s="5" t="str">
        <f t="shared" ref="AG195:AG196" si="2945">IF(AG188="","",AG188-AF188)</f>
        <v/>
      </c>
      <c r="AH195" s="5" t="str">
        <f t="shared" ref="AH195:AH196" si="2946">IF(AH188="","",AH188-AG188)</f>
        <v/>
      </c>
      <c r="AI195" s="5" t="str">
        <f t="shared" ref="AI195:AI196" si="2947">IF(AI188="","",AI188-AH188)</f>
        <v/>
      </c>
      <c r="AJ195" s="5" t="str">
        <f t="shared" ref="AJ195:AJ196" si="2948">IF(AJ188="","",AJ188-AI188)</f>
        <v/>
      </c>
      <c r="AK195" s="5" t="str">
        <f t="shared" ref="AK195:AK196" si="2949">IF(AK188="","",AK188-AJ188)</f>
        <v/>
      </c>
      <c r="AL195" s="5" t="str">
        <f t="shared" ref="AL195:AL196" si="2950">IF(AL188="","",AL188-AK188)</f>
        <v/>
      </c>
      <c r="AM195" s="5" t="str">
        <f t="shared" ref="AM195:AM196" si="2951">IF(AM188="","",AM188-AL188)</f>
        <v/>
      </c>
      <c r="AN195" s="5" t="str">
        <f t="shared" ref="AN195:AN196" si="2952">IF(AN188="","",AN188-AM188)</f>
        <v/>
      </c>
      <c r="AO195" s="5" t="str">
        <f t="shared" ref="AO195:AO196" si="2953">IF(AO188="","",AO188-AN188)</f>
        <v/>
      </c>
      <c r="AP195" s="5" t="str">
        <f t="shared" ref="AP195:AS195" si="2954">IF(AP188="","",AP188-AO188)</f>
        <v/>
      </c>
      <c r="AQ195" s="5" t="str">
        <f t="shared" si="2954"/>
        <v/>
      </c>
      <c r="AR195" s="5" t="str">
        <f t="shared" si="2954"/>
        <v/>
      </c>
      <c r="AS195" s="5" t="str">
        <f t="shared" si="2954"/>
        <v/>
      </c>
    </row>
    <row r="196" spans="1:45" x14ac:dyDescent="0.15">
      <c r="A196" s="7">
        <f>SUM(C196:AS196)</f>
        <v>2</v>
      </c>
      <c r="B196" s="6" t="s">
        <v>14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1</v>
      </c>
      <c r="K196" s="5">
        <f t="shared" si="2923"/>
        <v>0</v>
      </c>
      <c r="L196" s="5">
        <f t="shared" si="2924"/>
        <v>0</v>
      </c>
      <c r="M196" s="5">
        <f t="shared" si="2925"/>
        <v>1</v>
      </c>
      <c r="N196" s="5" t="str">
        <f t="shared" si="2926"/>
        <v/>
      </c>
      <c r="O196" s="5" t="str">
        <f t="shared" si="2927"/>
        <v/>
      </c>
      <c r="P196" s="5" t="str">
        <f t="shared" si="2928"/>
        <v/>
      </c>
      <c r="Q196" s="5" t="str">
        <f t="shared" si="2929"/>
        <v/>
      </c>
      <c r="R196" s="5" t="str">
        <f t="shared" si="2930"/>
        <v/>
      </c>
      <c r="S196" s="5" t="str">
        <f t="shared" si="2931"/>
        <v/>
      </c>
      <c r="T196" s="5" t="str">
        <f t="shared" si="2932"/>
        <v/>
      </c>
      <c r="U196" s="5" t="str">
        <f t="shared" si="2933"/>
        <v/>
      </c>
      <c r="V196" s="5" t="str">
        <f t="shared" si="2934"/>
        <v/>
      </c>
      <c r="W196" s="5" t="str">
        <f t="shared" si="2935"/>
        <v/>
      </c>
      <c r="X196" s="5" t="str">
        <f t="shared" si="2936"/>
        <v/>
      </c>
      <c r="Y196" s="5" t="str">
        <f t="shared" si="2937"/>
        <v/>
      </c>
      <c r="Z196" s="5" t="str">
        <f t="shared" si="2938"/>
        <v/>
      </c>
      <c r="AA196" s="5" t="str">
        <f t="shared" si="2939"/>
        <v/>
      </c>
      <c r="AB196" s="5" t="str">
        <f t="shared" si="2940"/>
        <v/>
      </c>
      <c r="AC196" s="5" t="str">
        <f t="shared" si="2941"/>
        <v/>
      </c>
      <c r="AD196" s="5" t="str">
        <f t="shared" si="2942"/>
        <v/>
      </c>
      <c r="AE196" s="5" t="str">
        <f t="shared" si="2943"/>
        <v/>
      </c>
      <c r="AF196" s="5" t="str">
        <f t="shared" si="2944"/>
        <v/>
      </c>
      <c r="AG196" s="5" t="str">
        <f t="shared" si="2945"/>
        <v/>
      </c>
      <c r="AH196" s="5" t="str">
        <f t="shared" si="2946"/>
        <v/>
      </c>
      <c r="AI196" s="5" t="str">
        <f t="shared" si="2947"/>
        <v/>
      </c>
      <c r="AJ196" s="5" t="str">
        <f t="shared" si="2948"/>
        <v/>
      </c>
      <c r="AK196" s="5" t="str">
        <f t="shared" si="2949"/>
        <v/>
      </c>
      <c r="AL196" s="5" t="str">
        <f t="shared" si="2950"/>
        <v/>
      </c>
      <c r="AM196" s="5" t="str">
        <f t="shared" si="2951"/>
        <v/>
      </c>
      <c r="AN196" s="5" t="str">
        <f t="shared" si="2952"/>
        <v/>
      </c>
      <c r="AO196" s="5" t="str">
        <f t="shared" si="2953"/>
        <v/>
      </c>
      <c r="AP196" s="5" t="str">
        <f t="shared" ref="AP196:AS196" si="2955">IF(AP189="","",AP189-AO189)</f>
        <v/>
      </c>
      <c r="AQ196" s="5" t="str">
        <f t="shared" si="2955"/>
        <v/>
      </c>
      <c r="AR196" s="5" t="str">
        <f t="shared" si="2955"/>
        <v/>
      </c>
      <c r="AS196" s="5" t="str">
        <f t="shared" si="2955"/>
        <v/>
      </c>
    </row>
    <row r="197" spans="1:45" x14ac:dyDescent="0.15">
      <c r="A197" s="7">
        <f>SUM(C197:AS197)</f>
        <v>4</v>
      </c>
      <c r="B197" s="6" t="s">
        <v>15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1</v>
      </c>
      <c r="K197" s="5">
        <f t="shared" ref="K197" si="2956">IF(K190="","",J190+J191-K190)</f>
        <v>0</v>
      </c>
      <c r="L197" s="5">
        <f t="shared" ref="L197" si="2957">IF(L190="","",K190+K191-L190)</f>
        <v>0</v>
      </c>
      <c r="M197" s="5">
        <f t="shared" ref="M197" si="2958">IF(M190="","",L190+L191-M190)</f>
        <v>3</v>
      </c>
      <c r="N197" s="5" t="str">
        <f t="shared" ref="N197" si="2959">IF(N190="","",M190+M191-N190)</f>
        <v/>
      </c>
      <c r="O197" s="5" t="str">
        <f t="shared" ref="O197" si="2960">IF(O190="","",N190+N191-O190)</f>
        <v/>
      </c>
      <c r="P197" s="5" t="str">
        <f t="shared" ref="P197" si="2961">IF(P190="","",O190+O191-P190)</f>
        <v/>
      </c>
      <c r="Q197" s="5" t="str">
        <f t="shared" ref="Q197" si="2962">IF(Q190="","",P190+P191-Q190)</f>
        <v/>
      </c>
      <c r="R197" s="5" t="str">
        <f t="shared" ref="R197" si="2963">IF(R190="","",Q190+Q191-R190)</f>
        <v/>
      </c>
      <c r="S197" s="5" t="str">
        <f t="shared" ref="S197" si="2964">IF(S190="","",R190+R191-S190)</f>
        <v/>
      </c>
      <c r="T197" s="5" t="str">
        <f t="shared" ref="T197" si="2965">IF(T190="","",S190+S191-T190)</f>
        <v/>
      </c>
      <c r="U197" s="5" t="str">
        <f t="shared" ref="U197" si="2966">IF(U190="","",T190+T191-U190)</f>
        <v/>
      </c>
      <c r="V197" s="5" t="str">
        <f t="shared" ref="V197" si="2967">IF(V190="","",U190+U191-V190)</f>
        <v/>
      </c>
      <c r="W197" s="5" t="str">
        <f t="shared" ref="W197" si="2968">IF(W190="","",V190+V191-W190)</f>
        <v/>
      </c>
      <c r="X197" s="5" t="str">
        <f t="shared" ref="X197" si="2969">IF(X190="","",W190+W191-X190)</f>
        <v/>
      </c>
      <c r="Y197" s="5" t="str">
        <f t="shared" ref="Y197" si="2970">IF(Y190="","",X190+X191-Y190)</f>
        <v/>
      </c>
      <c r="Z197" s="5" t="str">
        <f t="shared" ref="Z197" si="2971">IF(Z190="","",Y190+Y191-Z190)</f>
        <v/>
      </c>
      <c r="AA197" s="5" t="str">
        <f t="shared" ref="AA197" si="2972">IF(AA190="","",Z190+Z191-AA190)</f>
        <v/>
      </c>
      <c r="AB197" s="5" t="str">
        <f t="shared" ref="AB197" si="2973">IF(AB190="","",AA190+AA191-AB190)</f>
        <v/>
      </c>
      <c r="AC197" s="5" t="str">
        <f t="shared" ref="AC197" si="2974">IF(AC190="","",AB190+AB191-AC190)</f>
        <v/>
      </c>
      <c r="AD197" s="5" t="str">
        <f t="shared" ref="AD197" si="2975">IF(AD190="","",AC190+AC191-AD190)</f>
        <v/>
      </c>
      <c r="AE197" s="5" t="str">
        <f t="shared" ref="AE197" si="2976">IF(AE190="","",AD190+AD191-AE190)</f>
        <v/>
      </c>
      <c r="AF197" s="5" t="str">
        <f t="shared" ref="AF197" si="2977">IF(AF190="","",AE190+AE191-AF190)</f>
        <v/>
      </c>
      <c r="AG197" s="5" t="str">
        <f t="shared" ref="AG197" si="2978">IF(AG190="","",AF190+AF191-AG190)</f>
        <v/>
      </c>
      <c r="AH197" s="5" t="str">
        <f t="shared" ref="AH197" si="2979">IF(AH190="","",AG190+AG191-AH190)</f>
        <v/>
      </c>
      <c r="AI197" s="5" t="str">
        <f t="shared" ref="AI197" si="2980">IF(AI190="","",AH190+AH191-AI190)</f>
        <v/>
      </c>
      <c r="AJ197" s="5" t="str">
        <f t="shared" ref="AJ197" si="2981">IF(AJ190="","",AI190+AI191-AJ190)</f>
        <v/>
      </c>
      <c r="AK197" s="5" t="str">
        <f t="shared" ref="AK197" si="2982">IF(AK190="","",AJ190+AJ191-AK190)</f>
        <v/>
      </c>
      <c r="AL197" s="5" t="str">
        <f t="shared" ref="AL197" si="2983">IF(AL190="","",AK190+AK191-AL190)</f>
        <v/>
      </c>
      <c r="AM197" s="5" t="str">
        <f t="shared" ref="AM197" si="2984">IF(AM190="","",AL190+AL191-AM190)</f>
        <v/>
      </c>
      <c r="AN197" s="5" t="str">
        <f t="shared" ref="AN197" si="2985">IF(AN190="","",AM190+AM191-AN190)</f>
        <v/>
      </c>
      <c r="AO197" s="5" t="str">
        <f t="shared" ref="AO197" si="2986">IF(AO190="","",AN190+AN191-AO190)</f>
        <v/>
      </c>
      <c r="AP197" s="5" t="str">
        <f t="shared" ref="AP197:AS197" si="2987">IF(AP190="","",AO190+AO191-AP190)</f>
        <v/>
      </c>
      <c r="AQ197" s="5" t="str">
        <f t="shared" si="2987"/>
        <v/>
      </c>
      <c r="AR197" s="5" t="str">
        <f t="shared" si="2987"/>
        <v/>
      </c>
      <c r="AS197" s="5" t="str">
        <f t="shared" si="2987"/>
        <v/>
      </c>
    </row>
    <row r="198" spans="1:45" x14ac:dyDescent="0.15">
      <c r="A198" s="7">
        <f>SUM(C198:AS198)</f>
        <v>3000</v>
      </c>
      <c r="B198" s="6" t="s">
        <v>16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750</v>
      </c>
      <c r="K198" s="5">
        <f t="shared" ref="I198:AO198" si="2988">IF(K188="","",K197*K192)</f>
        <v>0</v>
      </c>
      <c r="L198" s="5">
        <f t="shared" si="2988"/>
        <v>0</v>
      </c>
      <c r="M198" s="5">
        <f t="shared" si="2988"/>
        <v>2250</v>
      </c>
      <c r="N198" s="5" t="str">
        <f t="shared" si="2988"/>
        <v/>
      </c>
      <c r="O198" s="5" t="str">
        <f t="shared" si="2988"/>
        <v/>
      </c>
      <c r="P198" s="5" t="str">
        <f t="shared" si="2988"/>
        <v/>
      </c>
      <c r="Q198" s="5" t="str">
        <f t="shared" si="2988"/>
        <v/>
      </c>
      <c r="R198" s="5" t="str">
        <f t="shared" si="2988"/>
        <v/>
      </c>
      <c r="S198" s="5" t="str">
        <f t="shared" si="2988"/>
        <v/>
      </c>
      <c r="T198" s="5" t="str">
        <f t="shared" si="2988"/>
        <v/>
      </c>
      <c r="U198" s="5" t="str">
        <f t="shared" si="2988"/>
        <v/>
      </c>
      <c r="V198" s="5" t="str">
        <f t="shared" si="2988"/>
        <v/>
      </c>
      <c r="W198" s="5" t="str">
        <f t="shared" si="2988"/>
        <v/>
      </c>
      <c r="X198" s="5" t="str">
        <f t="shared" si="2988"/>
        <v/>
      </c>
      <c r="Y198" s="5" t="str">
        <f t="shared" si="2988"/>
        <v/>
      </c>
      <c r="Z198" s="5" t="str">
        <f t="shared" si="2988"/>
        <v/>
      </c>
      <c r="AA198" s="5" t="str">
        <f t="shared" si="2988"/>
        <v/>
      </c>
      <c r="AB198" s="5" t="str">
        <f t="shared" si="2988"/>
        <v/>
      </c>
      <c r="AC198" s="5" t="str">
        <f t="shared" si="2988"/>
        <v/>
      </c>
      <c r="AD198" s="5" t="str">
        <f t="shared" si="2988"/>
        <v/>
      </c>
      <c r="AE198" s="5" t="str">
        <f t="shared" si="2988"/>
        <v/>
      </c>
      <c r="AF198" s="5" t="str">
        <f t="shared" si="2988"/>
        <v/>
      </c>
      <c r="AG198" s="5" t="str">
        <f t="shared" si="2988"/>
        <v/>
      </c>
      <c r="AH198" s="5" t="str">
        <f t="shared" si="2988"/>
        <v/>
      </c>
      <c r="AI198" s="5" t="str">
        <f t="shared" si="2988"/>
        <v/>
      </c>
      <c r="AJ198" s="5" t="str">
        <f t="shared" si="2988"/>
        <v/>
      </c>
      <c r="AK198" s="5" t="str">
        <f t="shared" si="2988"/>
        <v/>
      </c>
      <c r="AL198" s="5" t="str">
        <f t="shared" si="2988"/>
        <v/>
      </c>
      <c r="AM198" s="5" t="str">
        <f t="shared" si="2988"/>
        <v/>
      </c>
      <c r="AN198" s="5" t="str">
        <f t="shared" si="2988"/>
        <v/>
      </c>
      <c r="AO198" s="5" t="str">
        <f t="shared" si="2988"/>
        <v/>
      </c>
      <c r="AP198" s="5" t="str">
        <f t="shared" ref="AP198:AS198" si="2989">IF(AP188="","",AP197*AP192)</f>
        <v/>
      </c>
      <c r="AQ198" s="5" t="str">
        <f t="shared" si="2989"/>
        <v/>
      </c>
      <c r="AR198" s="5" t="str">
        <f t="shared" si="2989"/>
        <v/>
      </c>
      <c r="AS198" s="5" t="str">
        <f t="shared" si="2989"/>
        <v/>
      </c>
    </row>
    <row r="199" spans="1:45" ht="12" thickBot="1" x14ac:dyDescent="0.2">
      <c r="A199" s="4">
        <f>IF(A198="","",A198/(A195*100))</f>
        <v>0.20979020979020979</v>
      </c>
      <c r="B199" s="6" t="s">
        <v>18</v>
      </c>
      <c r="C199" s="18" t="s">
        <v>19</v>
      </c>
      <c r="D199" s="18" t="s">
        <v>19</v>
      </c>
      <c r="E199" s="18" t="s">
        <v>19</v>
      </c>
      <c r="F199" s="18" t="s">
        <v>19</v>
      </c>
      <c r="G199" s="18" t="s">
        <v>19</v>
      </c>
      <c r="H199" s="18" t="s">
        <v>19</v>
      </c>
      <c r="I199" s="18" t="s">
        <v>19</v>
      </c>
      <c r="J199" s="18">
        <v>0.41666666666666669</v>
      </c>
      <c r="K199" s="18" t="str">
        <f t="shared" ref="I199:AO199" si="2990">IF(K198="","",IF(K198=0,"",K198/(K195*100)))</f>
        <v/>
      </c>
      <c r="L199" s="18" t="str">
        <f t="shared" si="2990"/>
        <v/>
      </c>
      <c r="M199" s="18">
        <f t="shared" si="2990"/>
        <v>0.36885245901639346</v>
      </c>
      <c r="N199" s="18" t="str">
        <f t="shared" si="2990"/>
        <v/>
      </c>
      <c r="O199" s="18" t="str">
        <f t="shared" si="2990"/>
        <v/>
      </c>
      <c r="P199" s="18" t="str">
        <f t="shared" si="2990"/>
        <v/>
      </c>
      <c r="Q199" s="18" t="str">
        <f t="shared" si="2990"/>
        <v/>
      </c>
      <c r="R199" s="18" t="str">
        <f t="shared" si="2990"/>
        <v/>
      </c>
      <c r="S199" s="18" t="str">
        <f t="shared" si="2990"/>
        <v/>
      </c>
      <c r="T199" s="18" t="str">
        <f t="shared" si="2990"/>
        <v/>
      </c>
      <c r="U199" s="18" t="str">
        <f t="shared" si="2990"/>
        <v/>
      </c>
      <c r="V199" s="18" t="str">
        <f t="shared" si="2990"/>
        <v/>
      </c>
      <c r="W199" s="18" t="str">
        <f t="shared" si="2990"/>
        <v/>
      </c>
      <c r="X199" s="18" t="str">
        <f t="shared" si="2990"/>
        <v/>
      </c>
      <c r="Y199" s="18" t="str">
        <f t="shared" si="2990"/>
        <v/>
      </c>
      <c r="Z199" s="18" t="str">
        <f t="shared" si="2990"/>
        <v/>
      </c>
      <c r="AA199" s="18" t="str">
        <f t="shared" si="2990"/>
        <v/>
      </c>
      <c r="AB199" s="18" t="str">
        <f t="shared" si="2990"/>
        <v/>
      </c>
      <c r="AC199" s="18" t="str">
        <f t="shared" si="2990"/>
        <v/>
      </c>
      <c r="AD199" s="18" t="str">
        <f t="shared" si="2990"/>
        <v/>
      </c>
      <c r="AE199" s="18" t="str">
        <f t="shared" si="2990"/>
        <v/>
      </c>
      <c r="AF199" s="18" t="str">
        <f t="shared" si="2990"/>
        <v/>
      </c>
      <c r="AG199" s="18" t="str">
        <f t="shared" si="2990"/>
        <v/>
      </c>
      <c r="AH199" s="18" t="str">
        <f t="shared" si="2990"/>
        <v/>
      </c>
      <c r="AI199" s="18" t="str">
        <f t="shared" si="2990"/>
        <v/>
      </c>
      <c r="AJ199" s="18" t="str">
        <f t="shared" si="2990"/>
        <v/>
      </c>
      <c r="AK199" s="18" t="str">
        <f t="shared" si="2990"/>
        <v/>
      </c>
      <c r="AL199" s="18" t="str">
        <f t="shared" si="2990"/>
        <v/>
      </c>
      <c r="AM199" s="18" t="str">
        <f t="shared" si="2990"/>
        <v/>
      </c>
      <c r="AN199" s="18" t="str">
        <f t="shared" si="2990"/>
        <v/>
      </c>
      <c r="AO199" s="18" t="str">
        <f t="shared" si="2990"/>
        <v/>
      </c>
      <c r="AP199" s="18" t="str">
        <f t="shared" ref="AP199:AS199" si="2991">IF(AP198="","",IF(AP198=0,"",AP198/(AP195*100)))</f>
        <v/>
      </c>
      <c r="AQ199" s="18" t="str">
        <f t="shared" si="2991"/>
        <v/>
      </c>
      <c r="AR199" s="18" t="str">
        <f t="shared" si="2991"/>
        <v/>
      </c>
      <c r="AS199" s="18" t="str">
        <f t="shared" si="2991"/>
        <v/>
      </c>
    </row>
    <row r="200" spans="1:45" x14ac:dyDescent="0.15">
      <c r="A200" s="17" t="s">
        <v>59</v>
      </c>
      <c r="B200" s="9" t="s">
        <v>2</v>
      </c>
      <c r="C200" s="8">
        <v>7866</v>
      </c>
      <c r="D200" s="8">
        <v>7866</v>
      </c>
      <c r="E200" s="8">
        <v>7866</v>
      </c>
      <c r="F200" s="8">
        <v>7941</v>
      </c>
      <c r="G200" s="8">
        <v>7941</v>
      </c>
      <c r="H200" s="8">
        <v>7941</v>
      </c>
      <c r="I200" s="8">
        <v>7941</v>
      </c>
      <c r="J200" s="8">
        <v>7946</v>
      </c>
      <c r="K200" s="8">
        <f t="shared" ref="K200:K201" si="2992">IF(K$8="","",J200)</f>
        <v>7946</v>
      </c>
      <c r="L200" s="8">
        <f t="shared" ref="L200:L201" si="2993">IF(L$8="","",K200)</f>
        <v>7946</v>
      </c>
      <c r="M200" s="8">
        <v>7973</v>
      </c>
      <c r="N200" s="8" t="str">
        <f t="shared" ref="N200:N201" si="2994">IF(N$8="","",M200)</f>
        <v/>
      </c>
      <c r="O200" s="8" t="str">
        <f t="shared" ref="O200:O201" si="2995">IF(O$8="","",N200)</f>
        <v/>
      </c>
      <c r="P200" s="8" t="str">
        <f t="shared" ref="P200:P201" si="2996">IF(P$8="","",O200)</f>
        <v/>
      </c>
      <c r="Q200" s="8" t="str">
        <f>IF(Q$8="","",P200)</f>
        <v/>
      </c>
      <c r="R200" s="8" t="str">
        <f t="shared" ref="R200:R201" si="2997">IF(R$8="","",Q200)</f>
        <v/>
      </c>
      <c r="S200" s="8" t="str">
        <f t="shared" ref="S200:S201" si="2998">IF(S$8="","",R200)</f>
        <v/>
      </c>
      <c r="T200" s="8" t="str">
        <f>IF(T$8="","",S200)</f>
        <v/>
      </c>
      <c r="U200" s="8" t="str">
        <f t="shared" ref="U200:U201" si="2999">IF(U$8="","",T200)</f>
        <v/>
      </c>
      <c r="V200" s="8" t="str">
        <f t="shared" ref="V200:V201" si="3000">IF(V$8="","",U200)</f>
        <v/>
      </c>
      <c r="W200" s="8" t="str">
        <f t="shared" ref="W200:W201" si="3001">IF(W$8="","",V200)</f>
        <v/>
      </c>
      <c r="X200" s="8" t="str">
        <f>IF(X$8="","",W200)</f>
        <v/>
      </c>
      <c r="Y200" s="8" t="str">
        <f t="shared" ref="Y200:Y201" si="3002">IF(Y$8="","",X200)</f>
        <v/>
      </c>
      <c r="Z200" s="8" t="str">
        <f t="shared" ref="Z200:Z201" si="3003">IF(Z$8="","",Y200)</f>
        <v/>
      </c>
      <c r="AA200" s="8" t="str">
        <f>IF(AA$8="","",Z200)</f>
        <v/>
      </c>
      <c r="AB200" s="8" t="str">
        <f t="shared" ref="AB200:AB201" si="3004">IF(AB$8="","",AA200)</f>
        <v/>
      </c>
      <c r="AC200" s="8" t="str">
        <f t="shared" ref="AC200:AC201" si="3005">IF(AC$8="","",AB200)</f>
        <v/>
      </c>
      <c r="AD200" s="8" t="str">
        <f>IF(AD$8="","",AC200)</f>
        <v/>
      </c>
      <c r="AE200" s="8" t="str">
        <f t="shared" ref="AE200:AE201" si="3006">IF(AE$8="","",AD200)</f>
        <v/>
      </c>
      <c r="AF200" s="8" t="str">
        <f t="shared" ref="AF200:AF201" si="3007">IF(AF$8="","",AE200)</f>
        <v/>
      </c>
      <c r="AG200" s="8" t="str">
        <f t="shared" ref="AG200:AG201" si="3008">IF(AG$8="","",AF200)</f>
        <v/>
      </c>
      <c r="AH200" s="8" t="str">
        <f>IF(AH$8="","",AG200)</f>
        <v/>
      </c>
      <c r="AI200" s="8" t="str">
        <f t="shared" ref="AI200:AI201" si="3009">IF(AI$8="","",AH200)</f>
        <v/>
      </c>
      <c r="AJ200" s="8" t="str">
        <f t="shared" ref="AJ200:AJ201" si="3010">IF(AJ$8="","",AI200)</f>
        <v/>
      </c>
      <c r="AK200" s="8" t="str">
        <f t="shared" ref="AK200:AK201" si="3011">IF(AK$8="","",AJ200)</f>
        <v/>
      </c>
      <c r="AL200" s="8" t="str">
        <f>IF(AL$8="","",AK200)</f>
        <v/>
      </c>
      <c r="AM200" s="8" t="str">
        <f t="shared" ref="AM200:AM201" si="3012">IF(AM$8="","",AL200)</f>
        <v/>
      </c>
      <c r="AN200" s="8" t="str">
        <f t="shared" ref="AN200:AN201" si="3013">IF(AN$8="","",AM200)</f>
        <v/>
      </c>
      <c r="AO200" s="8" t="str">
        <f t="shared" ref="AO200:AO201" si="3014">IF(AO$8="","",AN200)</f>
        <v/>
      </c>
      <c r="AP200" s="8" t="str">
        <f t="shared" ref="AP200:AS200" si="3015">IF(AP$8="","",AO200)</f>
        <v/>
      </c>
      <c r="AQ200" s="8" t="str">
        <f t="shared" si="3015"/>
        <v/>
      </c>
      <c r="AR200" s="8" t="str">
        <f t="shared" si="3015"/>
        <v/>
      </c>
      <c r="AS200" s="8" t="str">
        <f t="shared" si="3015"/>
        <v/>
      </c>
    </row>
    <row r="201" spans="1:45" x14ac:dyDescent="0.15">
      <c r="A201" s="16" t="s">
        <v>32</v>
      </c>
      <c r="B201" s="9" t="s">
        <v>4</v>
      </c>
      <c r="C201" s="8">
        <v>148</v>
      </c>
      <c r="D201" s="8">
        <v>148</v>
      </c>
      <c r="E201" s="8">
        <v>148</v>
      </c>
      <c r="F201" s="8">
        <v>150</v>
      </c>
      <c r="G201" s="8">
        <v>150</v>
      </c>
      <c r="H201" s="8">
        <v>150</v>
      </c>
      <c r="I201" s="8">
        <v>150</v>
      </c>
      <c r="J201" s="8">
        <v>150</v>
      </c>
      <c r="K201" s="8">
        <f t="shared" si="2992"/>
        <v>150</v>
      </c>
      <c r="L201" s="8">
        <f t="shared" si="2993"/>
        <v>150</v>
      </c>
      <c r="M201" s="8">
        <f>IF(M$8="","",L201)</f>
        <v>150</v>
      </c>
      <c r="N201" s="8" t="str">
        <f t="shared" si="2994"/>
        <v/>
      </c>
      <c r="O201" s="8" t="str">
        <f t="shared" si="2995"/>
        <v/>
      </c>
      <c r="P201" s="8" t="str">
        <f t="shared" si="2996"/>
        <v/>
      </c>
      <c r="Q201" s="8" t="str">
        <f>IF(Q$8="","",P201)</f>
        <v/>
      </c>
      <c r="R201" s="8" t="str">
        <f t="shared" si="2997"/>
        <v/>
      </c>
      <c r="S201" s="8" t="str">
        <f t="shared" si="2998"/>
        <v/>
      </c>
      <c r="T201" s="8" t="str">
        <f>IF(T$8="","",S201)</f>
        <v/>
      </c>
      <c r="U201" s="8" t="str">
        <f t="shared" si="2999"/>
        <v/>
      </c>
      <c r="V201" s="8" t="str">
        <f t="shared" si="3000"/>
        <v/>
      </c>
      <c r="W201" s="8" t="str">
        <f t="shared" si="3001"/>
        <v/>
      </c>
      <c r="X201" s="8" t="str">
        <f>IF(X$8="","",W201)</f>
        <v/>
      </c>
      <c r="Y201" s="8" t="str">
        <f t="shared" si="3002"/>
        <v/>
      </c>
      <c r="Z201" s="8" t="str">
        <f t="shared" si="3003"/>
        <v/>
      </c>
      <c r="AA201" s="8" t="str">
        <f>IF(AA$8="","",Z201)</f>
        <v/>
      </c>
      <c r="AB201" s="8" t="str">
        <f t="shared" si="3004"/>
        <v/>
      </c>
      <c r="AC201" s="8" t="str">
        <f t="shared" si="3005"/>
        <v/>
      </c>
      <c r="AD201" s="8" t="str">
        <f t="shared" ref="AD201" si="3016">IF(AD$8="","",AC201)</f>
        <v/>
      </c>
      <c r="AE201" s="8" t="str">
        <f t="shared" si="3006"/>
        <v/>
      </c>
      <c r="AF201" s="8" t="str">
        <f t="shared" si="3007"/>
        <v/>
      </c>
      <c r="AG201" s="8" t="str">
        <f t="shared" si="3008"/>
        <v/>
      </c>
      <c r="AH201" s="8" t="str">
        <f>IF(AH$8="","",AG201)</f>
        <v/>
      </c>
      <c r="AI201" s="8" t="str">
        <f t="shared" si="3009"/>
        <v/>
      </c>
      <c r="AJ201" s="8" t="str">
        <f t="shared" si="3010"/>
        <v/>
      </c>
      <c r="AK201" s="8" t="str">
        <f t="shared" si="3011"/>
        <v/>
      </c>
      <c r="AL201" s="8" t="str">
        <f t="shared" ref="AL200:AL201" si="3017">IF(AL$8="","",AK201)</f>
        <v/>
      </c>
      <c r="AM201" s="8" t="str">
        <f t="shared" si="3012"/>
        <v/>
      </c>
      <c r="AN201" s="8" t="str">
        <f t="shared" si="3013"/>
        <v/>
      </c>
      <c r="AO201" s="8" t="str">
        <f t="shared" si="3014"/>
        <v/>
      </c>
      <c r="AP201" s="8" t="str">
        <f t="shared" ref="AP201:AS201" si="3018">IF(AP$8="","",AO201)</f>
        <v/>
      </c>
      <c r="AQ201" s="8" t="str">
        <f t="shared" si="3018"/>
        <v/>
      </c>
      <c r="AR201" s="8" t="str">
        <f t="shared" si="3018"/>
        <v/>
      </c>
      <c r="AS201" s="8" t="str">
        <f t="shared" si="3018"/>
        <v/>
      </c>
    </row>
    <row r="202" spans="1:45" x14ac:dyDescent="0.15">
      <c r="A202" s="15">
        <v>2</v>
      </c>
      <c r="B202" s="9" t="s">
        <v>5</v>
      </c>
      <c r="C202" s="8">
        <v>10</v>
      </c>
      <c r="D202" s="8">
        <v>10</v>
      </c>
      <c r="E202" s="8">
        <v>10</v>
      </c>
      <c r="F202" s="8">
        <v>8</v>
      </c>
      <c r="G202" s="8">
        <v>8</v>
      </c>
      <c r="H202" s="8">
        <v>8</v>
      </c>
      <c r="I202" s="8">
        <v>8</v>
      </c>
      <c r="J202" s="8">
        <v>8</v>
      </c>
      <c r="K202" s="8">
        <f t="shared" ref="K202" si="3019">IF(K200="","",(J202+J203))</f>
        <v>8</v>
      </c>
      <c r="L202" s="8">
        <f t="shared" ref="L202" si="3020">IF(L200="","",(K202+K203))</f>
        <v>8</v>
      </c>
      <c r="M202" s="8">
        <f>IF(M200="","",(L202+L203))</f>
        <v>8</v>
      </c>
      <c r="N202" s="8" t="str">
        <f t="shared" ref="N202" si="3021">IF(N200="","",(M202+M203))</f>
        <v/>
      </c>
      <c r="O202" s="8" t="str">
        <f t="shared" ref="O202" si="3022">IF(O200="","",(N202+N203))</f>
        <v/>
      </c>
      <c r="P202" s="8" t="str">
        <f t="shared" ref="P202" si="3023">IF(P200="","",(O202+O203))</f>
        <v/>
      </c>
      <c r="Q202" s="8" t="str">
        <f>IF(Q200="","",(P202+P203))</f>
        <v/>
      </c>
      <c r="R202" s="8" t="str">
        <f t="shared" ref="R202" si="3024">IF(R200="","",(Q202+Q203))</f>
        <v/>
      </c>
      <c r="S202" s="8" t="str">
        <f t="shared" ref="S202" si="3025">IF(S200="","",(R202+R203))</f>
        <v/>
      </c>
      <c r="T202" s="8" t="str">
        <f t="shared" ref="T202" si="3026">IF(T200="","",(S202+S203))</f>
        <v/>
      </c>
      <c r="U202" s="8" t="str">
        <f t="shared" ref="U202" si="3027">IF(U200="","",(T202+T203))</f>
        <v/>
      </c>
      <c r="V202" s="8" t="str">
        <f t="shared" ref="V202" si="3028">IF(V200="","",(U202+U203))</f>
        <v/>
      </c>
      <c r="W202" s="8" t="str">
        <f t="shared" ref="W202" si="3029">IF(W200="","",(V202+V203))</f>
        <v/>
      </c>
      <c r="X202" s="8" t="str">
        <f>IF(X200="","",(W202+W203))</f>
        <v/>
      </c>
      <c r="Y202" s="8" t="str">
        <f t="shared" ref="Y202" si="3030">IF(Y200="","",(X202+X203))</f>
        <v/>
      </c>
      <c r="Z202" s="8" t="str">
        <f t="shared" ref="Z202" si="3031">IF(Z200="","",(Y202+Y203))</f>
        <v/>
      </c>
      <c r="AA202" s="8" t="str">
        <f>IF(AA200="","",(Z202+Z203))</f>
        <v/>
      </c>
      <c r="AB202" s="8" t="str">
        <f t="shared" ref="AB202" si="3032">IF(AB200="","",(AA202+AA203))</f>
        <v/>
      </c>
      <c r="AC202" s="8" t="str">
        <f t="shared" ref="AC202" si="3033">IF(AC200="","",(AB202+AB203))</f>
        <v/>
      </c>
      <c r="AD202" s="8" t="str">
        <f t="shared" ref="AD202" si="3034">IF(AD200="","",(AC202+AC203))</f>
        <v/>
      </c>
      <c r="AE202" s="8" t="str">
        <f t="shared" ref="AE202" si="3035">IF(AE200="","",(AD202+AD203))</f>
        <v/>
      </c>
      <c r="AF202" s="8" t="str">
        <f t="shared" ref="AF202" si="3036">IF(AF200="","",(AE202+AE203))</f>
        <v/>
      </c>
      <c r="AG202" s="8" t="str">
        <f t="shared" ref="AG202" si="3037">IF(AG200="","",(AF202+AF203))</f>
        <v/>
      </c>
      <c r="AH202" s="8" t="str">
        <f>IF(AH200="","",(AG202+AG203))</f>
        <v/>
      </c>
      <c r="AI202" s="8" t="str">
        <f t="shared" ref="AI202" si="3038">IF(AI200="","",(AH202+AH203))</f>
        <v/>
      </c>
      <c r="AJ202" s="8" t="str">
        <f t="shared" ref="AJ202" si="3039">IF(AJ200="","",(AI202+AI203))</f>
        <v/>
      </c>
      <c r="AK202" s="8" t="str">
        <f t="shared" ref="AK202" si="3040">IF(AK200="","",(AJ202+AJ203))</f>
        <v/>
      </c>
      <c r="AL202" s="8" t="str">
        <f t="shared" ref="AL202" si="3041">IF(AL200="","",(AK202+AK203))</f>
        <v/>
      </c>
      <c r="AM202" s="8" t="str">
        <f t="shared" ref="AM202" si="3042">IF(AM200="","",(AL202+AL203))</f>
        <v/>
      </c>
      <c r="AN202" s="8" t="str">
        <f t="shared" ref="AN202" si="3043">IF(AN200="","",(AM202+AM203))</f>
        <v/>
      </c>
      <c r="AO202" s="8" t="str">
        <f t="shared" ref="AO202" si="3044">IF(AO200="","",(AN202+AN203))</f>
        <v/>
      </c>
      <c r="AP202" s="8" t="str">
        <f t="shared" ref="AP202:AS202" si="3045">IF(AP200="","",(AO202+AO203))</f>
        <v/>
      </c>
      <c r="AQ202" s="8" t="str">
        <f t="shared" si="3045"/>
        <v/>
      </c>
      <c r="AR202" s="8" t="str">
        <f t="shared" si="3045"/>
        <v/>
      </c>
      <c r="AS202" s="8" t="str">
        <f t="shared" si="3045"/>
        <v/>
      </c>
    </row>
    <row r="203" spans="1:45" x14ac:dyDescent="0.15">
      <c r="A203" s="14"/>
      <c r="B203" s="9" t="s">
        <v>7</v>
      </c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</row>
    <row r="204" spans="1:45" x14ac:dyDescent="0.15">
      <c r="A204" s="7"/>
      <c r="B204" s="9" t="s">
        <v>8</v>
      </c>
      <c r="C204" s="8">
        <v>750</v>
      </c>
      <c r="D204" s="8">
        <v>750</v>
      </c>
      <c r="E204" s="8">
        <v>750</v>
      </c>
      <c r="F204" s="8">
        <v>750</v>
      </c>
      <c r="G204" s="8">
        <v>750</v>
      </c>
      <c r="H204" s="8">
        <v>750</v>
      </c>
      <c r="I204" s="8">
        <v>750</v>
      </c>
      <c r="J204" s="8">
        <v>750</v>
      </c>
      <c r="K204" s="8">
        <f t="shared" ref="K204" si="3046">IF(K200="","",J204)</f>
        <v>750</v>
      </c>
      <c r="L204" s="8">
        <f t="shared" ref="L204" si="3047">IF(L200="","",K204)</f>
        <v>750</v>
      </c>
      <c r="M204" s="8">
        <f t="shared" ref="M204" si="3048">IF(M200="","",L204)</f>
        <v>750</v>
      </c>
      <c r="N204" s="8" t="str">
        <f t="shared" ref="N204" si="3049">IF(N200="","",M204)</f>
        <v/>
      </c>
      <c r="O204" s="8" t="str">
        <f t="shared" ref="O204" si="3050">IF(O200="","",N204)</f>
        <v/>
      </c>
      <c r="P204" s="8" t="str">
        <f t="shared" ref="P204" si="3051">IF(P200="","",O204)</f>
        <v/>
      </c>
      <c r="Q204" s="8" t="str">
        <f t="shared" ref="Q204" si="3052">IF(Q200="","",P204)</f>
        <v/>
      </c>
      <c r="R204" s="8" t="str">
        <f t="shared" ref="R204" si="3053">IF(R200="","",Q204)</f>
        <v/>
      </c>
      <c r="S204" s="8" t="str">
        <f t="shared" ref="S204" si="3054">IF(S200="","",R204)</f>
        <v/>
      </c>
      <c r="T204" s="8" t="str">
        <f t="shared" ref="T204" si="3055">IF(T200="","",S204)</f>
        <v/>
      </c>
      <c r="U204" s="8" t="str">
        <f t="shared" ref="U204" si="3056">IF(U200="","",T204)</f>
        <v/>
      </c>
      <c r="V204" s="8" t="str">
        <f t="shared" ref="V204" si="3057">IF(V200="","",U204)</f>
        <v/>
      </c>
      <c r="W204" s="8" t="str">
        <f t="shared" ref="W204" si="3058">IF(W200="","",V204)</f>
        <v/>
      </c>
      <c r="X204" s="8" t="str">
        <f t="shared" ref="X204" si="3059">IF(X200="","",W204)</f>
        <v/>
      </c>
      <c r="Y204" s="8" t="str">
        <f t="shared" ref="Y204" si="3060">IF(Y200="","",X204)</f>
        <v/>
      </c>
      <c r="Z204" s="8" t="str">
        <f t="shared" ref="Z204" si="3061">IF(Z200="","",Y204)</f>
        <v/>
      </c>
      <c r="AA204" s="8" t="str">
        <f t="shared" ref="AA204" si="3062">IF(AA200="","",Z204)</f>
        <v/>
      </c>
      <c r="AB204" s="8" t="str">
        <f t="shared" ref="AB204" si="3063">IF(AB200="","",AA204)</f>
        <v/>
      </c>
      <c r="AC204" s="8" t="str">
        <f t="shared" ref="AC204" si="3064">IF(AC200="","",AB204)</f>
        <v/>
      </c>
      <c r="AD204" s="8" t="str">
        <f t="shared" ref="AD204" si="3065">IF(AD200="","",AC204)</f>
        <v/>
      </c>
      <c r="AE204" s="8" t="str">
        <f t="shared" ref="AE204" si="3066">IF(AE200="","",AD204)</f>
        <v/>
      </c>
      <c r="AF204" s="8" t="str">
        <f t="shared" ref="AF204" si="3067">IF(AF200="","",AE204)</f>
        <v/>
      </c>
      <c r="AG204" s="8" t="str">
        <f t="shared" ref="AG204" si="3068">IF(AG200="","",AF204)</f>
        <v/>
      </c>
      <c r="AH204" s="8" t="str">
        <f t="shared" ref="AH204" si="3069">IF(AH200="","",AG204)</f>
        <v/>
      </c>
      <c r="AI204" s="8" t="str">
        <f t="shared" ref="AI204" si="3070">IF(AI200="","",AH204)</f>
        <v/>
      </c>
      <c r="AJ204" s="8" t="str">
        <f t="shared" ref="AJ204" si="3071">IF(AJ200="","",AI204)</f>
        <v/>
      </c>
      <c r="AK204" s="8" t="str">
        <f t="shared" ref="AK204" si="3072">IF(AK200="","",AJ204)</f>
        <v/>
      </c>
      <c r="AL204" s="8" t="str">
        <f t="shared" ref="AL204" si="3073">IF(AL200="","",AK204)</f>
        <v/>
      </c>
      <c r="AM204" s="8" t="str">
        <f t="shared" ref="AM204" si="3074">IF(AM200="","",AL204)</f>
        <v/>
      </c>
      <c r="AN204" s="8" t="str">
        <f t="shared" ref="AN204" si="3075">IF(AN200="","",AM204)</f>
        <v/>
      </c>
      <c r="AO204" s="8" t="str">
        <f t="shared" ref="AO204" si="3076">IF(AO200="","",AN204)</f>
        <v/>
      </c>
      <c r="AP204" s="8" t="str">
        <f t="shared" ref="AP204:AS204" si="3077">IF(AP200="","",AO204)</f>
        <v/>
      </c>
      <c r="AQ204" s="8" t="str">
        <f t="shared" si="3077"/>
        <v/>
      </c>
      <c r="AR204" s="8" t="str">
        <f t="shared" si="3077"/>
        <v/>
      </c>
      <c r="AS204" s="8" t="str">
        <f t="shared" si="3077"/>
        <v/>
      </c>
    </row>
    <row r="205" spans="1:45" s="85" customFormat="1" x14ac:dyDescent="0.15">
      <c r="A205" s="14" t="s">
        <v>9</v>
      </c>
      <c r="B205" s="13" t="s">
        <v>10</v>
      </c>
      <c r="C205" s="12" t="s">
        <v>30</v>
      </c>
      <c r="D205" s="12" t="s">
        <v>30</v>
      </c>
      <c r="E205" s="12" t="s">
        <v>30</v>
      </c>
      <c r="F205" s="12" t="s">
        <v>30</v>
      </c>
      <c r="G205" s="12" t="s">
        <v>30</v>
      </c>
      <c r="H205" s="12" t="s">
        <v>30</v>
      </c>
      <c r="I205" s="12" t="s">
        <v>30</v>
      </c>
      <c r="J205" s="12" t="s">
        <v>30</v>
      </c>
      <c r="K205" s="12" t="str">
        <f t="shared" ref="K205" si="3078">IF(K200="","",J205)</f>
        <v>PRO4</v>
      </c>
      <c r="L205" s="12" t="str">
        <f t="shared" ref="L205" si="3079">IF(L200="","",K205)</f>
        <v>PRO4</v>
      </c>
      <c r="M205" s="12" t="str">
        <f t="shared" ref="M205" si="3080">IF(M200="","",L205)</f>
        <v>PRO4</v>
      </c>
      <c r="N205" s="12" t="str">
        <f t="shared" ref="N205" si="3081">IF(N200="","",M205)</f>
        <v/>
      </c>
      <c r="O205" s="12" t="str">
        <f t="shared" ref="O205" si="3082">IF(O200="","",N205)</f>
        <v/>
      </c>
      <c r="P205" s="12" t="str">
        <f t="shared" ref="P205" si="3083">IF(P200="","",O205)</f>
        <v/>
      </c>
      <c r="Q205" s="12" t="str">
        <f t="shared" ref="Q205" si="3084">IF(Q200="","",P205)</f>
        <v/>
      </c>
      <c r="R205" s="12" t="str">
        <f t="shared" ref="R205" si="3085">IF(R200="","",Q205)</f>
        <v/>
      </c>
      <c r="S205" s="12" t="str">
        <f t="shared" ref="S205" si="3086">IF(S200="","",R205)</f>
        <v/>
      </c>
      <c r="T205" s="12" t="str">
        <f t="shared" ref="T205" si="3087">IF(T200="","",S205)</f>
        <v/>
      </c>
      <c r="U205" s="12" t="str">
        <f t="shared" ref="U205" si="3088">IF(U200="","",T205)</f>
        <v/>
      </c>
      <c r="V205" s="12" t="str">
        <f t="shared" ref="V205" si="3089">IF(V200="","",U205)</f>
        <v/>
      </c>
      <c r="W205" s="12" t="str">
        <f t="shared" ref="W205" si="3090">IF(W200="","",V205)</f>
        <v/>
      </c>
      <c r="X205" s="12" t="str">
        <f t="shared" ref="X205" si="3091">IF(X200="","",W205)</f>
        <v/>
      </c>
      <c r="Y205" s="12" t="str">
        <f t="shared" ref="Y205" si="3092">IF(Y200="","",X205)</f>
        <v/>
      </c>
      <c r="Z205" s="12" t="str">
        <f t="shared" ref="Z205" si="3093">IF(Z200="","",Y205)</f>
        <v/>
      </c>
      <c r="AA205" s="12" t="str">
        <f t="shared" ref="AA205" si="3094">IF(AA200="","",Z205)</f>
        <v/>
      </c>
      <c r="AB205" s="12" t="str">
        <f t="shared" ref="AB205" si="3095">IF(AB200="","",AA205)</f>
        <v/>
      </c>
      <c r="AC205" s="12" t="str">
        <f t="shared" ref="AC205" si="3096">IF(AC200="","",AB205)</f>
        <v/>
      </c>
      <c r="AD205" s="12" t="str">
        <f t="shared" ref="AD205" si="3097">IF(AD200="","",AC205)</f>
        <v/>
      </c>
      <c r="AE205" s="12" t="str">
        <f t="shared" ref="AE205" si="3098">IF(AE200="","",AD205)</f>
        <v/>
      </c>
      <c r="AF205" s="12" t="str">
        <f t="shared" ref="AF205" si="3099">IF(AF200="","",AE205)</f>
        <v/>
      </c>
      <c r="AG205" s="12" t="str">
        <f t="shared" ref="AG205" si="3100">IF(AG200="","",AF205)</f>
        <v/>
      </c>
      <c r="AH205" s="12" t="str">
        <f t="shared" ref="AH205" si="3101">IF(AH200="","",AG205)</f>
        <v/>
      </c>
      <c r="AI205" s="12" t="str">
        <f t="shared" ref="AI205" si="3102">IF(AI200="","",AH205)</f>
        <v/>
      </c>
      <c r="AJ205" s="12" t="str">
        <f t="shared" ref="AJ205" si="3103">IF(AJ200="","",AI205)</f>
        <v/>
      </c>
      <c r="AK205" s="12" t="str">
        <f t="shared" ref="AK205" si="3104">IF(AK200="","",AJ205)</f>
        <v/>
      </c>
      <c r="AL205" s="12" t="str">
        <f t="shared" ref="AL205" si="3105">IF(AL200="","",AK205)</f>
        <v/>
      </c>
      <c r="AM205" s="12" t="str">
        <f t="shared" ref="AM205" si="3106">IF(AM200="","",AL205)</f>
        <v/>
      </c>
      <c r="AN205" s="12" t="str">
        <f t="shared" ref="AN205" si="3107">IF(AN200="","",AM205)</f>
        <v/>
      </c>
      <c r="AO205" s="12" t="str">
        <f t="shared" ref="AO205" si="3108">IF(AO200="","",AN205)</f>
        <v/>
      </c>
      <c r="AP205" s="12" t="str">
        <f t="shared" ref="AP205:AS205" si="3109">IF(AP200="","",AO205)</f>
        <v/>
      </c>
      <c r="AQ205" s="12" t="str">
        <f t="shared" si="3109"/>
        <v/>
      </c>
      <c r="AR205" s="12" t="str">
        <f t="shared" si="3109"/>
        <v/>
      </c>
      <c r="AS205" s="12" t="str">
        <f t="shared" si="3109"/>
        <v/>
      </c>
    </row>
    <row r="206" spans="1:45" x14ac:dyDescent="0.15">
      <c r="A206" s="7">
        <f>AVERAGE(C207:AS207)*30*100</f>
        <v>29181.81818181818</v>
      </c>
      <c r="B206" s="9" t="s">
        <v>12</v>
      </c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</row>
    <row r="207" spans="1:45" x14ac:dyDescent="0.15">
      <c r="A207" s="7">
        <f>SUM(C207:AS207)</f>
        <v>107</v>
      </c>
      <c r="B207" s="6" t="s">
        <v>13</v>
      </c>
      <c r="C207" s="5">
        <v>0</v>
      </c>
      <c r="D207" s="5">
        <v>0</v>
      </c>
      <c r="E207" s="5">
        <v>0</v>
      </c>
      <c r="F207" s="5">
        <v>75</v>
      </c>
      <c r="G207" s="5">
        <v>0</v>
      </c>
      <c r="H207" s="5">
        <v>0</v>
      </c>
      <c r="I207" s="5">
        <v>0</v>
      </c>
      <c r="J207" s="5">
        <v>5</v>
      </c>
      <c r="K207" s="5">
        <f t="shared" ref="K207:K208" si="3110">IF(K200="","",K200-J200)</f>
        <v>0</v>
      </c>
      <c r="L207" s="5">
        <f t="shared" ref="L207:L208" si="3111">IF(L200="","",L200-K200)</f>
        <v>0</v>
      </c>
      <c r="M207" s="5">
        <f t="shared" ref="M207:M208" si="3112">IF(M200="","",M200-L200)</f>
        <v>27</v>
      </c>
      <c r="N207" s="5" t="str">
        <f t="shared" ref="N207:N208" si="3113">IF(N200="","",N200-M200)</f>
        <v/>
      </c>
      <c r="O207" s="5" t="str">
        <f t="shared" ref="O207:O208" si="3114">IF(O200="","",O200-N200)</f>
        <v/>
      </c>
      <c r="P207" s="5" t="str">
        <f t="shared" ref="P207:P208" si="3115">IF(P200="","",P200-O200)</f>
        <v/>
      </c>
      <c r="Q207" s="5" t="str">
        <f t="shared" ref="Q207:Q208" si="3116">IF(Q200="","",Q200-P200)</f>
        <v/>
      </c>
      <c r="R207" s="5" t="str">
        <f t="shared" ref="R207:R208" si="3117">IF(R200="","",R200-Q200)</f>
        <v/>
      </c>
      <c r="S207" s="5" t="str">
        <f t="shared" ref="S207:S208" si="3118">IF(S200="","",S200-R200)</f>
        <v/>
      </c>
      <c r="T207" s="5" t="str">
        <f t="shared" ref="T207:T208" si="3119">IF(T200="","",T200-S200)</f>
        <v/>
      </c>
      <c r="U207" s="5" t="str">
        <f t="shared" ref="U207:U208" si="3120">IF(U200="","",U200-T200)</f>
        <v/>
      </c>
      <c r="V207" s="5" t="str">
        <f t="shared" ref="V207:V208" si="3121">IF(V200="","",V200-U200)</f>
        <v/>
      </c>
      <c r="W207" s="5" t="str">
        <f t="shared" ref="W207:W208" si="3122">IF(W200="","",W200-V200)</f>
        <v/>
      </c>
      <c r="X207" s="5" t="str">
        <f t="shared" ref="X207:X208" si="3123">IF(X200="","",X200-W200)</f>
        <v/>
      </c>
      <c r="Y207" s="5" t="str">
        <f t="shared" ref="Y207:Y208" si="3124">IF(Y200="","",Y200-X200)</f>
        <v/>
      </c>
      <c r="Z207" s="5" t="str">
        <f t="shared" ref="Z207:Z208" si="3125">IF(Z200="","",Z200-Y200)</f>
        <v/>
      </c>
      <c r="AA207" s="5" t="str">
        <f t="shared" ref="AA207:AA208" si="3126">IF(AA200="","",AA200-Z200)</f>
        <v/>
      </c>
      <c r="AB207" s="5" t="str">
        <f t="shared" ref="AB207:AB208" si="3127">IF(AB200="","",AB200-AA200)</f>
        <v/>
      </c>
      <c r="AC207" s="5" t="str">
        <f t="shared" ref="AC207:AC208" si="3128">IF(AC200="","",AC200-AB200)</f>
        <v/>
      </c>
      <c r="AD207" s="5" t="str">
        <f t="shared" ref="AD207:AD208" si="3129">IF(AD200="","",AD200-AC200)</f>
        <v/>
      </c>
      <c r="AE207" s="5" t="str">
        <f t="shared" ref="AE207:AE208" si="3130">IF(AE200="","",AE200-AD200)</f>
        <v/>
      </c>
      <c r="AF207" s="5" t="str">
        <f t="shared" ref="AF207:AF208" si="3131">IF(AF200="","",AF200-AE200)</f>
        <v/>
      </c>
      <c r="AG207" s="5" t="str">
        <f t="shared" ref="AG207:AG208" si="3132">IF(AG200="","",AG200-AF200)</f>
        <v/>
      </c>
      <c r="AH207" s="5" t="str">
        <f t="shared" ref="AH207:AH208" si="3133">IF(AH200="","",AH200-AG200)</f>
        <v/>
      </c>
      <c r="AI207" s="5" t="str">
        <f t="shared" ref="AI207:AI208" si="3134">IF(AI200="","",AI200-AH200)</f>
        <v/>
      </c>
      <c r="AJ207" s="5" t="str">
        <f t="shared" ref="AJ207:AJ208" si="3135">IF(AJ200="","",AJ200-AI200)</f>
        <v/>
      </c>
      <c r="AK207" s="5" t="str">
        <f t="shared" ref="AK207:AK208" si="3136">IF(AK200="","",AK200-AJ200)</f>
        <v/>
      </c>
      <c r="AL207" s="5" t="str">
        <f t="shared" ref="AL207:AL208" si="3137">IF(AL200="","",AL200-AK200)</f>
        <v/>
      </c>
      <c r="AM207" s="5" t="str">
        <f t="shared" ref="AM207:AM208" si="3138">IF(AM200="","",AM200-AL200)</f>
        <v/>
      </c>
      <c r="AN207" s="5" t="str">
        <f t="shared" ref="AN207:AN208" si="3139">IF(AN200="","",AN200-AM200)</f>
        <v/>
      </c>
      <c r="AO207" s="5" t="str">
        <f t="shared" ref="AO207:AO208" si="3140">IF(AO200="","",AO200-AN200)</f>
        <v/>
      </c>
      <c r="AP207" s="5" t="str">
        <f t="shared" ref="AP207:AS207" si="3141">IF(AP200="","",AP200-AO200)</f>
        <v/>
      </c>
      <c r="AQ207" s="5" t="str">
        <f t="shared" si="3141"/>
        <v/>
      </c>
      <c r="AR207" s="5" t="str">
        <f t="shared" si="3141"/>
        <v/>
      </c>
      <c r="AS207" s="5" t="str">
        <f t="shared" si="3141"/>
        <v/>
      </c>
    </row>
    <row r="208" spans="1:45" x14ac:dyDescent="0.15">
      <c r="A208" s="7">
        <f>SUM(C208:AS208)</f>
        <v>2</v>
      </c>
      <c r="B208" s="6" t="s">
        <v>14</v>
      </c>
      <c r="C208" s="5">
        <v>0</v>
      </c>
      <c r="D208" s="5">
        <v>0</v>
      </c>
      <c r="E208" s="5">
        <v>0</v>
      </c>
      <c r="F208" s="5">
        <v>2</v>
      </c>
      <c r="G208" s="5">
        <v>0</v>
      </c>
      <c r="H208" s="5">
        <v>0</v>
      </c>
      <c r="I208" s="5">
        <v>0</v>
      </c>
      <c r="J208" s="5">
        <v>0</v>
      </c>
      <c r="K208" s="5">
        <f t="shared" si="3110"/>
        <v>0</v>
      </c>
      <c r="L208" s="5">
        <f t="shared" si="3111"/>
        <v>0</v>
      </c>
      <c r="M208" s="5">
        <f t="shared" si="3112"/>
        <v>0</v>
      </c>
      <c r="N208" s="5" t="str">
        <f t="shared" si="3113"/>
        <v/>
      </c>
      <c r="O208" s="5" t="str">
        <f t="shared" si="3114"/>
        <v/>
      </c>
      <c r="P208" s="5" t="str">
        <f t="shared" si="3115"/>
        <v/>
      </c>
      <c r="Q208" s="5" t="str">
        <f t="shared" si="3116"/>
        <v/>
      </c>
      <c r="R208" s="5" t="str">
        <f t="shared" si="3117"/>
        <v/>
      </c>
      <c r="S208" s="5" t="str">
        <f t="shared" si="3118"/>
        <v/>
      </c>
      <c r="T208" s="5" t="str">
        <f t="shared" si="3119"/>
        <v/>
      </c>
      <c r="U208" s="5" t="str">
        <f t="shared" si="3120"/>
        <v/>
      </c>
      <c r="V208" s="5" t="str">
        <f t="shared" si="3121"/>
        <v/>
      </c>
      <c r="W208" s="5" t="str">
        <f t="shared" si="3122"/>
        <v/>
      </c>
      <c r="X208" s="5" t="str">
        <f t="shared" si="3123"/>
        <v/>
      </c>
      <c r="Y208" s="5" t="str">
        <f t="shared" si="3124"/>
        <v/>
      </c>
      <c r="Z208" s="5" t="str">
        <f t="shared" si="3125"/>
        <v/>
      </c>
      <c r="AA208" s="5" t="str">
        <f t="shared" si="3126"/>
        <v/>
      </c>
      <c r="AB208" s="5" t="str">
        <f t="shared" si="3127"/>
        <v/>
      </c>
      <c r="AC208" s="5" t="str">
        <f t="shared" si="3128"/>
        <v/>
      </c>
      <c r="AD208" s="5" t="str">
        <f t="shared" si="3129"/>
        <v/>
      </c>
      <c r="AE208" s="5" t="str">
        <f t="shared" si="3130"/>
        <v/>
      </c>
      <c r="AF208" s="5" t="str">
        <f t="shared" si="3131"/>
        <v/>
      </c>
      <c r="AG208" s="5" t="str">
        <f t="shared" si="3132"/>
        <v/>
      </c>
      <c r="AH208" s="5" t="str">
        <f t="shared" si="3133"/>
        <v/>
      </c>
      <c r="AI208" s="5" t="str">
        <f t="shared" si="3134"/>
        <v/>
      </c>
      <c r="AJ208" s="5" t="str">
        <f t="shared" si="3135"/>
        <v/>
      </c>
      <c r="AK208" s="5" t="str">
        <f t="shared" si="3136"/>
        <v/>
      </c>
      <c r="AL208" s="5" t="str">
        <f t="shared" si="3137"/>
        <v/>
      </c>
      <c r="AM208" s="5" t="str">
        <f t="shared" si="3138"/>
        <v/>
      </c>
      <c r="AN208" s="5" t="str">
        <f t="shared" si="3139"/>
        <v/>
      </c>
      <c r="AO208" s="5" t="str">
        <f t="shared" si="3140"/>
        <v/>
      </c>
      <c r="AP208" s="5" t="str">
        <f t="shared" ref="AP208:AS208" si="3142">IF(AP201="","",AP201-AO201)</f>
        <v/>
      </c>
      <c r="AQ208" s="5" t="str">
        <f t="shared" si="3142"/>
        <v/>
      </c>
      <c r="AR208" s="5" t="str">
        <f t="shared" si="3142"/>
        <v/>
      </c>
      <c r="AS208" s="5" t="str">
        <f t="shared" si="3142"/>
        <v/>
      </c>
    </row>
    <row r="209" spans="1:45" x14ac:dyDescent="0.15">
      <c r="A209" s="7">
        <f>SUM(C209:AS209)</f>
        <v>2</v>
      </c>
      <c r="B209" s="6" t="s">
        <v>15</v>
      </c>
      <c r="C209" s="5">
        <v>0</v>
      </c>
      <c r="D209" s="5">
        <v>0</v>
      </c>
      <c r="E209" s="5">
        <v>0</v>
      </c>
      <c r="F209" s="5">
        <v>2</v>
      </c>
      <c r="G209" s="5">
        <v>0</v>
      </c>
      <c r="H209" s="5">
        <v>0</v>
      </c>
      <c r="I209" s="5">
        <v>0</v>
      </c>
      <c r="J209" s="5">
        <v>0</v>
      </c>
      <c r="K209" s="5">
        <f t="shared" ref="K209" si="3143">IF(K202="","",J202+J203-K202)</f>
        <v>0</v>
      </c>
      <c r="L209" s="5">
        <f t="shared" ref="L209" si="3144">IF(L202="","",K202+K203-L202)</f>
        <v>0</v>
      </c>
      <c r="M209" s="5">
        <f t="shared" ref="M209" si="3145">IF(M202="","",L202+L203-M202)</f>
        <v>0</v>
      </c>
      <c r="N209" s="5" t="str">
        <f t="shared" ref="N209" si="3146">IF(N202="","",M202+M203-N202)</f>
        <v/>
      </c>
      <c r="O209" s="5" t="str">
        <f t="shared" ref="O209" si="3147">IF(O202="","",N202+N203-O202)</f>
        <v/>
      </c>
      <c r="P209" s="5" t="str">
        <f t="shared" ref="P209" si="3148">IF(P202="","",O202+O203-P202)</f>
        <v/>
      </c>
      <c r="Q209" s="5" t="str">
        <f t="shared" ref="Q209" si="3149">IF(Q202="","",P202+P203-Q202)</f>
        <v/>
      </c>
      <c r="R209" s="5" t="str">
        <f t="shared" ref="R209" si="3150">IF(R202="","",Q202+Q203-R202)</f>
        <v/>
      </c>
      <c r="S209" s="5" t="str">
        <f t="shared" ref="S209" si="3151">IF(S202="","",R202+R203-S202)</f>
        <v/>
      </c>
      <c r="T209" s="5" t="str">
        <f t="shared" ref="T209" si="3152">IF(T202="","",S202+S203-T202)</f>
        <v/>
      </c>
      <c r="U209" s="5" t="str">
        <f t="shared" ref="U209" si="3153">IF(U202="","",T202+T203-U202)</f>
        <v/>
      </c>
      <c r="V209" s="5" t="str">
        <f t="shared" ref="V209" si="3154">IF(V202="","",U202+U203-V202)</f>
        <v/>
      </c>
      <c r="W209" s="5" t="str">
        <f t="shared" ref="W209" si="3155">IF(W202="","",V202+V203-W202)</f>
        <v/>
      </c>
      <c r="X209" s="5" t="str">
        <f t="shared" ref="X209" si="3156">IF(X202="","",W202+W203-X202)</f>
        <v/>
      </c>
      <c r="Y209" s="5" t="str">
        <f t="shared" ref="Y209" si="3157">IF(Y202="","",X202+X203-Y202)</f>
        <v/>
      </c>
      <c r="Z209" s="5" t="str">
        <f t="shared" ref="Z209" si="3158">IF(Z202="","",Y202+Y203-Z202)</f>
        <v/>
      </c>
      <c r="AA209" s="5" t="str">
        <f t="shared" ref="AA209" si="3159">IF(AA202="","",Z202+Z203-AA202)</f>
        <v/>
      </c>
      <c r="AB209" s="5" t="str">
        <f t="shared" ref="AB209" si="3160">IF(AB202="","",AA202+AA203-AB202)</f>
        <v/>
      </c>
      <c r="AC209" s="5" t="str">
        <f t="shared" ref="AC209" si="3161">IF(AC202="","",AB202+AB203-AC202)</f>
        <v/>
      </c>
      <c r="AD209" s="5" t="str">
        <f t="shared" ref="AD209" si="3162">IF(AD202="","",AC202+AC203-AD202)</f>
        <v/>
      </c>
      <c r="AE209" s="5" t="str">
        <f t="shared" ref="AE209" si="3163">IF(AE202="","",AD202+AD203-AE202)</f>
        <v/>
      </c>
      <c r="AF209" s="5" t="str">
        <f t="shared" ref="AF209" si="3164">IF(AF202="","",AE202+AE203-AF202)</f>
        <v/>
      </c>
      <c r="AG209" s="5" t="str">
        <f t="shared" ref="AG209" si="3165">IF(AG202="","",AF202+AF203-AG202)</f>
        <v/>
      </c>
      <c r="AH209" s="5" t="str">
        <f t="shared" ref="AH209" si="3166">IF(AH202="","",AG202+AG203-AH202)</f>
        <v/>
      </c>
      <c r="AI209" s="5" t="str">
        <f t="shared" ref="AI209" si="3167">IF(AI202="","",AH202+AH203-AI202)</f>
        <v/>
      </c>
      <c r="AJ209" s="5" t="str">
        <f t="shared" ref="AJ209" si="3168">IF(AJ202="","",AI202+AI203-AJ202)</f>
        <v/>
      </c>
      <c r="AK209" s="5" t="str">
        <f t="shared" ref="AK209" si="3169">IF(AK202="","",AJ202+AJ203-AK202)</f>
        <v/>
      </c>
      <c r="AL209" s="5" t="str">
        <f t="shared" ref="AL209" si="3170">IF(AL202="","",AK202+AK203-AL202)</f>
        <v/>
      </c>
      <c r="AM209" s="5" t="str">
        <f t="shared" ref="AM209" si="3171">IF(AM202="","",AL202+AL203-AM202)</f>
        <v/>
      </c>
      <c r="AN209" s="5" t="str">
        <f t="shared" ref="AN209" si="3172">IF(AN202="","",AM202+AM203-AN202)</f>
        <v/>
      </c>
      <c r="AO209" s="5" t="str">
        <f t="shared" ref="AO209" si="3173">IF(AO202="","",AN202+AN203-AO202)</f>
        <v/>
      </c>
      <c r="AP209" s="5" t="str">
        <f t="shared" ref="AP209:AS209" si="3174">IF(AP202="","",AO202+AO203-AP202)</f>
        <v/>
      </c>
      <c r="AQ209" s="5" t="str">
        <f t="shared" si="3174"/>
        <v/>
      </c>
      <c r="AR209" s="5" t="str">
        <f t="shared" si="3174"/>
        <v/>
      </c>
      <c r="AS209" s="5" t="str">
        <f t="shared" si="3174"/>
        <v/>
      </c>
    </row>
    <row r="210" spans="1:45" x14ac:dyDescent="0.15">
      <c r="A210" s="7">
        <f>SUM(C210:AS210)</f>
        <v>1500</v>
      </c>
      <c r="B210" s="6" t="s">
        <v>16</v>
      </c>
      <c r="C210" s="5">
        <v>0</v>
      </c>
      <c r="D210" s="5">
        <v>0</v>
      </c>
      <c r="E210" s="5">
        <v>0</v>
      </c>
      <c r="F210" s="5">
        <v>1500</v>
      </c>
      <c r="G210" s="5">
        <v>0</v>
      </c>
      <c r="H210" s="5">
        <v>0</v>
      </c>
      <c r="I210" s="5">
        <v>0</v>
      </c>
      <c r="J210" s="5">
        <v>0</v>
      </c>
      <c r="K210" s="5">
        <f t="shared" ref="I210:AO210" si="3175">IF(K200="","",K209*K204)</f>
        <v>0</v>
      </c>
      <c r="L210" s="5">
        <f t="shared" si="3175"/>
        <v>0</v>
      </c>
      <c r="M210" s="5">
        <f t="shared" si="3175"/>
        <v>0</v>
      </c>
      <c r="N210" s="5" t="str">
        <f t="shared" si="3175"/>
        <v/>
      </c>
      <c r="O210" s="5" t="str">
        <f t="shared" si="3175"/>
        <v/>
      </c>
      <c r="P210" s="5" t="str">
        <f t="shared" si="3175"/>
        <v/>
      </c>
      <c r="Q210" s="5" t="str">
        <f t="shared" si="3175"/>
        <v/>
      </c>
      <c r="R210" s="5" t="str">
        <f t="shared" si="3175"/>
        <v/>
      </c>
      <c r="S210" s="5" t="str">
        <f t="shared" si="3175"/>
        <v/>
      </c>
      <c r="T210" s="5" t="str">
        <f t="shared" si="3175"/>
        <v/>
      </c>
      <c r="U210" s="5" t="str">
        <f t="shared" si="3175"/>
        <v/>
      </c>
      <c r="V210" s="5" t="str">
        <f t="shared" si="3175"/>
        <v/>
      </c>
      <c r="W210" s="5" t="str">
        <f t="shared" si="3175"/>
        <v/>
      </c>
      <c r="X210" s="5" t="str">
        <f t="shared" si="3175"/>
        <v/>
      </c>
      <c r="Y210" s="5" t="str">
        <f t="shared" si="3175"/>
        <v/>
      </c>
      <c r="Z210" s="5" t="str">
        <f t="shared" si="3175"/>
        <v/>
      </c>
      <c r="AA210" s="5" t="str">
        <f t="shared" si="3175"/>
        <v/>
      </c>
      <c r="AB210" s="5" t="str">
        <f t="shared" si="3175"/>
        <v/>
      </c>
      <c r="AC210" s="5" t="str">
        <f t="shared" si="3175"/>
        <v/>
      </c>
      <c r="AD210" s="5" t="str">
        <f t="shared" si="3175"/>
        <v/>
      </c>
      <c r="AE210" s="5" t="str">
        <f t="shared" si="3175"/>
        <v/>
      </c>
      <c r="AF210" s="5" t="str">
        <f t="shared" si="3175"/>
        <v/>
      </c>
      <c r="AG210" s="5" t="str">
        <f t="shared" si="3175"/>
        <v/>
      </c>
      <c r="AH210" s="5" t="str">
        <f t="shared" si="3175"/>
        <v/>
      </c>
      <c r="AI210" s="5" t="str">
        <f t="shared" si="3175"/>
        <v/>
      </c>
      <c r="AJ210" s="5" t="str">
        <f t="shared" si="3175"/>
        <v/>
      </c>
      <c r="AK210" s="5" t="str">
        <f t="shared" si="3175"/>
        <v/>
      </c>
      <c r="AL210" s="5" t="str">
        <f t="shared" si="3175"/>
        <v/>
      </c>
      <c r="AM210" s="5" t="str">
        <f t="shared" si="3175"/>
        <v/>
      </c>
      <c r="AN210" s="5" t="str">
        <f t="shared" si="3175"/>
        <v/>
      </c>
      <c r="AO210" s="5" t="str">
        <f t="shared" si="3175"/>
        <v/>
      </c>
      <c r="AP210" s="5" t="str">
        <f t="shared" ref="AP210:AS210" si="3176">IF(AP200="","",AP209*AP204)</f>
        <v/>
      </c>
      <c r="AQ210" s="5" t="str">
        <f t="shared" si="3176"/>
        <v/>
      </c>
      <c r="AR210" s="5" t="str">
        <f t="shared" si="3176"/>
        <v/>
      </c>
      <c r="AS210" s="5" t="str">
        <f t="shared" si="3176"/>
        <v/>
      </c>
    </row>
    <row r="211" spans="1:45" ht="12" thickBot="1" x14ac:dyDescent="0.2">
      <c r="A211" s="4">
        <f>IF(A210="","",A210/(A207*100))</f>
        <v>0.14018691588785046</v>
      </c>
      <c r="B211" s="6" t="s">
        <v>18</v>
      </c>
      <c r="C211" s="18" t="s">
        <v>19</v>
      </c>
      <c r="D211" s="18" t="s">
        <v>19</v>
      </c>
      <c r="E211" s="18" t="s">
        <v>19</v>
      </c>
      <c r="F211" s="18">
        <v>0.2</v>
      </c>
      <c r="G211" s="18" t="s">
        <v>19</v>
      </c>
      <c r="H211" s="18" t="s">
        <v>19</v>
      </c>
      <c r="I211" s="18" t="s">
        <v>19</v>
      </c>
      <c r="J211" s="18" t="s">
        <v>19</v>
      </c>
      <c r="K211" s="18" t="str">
        <f t="shared" ref="I211:AO211" si="3177">IF(K210="","",IF(K210=0,"",K210/(K207*100)))</f>
        <v/>
      </c>
      <c r="L211" s="18" t="str">
        <f t="shared" si="3177"/>
        <v/>
      </c>
      <c r="M211" s="18" t="str">
        <f t="shared" si="3177"/>
        <v/>
      </c>
      <c r="N211" s="18" t="str">
        <f t="shared" si="3177"/>
        <v/>
      </c>
      <c r="O211" s="18" t="str">
        <f t="shared" si="3177"/>
        <v/>
      </c>
      <c r="P211" s="18" t="str">
        <f t="shared" si="3177"/>
        <v/>
      </c>
      <c r="Q211" s="18" t="str">
        <f t="shared" si="3177"/>
        <v/>
      </c>
      <c r="R211" s="18" t="str">
        <f t="shared" si="3177"/>
        <v/>
      </c>
      <c r="S211" s="18" t="str">
        <f t="shared" si="3177"/>
        <v/>
      </c>
      <c r="T211" s="18" t="str">
        <f t="shared" si="3177"/>
        <v/>
      </c>
      <c r="U211" s="18" t="str">
        <f t="shared" si="3177"/>
        <v/>
      </c>
      <c r="V211" s="18" t="str">
        <f t="shared" si="3177"/>
        <v/>
      </c>
      <c r="W211" s="18" t="str">
        <f t="shared" si="3177"/>
        <v/>
      </c>
      <c r="X211" s="18" t="str">
        <f t="shared" si="3177"/>
        <v/>
      </c>
      <c r="Y211" s="18" t="str">
        <f t="shared" si="3177"/>
        <v/>
      </c>
      <c r="Z211" s="18" t="str">
        <f t="shared" si="3177"/>
        <v/>
      </c>
      <c r="AA211" s="18" t="str">
        <f t="shared" si="3177"/>
        <v/>
      </c>
      <c r="AB211" s="18" t="str">
        <f t="shared" si="3177"/>
        <v/>
      </c>
      <c r="AC211" s="18" t="str">
        <f t="shared" si="3177"/>
        <v/>
      </c>
      <c r="AD211" s="18" t="str">
        <f t="shared" si="3177"/>
        <v/>
      </c>
      <c r="AE211" s="18" t="str">
        <f t="shared" si="3177"/>
        <v/>
      </c>
      <c r="AF211" s="18" t="str">
        <f t="shared" si="3177"/>
        <v/>
      </c>
      <c r="AG211" s="18" t="str">
        <f t="shared" si="3177"/>
        <v/>
      </c>
      <c r="AH211" s="18" t="str">
        <f t="shared" si="3177"/>
        <v/>
      </c>
      <c r="AI211" s="18" t="str">
        <f t="shared" si="3177"/>
        <v/>
      </c>
      <c r="AJ211" s="18" t="str">
        <f t="shared" si="3177"/>
        <v/>
      </c>
      <c r="AK211" s="18" t="str">
        <f t="shared" si="3177"/>
        <v/>
      </c>
      <c r="AL211" s="18" t="str">
        <f t="shared" si="3177"/>
        <v/>
      </c>
      <c r="AM211" s="18" t="str">
        <f t="shared" si="3177"/>
        <v/>
      </c>
      <c r="AN211" s="18" t="str">
        <f t="shared" si="3177"/>
        <v/>
      </c>
      <c r="AO211" s="18" t="str">
        <f t="shared" si="3177"/>
        <v/>
      </c>
      <c r="AP211" s="18" t="str">
        <f t="shared" ref="AP211:AS211" si="3178">IF(AP210="","",IF(AP210=0,"",AP210/(AP207*100)))</f>
        <v/>
      </c>
      <c r="AQ211" s="18" t="str">
        <f t="shared" si="3178"/>
        <v/>
      </c>
      <c r="AR211" s="18" t="str">
        <f t="shared" si="3178"/>
        <v/>
      </c>
      <c r="AS211" s="18" t="str">
        <f t="shared" si="3178"/>
        <v/>
      </c>
    </row>
    <row r="212" spans="1:45" x14ac:dyDescent="0.15">
      <c r="A212" s="17" t="s">
        <v>59</v>
      </c>
      <c r="B212" s="9" t="s">
        <v>2</v>
      </c>
      <c r="C212" s="8">
        <v>11807</v>
      </c>
      <c r="D212" s="8">
        <v>11807</v>
      </c>
      <c r="E212" s="8">
        <v>11807</v>
      </c>
      <c r="F212" s="8">
        <v>11838</v>
      </c>
      <c r="G212" s="8">
        <v>11838</v>
      </c>
      <c r="H212" s="8">
        <v>11838</v>
      </c>
      <c r="I212" s="8">
        <v>11838</v>
      </c>
      <c r="J212" s="8">
        <v>11913</v>
      </c>
      <c r="K212" s="8">
        <f t="shared" ref="K212:K213" si="3179">IF(K$8="","",J212)</f>
        <v>11913</v>
      </c>
      <c r="L212" s="8">
        <f t="shared" ref="L212:L213" si="3180">IF(L$8="","",K212)</f>
        <v>11913</v>
      </c>
      <c r="M212" s="8">
        <v>11935</v>
      </c>
      <c r="N212" s="8" t="str">
        <f t="shared" ref="N212:N213" si="3181">IF(N$8="","",M212)</f>
        <v/>
      </c>
      <c r="O212" s="8" t="str">
        <f t="shared" ref="O212:O213" si="3182">IF(O$8="","",N212)</f>
        <v/>
      </c>
      <c r="P212" s="8" t="str">
        <f t="shared" ref="P212:P213" si="3183">IF(P$8="","",O212)</f>
        <v/>
      </c>
      <c r="Q212" s="8" t="str">
        <f>IF(Q$8="","",P212)</f>
        <v/>
      </c>
      <c r="R212" s="8" t="str">
        <f t="shared" ref="R212:R213" si="3184">IF(R$8="","",Q212)</f>
        <v/>
      </c>
      <c r="S212" s="8" t="str">
        <f t="shared" ref="S212:S213" si="3185">IF(S$8="","",R212)</f>
        <v/>
      </c>
      <c r="T212" s="8" t="str">
        <f>IF(T$8="","",S212)</f>
        <v/>
      </c>
      <c r="U212" s="8" t="str">
        <f t="shared" ref="U212:U213" si="3186">IF(U$8="","",T212)</f>
        <v/>
      </c>
      <c r="V212" s="8" t="str">
        <f t="shared" ref="V212:V213" si="3187">IF(V$8="","",U212)</f>
        <v/>
      </c>
      <c r="W212" s="8" t="str">
        <f t="shared" ref="W212:W213" si="3188">IF(W$8="","",V212)</f>
        <v/>
      </c>
      <c r="X212" s="8" t="str">
        <f>IF(X$8="","",W212)</f>
        <v/>
      </c>
      <c r="Y212" s="8" t="str">
        <f t="shared" ref="Y212:Y213" si="3189">IF(Y$8="","",X212)</f>
        <v/>
      </c>
      <c r="Z212" s="8" t="str">
        <f t="shared" ref="Z212:Z213" si="3190">IF(Z$8="","",Y212)</f>
        <v/>
      </c>
      <c r="AA212" s="8" t="str">
        <f>IF(AA$8="","",Z212)</f>
        <v/>
      </c>
      <c r="AB212" s="8" t="str">
        <f t="shared" ref="AB212:AB213" si="3191">IF(AB$8="","",AA212)</f>
        <v/>
      </c>
      <c r="AC212" s="8" t="str">
        <f t="shared" ref="AC212:AC213" si="3192">IF(AC$8="","",AB212)</f>
        <v/>
      </c>
      <c r="AD212" s="8" t="str">
        <f>IF(AD$8="","",AC212)</f>
        <v/>
      </c>
      <c r="AE212" s="8" t="str">
        <f t="shared" ref="AE212:AE213" si="3193">IF(AE$8="","",AD212)</f>
        <v/>
      </c>
      <c r="AF212" s="8" t="str">
        <f t="shared" ref="AF212:AF213" si="3194">IF(AF$8="","",AE212)</f>
        <v/>
      </c>
      <c r="AG212" s="8" t="str">
        <f t="shared" ref="AG212:AG213" si="3195">IF(AG$8="","",AF212)</f>
        <v/>
      </c>
      <c r="AH212" s="8" t="str">
        <f>IF(AH$8="","",AG212)</f>
        <v/>
      </c>
      <c r="AI212" s="8" t="str">
        <f t="shared" ref="AI212:AI213" si="3196">IF(AI$8="","",AH212)</f>
        <v/>
      </c>
      <c r="AJ212" s="8" t="str">
        <f t="shared" ref="AJ212:AJ213" si="3197">IF(AJ$8="","",AI212)</f>
        <v/>
      </c>
      <c r="AK212" s="8" t="str">
        <f t="shared" ref="AK212:AK213" si="3198">IF(AK$8="","",AJ212)</f>
        <v/>
      </c>
      <c r="AL212" s="8" t="str">
        <f>IF(AL$8="","",AK212)</f>
        <v/>
      </c>
      <c r="AM212" s="8" t="str">
        <f t="shared" ref="AM212:AM213" si="3199">IF(AM$8="","",AL212)</f>
        <v/>
      </c>
      <c r="AN212" s="8" t="str">
        <f t="shared" ref="AN212:AN213" si="3200">IF(AN$8="","",AM212)</f>
        <v/>
      </c>
      <c r="AO212" s="8" t="str">
        <f t="shared" ref="AO212:AO213" si="3201">IF(AO$8="","",AN212)</f>
        <v/>
      </c>
      <c r="AP212" s="8" t="str">
        <f t="shared" ref="AP212:AS212" si="3202">IF(AP$8="","",AO212)</f>
        <v/>
      </c>
      <c r="AQ212" s="8" t="str">
        <f t="shared" si="3202"/>
        <v/>
      </c>
      <c r="AR212" s="8" t="str">
        <f t="shared" si="3202"/>
        <v/>
      </c>
      <c r="AS212" s="8" t="str">
        <f t="shared" si="3202"/>
        <v/>
      </c>
    </row>
    <row r="213" spans="1:45" x14ac:dyDescent="0.15">
      <c r="A213" s="16" t="s">
        <v>32</v>
      </c>
      <c r="B213" s="9" t="s">
        <v>4</v>
      </c>
      <c r="C213" s="8">
        <v>300</v>
      </c>
      <c r="D213" s="8">
        <v>300</v>
      </c>
      <c r="E213" s="8">
        <v>300</v>
      </c>
      <c r="F213" s="8">
        <v>300</v>
      </c>
      <c r="G213" s="8">
        <v>300</v>
      </c>
      <c r="H213" s="8">
        <v>300</v>
      </c>
      <c r="I213" s="8">
        <v>300</v>
      </c>
      <c r="J213" s="8">
        <v>301</v>
      </c>
      <c r="K213" s="8">
        <f t="shared" si="3179"/>
        <v>301</v>
      </c>
      <c r="L213" s="8">
        <f t="shared" si="3180"/>
        <v>301</v>
      </c>
      <c r="M213" s="8">
        <v>302</v>
      </c>
      <c r="N213" s="8" t="str">
        <f t="shared" si="3181"/>
        <v/>
      </c>
      <c r="O213" s="8" t="str">
        <f t="shared" si="3182"/>
        <v/>
      </c>
      <c r="P213" s="8" t="str">
        <f t="shared" si="3183"/>
        <v/>
      </c>
      <c r="Q213" s="8" t="str">
        <f>IF(Q$8="","",P213)</f>
        <v/>
      </c>
      <c r="R213" s="8" t="str">
        <f t="shared" si="3184"/>
        <v/>
      </c>
      <c r="S213" s="8" t="str">
        <f t="shared" si="3185"/>
        <v/>
      </c>
      <c r="T213" s="8" t="str">
        <f>IF(T$8="","",S213)</f>
        <v/>
      </c>
      <c r="U213" s="8" t="str">
        <f t="shared" si="3186"/>
        <v/>
      </c>
      <c r="V213" s="8" t="str">
        <f t="shared" si="3187"/>
        <v/>
      </c>
      <c r="W213" s="8" t="str">
        <f t="shared" si="3188"/>
        <v/>
      </c>
      <c r="X213" s="8" t="str">
        <f t="shared" ref="X213" si="3203">IF(X$8="","",W213)</f>
        <v/>
      </c>
      <c r="Y213" s="8" t="str">
        <f t="shared" si="3189"/>
        <v/>
      </c>
      <c r="Z213" s="8" t="str">
        <f t="shared" si="3190"/>
        <v/>
      </c>
      <c r="AA213" s="8" t="str">
        <f>IF(AA$8="","",Z213)</f>
        <v/>
      </c>
      <c r="AB213" s="8" t="str">
        <f t="shared" si="3191"/>
        <v/>
      </c>
      <c r="AC213" s="8" t="str">
        <f t="shared" si="3192"/>
        <v/>
      </c>
      <c r="AD213" s="8" t="str">
        <f t="shared" ref="AD213" si="3204">IF(AD$8="","",AC213)</f>
        <v/>
      </c>
      <c r="AE213" s="8" t="str">
        <f t="shared" si="3193"/>
        <v/>
      </c>
      <c r="AF213" s="8" t="str">
        <f t="shared" si="3194"/>
        <v/>
      </c>
      <c r="AG213" s="8" t="str">
        <f t="shared" si="3195"/>
        <v/>
      </c>
      <c r="AH213" s="8" t="str">
        <f t="shared" ref="AH212:AH213" si="3205">IF(AH$8="","",AG213)</f>
        <v/>
      </c>
      <c r="AI213" s="8" t="str">
        <f t="shared" si="3196"/>
        <v/>
      </c>
      <c r="AJ213" s="8" t="str">
        <f t="shared" si="3197"/>
        <v/>
      </c>
      <c r="AK213" s="8" t="str">
        <f t="shared" si="3198"/>
        <v/>
      </c>
      <c r="AL213" s="8" t="str">
        <f>IF(AL$8="","",AK213)</f>
        <v/>
      </c>
      <c r="AM213" s="8" t="str">
        <f t="shared" si="3199"/>
        <v/>
      </c>
      <c r="AN213" s="8" t="str">
        <f t="shared" si="3200"/>
        <v/>
      </c>
      <c r="AO213" s="8" t="str">
        <f t="shared" si="3201"/>
        <v/>
      </c>
      <c r="AP213" s="8" t="str">
        <f t="shared" ref="AP213:AS213" si="3206">IF(AP$8="","",AO213)</f>
        <v/>
      </c>
      <c r="AQ213" s="8" t="str">
        <f t="shared" si="3206"/>
        <v/>
      </c>
      <c r="AR213" s="8" t="str">
        <f t="shared" si="3206"/>
        <v/>
      </c>
      <c r="AS213" s="8" t="str">
        <f t="shared" si="3206"/>
        <v/>
      </c>
    </row>
    <row r="214" spans="1:45" x14ac:dyDescent="0.15">
      <c r="A214" s="15">
        <v>3</v>
      </c>
      <c r="B214" s="9" t="s">
        <v>5</v>
      </c>
      <c r="C214" s="8">
        <v>6</v>
      </c>
      <c r="D214" s="8">
        <v>6</v>
      </c>
      <c r="E214" s="8">
        <v>6</v>
      </c>
      <c r="F214" s="8">
        <v>6</v>
      </c>
      <c r="G214" s="8">
        <v>6</v>
      </c>
      <c r="H214" s="8">
        <v>6</v>
      </c>
      <c r="I214" s="8">
        <v>6</v>
      </c>
      <c r="J214" s="8">
        <v>5</v>
      </c>
      <c r="K214" s="8">
        <f t="shared" ref="K214" si="3207">IF(K212="","",(J214+J215))</f>
        <v>5</v>
      </c>
      <c r="L214" s="8">
        <f t="shared" ref="L214" si="3208">IF(L212="","",(K214+K215))</f>
        <v>5</v>
      </c>
      <c r="M214" s="8">
        <v>4</v>
      </c>
      <c r="N214" s="8" t="str">
        <f t="shared" ref="N214" si="3209">IF(N212="","",(M214+M215))</f>
        <v/>
      </c>
      <c r="O214" s="8" t="str">
        <f t="shared" ref="O214" si="3210">IF(O212="","",(N214+N215))</f>
        <v/>
      </c>
      <c r="P214" s="8" t="str">
        <f t="shared" ref="P214" si="3211">IF(P212="","",(O214+O215))</f>
        <v/>
      </c>
      <c r="Q214" s="8" t="str">
        <f>IF(Q212="","",(P214+P215))</f>
        <v/>
      </c>
      <c r="R214" s="8" t="str">
        <f t="shared" ref="R214" si="3212">IF(R212="","",(Q214+Q215))</f>
        <v/>
      </c>
      <c r="S214" s="8" t="str">
        <f t="shared" ref="S214" si="3213">IF(S212="","",(R214+R215))</f>
        <v/>
      </c>
      <c r="T214" s="8" t="str">
        <f t="shared" ref="T214" si="3214">IF(T212="","",(S214+S215))</f>
        <v/>
      </c>
      <c r="U214" s="8" t="str">
        <f t="shared" ref="U214" si="3215">IF(U212="","",(T214+T215))</f>
        <v/>
      </c>
      <c r="V214" s="8" t="str">
        <f t="shared" ref="V214" si="3216">IF(V212="","",(U214+U215))</f>
        <v/>
      </c>
      <c r="W214" s="8" t="str">
        <f t="shared" ref="W214" si="3217">IF(W212="","",(V214+V215))</f>
        <v/>
      </c>
      <c r="X214" s="8" t="str">
        <f t="shared" ref="X214" si="3218">IF(X212="","",(W214+W215))</f>
        <v/>
      </c>
      <c r="Y214" s="8" t="str">
        <f t="shared" ref="Y214" si="3219">IF(Y212="","",(X214+X215))</f>
        <v/>
      </c>
      <c r="Z214" s="8" t="str">
        <f t="shared" ref="Z214" si="3220">IF(Z212="","",(Y214+Y215))</f>
        <v/>
      </c>
      <c r="AA214" s="8" t="str">
        <f>IF(AA212="","",(Z214+Z215))</f>
        <v/>
      </c>
      <c r="AB214" s="8" t="str">
        <f t="shared" ref="AB214" si="3221">IF(AB212="","",(AA214+AA215))</f>
        <v/>
      </c>
      <c r="AC214" s="8" t="str">
        <f t="shared" ref="AC214" si="3222">IF(AC212="","",(AB214+AB215))</f>
        <v/>
      </c>
      <c r="AD214" s="8" t="str">
        <f t="shared" ref="AD214" si="3223">IF(AD212="","",(AC214+AC215))</f>
        <v/>
      </c>
      <c r="AE214" s="8" t="str">
        <f t="shared" ref="AE214" si="3224">IF(AE212="","",(AD214+AD215))</f>
        <v/>
      </c>
      <c r="AF214" s="8" t="str">
        <f t="shared" ref="AF214" si="3225">IF(AF212="","",(AE214+AE215))</f>
        <v/>
      </c>
      <c r="AG214" s="8" t="str">
        <f t="shared" ref="AG214" si="3226">IF(AG212="","",(AF214+AF215))</f>
        <v/>
      </c>
      <c r="AH214" s="8" t="str">
        <f t="shared" ref="AH214" si="3227">IF(AH212="","",(AG214+AG215))</f>
        <v/>
      </c>
      <c r="AI214" s="8" t="str">
        <f t="shared" ref="AI214" si="3228">IF(AI212="","",(AH214+AH215))</f>
        <v/>
      </c>
      <c r="AJ214" s="8" t="str">
        <f t="shared" ref="AJ214" si="3229">IF(AJ212="","",(AI214+AI215))</f>
        <v/>
      </c>
      <c r="AK214" s="8" t="str">
        <f t="shared" ref="AK214" si="3230">IF(AK212="","",(AJ214+AJ215))</f>
        <v/>
      </c>
      <c r="AL214" s="8" t="str">
        <f>IF(AL212="","",(AK214+AK215))</f>
        <v/>
      </c>
      <c r="AM214" s="8" t="str">
        <f t="shared" ref="AM214" si="3231">IF(AM212="","",(AL214+AL215))</f>
        <v/>
      </c>
      <c r="AN214" s="8" t="str">
        <f t="shared" ref="AN214" si="3232">IF(AN212="","",(AM214+AM215))</f>
        <v/>
      </c>
      <c r="AO214" s="8" t="str">
        <f t="shared" ref="AO214" si="3233">IF(AO212="","",(AN214+AN215))</f>
        <v/>
      </c>
      <c r="AP214" s="8" t="str">
        <f t="shared" ref="AP214:AS214" si="3234">IF(AP212="","",(AO214+AO215))</f>
        <v/>
      </c>
      <c r="AQ214" s="8" t="str">
        <f t="shared" si="3234"/>
        <v/>
      </c>
      <c r="AR214" s="8" t="str">
        <f t="shared" si="3234"/>
        <v/>
      </c>
      <c r="AS214" s="8" t="str">
        <f t="shared" si="3234"/>
        <v/>
      </c>
    </row>
    <row r="215" spans="1:45" x14ac:dyDescent="0.15">
      <c r="A215" s="14"/>
      <c r="B215" s="9" t="s">
        <v>7</v>
      </c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>
        <v>14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</row>
    <row r="216" spans="1:45" x14ac:dyDescent="0.15">
      <c r="A216" s="7"/>
      <c r="B216" s="9" t="s">
        <v>8</v>
      </c>
      <c r="C216" s="8">
        <v>996</v>
      </c>
      <c r="D216" s="8">
        <v>996</v>
      </c>
      <c r="E216" s="8">
        <v>996</v>
      </c>
      <c r="F216" s="8">
        <v>996</v>
      </c>
      <c r="G216" s="8">
        <v>996</v>
      </c>
      <c r="H216" s="8">
        <v>996</v>
      </c>
      <c r="I216" s="8">
        <v>996</v>
      </c>
      <c r="J216" s="8">
        <v>996</v>
      </c>
      <c r="K216" s="8">
        <f t="shared" ref="K216" si="3235">IF(K212="","",J216)</f>
        <v>996</v>
      </c>
      <c r="L216" s="8">
        <f t="shared" ref="L216" si="3236">IF(L212="","",K216)</f>
        <v>996</v>
      </c>
      <c r="M216" s="8">
        <f t="shared" ref="M216" si="3237">IF(M212="","",L216)</f>
        <v>996</v>
      </c>
      <c r="N216" s="8" t="str">
        <f t="shared" ref="N216" si="3238">IF(N212="","",M216)</f>
        <v/>
      </c>
      <c r="O216" s="8" t="str">
        <f t="shared" ref="O216" si="3239">IF(O212="","",N216)</f>
        <v/>
      </c>
      <c r="P216" s="8" t="str">
        <f t="shared" ref="P216" si="3240">IF(P212="","",O216)</f>
        <v/>
      </c>
      <c r="Q216" s="8" t="str">
        <f t="shared" ref="Q216" si="3241">IF(Q212="","",P216)</f>
        <v/>
      </c>
      <c r="R216" s="8" t="str">
        <f t="shared" ref="R216" si="3242">IF(R212="","",Q216)</f>
        <v/>
      </c>
      <c r="S216" s="8" t="str">
        <f t="shared" ref="S216" si="3243">IF(S212="","",R216)</f>
        <v/>
      </c>
      <c r="T216" s="8" t="str">
        <f t="shared" ref="T216" si="3244">IF(T212="","",S216)</f>
        <v/>
      </c>
      <c r="U216" s="8" t="str">
        <f t="shared" ref="U216" si="3245">IF(U212="","",T216)</f>
        <v/>
      </c>
      <c r="V216" s="8" t="str">
        <f t="shared" ref="V216" si="3246">IF(V212="","",U216)</f>
        <v/>
      </c>
      <c r="W216" s="8" t="str">
        <f t="shared" ref="W216" si="3247">IF(W212="","",V216)</f>
        <v/>
      </c>
      <c r="X216" s="8" t="str">
        <f t="shared" ref="X216" si="3248">IF(X212="","",W216)</f>
        <v/>
      </c>
      <c r="Y216" s="8" t="str">
        <f t="shared" ref="Y216" si="3249">IF(Y212="","",X216)</f>
        <v/>
      </c>
      <c r="Z216" s="8" t="str">
        <f t="shared" ref="Z216" si="3250">IF(Z212="","",Y216)</f>
        <v/>
      </c>
      <c r="AA216" s="8" t="str">
        <f t="shared" ref="AA216" si="3251">IF(AA212="","",Z216)</f>
        <v/>
      </c>
      <c r="AB216" s="8" t="str">
        <f t="shared" ref="AB216" si="3252">IF(AB212="","",AA216)</f>
        <v/>
      </c>
      <c r="AC216" s="8" t="str">
        <f t="shared" ref="AC216" si="3253">IF(AC212="","",AB216)</f>
        <v/>
      </c>
      <c r="AD216" s="8" t="str">
        <f t="shared" ref="AD216" si="3254">IF(AD212="","",AC216)</f>
        <v/>
      </c>
      <c r="AE216" s="8" t="str">
        <f t="shared" ref="AE216" si="3255">IF(AE212="","",AD216)</f>
        <v/>
      </c>
      <c r="AF216" s="8" t="str">
        <f t="shared" ref="AF216" si="3256">IF(AF212="","",AE216)</f>
        <v/>
      </c>
      <c r="AG216" s="8" t="str">
        <f t="shared" ref="AG216" si="3257">IF(AG212="","",AF216)</f>
        <v/>
      </c>
      <c r="AH216" s="8" t="str">
        <f t="shared" ref="AH216" si="3258">IF(AH212="","",AG216)</f>
        <v/>
      </c>
      <c r="AI216" s="8" t="str">
        <f t="shared" ref="AI216" si="3259">IF(AI212="","",AH216)</f>
        <v/>
      </c>
      <c r="AJ216" s="8" t="str">
        <f t="shared" ref="AJ216" si="3260">IF(AJ212="","",AI216)</f>
        <v/>
      </c>
      <c r="AK216" s="8" t="str">
        <f t="shared" ref="AK216" si="3261">IF(AK212="","",AJ216)</f>
        <v/>
      </c>
      <c r="AL216" s="8" t="str">
        <f t="shared" ref="AL216" si="3262">IF(AL212="","",AK216)</f>
        <v/>
      </c>
      <c r="AM216" s="8" t="str">
        <f t="shared" ref="AM216" si="3263">IF(AM212="","",AL216)</f>
        <v/>
      </c>
      <c r="AN216" s="8" t="str">
        <f t="shared" ref="AN216" si="3264">IF(AN212="","",AM216)</f>
        <v/>
      </c>
      <c r="AO216" s="8" t="str">
        <f t="shared" ref="AO216" si="3265">IF(AO212="","",AN216)</f>
        <v/>
      </c>
      <c r="AP216" s="8" t="str">
        <f t="shared" ref="AP216:AS216" si="3266">IF(AP212="","",AO216)</f>
        <v/>
      </c>
      <c r="AQ216" s="8" t="str">
        <f t="shared" si="3266"/>
        <v/>
      </c>
      <c r="AR216" s="8" t="str">
        <f t="shared" si="3266"/>
        <v/>
      </c>
      <c r="AS216" s="8" t="str">
        <f t="shared" si="3266"/>
        <v/>
      </c>
    </row>
    <row r="217" spans="1:45" s="85" customFormat="1" x14ac:dyDescent="0.15">
      <c r="A217" s="14" t="s">
        <v>9</v>
      </c>
      <c r="B217" s="13" t="s">
        <v>10</v>
      </c>
      <c r="C217" s="12" t="s">
        <v>49</v>
      </c>
      <c r="D217" s="12" t="s">
        <v>49</v>
      </c>
      <c r="E217" s="12" t="s">
        <v>49</v>
      </c>
      <c r="F217" s="12" t="s">
        <v>49</v>
      </c>
      <c r="G217" s="12" t="s">
        <v>49</v>
      </c>
      <c r="H217" s="12" t="s">
        <v>49</v>
      </c>
      <c r="I217" s="12" t="s">
        <v>49</v>
      </c>
      <c r="J217" s="12" t="s">
        <v>49</v>
      </c>
      <c r="K217" s="12" t="str">
        <f t="shared" ref="K217" si="3267">IF(K212="","",J217)</f>
        <v>キティバンスクリップ</v>
      </c>
      <c r="L217" s="12" t="str">
        <f t="shared" ref="L217" si="3268">IF(L212="","",K217)</f>
        <v>キティバンスクリップ</v>
      </c>
      <c r="M217" s="12" t="s">
        <v>365</v>
      </c>
      <c r="N217" s="12" t="str">
        <f t="shared" ref="N217" si="3269">IF(N212="","",M217)</f>
        <v/>
      </c>
      <c r="O217" s="12" t="str">
        <f t="shared" ref="O217" si="3270">IF(O212="","",N217)</f>
        <v/>
      </c>
      <c r="P217" s="12" t="str">
        <f t="shared" ref="P217" si="3271">IF(P212="","",O217)</f>
        <v/>
      </c>
      <c r="Q217" s="12" t="str">
        <f t="shared" ref="Q217" si="3272">IF(Q212="","",P217)</f>
        <v/>
      </c>
      <c r="R217" s="12" t="str">
        <f t="shared" ref="R217" si="3273">IF(R212="","",Q217)</f>
        <v/>
      </c>
      <c r="S217" s="12" t="str">
        <f t="shared" ref="S217" si="3274">IF(S212="","",R217)</f>
        <v/>
      </c>
      <c r="T217" s="12" t="str">
        <f t="shared" ref="T217" si="3275">IF(T212="","",S217)</f>
        <v/>
      </c>
      <c r="U217" s="12" t="str">
        <f t="shared" ref="U217" si="3276">IF(U212="","",T217)</f>
        <v/>
      </c>
      <c r="V217" s="12" t="str">
        <f t="shared" ref="V217" si="3277">IF(V212="","",U217)</f>
        <v/>
      </c>
      <c r="W217" s="12" t="str">
        <f t="shared" ref="W217" si="3278">IF(W212="","",V217)</f>
        <v/>
      </c>
      <c r="X217" s="12" t="str">
        <f t="shared" ref="X217" si="3279">IF(X212="","",W217)</f>
        <v/>
      </c>
      <c r="Y217" s="12" t="str">
        <f t="shared" ref="Y217" si="3280">IF(Y212="","",X217)</f>
        <v/>
      </c>
      <c r="Z217" s="12" t="str">
        <f t="shared" ref="Z217" si="3281">IF(Z212="","",Y217)</f>
        <v/>
      </c>
      <c r="AA217" s="12" t="str">
        <f t="shared" ref="AA217" si="3282">IF(AA212="","",Z217)</f>
        <v/>
      </c>
      <c r="AB217" s="12" t="str">
        <f t="shared" ref="AB217" si="3283">IF(AB212="","",AA217)</f>
        <v/>
      </c>
      <c r="AC217" s="12" t="str">
        <f t="shared" ref="AC217" si="3284">IF(AC212="","",AB217)</f>
        <v/>
      </c>
      <c r="AD217" s="12" t="str">
        <f t="shared" ref="AD217" si="3285">IF(AD212="","",AC217)</f>
        <v/>
      </c>
      <c r="AE217" s="12" t="str">
        <f t="shared" ref="AE217" si="3286">IF(AE212="","",AD217)</f>
        <v/>
      </c>
      <c r="AF217" s="12" t="str">
        <f t="shared" ref="AF217" si="3287">IF(AF212="","",AE217)</f>
        <v/>
      </c>
      <c r="AG217" s="12" t="str">
        <f t="shared" ref="AG217" si="3288">IF(AG212="","",AF217)</f>
        <v/>
      </c>
      <c r="AH217" s="12" t="str">
        <f t="shared" ref="AH217" si="3289">IF(AH212="","",AG217)</f>
        <v/>
      </c>
      <c r="AI217" s="12" t="str">
        <f t="shared" ref="AI217" si="3290">IF(AI212="","",AH217)</f>
        <v/>
      </c>
      <c r="AJ217" s="12" t="str">
        <f t="shared" ref="AJ217" si="3291">IF(AJ212="","",AI217)</f>
        <v/>
      </c>
      <c r="AK217" s="12" t="str">
        <f t="shared" ref="AK217" si="3292">IF(AK212="","",AJ217)</f>
        <v/>
      </c>
      <c r="AL217" s="12" t="str">
        <f t="shared" ref="AL217" si="3293">IF(AL212="","",AK217)</f>
        <v/>
      </c>
      <c r="AM217" s="12" t="str">
        <f t="shared" ref="AM217" si="3294">IF(AM212="","",AL217)</f>
        <v/>
      </c>
      <c r="AN217" s="12" t="str">
        <f t="shared" ref="AN217" si="3295">IF(AN212="","",AM217)</f>
        <v/>
      </c>
      <c r="AO217" s="12" t="str">
        <f t="shared" ref="AO217" si="3296">IF(AO212="","",AN217)</f>
        <v/>
      </c>
      <c r="AP217" s="12" t="str">
        <f t="shared" ref="AP217:AS217" si="3297">IF(AP212="","",AO217)</f>
        <v/>
      </c>
      <c r="AQ217" s="12" t="str">
        <f t="shared" si="3297"/>
        <v/>
      </c>
      <c r="AR217" s="12" t="str">
        <f t="shared" si="3297"/>
        <v/>
      </c>
      <c r="AS217" s="12" t="str">
        <f t="shared" si="3297"/>
        <v/>
      </c>
    </row>
    <row r="218" spans="1:45" x14ac:dyDescent="0.15">
      <c r="A218" s="7">
        <f>AVERAGE(C219:AS219)*30*100</f>
        <v>34909.090909090912</v>
      </c>
      <c r="B218" s="9" t="s">
        <v>12</v>
      </c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</row>
    <row r="219" spans="1:45" x14ac:dyDescent="0.15">
      <c r="A219" s="7">
        <f>SUM(C219:AS219)</f>
        <v>128</v>
      </c>
      <c r="B219" s="6" t="s">
        <v>13</v>
      </c>
      <c r="C219" s="5">
        <v>0</v>
      </c>
      <c r="D219" s="5">
        <v>0</v>
      </c>
      <c r="E219" s="5">
        <v>0</v>
      </c>
      <c r="F219" s="5">
        <v>31</v>
      </c>
      <c r="G219" s="5">
        <v>0</v>
      </c>
      <c r="H219" s="5">
        <v>0</v>
      </c>
      <c r="I219" s="5">
        <v>0</v>
      </c>
      <c r="J219" s="5">
        <v>75</v>
      </c>
      <c r="K219" s="5">
        <f t="shared" ref="K219:K220" si="3298">IF(K212="","",K212-J212)</f>
        <v>0</v>
      </c>
      <c r="L219" s="5">
        <f t="shared" ref="L219:L220" si="3299">IF(L212="","",L212-K212)</f>
        <v>0</v>
      </c>
      <c r="M219" s="5">
        <f t="shared" ref="M219:M220" si="3300">IF(M212="","",M212-L212)</f>
        <v>22</v>
      </c>
      <c r="N219" s="5" t="str">
        <f t="shared" ref="N219:N220" si="3301">IF(N212="","",N212-M212)</f>
        <v/>
      </c>
      <c r="O219" s="5" t="str">
        <f t="shared" ref="O219:O220" si="3302">IF(O212="","",O212-N212)</f>
        <v/>
      </c>
      <c r="P219" s="5" t="str">
        <f t="shared" ref="P219:P220" si="3303">IF(P212="","",P212-O212)</f>
        <v/>
      </c>
      <c r="Q219" s="5" t="str">
        <f t="shared" ref="Q219:Q220" si="3304">IF(Q212="","",Q212-P212)</f>
        <v/>
      </c>
      <c r="R219" s="5" t="str">
        <f t="shared" ref="R219:R220" si="3305">IF(R212="","",R212-Q212)</f>
        <v/>
      </c>
      <c r="S219" s="5" t="str">
        <f t="shared" ref="S219:S220" si="3306">IF(S212="","",S212-R212)</f>
        <v/>
      </c>
      <c r="T219" s="5" t="str">
        <f t="shared" ref="T219:T220" si="3307">IF(T212="","",T212-S212)</f>
        <v/>
      </c>
      <c r="U219" s="5" t="str">
        <f t="shared" ref="U219:U220" si="3308">IF(U212="","",U212-T212)</f>
        <v/>
      </c>
      <c r="V219" s="5" t="str">
        <f t="shared" ref="V219:V220" si="3309">IF(V212="","",V212-U212)</f>
        <v/>
      </c>
      <c r="W219" s="5" t="str">
        <f t="shared" ref="W219:W220" si="3310">IF(W212="","",W212-V212)</f>
        <v/>
      </c>
      <c r="X219" s="5" t="str">
        <f t="shared" ref="X219:X220" si="3311">IF(X212="","",X212-W212)</f>
        <v/>
      </c>
      <c r="Y219" s="5" t="str">
        <f t="shared" ref="Y219:Y220" si="3312">IF(Y212="","",Y212-X212)</f>
        <v/>
      </c>
      <c r="Z219" s="5" t="str">
        <f t="shared" ref="Z219:Z220" si="3313">IF(Z212="","",Z212-Y212)</f>
        <v/>
      </c>
      <c r="AA219" s="5" t="str">
        <f t="shared" ref="AA219:AA220" si="3314">IF(AA212="","",AA212-Z212)</f>
        <v/>
      </c>
      <c r="AB219" s="5" t="str">
        <f t="shared" ref="AB219:AB220" si="3315">IF(AB212="","",AB212-AA212)</f>
        <v/>
      </c>
      <c r="AC219" s="5" t="str">
        <f t="shared" ref="AC219:AC220" si="3316">IF(AC212="","",AC212-AB212)</f>
        <v/>
      </c>
      <c r="AD219" s="5" t="str">
        <f t="shared" ref="AD219:AD220" si="3317">IF(AD212="","",AD212-AC212)</f>
        <v/>
      </c>
      <c r="AE219" s="5" t="str">
        <f t="shared" ref="AE219:AE220" si="3318">IF(AE212="","",AE212-AD212)</f>
        <v/>
      </c>
      <c r="AF219" s="5" t="str">
        <f t="shared" ref="AF219:AF220" si="3319">IF(AF212="","",AF212-AE212)</f>
        <v/>
      </c>
      <c r="AG219" s="5" t="str">
        <f t="shared" ref="AG219:AG220" si="3320">IF(AG212="","",AG212-AF212)</f>
        <v/>
      </c>
      <c r="AH219" s="5" t="str">
        <f t="shared" ref="AH219:AH220" si="3321">IF(AH212="","",AH212-AG212)</f>
        <v/>
      </c>
      <c r="AI219" s="5" t="str">
        <f t="shared" ref="AI219:AI220" si="3322">IF(AI212="","",AI212-AH212)</f>
        <v/>
      </c>
      <c r="AJ219" s="5" t="str">
        <f t="shared" ref="AJ219:AJ220" si="3323">IF(AJ212="","",AJ212-AI212)</f>
        <v/>
      </c>
      <c r="AK219" s="5" t="str">
        <f t="shared" ref="AK219:AK220" si="3324">IF(AK212="","",AK212-AJ212)</f>
        <v/>
      </c>
      <c r="AL219" s="5" t="str">
        <f t="shared" ref="AL219:AL220" si="3325">IF(AL212="","",AL212-AK212)</f>
        <v/>
      </c>
      <c r="AM219" s="5" t="str">
        <f t="shared" ref="AM219:AM220" si="3326">IF(AM212="","",AM212-AL212)</f>
        <v/>
      </c>
      <c r="AN219" s="5" t="str">
        <f t="shared" ref="AN219:AN220" si="3327">IF(AN212="","",AN212-AM212)</f>
        <v/>
      </c>
      <c r="AO219" s="5" t="str">
        <f t="shared" ref="AO219:AO220" si="3328">IF(AO212="","",AO212-AN212)</f>
        <v/>
      </c>
      <c r="AP219" s="5" t="str">
        <f t="shared" ref="AP219:AS219" si="3329">IF(AP212="","",AP212-AO212)</f>
        <v/>
      </c>
      <c r="AQ219" s="5" t="str">
        <f t="shared" si="3329"/>
        <v/>
      </c>
      <c r="AR219" s="5" t="str">
        <f t="shared" si="3329"/>
        <v/>
      </c>
      <c r="AS219" s="5" t="str">
        <f t="shared" si="3329"/>
        <v/>
      </c>
    </row>
    <row r="220" spans="1:45" x14ac:dyDescent="0.15">
      <c r="A220" s="7">
        <f>SUM(C220:AS220)</f>
        <v>2</v>
      </c>
      <c r="B220" s="6" t="s">
        <v>14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1</v>
      </c>
      <c r="K220" s="5">
        <f t="shared" si="3298"/>
        <v>0</v>
      </c>
      <c r="L220" s="5">
        <f t="shared" si="3299"/>
        <v>0</v>
      </c>
      <c r="M220" s="5">
        <f t="shared" si="3300"/>
        <v>1</v>
      </c>
      <c r="N220" s="5" t="str">
        <f t="shared" si="3301"/>
        <v/>
      </c>
      <c r="O220" s="5" t="str">
        <f t="shared" si="3302"/>
        <v/>
      </c>
      <c r="P220" s="5" t="str">
        <f t="shared" si="3303"/>
        <v/>
      </c>
      <c r="Q220" s="5" t="str">
        <f t="shared" si="3304"/>
        <v/>
      </c>
      <c r="R220" s="5" t="str">
        <f t="shared" si="3305"/>
        <v/>
      </c>
      <c r="S220" s="5" t="str">
        <f t="shared" si="3306"/>
        <v/>
      </c>
      <c r="T220" s="5" t="str">
        <f t="shared" si="3307"/>
        <v/>
      </c>
      <c r="U220" s="5" t="str">
        <f t="shared" si="3308"/>
        <v/>
      </c>
      <c r="V220" s="5" t="str">
        <f t="shared" si="3309"/>
        <v/>
      </c>
      <c r="W220" s="5" t="str">
        <f t="shared" si="3310"/>
        <v/>
      </c>
      <c r="X220" s="5" t="str">
        <f t="shared" si="3311"/>
        <v/>
      </c>
      <c r="Y220" s="5" t="str">
        <f t="shared" si="3312"/>
        <v/>
      </c>
      <c r="Z220" s="5" t="str">
        <f t="shared" si="3313"/>
        <v/>
      </c>
      <c r="AA220" s="5" t="str">
        <f t="shared" si="3314"/>
        <v/>
      </c>
      <c r="AB220" s="5" t="str">
        <f t="shared" si="3315"/>
        <v/>
      </c>
      <c r="AC220" s="5" t="str">
        <f t="shared" si="3316"/>
        <v/>
      </c>
      <c r="AD220" s="5" t="str">
        <f t="shared" si="3317"/>
        <v/>
      </c>
      <c r="AE220" s="5" t="str">
        <f t="shared" si="3318"/>
        <v/>
      </c>
      <c r="AF220" s="5" t="str">
        <f t="shared" si="3319"/>
        <v/>
      </c>
      <c r="AG220" s="5" t="str">
        <f t="shared" si="3320"/>
        <v/>
      </c>
      <c r="AH220" s="5" t="str">
        <f t="shared" si="3321"/>
        <v/>
      </c>
      <c r="AI220" s="5" t="str">
        <f t="shared" si="3322"/>
        <v/>
      </c>
      <c r="AJ220" s="5" t="str">
        <f t="shared" si="3323"/>
        <v/>
      </c>
      <c r="AK220" s="5" t="str">
        <f t="shared" si="3324"/>
        <v/>
      </c>
      <c r="AL220" s="5" t="str">
        <f t="shared" si="3325"/>
        <v/>
      </c>
      <c r="AM220" s="5" t="str">
        <f t="shared" si="3326"/>
        <v/>
      </c>
      <c r="AN220" s="5" t="str">
        <f t="shared" si="3327"/>
        <v/>
      </c>
      <c r="AO220" s="5" t="str">
        <f t="shared" si="3328"/>
        <v/>
      </c>
      <c r="AP220" s="5" t="str">
        <f t="shared" ref="AP220:AS220" si="3330">IF(AP213="","",AP213-AO213)</f>
        <v/>
      </c>
      <c r="AQ220" s="5" t="str">
        <f t="shared" si="3330"/>
        <v/>
      </c>
      <c r="AR220" s="5" t="str">
        <f t="shared" si="3330"/>
        <v/>
      </c>
      <c r="AS220" s="5" t="str">
        <f t="shared" si="3330"/>
        <v/>
      </c>
    </row>
    <row r="221" spans="1:45" x14ac:dyDescent="0.15">
      <c r="A221" s="7">
        <f>SUM(C221:AS221)</f>
        <v>2</v>
      </c>
      <c r="B221" s="6" t="s">
        <v>15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1</v>
      </c>
      <c r="K221" s="5">
        <f t="shared" ref="K221" si="3331">IF(K214="","",J214+J215-K214)</f>
        <v>0</v>
      </c>
      <c r="L221" s="5">
        <f t="shared" ref="L221" si="3332">IF(L214="","",K214+K215-L214)</f>
        <v>0</v>
      </c>
      <c r="M221" s="5">
        <f t="shared" ref="M221" si="3333">IF(M214="","",L214+L215-M214)</f>
        <v>1</v>
      </c>
      <c r="N221" s="5" t="str">
        <f t="shared" ref="N221" si="3334">IF(N214="","",M214+M215-N214)</f>
        <v/>
      </c>
      <c r="O221" s="5" t="str">
        <f t="shared" ref="O221" si="3335">IF(O214="","",N214+N215-O214)</f>
        <v/>
      </c>
      <c r="P221" s="5" t="str">
        <f t="shared" ref="P221" si="3336">IF(P214="","",O214+O215-P214)</f>
        <v/>
      </c>
      <c r="Q221" s="5" t="str">
        <f t="shared" ref="Q221" si="3337">IF(Q214="","",P214+P215-Q214)</f>
        <v/>
      </c>
      <c r="R221" s="5" t="str">
        <f t="shared" ref="R221" si="3338">IF(R214="","",Q214+Q215-R214)</f>
        <v/>
      </c>
      <c r="S221" s="5" t="str">
        <f t="shared" ref="S221" si="3339">IF(S214="","",R214+R215-S214)</f>
        <v/>
      </c>
      <c r="T221" s="5" t="str">
        <f t="shared" ref="T221" si="3340">IF(T214="","",S214+S215-T214)</f>
        <v/>
      </c>
      <c r="U221" s="5" t="str">
        <f t="shared" ref="U221" si="3341">IF(U214="","",T214+T215-U214)</f>
        <v/>
      </c>
      <c r="V221" s="5" t="str">
        <f t="shared" ref="V221" si="3342">IF(V214="","",U214+U215-V214)</f>
        <v/>
      </c>
      <c r="W221" s="5" t="str">
        <f t="shared" ref="W221" si="3343">IF(W214="","",V214+V215-W214)</f>
        <v/>
      </c>
      <c r="X221" s="5" t="str">
        <f t="shared" ref="X221" si="3344">IF(X214="","",W214+W215-X214)</f>
        <v/>
      </c>
      <c r="Y221" s="5" t="str">
        <f t="shared" ref="Y221" si="3345">IF(Y214="","",X214+X215-Y214)</f>
        <v/>
      </c>
      <c r="Z221" s="5" t="str">
        <f t="shared" ref="Z221" si="3346">IF(Z214="","",Y214+Y215-Z214)</f>
        <v/>
      </c>
      <c r="AA221" s="5" t="str">
        <f t="shared" ref="AA221" si="3347">IF(AA214="","",Z214+Z215-AA214)</f>
        <v/>
      </c>
      <c r="AB221" s="5" t="str">
        <f t="shared" ref="AB221" si="3348">IF(AB214="","",AA214+AA215-AB214)</f>
        <v/>
      </c>
      <c r="AC221" s="5" t="str">
        <f t="shared" ref="AC221" si="3349">IF(AC214="","",AB214+AB215-AC214)</f>
        <v/>
      </c>
      <c r="AD221" s="5" t="str">
        <f t="shared" ref="AD221" si="3350">IF(AD214="","",AC214+AC215-AD214)</f>
        <v/>
      </c>
      <c r="AE221" s="5" t="str">
        <f t="shared" ref="AE221" si="3351">IF(AE214="","",AD214+AD215-AE214)</f>
        <v/>
      </c>
      <c r="AF221" s="5" t="str">
        <f t="shared" ref="AF221" si="3352">IF(AF214="","",AE214+AE215-AF214)</f>
        <v/>
      </c>
      <c r="AG221" s="5" t="str">
        <f t="shared" ref="AG221" si="3353">IF(AG214="","",AF214+AF215-AG214)</f>
        <v/>
      </c>
      <c r="AH221" s="5" t="str">
        <f t="shared" ref="AH221" si="3354">IF(AH214="","",AG214+AG215-AH214)</f>
        <v/>
      </c>
      <c r="AI221" s="5" t="str">
        <f t="shared" ref="AI221" si="3355">IF(AI214="","",AH214+AH215-AI214)</f>
        <v/>
      </c>
      <c r="AJ221" s="5" t="str">
        <f t="shared" ref="AJ221" si="3356">IF(AJ214="","",AI214+AI215-AJ214)</f>
        <v/>
      </c>
      <c r="AK221" s="5" t="str">
        <f t="shared" ref="AK221" si="3357">IF(AK214="","",AJ214+AJ215-AK214)</f>
        <v/>
      </c>
      <c r="AL221" s="5" t="str">
        <f t="shared" ref="AL221" si="3358">IF(AL214="","",AK214+AK215-AL214)</f>
        <v/>
      </c>
      <c r="AM221" s="5" t="str">
        <f t="shared" ref="AM221" si="3359">IF(AM214="","",AL214+AL215-AM214)</f>
        <v/>
      </c>
      <c r="AN221" s="5" t="str">
        <f t="shared" ref="AN221" si="3360">IF(AN214="","",AM214+AM215-AN214)</f>
        <v/>
      </c>
      <c r="AO221" s="5" t="str">
        <f t="shared" ref="AO221" si="3361">IF(AO214="","",AN214+AN215-AO214)</f>
        <v/>
      </c>
      <c r="AP221" s="5" t="str">
        <f t="shared" ref="AP221:AS221" si="3362">IF(AP214="","",AO214+AO215-AP214)</f>
        <v/>
      </c>
      <c r="AQ221" s="5" t="str">
        <f t="shared" si="3362"/>
        <v/>
      </c>
      <c r="AR221" s="5" t="str">
        <f t="shared" si="3362"/>
        <v/>
      </c>
      <c r="AS221" s="5" t="str">
        <f t="shared" si="3362"/>
        <v/>
      </c>
    </row>
    <row r="222" spans="1:45" x14ac:dyDescent="0.15">
      <c r="A222" s="7">
        <f>SUM(C222:AS222)</f>
        <v>1992</v>
      </c>
      <c r="B222" s="6" t="s">
        <v>16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996</v>
      </c>
      <c r="K222" s="5">
        <f t="shared" ref="I222:AO222" si="3363">IF(K212="","",K221*K216)</f>
        <v>0</v>
      </c>
      <c r="L222" s="5">
        <f t="shared" si="3363"/>
        <v>0</v>
      </c>
      <c r="M222" s="5">
        <f t="shared" si="3363"/>
        <v>996</v>
      </c>
      <c r="N222" s="5" t="str">
        <f t="shared" si="3363"/>
        <v/>
      </c>
      <c r="O222" s="5" t="str">
        <f t="shared" si="3363"/>
        <v/>
      </c>
      <c r="P222" s="5" t="str">
        <f t="shared" si="3363"/>
        <v/>
      </c>
      <c r="Q222" s="5" t="str">
        <f t="shared" si="3363"/>
        <v/>
      </c>
      <c r="R222" s="5" t="str">
        <f t="shared" si="3363"/>
        <v/>
      </c>
      <c r="S222" s="5" t="str">
        <f t="shared" si="3363"/>
        <v/>
      </c>
      <c r="T222" s="5" t="str">
        <f t="shared" si="3363"/>
        <v/>
      </c>
      <c r="U222" s="5" t="str">
        <f t="shared" si="3363"/>
        <v/>
      </c>
      <c r="V222" s="5" t="str">
        <f t="shared" si="3363"/>
        <v/>
      </c>
      <c r="W222" s="5" t="str">
        <f t="shared" si="3363"/>
        <v/>
      </c>
      <c r="X222" s="5" t="str">
        <f t="shared" si="3363"/>
        <v/>
      </c>
      <c r="Y222" s="5" t="str">
        <f t="shared" si="3363"/>
        <v/>
      </c>
      <c r="Z222" s="5" t="str">
        <f t="shared" si="3363"/>
        <v/>
      </c>
      <c r="AA222" s="5" t="str">
        <f t="shared" si="3363"/>
        <v/>
      </c>
      <c r="AB222" s="5" t="str">
        <f t="shared" si="3363"/>
        <v/>
      </c>
      <c r="AC222" s="5" t="str">
        <f t="shared" si="3363"/>
        <v/>
      </c>
      <c r="AD222" s="5" t="str">
        <f t="shared" si="3363"/>
        <v/>
      </c>
      <c r="AE222" s="5" t="str">
        <f t="shared" si="3363"/>
        <v/>
      </c>
      <c r="AF222" s="5" t="str">
        <f t="shared" si="3363"/>
        <v/>
      </c>
      <c r="AG222" s="5" t="str">
        <f t="shared" si="3363"/>
        <v/>
      </c>
      <c r="AH222" s="5" t="str">
        <f t="shared" si="3363"/>
        <v/>
      </c>
      <c r="AI222" s="5" t="str">
        <f t="shared" si="3363"/>
        <v/>
      </c>
      <c r="AJ222" s="5" t="str">
        <f t="shared" si="3363"/>
        <v/>
      </c>
      <c r="AK222" s="5" t="str">
        <f t="shared" si="3363"/>
        <v/>
      </c>
      <c r="AL222" s="5" t="str">
        <f t="shared" si="3363"/>
        <v/>
      </c>
      <c r="AM222" s="5" t="str">
        <f t="shared" si="3363"/>
        <v/>
      </c>
      <c r="AN222" s="5" t="str">
        <f t="shared" si="3363"/>
        <v/>
      </c>
      <c r="AO222" s="5" t="str">
        <f t="shared" si="3363"/>
        <v/>
      </c>
      <c r="AP222" s="5" t="str">
        <f t="shared" ref="AP222:AS222" si="3364">IF(AP212="","",AP221*AP216)</f>
        <v/>
      </c>
      <c r="AQ222" s="5" t="str">
        <f t="shared" si="3364"/>
        <v/>
      </c>
      <c r="AR222" s="5" t="str">
        <f t="shared" si="3364"/>
        <v/>
      </c>
      <c r="AS222" s="5" t="str">
        <f t="shared" si="3364"/>
        <v/>
      </c>
    </row>
    <row r="223" spans="1:45" ht="12" thickBot="1" x14ac:dyDescent="0.2">
      <c r="A223" s="4">
        <f>IF(A222="","",A222/(A219*100))</f>
        <v>0.15562500000000001</v>
      </c>
      <c r="B223" s="6" t="s">
        <v>18</v>
      </c>
      <c r="C223" s="18" t="s">
        <v>19</v>
      </c>
      <c r="D223" s="18" t="s">
        <v>19</v>
      </c>
      <c r="E223" s="18" t="s">
        <v>19</v>
      </c>
      <c r="F223" s="18" t="s">
        <v>19</v>
      </c>
      <c r="G223" s="18" t="s">
        <v>19</v>
      </c>
      <c r="H223" s="18" t="s">
        <v>19</v>
      </c>
      <c r="I223" s="18" t="s">
        <v>19</v>
      </c>
      <c r="J223" s="18">
        <v>0.1328</v>
      </c>
      <c r="K223" s="18" t="str">
        <f t="shared" ref="I223:AO223" si="3365">IF(K222="","",IF(K222=0,"",K222/(K219*100)))</f>
        <v/>
      </c>
      <c r="L223" s="18" t="str">
        <f t="shared" si="3365"/>
        <v/>
      </c>
      <c r="M223" s="18">
        <f t="shared" si="3365"/>
        <v>0.4527272727272727</v>
      </c>
      <c r="N223" s="18" t="str">
        <f t="shared" si="3365"/>
        <v/>
      </c>
      <c r="O223" s="18" t="str">
        <f t="shared" si="3365"/>
        <v/>
      </c>
      <c r="P223" s="18" t="str">
        <f t="shared" si="3365"/>
        <v/>
      </c>
      <c r="Q223" s="18" t="str">
        <f t="shared" si="3365"/>
        <v/>
      </c>
      <c r="R223" s="18" t="str">
        <f t="shared" si="3365"/>
        <v/>
      </c>
      <c r="S223" s="18" t="str">
        <f t="shared" si="3365"/>
        <v/>
      </c>
      <c r="T223" s="18" t="str">
        <f t="shared" si="3365"/>
        <v/>
      </c>
      <c r="U223" s="18" t="str">
        <f t="shared" si="3365"/>
        <v/>
      </c>
      <c r="V223" s="18" t="str">
        <f t="shared" si="3365"/>
        <v/>
      </c>
      <c r="W223" s="18" t="str">
        <f t="shared" si="3365"/>
        <v/>
      </c>
      <c r="X223" s="18" t="str">
        <f t="shared" si="3365"/>
        <v/>
      </c>
      <c r="Y223" s="18" t="str">
        <f t="shared" si="3365"/>
        <v/>
      </c>
      <c r="Z223" s="18" t="str">
        <f t="shared" si="3365"/>
        <v/>
      </c>
      <c r="AA223" s="18" t="str">
        <f t="shared" si="3365"/>
        <v/>
      </c>
      <c r="AB223" s="18" t="str">
        <f t="shared" si="3365"/>
        <v/>
      </c>
      <c r="AC223" s="18" t="str">
        <f t="shared" si="3365"/>
        <v/>
      </c>
      <c r="AD223" s="18" t="str">
        <f t="shared" si="3365"/>
        <v/>
      </c>
      <c r="AE223" s="18" t="str">
        <f t="shared" si="3365"/>
        <v/>
      </c>
      <c r="AF223" s="18" t="str">
        <f t="shared" si="3365"/>
        <v/>
      </c>
      <c r="AG223" s="18" t="str">
        <f t="shared" si="3365"/>
        <v/>
      </c>
      <c r="AH223" s="18" t="str">
        <f t="shared" si="3365"/>
        <v/>
      </c>
      <c r="AI223" s="18" t="str">
        <f t="shared" si="3365"/>
        <v/>
      </c>
      <c r="AJ223" s="18" t="str">
        <f t="shared" si="3365"/>
        <v/>
      </c>
      <c r="AK223" s="18" t="str">
        <f t="shared" si="3365"/>
        <v/>
      </c>
      <c r="AL223" s="18" t="str">
        <f t="shared" si="3365"/>
        <v/>
      </c>
      <c r="AM223" s="18" t="str">
        <f t="shared" si="3365"/>
        <v/>
      </c>
      <c r="AN223" s="18" t="str">
        <f t="shared" si="3365"/>
        <v/>
      </c>
      <c r="AO223" s="18" t="str">
        <f t="shared" si="3365"/>
        <v/>
      </c>
      <c r="AP223" s="18" t="str">
        <f t="shared" ref="AP223:AS223" si="3366">IF(AP222="","",IF(AP222=0,"",AP222/(AP219*100)))</f>
        <v/>
      </c>
      <c r="AQ223" s="18" t="str">
        <f t="shared" si="3366"/>
        <v/>
      </c>
      <c r="AR223" s="18" t="str">
        <f t="shared" si="3366"/>
        <v/>
      </c>
      <c r="AS223" s="18" t="str">
        <f t="shared" si="3366"/>
        <v/>
      </c>
    </row>
    <row r="224" spans="1:45" x14ac:dyDescent="0.15">
      <c r="A224" s="17" t="s">
        <v>59</v>
      </c>
      <c r="B224" s="9" t="s">
        <v>2</v>
      </c>
      <c r="C224" s="8">
        <v>9615</v>
      </c>
      <c r="D224" s="8">
        <v>9615</v>
      </c>
      <c r="E224" s="8">
        <v>9615</v>
      </c>
      <c r="F224" s="8">
        <v>9663</v>
      </c>
      <c r="G224" s="8">
        <v>9663</v>
      </c>
      <c r="H224" s="8">
        <v>9663</v>
      </c>
      <c r="I224" s="8">
        <v>9663</v>
      </c>
      <c r="J224" s="8">
        <v>9683</v>
      </c>
      <c r="K224" s="8">
        <f t="shared" ref="K224:K225" si="3367">IF(K$8="","",J224)</f>
        <v>9683</v>
      </c>
      <c r="L224" s="8">
        <f t="shared" ref="L224:L225" si="3368">IF(L$8="","",K224)</f>
        <v>9683</v>
      </c>
      <c r="M224" s="8">
        <v>9715</v>
      </c>
      <c r="N224" s="8" t="str">
        <f t="shared" ref="N224:N225" si="3369">IF(N$8="","",M224)</f>
        <v/>
      </c>
      <c r="O224" s="8" t="str">
        <f t="shared" ref="O224:O225" si="3370">IF(O$8="","",N224)</f>
        <v/>
      </c>
      <c r="P224" s="8" t="str">
        <f t="shared" ref="P224:P225" si="3371">IF(P$8="","",O224)</f>
        <v/>
      </c>
      <c r="Q224" s="8" t="str">
        <f>IF(Q$8="","",P224)</f>
        <v/>
      </c>
      <c r="R224" s="8" t="str">
        <f t="shared" ref="R224:R225" si="3372">IF(R$8="","",Q224)</f>
        <v/>
      </c>
      <c r="S224" s="8" t="str">
        <f t="shared" ref="S224:S225" si="3373">IF(S$8="","",R224)</f>
        <v/>
      </c>
      <c r="T224" s="8" t="str">
        <f>IF(T$8="","",S224)</f>
        <v/>
      </c>
      <c r="U224" s="8" t="str">
        <f t="shared" ref="U224:U225" si="3374">IF(U$8="","",T224)</f>
        <v/>
      </c>
      <c r="V224" s="8" t="str">
        <f t="shared" ref="V224:V225" si="3375">IF(V$8="","",U224)</f>
        <v/>
      </c>
      <c r="W224" s="8" t="str">
        <f t="shared" ref="W224:W225" si="3376">IF(W$8="","",V224)</f>
        <v/>
      </c>
      <c r="X224" s="8" t="str">
        <f>IF(X$8="","",W224)</f>
        <v/>
      </c>
      <c r="Y224" s="8" t="str">
        <f t="shared" ref="Y224:Y225" si="3377">IF(Y$8="","",X224)</f>
        <v/>
      </c>
      <c r="Z224" s="8" t="str">
        <f t="shared" ref="Z224:Z225" si="3378">IF(Z$8="","",Y224)</f>
        <v/>
      </c>
      <c r="AA224" s="8" t="str">
        <f>IF(AA$8="","",Z224)</f>
        <v/>
      </c>
      <c r="AB224" s="8" t="str">
        <f t="shared" ref="AB224:AB225" si="3379">IF(AB$8="","",AA224)</f>
        <v/>
      </c>
      <c r="AC224" s="8" t="str">
        <f t="shared" ref="AC224:AC225" si="3380">IF(AC$8="","",AB224)</f>
        <v/>
      </c>
      <c r="AD224" s="8" t="str">
        <f>IF(AD$8="","",AC224)</f>
        <v/>
      </c>
      <c r="AE224" s="8" t="str">
        <f t="shared" ref="AE224:AE225" si="3381">IF(AE$8="","",AD224)</f>
        <v/>
      </c>
      <c r="AF224" s="8" t="str">
        <f t="shared" ref="AF224:AF225" si="3382">IF(AF$8="","",AE224)</f>
        <v/>
      </c>
      <c r="AG224" s="8" t="str">
        <f t="shared" ref="AG224:AG225" si="3383">IF(AG$8="","",AF224)</f>
        <v/>
      </c>
      <c r="AH224" s="8" t="str">
        <f>IF(AH$8="","",AG224)</f>
        <v/>
      </c>
      <c r="AI224" s="8" t="str">
        <f t="shared" ref="AI224:AI225" si="3384">IF(AI$8="","",AH224)</f>
        <v/>
      </c>
      <c r="AJ224" s="8" t="str">
        <f t="shared" ref="AJ224:AJ225" si="3385">IF(AJ$8="","",AI224)</f>
        <v/>
      </c>
      <c r="AK224" s="8" t="str">
        <f t="shared" ref="AK224:AK225" si="3386">IF(AK$8="","",AJ224)</f>
        <v/>
      </c>
      <c r="AL224" s="8" t="str">
        <f>IF(AL$8="","",AK224)</f>
        <v/>
      </c>
      <c r="AM224" s="8" t="str">
        <f t="shared" ref="AM224:AM225" si="3387">IF(AM$8="","",AL224)</f>
        <v/>
      </c>
      <c r="AN224" s="8" t="str">
        <f t="shared" ref="AN224:AN225" si="3388">IF(AN$8="","",AM224)</f>
        <v/>
      </c>
      <c r="AO224" s="8" t="str">
        <f t="shared" ref="AO224:AO225" si="3389">IF(AO$8="","",AN224)</f>
        <v/>
      </c>
      <c r="AP224" s="8" t="str">
        <f t="shared" ref="AP224:AS224" si="3390">IF(AP$8="","",AO224)</f>
        <v/>
      </c>
      <c r="AQ224" s="8" t="str">
        <f t="shared" si="3390"/>
        <v/>
      </c>
      <c r="AR224" s="8" t="str">
        <f t="shared" si="3390"/>
        <v/>
      </c>
      <c r="AS224" s="8" t="str">
        <f t="shared" si="3390"/>
        <v/>
      </c>
    </row>
    <row r="225" spans="1:45" x14ac:dyDescent="0.15">
      <c r="A225" s="16" t="s">
        <v>32</v>
      </c>
      <c r="B225" s="9" t="s">
        <v>4</v>
      </c>
      <c r="C225" s="8">
        <v>352</v>
      </c>
      <c r="D225" s="8">
        <v>352</v>
      </c>
      <c r="E225" s="8">
        <v>352</v>
      </c>
      <c r="F225" s="8">
        <v>355</v>
      </c>
      <c r="G225" s="8">
        <v>355</v>
      </c>
      <c r="H225" s="8">
        <v>355</v>
      </c>
      <c r="I225" s="8">
        <v>355</v>
      </c>
      <c r="J225" s="8">
        <v>355</v>
      </c>
      <c r="K225" s="8">
        <f t="shared" si="3367"/>
        <v>355</v>
      </c>
      <c r="L225" s="8">
        <f t="shared" si="3368"/>
        <v>355</v>
      </c>
      <c r="M225" s="8">
        <v>358</v>
      </c>
      <c r="N225" s="8" t="str">
        <f t="shared" si="3369"/>
        <v/>
      </c>
      <c r="O225" s="8" t="str">
        <f t="shared" si="3370"/>
        <v/>
      </c>
      <c r="P225" s="8" t="str">
        <f t="shared" si="3371"/>
        <v/>
      </c>
      <c r="Q225" s="8" t="str">
        <f>IF(Q$8="","",P225)</f>
        <v/>
      </c>
      <c r="R225" s="8" t="str">
        <f t="shared" si="3372"/>
        <v/>
      </c>
      <c r="S225" s="8" t="str">
        <f t="shared" si="3373"/>
        <v/>
      </c>
      <c r="T225" s="8" t="str">
        <f>IF(T$8="","",S225)</f>
        <v/>
      </c>
      <c r="U225" s="8" t="str">
        <f t="shared" si="3374"/>
        <v/>
      </c>
      <c r="V225" s="8" t="str">
        <f t="shared" si="3375"/>
        <v/>
      </c>
      <c r="W225" s="8" t="str">
        <f t="shared" si="3376"/>
        <v/>
      </c>
      <c r="X225" s="8" t="str">
        <f>IF(X$8="","",W225)</f>
        <v/>
      </c>
      <c r="Y225" s="8" t="str">
        <f t="shared" si="3377"/>
        <v/>
      </c>
      <c r="Z225" s="8" t="str">
        <f t="shared" si="3378"/>
        <v/>
      </c>
      <c r="AA225" s="8" t="str">
        <f>IF(AA$8="","",Z225)</f>
        <v/>
      </c>
      <c r="AB225" s="8" t="str">
        <f t="shared" si="3379"/>
        <v/>
      </c>
      <c r="AC225" s="8" t="str">
        <f t="shared" si="3380"/>
        <v/>
      </c>
      <c r="AD225" s="8" t="str">
        <f t="shared" ref="AD225" si="3391">IF(AD$8="","",AC225)</f>
        <v/>
      </c>
      <c r="AE225" s="8" t="str">
        <f t="shared" si="3381"/>
        <v/>
      </c>
      <c r="AF225" s="8" t="str">
        <f t="shared" si="3382"/>
        <v/>
      </c>
      <c r="AG225" s="8" t="str">
        <f t="shared" si="3383"/>
        <v/>
      </c>
      <c r="AH225" s="8" t="str">
        <f>IF(AH$8="","",AG225)</f>
        <v/>
      </c>
      <c r="AI225" s="8" t="str">
        <f t="shared" si="3384"/>
        <v/>
      </c>
      <c r="AJ225" s="8" t="str">
        <f t="shared" si="3385"/>
        <v/>
      </c>
      <c r="AK225" s="8" t="str">
        <f t="shared" si="3386"/>
        <v/>
      </c>
      <c r="AL225" s="8" t="str">
        <f t="shared" ref="AL224:AL225" si="3392">IF(AL$8="","",AK225)</f>
        <v/>
      </c>
      <c r="AM225" s="8" t="str">
        <f t="shared" si="3387"/>
        <v/>
      </c>
      <c r="AN225" s="8" t="str">
        <f t="shared" si="3388"/>
        <v/>
      </c>
      <c r="AO225" s="8" t="str">
        <f t="shared" si="3389"/>
        <v/>
      </c>
      <c r="AP225" s="8" t="str">
        <f t="shared" ref="AP225:AS225" si="3393">IF(AP$8="","",AO225)</f>
        <v/>
      </c>
      <c r="AQ225" s="8" t="str">
        <f t="shared" si="3393"/>
        <v/>
      </c>
      <c r="AR225" s="8" t="str">
        <f t="shared" si="3393"/>
        <v/>
      </c>
      <c r="AS225" s="8" t="str">
        <f t="shared" si="3393"/>
        <v/>
      </c>
    </row>
    <row r="226" spans="1:45" x14ac:dyDescent="0.15">
      <c r="A226" s="15">
        <v>4</v>
      </c>
      <c r="B226" s="9" t="s">
        <v>5</v>
      </c>
      <c r="C226" s="8">
        <v>6</v>
      </c>
      <c r="D226" s="8">
        <v>6</v>
      </c>
      <c r="E226" s="8">
        <v>6</v>
      </c>
      <c r="F226" s="8">
        <v>3</v>
      </c>
      <c r="G226" s="8">
        <v>7</v>
      </c>
      <c r="H226" s="8">
        <v>7</v>
      </c>
      <c r="I226" s="8">
        <v>7</v>
      </c>
      <c r="J226" s="8">
        <v>7</v>
      </c>
      <c r="K226" s="8">
        <f t="shared" ref="K226" si="3394">IF(K224="","",(J226+J227))</f>
        <v>7</v>
      </c>
      <c r="L226" s="8">
        <f t="shared" ref="L226" si="3395">IF(L224="","",(K226+K227))</f>
        <v>7</v>
      </c>
      <c r="M226" s="8">
        <v>4</v>
      </c>
      <c r="N226" s="8" t="str">
        <f t="shared" ref="N226" si="3396">IF(N224="","",(M226+M227))</f>
        <v/>
      </c>
      <c r="O226" s="8" t="str">
        <f t="shared" ref="O226" si="3397">IF(O224="","",(N226+N227))</f>
        <v/>
      </c>
      <c r="P226" s="8" t="str">
        <f t="shared" ref="P226" si="3398">IF(P224="","",(O226+O227))</f>
        <v/>
      </c>
      <c r="Q226" s="8" t="str">
        <f>IF(Q224="","",(P226+P227))</f>
        <v/>
      </c>
      <c r="R226" s="8" t="str">
        <f t="shared" ref="R226" si="3399">IF(R224="","",(Q226+Q227))</f>
        <v/>
      </c>
      <c r="S226" s="8" t="str">
        <f t="shared" ref="S226" si="3400">IF(S224="","",(R226+R227))</f>
        <v/>
      </c>
      <c r="T226" s="8" t="str">
        <f>IF(T224="","",(S226+S227))</f>
        <v/>
      </c>
      <c r="U226" s="8" t="str">
        <f t="shared" ref="U226" si="3401">IF(U224="","",(T226+T227))</f>
        <v/>
      </c>
      <c r="V226" s="8" t="str">
        <f t="shared" ref="V226" si="3402">IF(V224="","",(U226+U227))</f>
        <v/>
      </c>
      <c r="W226" s="8" t="str">
        <f t="shared" ref="W226" si="3403">IF(W224="","",(V226+V227))</f>
        <v/>
      </c>
      <c r="X226" s="8" t="str">
        <f>IF(X224="","",(W226+W227))</f>
        <v/>
      </c>
      <c r="Y226" s="8" t="str">
        <f t="shared" ref="Y226" si="3404">IF(Y224="","",(X226+X227))</f>
        <v/>
      </c>
      <c r="Z226" s="8" t="str">
        <f t="shared" ref="Z226" si="3405">IF(Z224="","",(Y226+Y227))</f>
        <v/>
      </c>
      <c r="AA226" s="8" t="str">
        <f>IF(AA224="","",(Z226+Z227))</f>
        <v/>
      </c>
      <c r="AB226" s="8" t="str">
        <f t="shared" ref="AB226" si="3406">IF(AB224="","",(AA226+AA227))</f>
        <v/>
      </c>
      <c r="AC226" s="8" t="str">
        <f t="shared" ref="AC226" si="3407">IF(AC224="","",(AB226+AB227))</f>
        <v/>
      </c>
      <c r="AD226" s="8" t="str">
        <f t="shared" ref="AD226" si="3408">IF(AD224="","",(AC226+AC227))</f>
        <v/>
      </c>
      <c r="AE226" s="8" t="str">
        <f t="shared" ref="AE226" si="3409">IF(AE224="","",(AD226+AD227))</f>
        <v/>
      </c>
      <c r="AF226" s="8" t="str">
        <f t="shared" ref="AF226" si="3410">IF(AF224="","",(AE226+AE227))</f>
        <v/>
      </c>
      <c r="AG226" s="8" t="str">
        <f t="shared" ref="AG226" si="3411">IF(AG224="","",(AF226+AF227))</f>
        <v/>
      </c>
      <c r="AH226" s="8" t="str">
        <f>IF(AH224="","",(AG226+AG227))</f>
        <v/>
      </c>
      <c r="AI226" s="8" t="str">
        <f t="shared" ref="AI226" si="3412">IF(AI224="","",(AH226+AH227))</f>
        <v/>
      </c>
      <c r="AJ226" s="8" t="str">
        <f t="shared" ref="AJ226" si="3413">IF(AJ224="","",(AI226+AI227))</f>
        <v/>
      </c>
      <c r="AK226" s="8" t="str">
        <f t="shared" ref="AK226" si="3414">IF(AK224="","",(AJ226+AJ227))</f>
        <v/>
      </c>
      <c r="AL226" s="8" t="str">
        <f t="shared" ref="AL226" si="3415">IF(AL224="","",(AK226+AK227))</f>
        <v/>
      </c>
      <c r="AM226" s="8" t="str">
        <f t="shared" ref="AM226" si="3416">IF(AM224="","",(AL226+AL227))</f>
        <v/>
      </c>
      <c r="AN226" s="8" t="str">
        <f t="shared" ref="AN226" si="3417">IF(AN224="","",(AM226+AM227))</f>
        <v/>
      </c>
      <c r="AO226" s="8" t="str">
        <f t="shared" ref="AO226" si="3418">IF(AO224="","",(AN226+AN227))</f>
        <v/>
      </c>
      <c r="AP226" s="8" t="str">
        <f t="shared" ref="AP226:AS226" si="3419">IF(AP224="","",(AO226+AO227))</f>
        <v/>
      </c>
      <c r="AQ226" s="8" t="str">
        <f t="shared" si="3419"/>
        <v/>
      </c>
      <c r="AR226" s="8" t="str">
        <f t="shared" si="3419"/>
        <v/>
      </c>
      <c r="AS226" s="8" t="str">
        <f t="shared" si="3419"/>
        <v/>
      </c>
    </row>
    <row r="227" spans="1:45" x14ac:dyDescent="0.15">
      <c r="A227" s="14"/>
      <c r="B227" s="9" t="s">
        <v>7</v>
      </c>
      <c r="C227" s="8"/>
      <c r="D227" s="8"/>
      <c r="E227" s="8"/>
      <c r="F227" s="8">
        <v>4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</row>
    <row r="228" spans="1:45" x14ac:dyDescent="0.15">
      <c r="A228" s="7"/>
      <c r="B228" s="9" t="s">
        <v>8</v>
      </c>
      <c r="C228" s="8">
        <v>500</v>
      </c>
      <c r="D228" s="8">
        <v>500</v>
      </c>
      <c r="E228" s="8">
        <v>500</v>
      </c>
      <c r="F228" s="8">
        <v>500</v>
      </c>
      <c r="G228" s="8">
        <v>500</v>
      </c>
      <c r="H228" s="8">
        <v>500</v>
      </c>
      <c r="I228" s="8">
        <v>500</v>
      </c>
      <c r="J228" s="8">
        <v>500</v>
      </c>
      <c r="K228" s="8">
        <f t="shared" ref="K228" si="3420">IF(K224="","",J228)</f>
        <v>500</v>
      </c>
      <c r="L228" s="8">
        <f t="shared" ref="L228" si="3421">IF(L224="","",K228)</f>
        <v>500</v>
      </c>
      <c r="M228" s="8">
        <f t="shared" ref="M228" si="3422">IF(M224="","",L228)</f>
        <v>500</v>
      </c>
      <c r="N228" s="8" t="str">
        <f t="shared" ref="N228" si="3423">IF(N224="","",M228)</f>
        <v/>
      </c>
      <c r="O228" s="8" t="str">
        <f t="shared" ref="O228" si="3424">IF(O224="","",N228)</f>
        <v/>
      </c>
      <c r="P228" s="8" t="str">
        <f t="shared" ref="P228" si="3425">IF(P224="","",O228)</f>
        <v/>
      </c>
      <c r="Q228" s="8" t="str">
        <f t="shared" ref="Q228" si="3426">IF(Q224="","",P228)</f>
        <v/>
      </c>
      <c r="R228" s="8" t="str">
        <f t="shared" ref="R228" si="3427">IF(R224="","",Q228)</f>
        <v/>
      </c>
      <c r="S228" s="8" t="str">
        <f t="shared" ref="S228" si="3428">IF(S224="","",R228)</f>
        <v/>
      </c>
      <c r="T228" s="8" t="str">
        <f t="shared" ref="T228" si="3429">IF(T224="","",S228)</f>
        <v/>
      </c>
      <c r="U228" s="8" t="str">
        <f t="shared" ref="U228" si="3430">IF(U224="","",T228)</f>
        <v/>
      </c>
      <c r="V228" s="8" t="str">
        <f t="shared" ref="V228" si="3431">IF(V224="","",U228)</f>
        <v/>
      </c>
      <c r="W228" s="8" t="str">
        <f t="shared" ref="W228" si="3432">IF(W224="","",V228)</f>
        <v/>
      </c>
      <c r="X228" s="8" t="str">
        <f t="shared" ref="X228" si="3433">IF(X224="","",W228)</f>
        <v/>
      </c>
      <c r="Y228" s="8" t="str">
        <f t="shared" ref="Y228" si="3434">IF(Y224="","",X228)</f>
        <v/>
      </c>
      <c r="Z228" s="8" t="str">
        <f t="shared" ref="Z228" si="3435">IF(Z224="","",Y228)</f>
        <v/>
      </c>
      <c r="AA228" s="8" t="str">
        <f t="shared" ref="AA228" si="3436">IF(AA224="","",Z228)</f>
        <v/>
      </c>
      <c r="AB228" s="8" t="str">
        <f t="shared" ref="AB228" si="3437">IF(AB224="","",AA228)</f>
        <v/>
      </c>
      <c r="AC228" s="8" t="str">
        <f t="shared" ref="AC228" si="3438">IF(AC224="","",AB228)</f>
        <v/>
      </c>
      <c r="AD228" s="8" t="str">
        <f t="shared" ref="AD228" si="3439">IF(AD224="","",AC228)</f>
        <v/>
      </c>
      <c r="AE228" s="8" t="str">
        <f t="shared" ref="AE228" si="3440">IF(AE224="","",AD228)</f>
        <v/>
      </c>
      <c r="AF228" s="8" t="str">
        <f t="shared" ref="AF228" si="3441">IF(AF224="","",AE228)</f>
        <v/>
      </c>
      <c r="AG228" s="8" t="str">
        <f t="shared" ref="AG228" si="3442">IF(AG224="","",AF228)</f>
        <v/>
      </c>
      <c r="AH228" s="8" t="str">
        <f t="shared" ref="AH228" si="3443">IF(AH224="","",AG228)</f>
        <v/>
      </c>
      <c r="AI228" s="8" t="str">
        <f t="shared" ref="AI228" si="3444">IF(AI224="","",AH228)</f>
        <v/>
      </c>
      <c r="AJ228" s="8" t="str">
        <f t="shared" ref="AJ228" si="3445">IF(AJ224="","",AI228)</f>
        <v/>
      </c>
      <c r="AK228" s="8" t="str">
        <f t="shared" ref="AK228" si="3446">IF(AK224="","",AJ228)</f>
        <v/>
      </c>
      <c r="AL228" s="8" t="str">
        <f t="shared" ref="AL228" si="3447">IF(AL224="","",AK228)</f>
        <v/>
      </c>
      <c r="AM228" s="8" t="str">
        <f t="shared" ref="AM228" si="3448">IF(AM224="","",AL228)</f>
        <v/>
      </c>
      <c r="AN228" s="8" t="str">
        <f t="shared" ref="AN228" si="3449">IF(AN224="","",AM228)</f>
        <v/>
      </c>
      <c r="AO228" s="8" t="str">
        <f t="shared" ref="AO228" si="3450">IF(AO224="","",AN228)</f>
        <v/>
      </c>
      <c r="AP228" s="8" t="str">
        <f t="shared" ref="AP228:AS228" si="3451">IF(AP224="","",AO228)</f>
        <v/>
      </c>
      <c r="AQ228" s="8" t="str">
        <f t="shared" si="3451"/>
        <v/>
      </c>
      <c r="AR228" s="8" t="str">
        <f t="shared" si="3451"/>
        <v/>
      </c>
      <c r="AS228" s="8" t="str">
        <f t="shared" si="3451"/>
        <v/>
      </c>
    </row>
    <row r="229" spans="1:45" s="85" customFormat="1" x14ac:dyDescent="0.15">
      <c r="A229" s="14" t="s">
        <v>9</v>
      </c>
      <c r="B229" s="13" t="s">
        <v>10</v>
      </c>
      <c r="C229" s="12" t="s">
        <v>31</v>
      </c>
      <c r="D229" s="12" t="s">
        <v>31</v>
      </c>
      <c r="E229" s="12" t="s">
        <v>31</v>
      </c>
      <c r="F229" s="12" t="s">
        <v>31</v>
      </c>
      <c r="G229" s="12" t="s">
        <v>31</v>
      </c>
      <c r="H229" s="12" t="s">
        <v>31</v>
      </c>
      <c r="I229" s="12" t="s">
        <v>31</v>
      </c>
      <c r="J229" s="12" t="s">
        <v>31</v>
      </c>
      <c r="K229" s="12" t="str">
        <f t="shared" ref="K229" si="3452">IF(K224="","",J229)</f>
        <v>ゲームアーク</v>
      </c>
      <c r="L229" s="12" t="str">
        <f t="shared" ref="L229" si="3453">IF(L224="","",K229)</f>
        <v>ゲームアーク</v>
      </c>
      <c r="M229" s="12" t="str">
        <f t="shared" ref="M229" si="3454">IF(M224="","",L229)</f>
        <v>ゲームアーク</v>
      </c>
      <c r="N229" s="12" t="str">
        <f t="shared" ref="N229" si="3455">IF(N224="","",M229)</f>
        <v/>
      </c>
      <c r="O229" s="12" t="str">
        <f t="shared" ref="O229" si="3456">IF(O224="","",N229)</f>
        <v/>
      </c>
      <c r="P229" s="12" t="str">
        <f t="shared" ref="P229" si="3457">IF(P224="","",O229)</f>
        <v/>
      </c>
      <c r="Q229" s="12" t="str">
        <f t="shared" ref="Q229" si="3458">IF(Q224="","",P229)</f>
        <v/>
      </c>
      <c r="R229" s="12" t="str">
        <f t="shared" ref="R229" si="3459">IF(R224="","",Q229)</f>
        <v/>
      </c>
      <c r="S229" s="12" t="str">
        <f t="shared" ref="S229" si="3460">IF(S224="","",R229)</f>
        <v/>
      </c>
      <c r="T229" s="12" t="str">
        <f t="shared" ref="T229" si="3461">IF(T224="","",S229)</f>
        <v/>
      </c>
      <c r="U229" s="12" t="str">
        <f t="shared" ref="U229" si="3462">IF(U224="","",T229)</f>
        <v/>
      </c>
      <c r="V229" s="12" t="str">
        <f t="shared" ref="V229" si="3463">IF(V224="","",U229)</f>
        <v/>
      </c>
      <c r="W229" s="12" t="str">
        <f t="shared" ref="W229" si="3464">IF(W224="","",V229)</f>
        <v/>
      </c>
      <c r="X229" s="12" t="str">
        <f t="shared" ref="X229" si="3465">IF(X224="","",W229)</f>
        <v/>
      </c>
      <c r="Y229" s="12" t="str">
        <f t="shared" ref="Y229" si="3466">IF(Y224="","",X229)</f>
        <v/>
      </c>
      <c r="Z229" s="12" t="str">
        <f t="shared" ref="Z229" si="3467">IF(Z224="","",Y229)</f>
        <v/>
      </c>
      <c r="AA229" s="12" t="str">
        <f t="shared" ref="AA229" si="3468">IF(AA224="","",Z229)</f>
        <v/>
      </c>
      <c r="AB229" s="12" t="str">
        <f t="shared" ref="AB229" si="3469">IF(AB224="","",AA229)</f>
        <v/>
      </c>
      <c r="AC229" s="12" t="str">
        <f t="shared" ref="AC229" si="3470">IF(AC224="","",AB229)</f>
        <v/>
      </c>
      <c r="AD229" s="12" t="str">
        <f t="shared" ref="AD229" si="3471">IF(AD224="","",AC229)</f>
        <v/>
      </c>
      <c r="AE229" s="12" t="str">
        <f t="shared" ref="AE229" si="3472">IF(AE224="","",AD229)</f>
        <v/>
      </c>
      <c r="AF229" s="12" t="str">
        <f t="shared" ref="AF229" si="3473">IF(AF224="","",AE229)</f>
        <v/>
      </c>
      <c r="AG229" s="12" t="str">
        <f t="shared" ref="AG229" si="3474">IF(AG224="","",AF229)</f>
        <v/>
      </c>
      <c r="AH229" s="12" t="str">
        <f t="shared" ref="AH229" si="3475">IF(AH224="","",AG229)</f>
        <v/>
      </c>
      <c r="AI229" s="12" t="str">
        <f t="shared" ref="AI229" si="3476">IF(AI224="","",AH229)</f>
        <v/>
      </c>
      <c r="AJ229" s="12" t="str">
        <f t="shared" ref="AJ229" si="3477">IF(AJ224="","",AI229)</f>
        <v/>
      </c>
      <c r="AK229" s="12" t="str">
        <f t="shared" ref="AK229" si="3478">IF(AK224="","",AJ229)</f>
        <v/>
      </c>
      <c r="AL229" s="12" t="str">
        <f t="shared" ref="AL229" si="3479">IF(AL224="","",AK229)</f>
        <v/>
      </c>
      <c r="AM229" s="12" t="str">
        <f t="shared" ref="AM229" si="3480">IF(AM224="","",AL229)</f>
        <v/>
      </c>
      <c r="AN229" s="12" t="str">
        <f t="shared" ref="AN229" si="3481">IF(AN224="","",AM229)</f>
        <v/>
      </c>
      <c r="AO229" s="12" t="str">
        <f t="shared" ref="AO229" si="3482">IF(AO224="","",AN229)</f>
        <v/>
      </c>
      <c r="AP229" s="12" t="str">
        <f t="shared" ref="AP229:AS229" si="3483">IF(AP224="","",AO229)</f>
        <v/>
      </c>
      <c r="AQ229" s="12" t="str">
        <f t="shared" si="3483"/>
        <v/>
      </c>
      <c r="AR229" s="12" t="str">
        <f t="shared" si="3483"/>
        <v/>
      </c>
      <c r="AS229" s="12" t="str">
        <f t="shared" si="3483"/>
        <v/>
      </c>
    </row>
    <row r="230" spans="1:45" x14ac:dyDescent="0.15">
      <c r="A230" s="7">
        <f>AVERAGE(C231:AS231)*30*100</f>
        <v>27272.727272727276</v>
      </c>
      <c r="B230" s="9" t="s">
        <v>12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</row>
    <row r="231" spans="1:45" x14ac:dyDescent="0.15">
      <c r="A231" s="7">
        <f>SUM(C231:AS231)</f>
        <v>100</v>
      </c>
      <c r="B231" s="6" t="s">
        <v>13</v>
      </c>
      <c r="C231" s="5">
        <v>0</v>
      </c>
      <c r="D231" s="5">
        <v>0</v>
      </c>
      <c r="E231" s="5">
        <v>0</v>
      </c>
      <c r="F231" s="5">
        <v>48</v>
      </c>
      <c r="G231" s="5">
        <v>0</v>
      </c>
      <c r="H231" s="5">
        <v>0</v>
      </c>
      <c r="I231" s="5">
        <v>0</v>
      </c>
      <c r="J231" s="5">
        <v>20</v>
      </c>
      <c r="K231" s="5">
        <f t="shared" ref="K231:K232" si="3484">IF(K224="","",K224-J224)</f>
        <v>0</v>
      </c>
      <c r="L231" s="5">
        <f t="shared" ref="L231:L232" si="3485">IF(L224="","",L224-K224)</f>
        <v>0</v>
      </c>
      <c r="M231" s="5">
        <f t="shared" ref="M231:M232" si="3486">IF(M224="","",M224-L224)</f>
        <v>32</v>
      </c>
      <c r="N231" s="5" t="str">
        <f t="shared" ref="N231:N232" si="3487">IF(N224="","",N224-M224)</f>
        <v/>
      </c>
      <c r="O231" s="5" t="str">
        <f t="shared" ref="O231:O232" si="3488">IF(O224="","",O224-N224)</f>
        <v/>
      </c>
      <c r="P231" s="5" t="str">
        <f t="shared" ref="P231:P232" si="3489">IF(P224="","",P224-O224)</f>
        <v/>
      </c>
      <c r="Q231" s="5" t="str">
        <f t="shared" ref="Q231:Q232" si="3490">IF(Q224="","",Q224-P224)</f>
        <v/>
      </c>
      <c r="R231" s="5" t="str">
        <f t="shared" ref="R231:R232" si="3491">IF(R224="","",R224-Q224)</f>
        <v/>
      </c>
      <c r="S231" s="5" t="str">
        <f t="shared" ref="S231:S232" si="3492">IF(S224="","",S224-R224)</f>
        <v/>
      </c>
      <c r="T231" s="5" t="str">
        <f t="shared" ref="T231:T232" si="3493">IF(T224="","",T224-S224)</f>
        <v/>
      </c>
      <c r="U231" s="5" t="str">
        <f t="shared" ref="U231:U232" si="3494">IF(U224="","",U224-T224)</f>
        <v/>
      </c>
      <c r="V231" s="5" t="str">
        <f t="shared" ref="V231:V232" si="3495">IF(V224="","",V224-U224)</f>
        <v/>
      </c>
      <c r="W231" s="5" t="str">
        <f t="shared" ref="W231:W232" si="3496">IF(W224="","",W224-V224)</f>
        <v/>
      </c>
      <c r="X231" s="5" t="str">
        <f t="shared" ref="X231:X232" si="3497">IF(X224="","",X224-W224)</f>
        <v/>
      </c>
      <c r="Y231" s="5" t="str">
        <f t="shared" ref="Y231:Y232" si="3498">IF(Y224="","",Y224-X224)</f>
        <v/>
      </c>
      <c r="Z231" s="5" t="str">
        <f t="shared" ref="Z231:Z232" si="3499">IF(Z224="","",Z224-Y224)</f>
        <v/>
      </c>
      <c r="AA231" s="5" t="str">
        <f t="shared" ref="AA231:AA232" si="3500">IF(AA224="","",AA224-Z224)</f>
        <v/>
      </c>
      <c r="AB231" s="5" t="str">
        <f t="shared" ref="AB231:AB232" si="3501">IF(AB224="","",AB224-AA224)</f>
        <v/>
      </c>
      <c r="AC231" s="5" t="str">
        <f t="shared" ref="AC231:AC232" si="3502">IF(AC224="","",AC224-AB224)</f>
        <v/>
      </c>
      <c r="AD231" s="5" t="str">
        <f t="shared" ref="AD231:AD232" si="3503">IF(AD224="","",AD224-AC224)</f>
        <v/>
      </c>
      <c r="AE231" s="5" t="str">
        <f t="shared" ref="AE231:AE232" si="3504">IF(AE224="","",AE224-AD224)</f>
        <v/>
      </c>
      <c r="AF231" s="5" t="str">
        <f t="shared" ref="AF231:AF232" si="3505">IF(AF224="","",AF224-AE224)</f>
        <v/>
      </c>
      <c r="AG231" s="5" t="str">
        <f t="shared" ref="AG231:AG232" si="3506">IF(AG224="","",AG224-AF224)</f>
        <v/>
      </c>
      <c r="AH231" s="5" t="str">
        <f t="shared" ref="AH231:AH232" si="3507">IF(AH224="","",AH224-AG224)</f>
        <v/>
      </c>
      <c r="AI231" s="5" t="str">
        <f t="shared" ref="AI231:AI232" si="3508">IF(AI224="","",AI224-AH224)</f>
        <v/>
      </c>
      <c r="AJ231" s="5" t="str">
        <f t="shared" ref="AJ231:AJ232" si="3509">IF(AJ224="","",AJ224-AI224)</f>
        <v/>
      </c>
      <c r="AK231" s="5" t="str">
        <f t="shared" ref="AK231:AK232" si="3510">IF(AK224="","",AK224-AJ224)</f>
        <v/>
      </c>
      <c r="AL231" s="5" t="str">
        <f t="shared" ref="AL231:AL232" si="3511">IF(AL224="","",AL224-AK224)</f>
        <v/>
      </c>
      <c r="AM231" s="5" t="str">
        <f t="shared" ref="AM231:AM232" si="3512">IF(AM224="","",AM224-AL224)</f>
        <v/>
      </c>
      <c r="AN231" s="5" t="str">
        <f t="shared" ref="AN231:AN232" si="3513">IF(AN224="","",AN224-AM224)</f>
        <v/>
      </c>
      <c r="AO231" s="5" t="str">
        <f t="shared" ref="AO231:AO232" si="3514">IF(AO224="","",AO224-AN224)</f>
        <v/>
      </c>
      <c r="AP231" s="5" t="str">
        <f t="shared" ref="AP231:AS231" si="3515">IF(AP224="","",AP224-AO224)</f>
        <v/>
      </c>
      <c r="AQ231" s="5" t="str">
        <f t="shared" si="3515"/>
        <v/>
      </c>
      <c r="AR231" s="5" t="str">
        <f t="shared" si="3515"/>
        <v/>
      </c>
      <c r="AS231" s="5" t="str">
        <f t="shared" si="3515"/>
        <v/>
      </c>
    </row>
    <row r="232" spans="1:45" x14ac:dyDescent="0.15">
      <c r="A232" s="7">
        <f>SUM(C232:AS232)</f>
        <v>6</v>
      </c>
      <c r="B232" s="6" t="s">
        <v>14</v>
      </c>
      <c r="C232" s="5">
        <v>0</v>
      </c>
      <c r="D232" s="5">
        <v>0</v>
      </c>
      <c r="E232" s="5">
        <v>0</v>
      </c>
      <c r="F232" s="5">
        <v>3</v>
      </c>
      <c r="G232" s="5">
        <v>0</v>
      </c>
      <c r="H232" s="5">
        <v>0</v>
      </c>
      <c r="I232" s="5">
        <v>0</v>
      </c>
      <c r="J232" s="5">
        <v>0</v>
      </c>
      <c r="K232" s="5">
        <f t="shared" si="3484"/>
        <v>0</v>
      </c>
      <c r="L232" s="5">
        <f t="shared" si="3485"/>
        <v>0</v>
      </c>
      <c r="M232" s="5">
        <f t="shared" si="3486"/>
        <v>3</v>
      </c>
      <c r="N232" s="5" t="str">
        <f t="shared" si="3487"/>
        <v/>
      </c>
      <c r="O232" s="5" t="str">
        <f t="shared" si="3488"/>
        <v/>
      </c>
      <c r="P232" s="5" t="str">
        <f t="shared" si="3489"/>
        <v/>
      </c>
      <c r="Q232" s="5" t="str">
        <f t="shared" si="3490"/>
        <v/>
      </c>
      <c r="R232" s="5" t="str">
        <f t="shared" si="3491"/>
        <v/>
      </c>
      <c r="S232" s="5" t="str">
        <f t="shared" si="3492"/>
        <v/>
      </c>
      <c r="T232" s="5" t="str">
        <f t="shared" si="3493"/>
        <v/>
      </c>
      <c r="U232" s="5" t="str">
        <f t="shared" si="3494"/>
        <v/>
      </c>
      <c r="V232" s="5" t="str">
        <f t="shared" si="3495"/>
        <v/>
      </c>
      <c r="W232" s="5" t="str">
        <f t="shared" si="3496"/>
        <v/>
      </c>
      <c r="X232" s="5" t="str">
        <f t="shared" si="3497"/>
        <v/>
      </c>
      <c r="Y232" s="5" t="str">
        <f t="shared" si="3498"/>
        <v/>
      </c>
      <c r="Z232" s="5" t="str">
        <f t="shared" si="3499"/>
        <v/>
      </c>
      <c r="AA232" s="5" t="str">
        <f t="shared" si="3500"/>
        <v/>
      </c>
      <c r="AB232" s="5" t="str">
        <f t="shared" si="3501"/>
        <v/>
      </c>
      <c r="AC232" s="5" t="str">
        <f t="shared" si="3502"/>
        <v/>
      </c>
      <c r="AD232" s="5" t="str">
        <f t="shared" si="3503"/>
        <v/>
      </c>
      <c r="AE232" s="5" t="str">
        <f t="shared" si="3504"/>
        <v/>
      </c>
      <c r="AF232" s="5" t="str">
        <f t="shared" si="3505"/>
        <v/>
      </c>
      <c r="AG232" s="5" t="str">
        <f t="shared" si="3506"/>
        <v/>
      </c>
      <c r="AH232" s="5" t="str">
        <f t="shared" si="3507"/>
        <v/>
      </c>
      <c r="AI232" s="5" t="str">
        <f t="shared" si="3508"/>
        <v/>
      </c>
      <c r="AJ232" s="5" t="str">
        <f t="shared" si="3509"/>
        <v/>
      </c>
      <c r="AK232" s="5" t="str">
        <f t="shared" si="3510"/>
        <v/>
      </c>
      <c r="AL232" s="5" t="str">
        <f t="shared" si="3511"/>
        <v/>
      </c>
      <c r="AM232" s="5" t="str">
        <f t="shared" si="3512"/>
        <v/>
      </c>
      <c r="AN232" s="5" t="str">
        <f t="shared" si="3513"/>
        <v/>
      </c>
      <c r="AO232" s="5" t="str">
        <f t="shared" si="3514"/>
        <v/>
      </c>
      <c r="AP232" s="5" t="str">
        <f t="shared" ref="AP232:AS232" si="3516">IF(AP225="","",AP225-AO225)</f>
        <v/>
      </c>
      <c r="AQ232" s="5" t="str">
        <f t="shared" si="3516"/>
        <v/>
      </c>
      <c r="AR232" s="5" t="str">
        <f t="shared" si="3516"/>
        <v/>
      </c>
      <c r="AS232" s="5" t="str">
        <f t="shared" si="3516"/>
        <v/>
      </c>
    </row>
    <row r="233" spans="1:45" x14ac:dyDescent="0.15">
      <c r="A233" s="7">
        <f>SUM(C233:AS233)</f>
        <v>6</v>
      </c>
      <c r="B233" s="6" t="s">
        <v>15</v>
      </c>
      <c r="C233" s="5">
        <v>0</v>
      </c>
      <c r="D233" s="5">
        <v>0</v>
      </c>
      <c r="E233" s="5">
        <v>0</v>
      </c>
      <c r="F233" s="5">
        <v>3</v>
      </c>
      <c r="G233" s="5">
        <v>0</v>
      </c>
      <c r="H233" s="5">
        <v>0</v>
      </c>
      <c r="I233" s="5">
        <v>0</v>
      </c>
      <c r="J233" s="5">
        <v>0</v>
      </c>
      <c r="K233" s="5">
        <f t="shared" ref="K233" si="3517">IF(K226="","",J226+J227-K226)</f>
        <v>0</v>
      </c>
      <c r="L233" s="5">
        <f t="shared" ref="L233" si="3518">IF(L226="","",K226+K227-L226)</f>
        <v>0</v>
      </c>
      <c r="M233" s="5">
        <f t="shared" ref="M233" si="3519">IF(M226="","",L226+L227-M226)</f>
        <v>3</v>
      </c>
      <c r="N233" s="5" t="str">
        <f t="shared" ref="N233" si="3520">IF(N226="","",M226+M227-N226)</f>
        <v/>
      </c>
      <c r="O233" s="5" t="str">
        <f t="shared" ref="O233" si="3521">IF(O226="","",N226+N227-O226)</f>
        <v/>
      </c>
      <c r="P233" s="5" t="str">
        <f t="shared" ref="P233" si="3522">IF(P226="","",O226+O227-P226)</f>
        <v/>
      </c>
      <c r="Q233" s="5" t="str">
        <f t="shared" ref="Q233" si="3523">IF(Q226="","",P226+P227-Q226)</f>
        <v/>
      </c>
      <c r="R233" s="5" t="str">
        <f t="shared" ref="R233" si="3524">IF(R226="","",Q226+Q227-R226)</f>
        <v/>
      </c>
      <c r="S233" s="5" t="str">
        <f t="shared" ref="S233" si="3525">IF(S226="","",R226+R227-S226)</f>
        <v/>
      </c>
      <c r="T233" s="5" t="str">
        <f t="shared" ref="T233" si="3526">IF(T226="","",S226+S227-T226)</f>
        <v/>
      </c>
      <c r="U233" s="5" t="str">
        <f t="shared" ref="U233" si="3527">IF(U226="","",T226+T227-U226)</f>
        <v/>
      </c>
      <c r="V233" s="5" t="str">
        <f t="shared" ref="V233" si="3528">IF(V226="","",U226+U227-V226)</f>
        <v/>
      </c>
      <c r="W233" s="5" t="str">
        <f t="shared" ref="W233" si="3529">IF(W226="","",V226+V227-W226)</f>
        <v/>
      </c>
      <c r="X233" s="5" t="str">
        <f t="shared" ref="X233" si="3530">IF(X226="","",W226+W227-X226)</f>
        <v/>
      </c>
      <c r="Y233" s="5" t="str">
        <f t="shared" ref="Y233" si="3531">IF(Y226="","",X226+X227-Y226)</f>
        <v/>
      </c>
      <c r="Z233" s="5" t="str">
        <f t="shared" ref="Z233" si="3532">IF(Z226="","",Y226+Y227-Z226)</f>
        <v/>
      </c>
      <c r="AA233" s="5" t="str">
        <f t="shared" ref="AA233" si="3533">IF(AA226="","",Z226+Z227-AA226)</f>
        <v/>
      </c>
      <c r="AB233" s="5" t="str">
        <f t="shared" ref="AB233" si="3534">IF(AB226="","",AA226+AA227-AB226)</f>
        <v/>
      </c>
      <c r="AC233" s="5" t="str">
        <f t="shared" ref="AC233" si="3535">IF(AC226="","",AB226+AB227-AC226)</f>
        <v/>
      </c>
      <c r="AD233" s="5" t="str">
        <f t="shared" ref="AD233" si="3536">IF(AD226="","",AC226+AC227-AD226)</f>
        <v/>
      </c>
      <c r="AE233" s="5" t="str">
        <f t="shared" ref="AE233" si="3537">IF(AE226="","",AD226+AD227-AE226)</f>
        <v/>
      </c>
      <c r="AF233" s="5" t="str">
        <f t="shared" ref="AF233" si="3538">IF(AF226="","",AE226+AE227-AF226)</f>
        <v/>
      </c>
      <c r="AG233" s="5" t="str">
        <f t="shared" ref="AG233" si="3539">IF(AG226="","",AF226+AF227-AG226)</f>
        <v/>
      </c>
      <c r="AH233" s="5" t="str">
        <f t="shared" ref="AH233" si="3540">IF(AH226="","",AG226+AG227-AH226)</f>
        <v/>
      </c>
      <c r="AI233" s="5" t="str">
        <f t="shared" ref="AI233" si="3541">IF(AI226="","",AH226+AH227-AI226)</f>
        <v/>
      </c>
      <c r="AJ233" s="5" t="str">
        <f t="shared" ref="AJ233" si="3542">IF(AJ226="","",AI226+AI227-AJ226)</f>
        <v/>
      </c>
      <c r="AK233" s="5" t="str">
        <f t="shared" ref="AK233" si="3543">IF(AK226="","",AJ226+AJ227-AK226)</f>
        <v/>
      </c>
      <c r="AL233" s="5" t="str">
        <f t="shared" ref="AL233" si="3544">IF(AL226="","",AK226+AK227-AL226)</f>
        <v/>
      </c>
      <c r="AM233" s="5" t="str">
        <f t="shared" ref="AM233" si="3545">IF(AM226="","",AL226+AL227-AM226)</f>
        <v/>
      </c>
      <c r="AN233" s="5" t="str">
        <f t="shared" ref="AN233" si="3546">IF(AN226="","",AM226+AM227-AN226)</f>
        <v/>
      </c>
      <c r="AO233" s="5" t="str">
        <f t="shared" ref="AO233" si="3547">IF(AO226="","",AN226+AN227-AO226)</f>
        <v/>
      </c>
      <c r="AP233" s="5" t="str">
        <f t="shared" ref="AP233:AS233" si="3548">IF(AP226="","",AO226+AO227-AP226)</f>
        <v/>
      </c>
      <c r="AQ233" s="5" t="str">
        <f t="shared" si="3548"/>
        <v/>
      </c>
      <c r="AR233" s="5" t="str">
        <f t="shared" si="3548"/>
        <v/>
      </c>
      <c r="AS233" s="5" t="str">
        <f t="shared" si="3548"/>
        <v/>
      </c>
    </row>
    <row r="234" spans="1:45" x14ac:dyDescent="0.15">
      <c r="A234" s="7">
        <f>SUM(C234:AS234)</f>
        <v>3000</v>
      </c>
      <c r="B234" s="6" t="s">
        <v>16</v>
      </c>
      <c r="C234" s="5">
        <v>0</v>
      </c>
      <c r="D234" s="5">
        <v>0</v>
      </c>
      <c r="E234" s="5">
        <v>0</v>
      </c>
      <c r="F234" s="5">
        <v>1500</v>
      </c>
      <c r="G234" s="5">
        <v>0</v>
      </c>
      <c r="H234" s="5">
        <v>0</v>
      </c>
      <c r="I234" s="5">
        <v>0</v>
      </c>
      <c r="J234" s="5">
        <v>0</v>
      </c>
      <c r="K234" s="5">
        <f t="shared" ref="I234:AO234" si="3549">IF(K224="","",K233*K228)</f>
        <v>0</v>
      </c>
      <c r="L234" s="5">
        <f t="shared" si="3549"/>
        <v>0</v>
      </c>
      <c r="M234" s="5">
        <f t="shared" si="3549"/>
        <v>1500</v>
      </c>
      <c r="N234" s="5" t="str">
        <f t="shared" si="3549"/>
        <v/>
      </c>
      <c r="O234" s="5" t="str">
        <f t="shared" si="3549"/>
        <v/>
      </c>
      <c r="P234" s="5" t="str">
        <f t="shared" si="3549"/>
        <v/>
      </c>
      <c r="Q234" s="5" t="str">
        <f t="shared" si="3549"/>
        <v/>
      </c>
      <c r="R234" s="5" t="str">
        <f t="shared" si="3549"/>
        <v/>
      </c>
      <c r="S234" s="5" t="str">
        <f t="shared" si="3549"/>
        <v/>
      </c>
      <c r="T234" s="5" t="str">
        <f t="shared" si="3549"/>
        <v/>
      </c>
      <c r="U234" s="5" t="str">
        <f t="shared" si="3549"/>
        <v/>
      </c>
      <c r="V234" s="5" t="str">
        <f t="shared" si="3549"/>
        <v/>
      </c>
      <c r="W234" s="5" t="str">
        <f t="shared" si="3549"/>
        <v/>
      </c>
      <c r="X234" s="5" t="str">
        <f t="shared" si="3549"/>
        <v/>
      </c>
      <c r="Y234" s="5" t="str">
        <f t="shared" si="3549"/>
        <v/>
      </c>
      <c r="Z234" s="5" t="str">
        <f t="shared" si="3549"/>
        <v/>
      </c>
      <c r="AA234" s="5" t="str">
        <f t="shared" si="3549"/>
        <v/>
      </c>
      <c r="AB234" s="5" t="str">
        <f t="shared" si="3549"/>
        <v/>
      </c>
      <c r="AC234" s="5" t="str">
        <f t="shared" si="3549"/>
        <v/>
      </c>
      <c r="AD234" s="5" t="str">
        <f t="shared" si="3549"/>
        <v/>
      </c>
      <c r="AE234" s="5" t="str">
        <f t="shared" si="3549"/>
        <v/>
      </c>
      <c r="AF234" s="5" t="str">
        <f t="shared" si="3549"/>
        <v/>
      </c>
      <c r="AG234" s="5" t="str">
        <f t="shared" si="3549"/>
        <v/>
      </c>
      <c r="AH234" s="5" t="str">
        <f t="shared" si="3549"/>
        <v/>
      </c>
      <c r="AI234" s="5" t="str">
        <f t="shared" si="3549"/>
        <v/>
      </c>
      <c r="AJ234" s="5" t="str">
        <f t="shared" si="3549"/>
        <v/>
      </c>
      <c r="AK234" s="5" t="str">
        <f t="shared" si="3549"/>
        <v/>
      </c>
      <c r="AL234" s="5" t="str">
        <f t="shared" si="3549"/>
        <v/>
      </c>
      <c r="AM234" s="5" t="str">
        <f t="shared" si="3549"/>
        <v/>
      </c>
      <c r="AN234" s="5" t="str">
        <f t="shared" si="3549"/>
        <v/>
      </c>
      <c r="AO234" s="5" t="str">
        <f t="shared" si="3549"/>
        <v/>
      </c>
      <c r="AP234" s="5" t="str">
        <f t="shared" ref="AP234:AS234" si="3550">IF(AP224="","",AP233*AP228)</f>
        <v/>
      </c>
      <c r="AQ234" s="5" t="str">
        <f t="shared" si="3550"/>
        <v/>
      </c>
      <c r="AR234" s="5" t="str">
        <f t="shared" si="3550"/>
        <v/>
      </c>
      <c r="AS234" s="5" t="str">
        <f t="shared" si="3550"/>
        <v/>
      </c>
    </row>
    <row r="235" spans="1:45" ht="12" thickBot="1" x14ac:dyDescent="0.2">
      <c r="A235" s="4">
        <f>IF(A234="","",A234/(A231*100))</f>
        <v>0.3</v>
      </c>
      <c r="B235" s="3" t="s">
        <v>18</v>
      </c>
      <c r="C235" s="2" t="s">
        <v>19</v>
      </c>
      <c r="D235" s="2" t="s">
        <v>19</v>
      </c>
      <c r="E235" s="2" t="s">
        <v>19</v>
      </c>
      <c r="F235" s="2">
        <v>0.3125</v>
      </c>
      <c r="G235" s="2" t="s">
        <v>19</v>
      </c>
      <c r="H235" s="2" t="s">
        <v>19</v>
      </c>
      <c r="I235" s="2" t="s">
        <v>19</v>
      </c>
      <c r="J235" s="2" t="s">
        <v>19</v>
      </c>
      <c r="K235" s="2" t="str">
        <f t="shared" ref="I235:AO235" si="3551">IF(K234="","",IF(K234=0,"",K234/(K231*100)))</f>
        <v/>
      </c>
      <c r="L235" s="2" t="str">
        <f t="shared" si="3551"/>
        <v/>
      </c>
      <c r="M235" s="2">
        <f t="shared" si="3551"/>
        <v>0.46875</v>
      </c>
      <c r="N235" s="2" t="str">
        <f t="shared" si="3551"/>
        <v/>
      </c>
      <c r="O235" s="2" t="str">
        <f t="shared" si="3551"/>
        <v/>
      </c>
      <c r="P235" s="2" t="str">
        <f t="shared" si="3551"/>
        <v/>
      </c>
      <c r="Q235" s="2" t="str">
        <f t="shared" si="3551"/>
        <v/>
      </c>
      <c r="R235" s="2" t="str">
        <f t="shared" si="3551"/>
        <v/>
      </c>
      <c r="S235" s="2" t="str">
        <f t="shared" si="3551"/>
        <v/>
      </c>
      <c r="T235" s="2" t="str">
        <f t="shared" si="3551"/>
        <v/>
      </c>
      <c r="U235" s="2" t="str">
        <f t="shared" si="3551"/>
        <v/>
      </c>
      <c r="V235" s="2" t="str">
        <f t="shared" si="3551"/>
        <v/>
      </c>
      <c r="W235" s="2" t="str">
        <f t="shared" si="3551"/>
        <v/>
      </c>
      <c r="X235" s="2" t="str">
        <f t="shared" si="3551"/>
        <v/>
      </c>
      <c r="Y235" s="2" t="str">
        <f t="shared" si="3551"/>
        <v/>
      </c>
      <c r="Z235" s="2" t="str">
        <f t="shared" si="3551"/>
        <v/>
      </c>
      <c r="AA235" s="2" t="str">
        <f t="shared" si="3551"/>
        <v/>
      </c>
      <c r="AB235" s="2" t="str">
        <f t="shared" si="3551"/>
        <v/>
      </c>
      <c r="AC235" s="2" t="str">
        <f t="shared" si="3551"/>
        <v/>
      </c>
      <c r="AD235" s="2" t="str">
        <f t="shared" si="3551"/>
        <v/>
      </c>
      <c r="AE235" s="2" t="str">
        <f t="shared" si="3551"/>
        <v/>
      </c>
      <c r="AF235" s="2" t="str">
        <f t="shared" si="3551"/>
        <v/>
      </c>
      <c r="AG235" s="2" t="str">
        <f t="shared" si="3551"/>
        <v/>
      </c>
      <c r="AH235" s="2" t="str">
        <f t="shared" si="3551"/>
        <v/>
      </c>
      <c r="AI235" s="2" t="str">
        <f t="shared" si="3551"/>
        <v/>
      </c>
      <c r="AJ235" s="2" t="str">
        <f t="shared" si="3551"/>
        <v/>
      </c>
      <c r="AK235" s="2" t="str">
        <f t="shared" si="3551"/>
        <v/>
      </c>
      <c r="AL235" s="2" t="str">
        <f t="shared" si="3551"/>
        <v/>
      </c>
      <c r="AM235" s="2" t="str">
        <f t="shared" si="3551"/>
        <v/>
      </c>
      <c r="AN235" s="2" t="str">
        <f t="shared" si="3551"/>
        <v/>
      </c>
      <c r="AO235" s="2" t="str">
        <f t="shared" si="3551"/>
        <v/>
      </c>
      <c r="AP235" s="2" t="str">
        <f t="shared" ref="AP235:AS235" si="3552">IF(AP234="","",IF(AP234=0,"",AP234/(AP231*100)))</f>
        <v/>
      </c>
      <c r="AQ235" s="2" t="str">
        <f t="shared" si="3552"/>
        <v/>
      </c>
      <c r="AR235" s="2" t="str">
        <f t="shared" si="3552"/>
        <v/>
      </c>
      <c r="AS235" s="2" t="str">
        <f t="shared" si="3552"/>
        <v/>
      </c>
    </row>
    <row r="236" spans="1:45" x14ac:dyDescent="0.15">
      <c r="A236" s="22" t="s">
        <v>59</v>
      </c>
      <c r="B236" s="21" t="s">
        <v>2</v>
      </c>
      <c r="C236" s="20">
        <v>117559</v>
      </c>
      <c r="D236" s="20">
        <v>117559</v>
      </c>
      <c r="E236" s="20">
        <v>117559</v>
      </c>
      <c r="F236" s="20">
        <v>117627</v>
      </c>
      <c r="G236" s="20">
        <v>117627</v>
      </c>
      <c r="H236" s="20">
        <v>117627</v>
      </c>
      <c r="I236" s="20">
        <v>117627</v>
      </c>
      <c r="J236" s="20">
        <v>117668</v>
      </c>
      <c r="K236" s="20">
        <f t="shared" ref="K236:K239" si="3553">IF(K$8="","",J236)</f>
        <v>117668</v>
      </c>
      <c r="L236" s="20">
        <f t="shared" ref="L236:L239" si="3554">IF(L$8="","",K236)</f>
        <v>117668</v>
      </c>
      <c r="M236" s="20">
        <v>117761</v>
      </c>
      <c r="N236" s="20" t="str">
        <f t="shared" ref="N236:N239" si="3555">IF(N$8="","",M236)</f>
        <v/>
      </c>
      <c r="O236" s="20" t="str">
        <f t="shared" ref="O236:O239" si="3556">IF(O$8="","",N236)</f>
        <v/>
      </c>
      <c r="P236" s="20" t="str">
        <f t="shared" ref="P236:P239" si="3557">IF(P$8="","",O236)</f>
        <v/>
      </c>
      <c r="Q236" s="20" t="str">
        <f>IF(Q$8="","",P236)</f>
        <v/>
      </c>
      <c r="R236" s="20" t="str">
        <f t="shared" ref="R236:R239" si="3558">IF(R$8="","",Q236)</f>
        <v/>
      </c>
      <c r="S236" s="20" t="str">
        <f t="shared" ref="S236:S239" si="3559">IF(S$8="","",R236)</f>
        <v/>
      </c>
      <c r="T236" s="20" t="str">
        <f>IF(T$8="","",S236)</f>
        <v/>
      </c>
      <c r="U236" s="20" t="str">
        <f t="shared" ref="U236:U239" si="3560">IF(U$8="","",T236)</f>
        <v/>
      </c>
      <c r="V236" s="20" t="str">
        <f t="shared" ref="V236:V239" si="3561">IF(V$8="","",U236)</f>
        <v/>
      </c>
      <c r="W236" s="20" t="str">
        <f t="shared" ref="W236:W239" si="3562">IF(W$8="","",V236)</f>
        <v/>
      </c>
      <c r="X236" s="20" t="str">
        <f>IF(X$8="","",W236)</f>
        <v/>
      </c>
      <c r="Y236" s="20" t="str">
        <f t="shared" ref="Y236:Y239" si="3563">IF(Y$8="","",X236)</f>
        <v/>
      </c>
      <c r="Z236" s="20" t="str">
        <f t="shared" ref="Z236:Z239" si="3564">IF(Z$8="","",Y236)</f>
        <v/>
      </c>
      <c r="AA236" s="20" t="str">
        <f>IF(AA$8="","",Z236)</f>
        <v/>
      </c>
      <c r="AB236" s="20" t="str">
        <f t="shared" ref="AB236:AB239" si="3565">IF(AB$8="","",AA236)</f>
        <v/>
      </c>
      <c r="AC236" s="20" t="str">
        <f t="shared" ref="AC236:AC239" si="3566">IF(AC$8="","",AB236)</f>
        <v/>
      </c>
      <c r="AD236" s="20" t="str">
        <f>IF(AD$8="","",AC236)</f>
        <v/>
      </c>
      <c r="AE236" s="20" t="str">
        <f t="shared" ref="AE236:AE239" si="3567">IF(AE$8="","",AD236)</f>
        <v/>
      </c>
      <c r="AF236" s="20" t="str">
        <f t="shared" ref="AF236:AF239" si="3568">IF(AF$8="","",AE236)</f>
        <v/>
      </c>
      <c r="AG236" s="20" t="str">
        <f t="shared" ref="AG236:AG239" si="3569">IF(AG$8="","",AF236)</f>
        <v/>
      </c>
      <c r="AH236" s="20" t="str">
        <f>IF(AH$8="","",AG236)</f>
        <v/>
      </c>
      <c r="AI236" s="20" t="str">
        <f t="shared" ref="AI236:AI239" si="3570">IF(AI$8="","",AH236)</f>
        <v/>
      </c>
      <c r="AJ236" s="20" t="str">
        <f t="shared" ref="AJ236:AJ239" si="3571">IF(AJ$8="","",AI236)</f>
        <v/>
      </c>
      <c r="AK236" s="20" t="str">
        <f t="shared" ref="AK236:AK239" si="3572">IF(AK$8="","",AJ236)</f>
        <v/>
      </c>
      <c r="AL236" s="20" t="str">
        <f>IF(AL$8="","",AK236)</f>
        <v/>
      </c>
      <c r="AM236" s="20" t="str">
        <f t="shared" ref="AM236:AM239" si="3573">IF(AM$8="","",AL236)</f>
        <v/>
      </c>
      <c r="AN236" s="20" t="str">
        <f t="shared" ref="AN236:AN239" si="3574">IF(AN$8="","",AM236)</f>
        <v/>
      </c>
      <c r="AO236" s="20" t="str">
        <f t="shared" ref="AO236:AO239" si="3575">IF(AO$8="","",AN236)</f>
        <v/>
      </c>
      <c r="AP236" s="20" t="str">
        <f t="shared" ref="AP236:AS236" si="3576">IF(AP$8="","",AO236)</f>
        <v/>
      </c>
      <c r="AQ236" s="20" t="str">
        <f t="shared" si="3576"/>
        <v/>
      </c>
      <c r="AR236" s="20" t="str">
        <f t="shared" si="3576"/>
        <v/>
      </c>
      <c r="AS236" s="20" t="str">
        <f t="shared" si="3576"/>
        <v/>
      </c>
    </row>
    <row r="237" spans="1:45" x14ac:dyDescent="0.15">
      <c r="A237" s="16" t="s">
        <v>71</v>
      </c>
      <c r="B237" s="9" t="s">
        <v>72</v>
      </c>
      <c r="C237" s="8">
        <v>521</v>
      </c>
      <c r="D237" s="8">
        <v>521</v>
      </c>
      <c r="E237" s="8">
        <v>521</v>
      </c>
      <c r="F237" s="8">
        <v>521</v>
      </c>
      <c r="G237" s="8">
        <v>521</v>
      </c>
      <c r="H237" s="8">
        <v>521</v>
      </c>
      <c r="I237" s="8">
        <v>521</v>
      </c>
      <c r="J237" s="8">
        <v>521</v>
      </c>
      <c r="K237" s="8">
        <f t="shared" si="3553"/>
        <v>521</v>
      </c>
      <c r="L237" s="8">
        <f t="shared" si="3554"/>
        <v>521</v>
      </c>
      <c r="M237" s="8">
        <f t="shared" ref="M237:M239" si="3577">IF(M$8="","",L237)</f>
        <v>521</v>
      </c>
      <c r="N237" s="8" t="str">
        <f t="shared" si="3555"/>
        <v/>
      </c>
      <c r="O237" s="8" t="str">
        <f t="shared" si="3556"/>
        <v/>
      </c>
      <c r="P237" s="8" t="str">
        <f t="shared" si="3557"/>
        <v/>
      </c>
      <c r="Q237" s="8" t="str">
        <f t="shared" ref="Q237:Q239" si="3578">IF(Q$8="","",P237)</f>
        <v/>
      </c>
      <c r="R237" s="8" t="str">
        <f t="shared" si="3558"/>
        <v/>
      </c>
      <c r="S237" s="8" t="str">
        <f t="shared" si="3559"/>
        <v/>
      </c>
      <c r="T237" s="8" t="str">
        <f t="shared" ref="T237:T239" si="3579">IF(T$8="","",S237)</f>
        <v/>
      </c>
      <c r="U237" s="8" t="str">
        <f t="shared" si="3560"/>
        <v/>
      </c>
      <c r="V237" s="8" t="str">
        <f t="shared" si="3561"/>
        <v/>
      </c>
      <c r="W237" s="8" t="str">
        <f t="shared" si="3562"/>
        <v/>
      </c>
      <c r="X237" s="8" t="str">
        <f t="shared" ref="X237:X239" si="3580">IF(X$8="","",W237)</f>
        <v/>
      </c>
      <c r="Y237" s="8" t="str">
        <f t="shared" si="3563"/>
        <v/>
      </c>
      <c r="Z237" s="8" t="str">
        <f t="shared" si="3564"/>
        <v/>
      </c>
      <c r="AA237" s="8" t="str">
        <f t="shared" ref="AA237:AA239" si="3581">IF(AA$8="","",Z237)</f>
        <v/>
      </c>
      <c r="AB237" s="8" t="str">
        <f t="shared" si="3565"/>
        <v/>
      </c>
      <c r="AC237" s="8" t="str">
        <f t="shared" si="3566"/>
        <v/>
      </c>
      <c r="AD237" s="8" t="str">
        <f t="shared" ref="AD237:AD239" si="3582">IF(AD$8="","",AC237)</f>
        <v/>
      </c>
      <c r="AE237" s="8" t="str">
        <f t="shared" si="3567"/>
        <v/>
      </c>
      <c r="AF237" s="8" t="str">
        <f t="shared" si="3568"/>
        <v/>
      </c>
      <c r="AG237" s="8" t="str">
        <f t="shared" si="3569"/>
        <v/>
      </c>
      <c r="AH237" s="8" t="str">
        <f t="shared" ref="AH236:AH239" si="3583">IF(AH$8="","",AG237)</f>
        <v/>
      </c>
      <c r="AI237" s="8" t="str">
        <f t="shared" si="3570"/>
        <v/>
      </c>
      <c r="AJ237" s="8" t="str">
        <f t="shared" si="3571"/>
        <v/>
      </c>
      <c r="AK237" s="8" t="str">
        <f t="shared" si="3572"/>
        <v/>
      </c>
      <c r="AL237" s="8" t="str">
        <f t="shared" ref="AL236:AL239" si="3584">IF(AL$8="","",AK237)</f>
        <v/>
      </c>
      <c r="AM237" s="8" t="str">
        <f t="shared" si="3573"/>
        <v/>
      </c>
      <c r="AN237" s="8" t="str">
        <f t="shared" si="3574"/>
        <v/>
      </c>
      <c r="AO237" s="8" t="str">
        <f t="shared" si="3575"/>
        <v/>
      </c>
      <c r="AP237" s="8" t="str">
        <f t="shared" ref="AP237:AS237" si="3585">IF(AP$8="","",AO237)</f>
        <v/>
      </c>
      <c r="AQ237" s="8" t="str">
        <f t="shared" si="3585"/>
        <v/>
      </c>
      <c r="AR237" s="8" t="str">
        <f t="shared" si="3585"/>
        <v/>
      </c>
      <c r="AS237" s="8" t="str">
        <f t="shared" si="3585"/>
        <v/>
      </c>
    </row>
    <row r="238" spans="1:45" x14ac:dyDescent="0.15">
      <c r="A238" s="15">
        <v>1</v>
      </c>
      <c r="B238" s="9" t="s">
        <v>73</v>
      </c>
      <c r="C238" s="8">
        <v>972</v>
      </c>
      <c r="D238" s="8">
        <v>972</v>
      </c>
      <c r="E238" s="8">
        <v>972</v>
      </c>
      <c r="F238" s="8">
        <v>972</v>
      </c>
      <c r="G238" s="8">
        <v>972</v>
      </c>
      <c r="H238" s="8">
        <v>972</v>
      </c>
      <c r="I238" s="8">
        <v>972</v>
      </c>
      <c r="J238" s="8">
        <v>972</v>
      </c>
      <c r="K238" s="8">
        <f t="shared" si="3553"/>
        <v>972</v>
      </c>
      <c r="L238" s="8">
        <f t="shared" si="3554"/>
        <v>972</v>
      </c>
      <c r="M238" s="8">
        <f t="shared" si="3577"/>
        <v>972</v>
      </c>
      <c r="N238" s="8" t="str">
        <f t="shared" si="3555"/>
        <v/>
      </c>
      <c r="O238" s="8" t="str">
        <f t="shared" si="3556"/>
        <v/>
      </c>
      <c r="P238" s="8" t="str">
        <f t="shared" si="3557"/>
        <v/>
      </c>
      <c r="Q238" s="8" t="str">
        <f t="shared" si="3578"/>
        <v/>
      </c>
      <c r="R238" s="8" t="str">
        <f t="shared" si="3558"/>
        <v/>
      </c>
      <c r="S238" s="8" t="str">
        <f t="shared" si="3559"/>
        <v/>
      </c>
      <c r="T238" s="8" t="str">
        <f t="shared" si="3579"/>
        <v/>
      </c>
      <c r="U238" s="8" t="str">
        <f t="shared" si="3560"/>
        <v/>
      </c>
      <c r="V238" s="8" t="str">
        <f t="shared" si="3561"/>
        <v/>
      </c>
      <c r="W238" s="8" t="str">
        <f t="shared" si="3562"/>
        <v/>
      </c>
      <c r="X238" s="8" t="str">
        <f t="shared" si="3580"/>
        <v/>
      </c>
      <c r="Y238" s="8" t="str">
        <f t="shared" si="3563"/>
        <v/>
      </c>
      <c r="Z238" s="8" t="str">
        <f t="shared" si="3564"/>
        <v/>
      </c>
      <c r="AA238" s="8" t="str">
        <f t="shared" si="3581"/>
        <v/>
      </c>
      <c r="AB238" s="8" t="str">
        <f t="shared" si="3565"/>
        <v/>
      </c>
      <c r="AC238" s="8" t="str">
        <f t="shared" si="3566"/>
        <v/>
      </c>
      <c r="AD238" s="8" t="str">
        <f t="shared" si="3582"/>
        <v/>
      </c>
      <c r="AE238" s="8" t="str">
        <f t="shared" si="3567"/>
        <v/>
      </c>
      <c r="AF238" s="8" t="str">
        <f t="shared" si="3568"/>
        <v/>
      </c>
      <c r="AG238" s="8" t="str">
        <f t="shared" si="3569"/>
        <v/>
      </c>
      <c r="AH238" s="8" t="str">
        <f t="shared" si="3583"/>
        <v/>
      </c>
      <c r="AI238" s="8" t="str">
        <f t="shared" si="3570"/>
        <v/>
      </c>
      <c r="AJ238" s="8" t="str">
        <f t="shared" si="3571"/>
        <v/>
      </c>
      <c r="AK238" s="8" t="str">
        <f t="shared" si="3572"/>
        <v/>
      </c>
      <c r="AL238" s="8" t="str">
        <f t="shared" si="3584"/>
        <v/>
      </c>
      <c r="AM238" s="8" t="str">
        <f t="shared" si="3573"/>
        <v/>
      </c>
      <c r="AN238" s="8" t="str">
        <f t="shared" si="3574"/>
        <v/>
      </c>
      <c r="AO238" s="8" t="str">
        <f t="shared" si="3575"/>
        <v/>
      </c>
      <c r="AP238" s="8" t="str">
        <f t="shared" ref="AP238:AS238" si="3586">IF(AP$8="","",AO238)</f>
        <v/>
      </c>
      <c r="AQ238" s="8" t="str">
        <f t="shared" si="3586"/>
        <v/>
      </c>
      <c r="AR238" s="8" t="str">
        <f t="shared" si="3586"/>
        <v/>
      </c>
      <c r="AS238" s="8" t="str">
        <f t="shared" si="3586"/>
        <v/>
      </c>
    </row>
    <row r="239" spans="1:45" x14ac:dyDescent="0.15">
      <c r="A239" s="14"/>
      <c r="B239" s="9" t="s">
        <v>74</v>
      </c>
      <c r="C239" s="8">
        <v>1835</v>
      </c>
      <c r="D239" s="8">
        <v>1835</v>
      </c>
      <c r="E239" s="8">
        <v>1835</v>
      </c>
      <c r="F239" s="8">
        <v>1835</v>
      </c>
      <c r="G239" s="8">
        <v>1835</v>
      </c>
      <c r="H239" s="8">
        <v>1835</v>
      </c>
      <c r="I239" s="8">
        <v>1835</v>
      </c>
      <c r="J239" s="8">
        <v>1835</v>
      </c>
      <c r="K239" s="8">
        <f t="shared" si="3553"/>
        <v>1835</v>
      </c>
      <c r="L239" s="8">
        <f t="shared" si="3554"/>
        <v>1835</v>
      </c>
      <c r="M239" s="8">
        <f t="shared" si="3577"/>
        <v>1835</v>
      </c>
      <c r="N239" s="8" t="str">
        <f t="shared" si="3555"/>
        <v/>
      </c>
      <c r="O239" s="8" t="str">
        <f t="shared" si="3556"/>
        <v/>
      </c>
      <c r="P239" s="8" t="str">
        <f t="shared" si="3557"/>
        <v/>
      </c>
      <c r="Q239" s="8" t="str">
        <f t="shared" si="3578"/>
        <v/>
      </c>
      <c r="R239" s="8" t="str">
        <f t="shared" si="3558"/>
        <v/>
      </c>
      <c r="S239" s="8" t="str">
        <f t="shared" si="3559"/>
        <v/>
      </c>
      <c r="T239" s="8" t="str">
        <f t="shared" si="3579"/>
        <v/>
      </c>
      <c r="U239" s="8" t="str">
        <f t="shared" si="3560"/>
        <v/>
      </c>
      <c r="V239" s="8" t="str">
        <f t="shared" si="3561"/>
        <v/>
      </c>
      <c r="W239" s="8" t="str">
        <f t="shared" si="3562"/>
        <v/>
      </c>
      <c r="X239" s="8" t="str">
        <f t="shared" si="3580"/>
        <v/>
      </c>
      <c r="Y239" s="8" t="str">
        <f t="shared" si="3563"/>
        <v/>
      </c>
      <c r="Z239" s="8" t="str">
        <f t="shared" si="3564"/>
        <v/>
      </c>
      <c r="AA239" s="8" t="str">
        <f t="shared" si="3581"/>
        <v/>
      </c>
      <c r="AB239" s="8" t="str">
        <f t="shared" si="3565"/>
        <v/>
      </c>
      <c r="AC239" s="8" t="str">
        <f t="shared" si="3566"/>
        <v/>
      </c>
      <c r="AD239" s="8" t="str">
        <f t="shared" si="3582"/>
        <v/>
      </c>
      <c r="AE239" s="8" t="str">
        <f t="shared" si="3567"/>
        <v/>
      </c>
      <c r="AF239" s="8" t="str">
        <f t="shared" si="3568"/>
        <v/>
      </c>
      <c r="AG239" s="8" t="str">
        <f t="shared" si="3569"/>
        <v/>
      </c>
      <c r="AH239" s="8" t="str">
        <f t="shared" si="3583"/>
        <v/>
      </c>
      <c r="AI239" s="8" t="str">
        <f t="shared" si="3570"/>
        <v/>
      </c>
      <c r="AJ239" s="8" t="str">
        <f t="shared" si="3571"/>
        <v/>
      </c>
      <c r="AK239" s="8" t="str">
        <f t="shared" si="3572"/>
        <v/>
      </c>
      <c r="AL239" s="8" t="str">
        <f t="shared" si="3584"/>
        <v/>
      </c>
      <c r="AM239" s="8" t="str">
        <f t="shared" si="3573"/>
        <v/>
      </c>
      <c r="AN239" s="8" t="str">
        <f t="shared" si="3574"/>
        <v/>
      </c>
      <c r="AO239" s="8" t="str">
        <f t="shared" si="3575"/>
        <v/>
      </c>
      <c r="AP239" s="8" t="str">
        <f t="shared" ref="AP239:AS239" si="3587">IF(AP$8="","",AO239)</f>
        <v/>
      </c>
      <c r="AQ239" s="8" t="str">
        <f t="shared" si="3587"/>
        <v/>
      </c>
      <c r="AR239" s="8" t="str">
        <f t="shared" si="3587"/>
        <v/>
      </c>
      <c r="AS239" s="8" t="str">
        <f t="shared" si="3587"/>
        <v/>
      </c>
    </row>
    <row r="240" spans="1:45" x14ac:dyDescent="0.15">
      <c r="A240" s="7"/>
      <c r="B240" s="9" t="s">
        <v>8</v>
      </c>
      <c r="C240" s="8">
        <v>1100</v>
      </c>
      <c r="D240" s="8">
        <v>1100</v>
      </c>
      <c r="E240" s="8">
        <v>1100</v>
      </c>
      <c r="F240" s="8">
        <v>1100</v>
      </c>
      <c r="G240" s="8">
        <v>1100</v>
      </c>
      <c r="H240" s="8">
        <v>1100</v>
      </c>
      <c r="I240" s="8">
        <v>1100</v>
      </c>
      <c r="J240" s="8">
        <v>1100</v>
      </c>
      <c r="K240" s="8">
        <f t="shared" ref="K240" si="3588">IF(K236="","",J240)</f>
        <v>1100</v>
      </c>
      <c r="L240" s="8">
        <f t="shared" ref="L240" si="3589">IF(L236="","",K240)</f>
        <v>1100</v>
      </c>
      <c r="M240" s="8">
        <f t="shared" ref="M240" si="3590">IF(M236="","",L240)</f>
        <v>1100</v>
      </c>
      <c r="N240" s="8" t="str">
        <f t="shared" ref="N240" si="3591">IF(N236="","",M240)</f>
        <v/>
      </c>
      <c r="O240" s="8" t="str">
        <f t="shared" ref="O240" si="3592">IF(O236="","",N240)</f>
        <v/>
      </c>
      <c r="P240" s="8" t="str">
        <f t="shared" ref="P240" si="3593">IF(P236="","",O240)</f>
        <v/>
      </c>
      <c r="Q240" s="8" t="str">
        <f t="shared" ref="Q240" si="3594">IF(Q236="","",P240)</f>
        <v/>
      </c>
      <c r="R240" s="8" t="str">
        <f t="shared" ref="R240" si="3595">IF(R236="","",Q240)</f>
        <v/>
      </c>
      <c r="S240" s="8" t="str">
        <f t="shared" ref="S240" si="3596">IF(S236="","",R240)</f>
        <v/>
      </c>
      <c r="T240" s="8" t="str">
        <f t="shared" ref="T240" si="3597">IF(T236="","",S240)</f>
        <v/>
      </c>
      <c r="U240" s="8" t="str">
        <f t="shared" ref="U240" si="3598">IF(U236="","",T240)</f>
        <v/>
      </c>
      <c r="V240" s="8" t="str">
        <f t="shared" ref="V240" si="3599">IF(V236="","",U240)</f>
        <v/>
      </c>
      <c r="W240" s="8" t="str">
        <f t="shared" ref="W240" si="3600">IF(W236="","",V240)</f>
        <v/>
      </c>
      <c r="X240" s="8" t="str">
        <f t="shared" ref="X240" si="3601">IF(X236="","",W240)</f>
        <v/>
      </c>
      <c r="Y240" s="8" t="str">
        <f t="shared" ref="Y240" si="3602">IF(Y236="","",X240)</f>
        <v/>
      </c>
      <c r="Z240" s="8" t="str">
        <f t="shared" ref="Z240" si="3603">IF(Z236="","",Y240)</f>
        <v/>
      </c>
      <c r="AA240" s="8" t="str">
        <f t="shared" ref="AA240" si="3604">IF(AA236="","",Z240)</f>
        <v/>
      </c>
      <c r="AB240" s="8" t="str">
        <f t="shared" ref="AB240" si="3605">IF(AB236="","",AA240)</f>
        <v/>
      </c>
      <c r="AC240" s="8" t="str">
        <f t="shared" ref="AC240" si="3606">IF(AC236="","",AB240)</f>
        <v/>
      </c>
      <c r="AD240" s="8" t="str">
        <f t="shared" ref="AD240" si="3607">IF(AD236="","",AC240)</f>
        <v/>
      </c>
      <c r="AE240" s="8" t="str">
        <f t="shared" ref="AE240" si="3608">IF(AE236="","",AD240)</f>
        <v/>
      </c>
      <c r="AF240" s="8" t="str">
        <f t="shared" ref="AF240" si="3609">IF(AF236="","",AE240)</f>
        <v/>
      </c>
      <c r="AG240" s="8" t="str">
        <f t="shared" ref="AG240" si="3610">IF(AG236="","",AF240)</f>
        <v/>
      </c>
      <c r="AH240" s="8" t="str">
        <f t="shared" ref="AH240" si="3611">IF(AH236="","",AG240)</f>
        <v/>
      </c>
      <c r="AI240" s="8" t="str">
        <f t="shared" ref="AI240" si="3612">IF(AI236="","",AH240)</f>
        <v/>
      </c>
      <c r="AJ240" s="8" t="str">
        <f t="shared" ref="AJ240" si="3613">IF(AJ236="","",AI240)</f>
        <v/>
      </c>
      <c r="AK240" s="8" t="str">
        <f t="shared" ref="AK240" si="3614">IF(AK236="","",AJ240)</f>
        <v/>
      </c>
      <c r="AL240" s="8" t="str">
        <f t="shared" ref="AL240" si="3615">IF(AL236="","",AK240)</f>
        <v/>
      </c>
      <c r="AM240" s="8" t="str">
        <f t="shared" ref="AM240" si="3616">IF(AM236="","",AL240)</f>
        <v/>
      </c>
      <c r="AN240" s="8" t="str">
        <f t="shared" ref="AN240" si="3617">IF(AN236="","",AM240)</f>
        <v/>
      </c>
      <c r="AO240" s="8" t="str">
        <f t="shared" ref="AO240" si="3618">IF(AO236="","",AN240)</f>
        <v/>
      </c>
      <c r="AP240" s="8" t="str">
        <f t="shared" ref="AP240:AS240" si="3619">IF(AP236="","",AO240)</f>
        <v/>
      </c>
      <c r="AQ240" s="8" t="str">
        <f t="shared" si="3619"/>
        <v/>
      </c>
      <c r="AR240" s="8" t="str">
        <f t="shared" si="3619"/>
        <v/>
      </c>
      <c r="AS240" s="8" t="str">
        <f t="shared" si="3619"/>
        <v/>
      </c>
    </row>
    <row r="241" spans="1:45" s="85" customFormat="1" x14ac:dyDescent="0.15">
      <c r="A241" s="14" t="s">
        <v>9</v>
      </c>
      <c r="B241" s="13" t="s">
        <v>10</v>
      </c>
      <c r="C241" s="12" t="s">
        <v>75</v>
      </c>
      <c r="D241" s="12" t="s">
        <v>75</v>
      </c>
      <c r="E241" s="12" t="s">
        <v>75</v>
      </c>
      <c r="F241" s="12" t="s">
        <v>75</v>
      </c>
      <c r="G241" s="12" t="s">
        <v>75</v>
      </c>
      <c r="H241" s="12" t="s">
        <v>75</v>
      </c>
      <c r="I241" s="12" t="s">
        <v>75</v>
      </c>
      <c r="J241" s="12" t="s">
        <v>75</v>
      </c>
      <c r="K241" s="12" t="str">
        <f t="shared" ref="K241" si="3620">IF(K236="","",J241)</f>
        <v>ボンボンドロップシール</v>
      </c>
      <c r="L241" s="12" t="str">
        <f t="shared" ref="L241" si="3621">IF(L236="","",K241)</f>
        <v>ボンボンドロップシール</v>
      </c>
      <c r="M241" s="12" t="str">
        <f t="shared" ref="M241" si="3622">IF(M236="","",L241)</f>
        <v>ボンボンドロップシール</v>
      </c>
      <c r="N241" s="12" t="str">
        <f t="shared" ref="N241" si="3623">IF(N236="","",M241)</f>
        <v/>
      </c>
      <c r="O241" s="12" t="str">
        <f t="shared" ref="O241" si="3624">IF(O236="","",N241)</f>
        <v/>
      </c>
      <c r="P241" s="12" t="str">
        <f t="shared" ref="P241" si="3625">IF(P236="","",O241)</f>
        <v/>
      </c>
      <c r="Q241" s="12" t="str">
        <f t="shared" ref="Q241" si="3626">IF(Q236="","",P241)</f>
        <v/>
      </c>
      <c r="R241" s="12" t="str">
        <f t="shared" ref="R241" si="3627">IF(R236="","",Q241)</f>
        <v/>
      </c>
      <c r="S241" s="12" t="str">
        <f t="shared" ref="S241" si="3628">IF(S236="","",R241)</f>
        <v/>
      </c>
      <c r="T241" s="12" t="str">
        <f t="shared" ref="T241" si="3629">IF(T236="","",S241)</f>
        <v/>
      </c>
      <c r="U241" s="12" t="str">
        <f t="shared" ref="U241" si="3630">IF(U236="","",T241)</f>
        <v/>
      </c>
      <c r="V241" s="12" t="str">
        <f t="shared" ref="V241" si="3631">IF(V236="","",U241)</f>
        <v/>
      </c>
      <c r="W241" s="12" t="str">
        <f t="shared" ref="W241" si="3632">IF(W236="","",V241)</f>
        <v/>
      </c>
      <c r="X241" s="12" t="str">
        <f t="shared" ref="X241" si="3633">IF(X236="","",W241)</f>
        <v/>
      </c>
      <c r="Y241" s="12" t="str">
        <f t="shared" ref="Y241" si="3634">IF(Y236="","",X241)</f>
        <v/>
      </c>
      <c r="Z241" s="12" t="str">
        <f t="shared" ref="Z241" si="3635">IF(Z236="","",Y241)</f>
        <v/>
      </c>
      <c r="AA241" s="12" t="str">
        <f t="shared" ref="AA241" si="3636">IF(AA236="","",Z241)</f>
        <v/>
      </c>
      <c r="AB241" s="12" t="str">
        <f t="shared" ref="AB241" si="3637">IF(AB236="","",AA241)</f>
        <v/>
      </c>
      <c r="AC241" s="12" t="str">
        <f t="shared" ref="AC241" si="3638">IF(AC236="","",AB241)</f>
        <v/>
      </c>
      <c r="AD241" s="12" t="str">
        <f t="shared" ref="AD241" si="3639">IF(AD236="","",AC241)</f>
        <v/>
      </c>
      <c r="AE241" s="12" t="str">
        <f t="shared" ref="AE241" si="3640">IF(AE236="","",AD241)</f>
        <v/>
      </c>
      <c r="AF241" s="12" t="str">
        <f t="shared" ref="AF241" si="3641">IF(AF236="","",AE241)</f>
        <v/>
      </c>
      <c r="AG241" s="12" t="str">
        <f t="shared" ref="AG241" si="3642">IF(AG236="","",AF241)</f>
        <v/>
      </c>
      <c r="AH241" s="12" t="str">
        <f t="shared" ref="AH241" si="3643">IF(AH236="","",AG241)</f>
        <v/>
      </c>
      <c r="AI241" s="12" t="str">
        <f t="shared" ref="AI241" si="3644">IF(AI236="","",AH241)</f>
        <v/>
      </c>
      <c r="AJ241" s="12" t="str">
        <f t="shared" ref="AJ241" si="3645">IF(AJ236="","",AI241)</f>
        <v/>
      </c>
      <c r="AK241" s="12" t="str">
        <f t="shared" ref="AK241" si="3646">IF(AK236="","",AJ241)</f>
        <v/>
      </c>
      <c r="AL241" s="12" t="str">
        <f t="shared" ref="AL241" si="3647">IF(AL236="","",AK241)</f>
        <v/>
      </c>
      <c r="AM241" s="12" t="str">
        <f t="shared" ref="AM241" si="3648">IF(AM236="","",AL241)</f>
        <v/>
      </c>
      <c r="AN241" s="12" t="str">
        <f t="shared" ref="AN241" si="3649">IF(AN236="","",AM241)</f>
        <v/>
      </c>
      <c r="AO241" s="12" t="str">
        <f t="shared" ref="AO241" si="3650">IF(AO236="","",AN241)</f>
        <v/>
      </c>
      <c r="AP241" s="12" t="str">
        <f t="shared" ref="AP241:AS241" si="3651">IF(AP236="","",AO241)</f>
        <v/>
      </c>
      <c r="AQ241" s="12" t="str">
        <f t="shared" si="3651"/>
        <v/>
      </c>
      <c r="AR241" s="12" t="str">
        <f t="shared" si="3651"/>
        <v/>
      </c>
      <c r="AS241" s="12" t="str">
        <f t="shared" si="3651"/>
        <v/>
      </c>
    </row>
    <row r="242" spans="1:45" x14ac:dyDescent="0.15">
      <c r="A242" s="7">
        <f>AVERAGE(C243:AS243)*30*100</f>
        <v>55090.909090909088</v>
      </c>
      <c r="B242" s="9" t="s">
        <v>12</v>
      </c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</row>
    <row r="243" spans="1:45" x14ac:dyDescent="0.15">
      <c r="A243" s="7">
        <f>SUM(C243:AS243)</f>
        <v>202</v>
      </c>
      <c r="B243" s="6" t="s">
        <v>13</v>
      </c>
      <c r="C243" s="5">
        <v>0</v>
      </c>
      <c r="D243" s="5">
        <v>0</v>
      </c>
      <c r="E243" s="5">
        <v>0</v>
      </c>
      <c r="F243" s="5">
        <v>68</v>
      </c>
      <c r="G243" s="5">
        <v>0</v>
      </c>
      <c r="H243" s="5">
        <v>0</v>
      </c>
      <c r="I243" s="5">
        <v>0</v>
      </c>
      <c r="J243" s="5">
        <v>41</v>
      </c>
      <c r="K243" s="5">
        <f t="shared" ref="K243" si="3652">IF(K236="","",K236-J236)</f>
        <v>0</v>
      </c>
      <c r="L243" s="5">
        <f t="shared" ref="L243" si="3653">IF(L236="","",L236-K236)</f>
        <v>0</v>
      </c>
      <c r="M243" s="5">
        <f t="shared" ref="M243" si="3654">IF(M236="","",M236-L236)</f>
        <v>93</v>
      </c>
      <c r="N243" s="5" t="str">
        <f t="shared" ref="N243" si="3655">IF(N236="","",N236-M236)</f>
        <v/>
      </c>
      <c r="O243" s="5" t="str">
        <f t="shared" ref="O243" si="3656">IF(O236="","",O236-N236)</f>
        <v/>
      </c>
      <c r="P243" s="5" t="str">
        <f t="shared" ref="P243" si="3657">IF(P236="","",P236-O236)</f>
        <v/>
      </c>
      <c r="Q243" s="5" t="str">
        <f t="shared" ref="Q243" si="3658">IF(Q236="","",Q236-P236)</f>
        <v/>
      </c>
      <c r="R243" s="5" t="str">
        <f t="shared" ref="R243" si="3659">IF(R236="","",R236-Q236)</f>
        <v/>
      </c>
      <c r="S243" s="5" t="str">
        <f t="shared" ref="S243" si="3660">IF(S236="","",S236-R236)</f>
        <v/>
      </c>
      <c r="T243" s="5" t="str">
        <f t="shared" ref="T243" si="3661">IF(T236="","",T236-S236)</f>
        <v/>
      </c>
      <c r="U243" s="5" t="str">
        <f t="shared" ref="U243" si="3662">IF(U236="","",U236-T236)</f>
        <v/>
      </c>
      <c r="V243" s="5" t="str">
        <f t="shared" ref="V243" si="3663">IF(V236="","",V236-U236)</f>
        <v/>
      </c>
      <c r="W243" s="5" t="str">
        <f t="shared" ref="W243" si="3664">IF(W236="","",W236-V236)</f>
        <v/>
      </c>
      <c r="X243" s="5" t="str">
        <f t="shared" ref="X243" si="3665">IF(X236="","",X236-W236)</f>
        <v/>
      </c>
      <c r="Y243" s="5" t="str">
        <f t="shared" ref="Y243" si="3666">IF(Y236="","",Y236-X236)</f>
        <v/>
      </c>
      <c r="Z243" s="5" t="str">
        <f t="shared" ref="Z243" si="3667">IF(Z236="","",Z236-Y236)</f>
        <v/>
      </c>
      <c r="AA243" s="5" t="str">
        <f t="shared" ref="AA243" si="3668">IF(AA236="","",AA236-Z236)</f>
        <v/>
      </c>
      <c r="AB243" s="5" t="str">
        <f t="shared" ref="AB243" si="3669">IF(AB236="","",AB236-AA236)</f>
        <v/>
      </c>
      <c r="AC243" s="5" t="str">
        <f t="shared" ref="AC243" si="3670">IF(AC236="","",AC236-AB236)</f>
        <v/>
      </c>
      <c r="AD243" s="5" t="str">
        <f t="shared" ref="AD243" si="3671">IF(AD236="","",AD236-AC236)</f>
        <v/>
      </c>
      <c r="AE243" s="5" t="str">
        <f t="shared" ref="AE243" si="3672">IF(AE236="","",AE236-AD236)</f>
        <v/>
      </c>
      <c r="AF243" s="5" t="str">
        <f t="shared" ref="AF243" si="3673">IF(AF236="","",AF236-AE236)</f>
        <v/>
      </c>
      <c r="AG243" s="5" t="str">
        <f t="shared" ref="AG243" si="3674">IF(AG236="","",AG236-AF236)</f>
        <v/>
      </c>
      <c r="AH243" s="5" t="str">
        <f t="shared" ref="AH243" si="3675">IF(AH236="","",AH236-AG236)</f>
        <v/>
      </c>
      <c r="AI243" s="5" t="str">
        <f t="shared" ref="AI243" si="3676">IF(AI236="","",AI236-AH236)</f>
        <v/>
      </c>
      <c r="AJ243" s="5" t="str">
        <f t="shared" ref="AJ243" si="3677">IF(AJ236="","",AJ236-AI236)</f>
        <v/>
      </c>
      <c r="AK243" s="5" t="str">
        <f t="shared" ref="AK243" si="3678">IF(AK236="","",AK236-AJ236)</f>
        <v/>
      </c>
      <c r="AL243" s="5" t="str">
        <f t="shared" ref="AL243" si="3679">IF(AL236="","",AL236-AK236)</f>
        <v/>
      </c>
      <c r="AM243" s="5" t="str">
        <f t="shared" ref="AM243" si="3680">IF(AM236="","",AM236-AL236)</f>
        <v/>
      </c>
      <c r="AN243" s="5" t="str">
        <f t="shared" ref="AN243" si="3681">IF(AN236="","",AN236-AM236)</f>
        <v/>
      </c>
      <c r="AO243" s="5" t="str">
        <f t="shared" ref="AO243" si="3682">IF(AO236="","",AO236-AN236)</f>
        <v/>
      </c>
      <c r="AP243" s="5" t="str">
        <f t="shared" ref="AP243:AS243" si="3683">IF(AP236="","",AP236-AO236)</f>
        <v/>
      </c>
      <c r="AQ243" s="5" t="str">
        <f t="shared" si="3683"/>
        <v/>
      </c>
      <c r="AR243" s="5" t="str">
        <f t="shared" si="3683"/>
        <v/>
      </c>
      <c r="AS243" s="5" t="str">
        <f t="shared" si="3683"/>
        <v/>
      </c>
    </row>
    <row r="244" spans="1:45" x14ac:dyDescent="0.15">
      <c r="A244" s="7">
        <f>SUM(C244:AS244)</f>
        <v>0</v>
      </c>
      <c r="B244" s="6" t="s">
        <v>14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f t="shared" ref="K244" si="3684">IF(K237="","",(K237+K238+K239-J237-J238-J239))</f>
        <v>0</v>
      </c>
      <c r="L244" s="5">
        <f t="shared" ref="L244" si="3685">IF(L237="","",(L237+L238+L239-K237-K238-K239))</f>
        <v>0</v>
      </c>
      <c r="M244" s="5">
        <f t="shared" ref="M244" si="3686">IF(M237="","",(M237+M238+M239-L237-L238-L239))</f>
        <v>0</v>
      </c>
      <c r="N244" s="5" t="str">
        <f t="shared" ref="N244" si="3687">IF(N237="","",(N237+N238+N239-M237-M238-M239))</f>
        <v/>
      </c>
      <c r="O244" s="5" t="str">
        <f t="shared" ref="O244" si="3688">IF(O237="","",(O237+O238+O239-N237-N238-N239))</f>
        <v/>
      </c>
      <c r="P244" s="5" t="str">
        <f t="shared" ref="P244" si="3689">IF(P237="","",(P237+P238+P239-O237-O238-O239))</f>
        <v/>
      </c>
      <c r="Q244" s="5" t="str">
        <f t="shared" ref="Q244" si="3690">IF(Q237="","",(Q237+Q238+Q239-P237-P238-P239))</f>
        <v/>
      </c>
      <c r="R244" s="5" t="str">
        <f t="shared" ref="R244" si="3691">IF(R237="","",(R237+R238+R239-Q237-Q238-Q239))</f>
        <v/>
      </c>
      <c r="S244" s="5" t="str">
        <f t="shared" ref="S244" si="3692">IF(S237="","",(S237+S238+S239-R237-R238-R239))</f>
        <v/>
      </c>
      <c r="T244" s="5" t="str">
        <f t="shared" ref="T244" si="3693">IF(T237="","",(T237+T238+T239-S237-S238-S239))</f>
        <v/>
      </c>
      <c r="U244" s="5" t="str">
        <f t="shared" ref="U244" si="3694">IF(U237="","",(U237+U238+U239-T237-T238-T239))</f>
        <v/>
      </c>
      <c r="V244" s="5" t="str">
        <f t="shared" ref="V244" si="3695">IF(V237="","",(V237+V238+V239-U237-U238-U239))</f>
        <v/>
      </c>
      <c r="W244" s="5" t="str">
        <f t="shared" ref="W244" si="3696">IF(W237="","",(W237+W238+W239-V237-V238-V239))</f>
        <v/>
      </c>
      <c r="X244" s="5" t="str">
        <f t="shared" ref="X244" si="3697">IF(X237="","",(X237+X238+X239-W237-W238-W239))</f>
        <v/>
      </c>
      <c r="Y244" s="5" t="str">
        <f t="shared" ref="Y244" si="3698">IF(Y237="","",(Y237+Y238+Y239-X237-X238-X239))</f>
        <v/>
      </c>
      <c r="Z244" s="5" t="str">
        <f t="shared" ref="Z244" si="3699">IF(Z237="","",(Z237+Z238+Z239-Y237-Y238-Y239))</f>
        <v/>
      </c>
      <c r="AA244" s="5" t="str">
        <f t="shared" ref="AA244" si="3700">IF(AA237="","",(AA237+AA238+AA239-Z237-Z238-Z239))</f>
        <v/>
      </c>
      <c r="AB244" s="5" t="str">
        <f t="shared" ref="AB244" si="3701">IF(AB237="","",(AB237+AB238+AB239-AA237-AA238-AA239))</f>
        <v/>
      </c>
      <c r="AC244" s="5" t="str">
        <f t="shared" ref="AC244" si="3702">IF(AC237="","",(AC237+AC238+AC239-AB237-AB238-AB239))</f>
        <v/>
      </c>
      <c r="AD244" s="5" t="str">
        <f t="shared" ref="AD244" si="3703">IF(AD237="","",(AD237+AD238+AD239-AC237-AC238-AC239))</f>
        <v/>
      </c>
      <c r="AE244" s="5" t="str">
        <f t="shared" ref="AE244" si="3704">IF(AE237="","",(AE237+AE238+AE239-AD237-AD238-AD239))</f>
        <v/>
      </c>
      <c r="AF244" s="5" t="str">
        <f t="shared" ref="AF244" si="3705">IF(AF237="","",(AF237+AF238+AF239-AE237-AE238-AE239))</f>
        <v/>
      </c>
      <c r="AG244" s="5" t="str">
        <f t="shared" ref="AG244" si="3706">IF(AG237="","",(AG237+AG238+AG239-AF237-AF238-AF239))</f>
        <v/>
      </c>
      <c r="AH244" s="5" t="str">
        <f t="shared" ref="AH244" si="3707">IF(AH237="","",(AH237+AH238+AH239-AG237-AG238-AG239))</f>
        <v/>
      </c>
      <c r="AI244" s="5" t="str">
        <f t="shared" ref="AI244" si="3708">IF(AI237="","",(AI237+AI238+AI239-AH237-AH238-AH239))</f>
        <v/>
      </c>
      <c r="AJ244" s="5" t="str">
        <f t="shared" ref="AJ244" si="3709">IF(AJ237="","",(AJ237+AJ238+AJ239-AI237-AI238-AI239))</f>
        <v/>
      </c>
      <c r="AK244" s="5" t="str">
        <f t="shared" ref="AK244" si="3710">IF(AK237="","",(AK237+AK238+AK239-AJ237-AJ238-AJ239))</f>
        <v/>
      </c>
      <c r="AL244" s="5" t="str">
        <f t="shared" ref="AL244" si="3711">IF(AL237="","",(AL237+AL238+AL239-AK237-AK238-AK239))</f>
        <v/>
      </c>
      <c r="AM244" s="5" t="str">
        <f t="shared" ref="AM244" si="3712">IF(AM237="","",(AM237+AM238+AM239-AL237-AL238-AL239))</f>
        <v/>
      </c>
      <c r="AN244" s="5" t="str">
        <f t="shared" ref="AN244" si="3713">IF(AN237="","",(AN237+AN238+AN239-AM237-AM238-AM239))</f>
        <v/>
      </c>
      <c r="AO244" s="5" t="str">
        <f t="shared" ref="AO244" si="3714">IF(AO237="","",(AO237+AO238+AO239-AN237-AN238-AN239))</f>
        <v/>
      </c>
      <c r="AP244" s="5" t="str">
        <f t="shared" ref="AP244:AS244" si="3715">IF(AP237="","",(AP237+AP238+AP239-AO237-AO238-AO239))</f>
        <v/>
      </c>
      <c r="AQ244" s="5" t="str">
        <f t="shared" si="3715"/>
        <v/>
      </c>
      <c r="AR244" s="5" t="str">
        <f t="shared" si="3715"/>
        <v/>
      </c>
      <c r="AS244" s="5" t="str">
        <f t="shared" si="3715"/>
        <v/>
      </c>
    </row>
    <row r="245" spans="1:45" x14ac:dyDescent="0.15">
      <c r="A245" s="7">
        <f>SUM(C245:AS245)</f>
        <v>0</v>
      </c>
      <c r="B245" s="6" t="s">
        <v>15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f t="shared" ref="I245:AO245" si="3716">K244</f>
        <v>0</v>
      </c>
      <c r="L245" s="5">
        <f t="shared" si="3716"/>
        <v>0</v>
      </c>
      <c r="M245" s="5">
        <f t="shared" si="3716"/>
        <v>0</v>
      </c>
      <c r="N245" s="5" t="str">
        <f t="shared" si="3716"/>
        <v/>
      </c>
      <c r="O245" s="5" t="str">
        <f t="shared" si="3716"/>
        <v/>
      </c>
      <c r="P245" s="5" t="str">
        <f t="shared" si="3716"/>
        <v/>
      </c>
      <c r="Q245" s="5" t="str">
        <f t="shared" si="3716"/>
        <v/>
      </c>
      <c r="R245" s="5" t="str">
        <f t="shared" si="3716"/>
        <v/>
      </c>
      <c r="S245" s="5" t="str">
        <f t="shared" si="3716"/>
        <v/>
      </c>
      <c r="T245" s="5" t="str">
        <f t="shared" si="3716"/>
        <v/>
      </c>
      <c r="U245" s="5" t="str">
        <f t="shared" si="3716"/>
        <v/>
      </c>
      <c r="V245" s="5" t="str">
        <f t="shared" si="3716"/>
        <v/>
      </c>
      <c r="W245" s="5" t="str">
        <f t="shared" si="3716"/>
        <v/>
      </c>
      <c r="X245" s="5" t="str">
        <f t="shared" si="3716"/>
        <v/>
      </c>
      <c r="Y245" s="5" t="str">
        <f t="shared" si="3716"/>
        <v/>
      </c>
      <c r="Z245" s="5" t="str">
        <f t="shared" si="3716"/>
        <v/>
      </c>
      <c r="AA245" s="5" t="str">
        <f t="shared" si="3716"/>
        <v/>
      </c>
      <c r="AB245" s="5" t="str">
        <f t="shared" si="3716"/>
        <v/>
      </c>
      <c r="AC245" s="5" t="str">
        <f t="shared" si="3716"/>
        <v/>
      </c>
      <c r="AD245" s="5" t="str">
        <f t="shared" si="3716"/>
        <v/>
      </c>
      <c r="AE245" s="5" t="str">
        <f t="shared" si="3716"/>
        <v/>
      </c>
      <c r="AF245" s="5" t="str">
        <f t="shared" si="3716"/>
        <v/>
      </c>
      <c r="AG245" s="5" t="str">
        <f t="shared" si="3716"/>
        <v/>
      </c>
      <c r="AH245" s="5" t="str">
        <f t="shared" si="3716"/>
        <v/>
      </c>
      <c r="AI245" s="5" t="str">
        <f t="shared" si="3716"/>
        <v/>
      </c>
      <c r="AJ245" s="5" t="str">
        <f t="shared" si="3716"/>
        <v/>
      </c>
      <c r="AK245" s="5" t="str">
        <f t="shared" si="3716"/>
        <v/>
      </c>
      <c r="AL245" s="5" t="str">
        <f t="shared" si="3716"/>
        <v/>
      </c>
      <c r="AM245" s="5" t="str">
        <f t="shared" si="3716"/>
        <v/>
      </c>
      <c r="AN245" s="5" t="str">
        <f t="shared" si="3716"/>
        <v/>
      </c>
      <c r="AO245" s="5" t="str">
        <f t="shared" si="3716"/>
        <v/>
      </c>
      <c r="AP245" s="5" t="str">
        <f t="shared" ref="AP245:AS245" si="3717">AP244</f>
        <v/>
      </c>
      <c r="AQ245" s="5" t="str">
        <f t="shared" si="3717"/>
        <v/>
      </c>
      <c r="AR245" s="5" t="str">
        <f t="shared" si="3717"/>
        <v/>
      </c>
      <c r="AS245" s="5" t="str">
        <f t="shared" si="3717"/>
        <v/>
      </c>
    </row>
    <row r="246" spans="1:45" x14ac:dyDescent="0.15">
      <c r="A246" s="7">
        <f>SUM(C246:AS246)</f>
        <v>0</v>
      </c>
      <c r="B246" s="6" t="s">
        <v>16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f t="shared" ref="I246:AO246" si="3718">IF(K236="","",K245*K240)</f>
        <v>0</v>
      </c>
      <c r="L246" s="5">
        <f t="shared" si="3718"/>
        <v>0</v>
      </c>
      <c r="M246" s="5">
        <f t="shared" si="3718"/>
        <v>0</v>
      </c>
      <c r="N246" s="5" t="str">
        <f t="shared" si="3718"/>
        <v/>
      </c>
      <c r="O246" s="5" t="str">
        <f t="shared" si="3718"/>
        <v/>
      </c>
      <c r="P246" s="5" t="str">
        <f t="shared" si="3718"/>
        <v/>
      </c>
      <c r="Q246" s="5" t="str">
        <f t="shared" si="3718"/>
        <v/>
      </c>
      <c r="R246" s="5" t="str">
        <f t="shared" si="3718"/>
        <v/>
      </c>
      <c r="S246" s="5" t="str">
        <f t="shared" si="3718"/>
        <v/>
      </c>
      <c r="T246" s="5" t="str">
        <f t="shared" si="3718"/>
        <v/>
      </c>
      <c r="U246" s="5" t="str">
        <f t="shared" si="3718"/>
        <v/>
      </c>
      <c r="V246" s="5" t="str">
        <f t="shared" si="3718"/>
        <v/>
      </c>
      <c r="W246" s="5" t="str">
        <f t="shared" si="3718"/>
        <v/>
      </c>
      <c r="X246" s="5" t="str">
        <f t="shared" si="3718"/>
        <v/>
      </c>
      <c r="Y246" s="5" t="str">
        <f t="shared" si="3718"/>
        <v/>
      </c>
      <c r="Z246" s="5" t="str">
        <f t="shared" si="3718"/>
        <v/>
      </c>
      <c r="AA246" s="5" t="str">
        <f t="shared" si="3718"/>
        <v/>
      </c>
      <c r="AB246" s="5" t="str">
        <f t="shared" si="3718"/>
        <v/>
      </c>
      <c r="AC246" s="5" t="str">
        <f t="shared" si="3718"/>
        <v/>
      </c>
      <c r="AD246" s="5" t="str">
        <f t="shared" si="3718"/>
        <v/>
      </c>
      <c r="AE246" s="5" t="str">
        <f t="shared" si="3718"/>
        <v/>
      </c>
      <c r="AF246" s="5" t="str">
        <f t="shared" si="3718"/>
        <v/>
      </c>
      <c r="AG246" s="5" t="str">
        <f t="shared" si="3718"/>
        <v/>
      </c>
      <c r="AH246" s="5" t="str">
        <f t="shared" si="3718"/>
        <v/>
      </c>
      <c r="AI246" s="5" t="str">
        <f t="shared" si="3718"/>
        <v/>
      </c>
      <c r="AJ246" s="5" t="str">
        <f t="shared" si="3718"/>
        <v/>
      </c>
      <c r="AK246" s="5" t="str">
        <f t="shared" si="3718"/>
        <v/>
      </c>
      <c r="AL246" s="5" t="str">
        <f t="shared" si="3718"/>
        <v/>
      </c>
      <c r="AM246" s="5" t="str">
        <f t="shared" si="3718"/>
        <v/>
      </c>
      <c r="AN246" s="5" t="str">
        <f t="shared" si="3718"/>
        <v/>
      </c>
      <c r="AO246" s="5" t="str">
        <f t="shared" si="3718"/>
        <v/>
      </c>
      <c r="AP246" s="5" t="str">
        <f t="shared" ref="AP246:AS246" si="3719">IF(AP236="","",AP245*AP240)</f>
        <v/>
      </c>
      <c r="AQ246" s="5" t="str">
        <f t="shared" si="3719"/>
        <v/>
      </c>
      <c r="AR246" s="5" t="str">
        <f t="shared" si="3719"/>
        <v/>
      </c>
      <c r="AS246" s="5" t="str">
        <f t="shared" si="3719"/>
        <v/>
      </c>
    </row>
    <row r="247" spans="1:45" ht="12" thickBot="1" x14ac:dyDescent="0.2">
      <c r="A247" s="4">
        <f>IF(A246="","",A246/(A243*100))</f>
        <v>0</v>
      </c>
      <c r="B247" s="6" t="s">
        <v>18</v>
      </c>
      <c r="C247" s="18" t="s">
        <v>19</v>
      </c>
      <c r="D247" s="18" t="s">
        <v>19</v>
      </c>
      <c r="E247" s="18" t="s">
        <v>19</v>
      </c>
      <c r="F247" s="18" t="s">
        <v>19</v>
      </c>
      <c r="G247" s="18" t="s">
        <v>19</v>
      </c>
      <c r="H247" s="18" t="s">
        <v>19</v>
      </c>
      <c r="I247" s="18" t="s">
        <v>19</v>
      </c>
      <c r="J247" s="18" t="s">
        <v>19</v>
      </c>
      <c r="K247" s="18" t="str">
        <f t="shared" ref="I247:AO247" si="3720">IF(K246="","",IF(K246=0,"",K246/(K243*100)))</f>
        <v/>
      </c>
      <c r="L247" s="18" t="str">
        <f t="shared" si="3720"/>
        <v/>
      </c>
      <c r="M247" s="18" t="str">
        <f t="shared" si="3720"/>
        <v/>
      </c>
      <c r="N247" s="18" t="str">
        <f t="shared" si="3720"/>
        <v/>
      </c>
      <c r="O247" s="18" t="str">
        <f t="shared" si="3720"/>
        <v/>
      </c>
      <c r="P247" s="18" t="str">
        <f t="shared" si="3720"/>
        <v/>
      </c>
      <c r="Q247" s="18" t="str">
        <f t="shared" si="3720"/>
        <v/>
      </c>
      <c r="R247" s="18" t="str">
        <f t="shared" si="3720"/>
        <v/>
      </c>
      <c r="S247" s="18" t="str">
        <f t="shared" si="3720"/>
        <v/>
      </c>
      <c r="T247" s="18" t="str">
        <f t="shared" si="3720"/>
        <v/>
      </c>
      <c r="U247" s="18" t="str">
        <f t="shared" si="3720"/>
        <v/>
      </c>
      <c r="V247" s="18" t="str">
        <f t="shared" si="3720"/>
        <v/>
      </c>
      <c r="W247" s="18" t="str">
        <f t="shared" si="3720"/>
        <v/>
      </c>
      <c r="X247" s="18" t="str">
        <f t="shared" si="3720"/>
        <v/>
      </c>
      <c r="Y247" s="18" t="str">
        <f t="shared" si="3720"/>
        <v/>
      </c>
      <c r="Z247" s="18" t="str">
        <f t="shared" si="3720"/>
        <v/>
      </c>
      <c r="AA247" s="18" t="str">
        <f t="shared" si="3720"/>
        <v/>
      </c>
      <c r="AB247" s="18" t="str">
        <f t="shared" si="3720"/>
        <v/>
      </c>
      <c r="AC247" s="18" t="str">
        <f t="shared" si="3720"/>
        <v/>
      </c>
      <c r="AD247" s="18" t="str">
        <f t="shared" si="3720"/>
        <v/>
      </c>
      <c r="AE247" s="18" t="str">
        <f t="shared" si="3720"/>
        <v/>
      </c>
      <c r="AF247" s="18" t="str">
        <f t="shared" si="3720"/>
        <v/>
      </c>
      <c r="AG247" s="18" t="str">
        <f t="shared" si="3720"/>
        <v/>
      </c>
      <c r="AH247" s="18" t="str">
        <f t="shared" si="3720"/>
        <v/>
      </c>
      <c r="AI247" s="18" t="str">
        <f t="shared" si="3720"/>
        <v/>
      </c>
      <c r="AJ247" s="18" t="str">
        <f t="shared" si="3720"/>
        <v/>
      </c>
      <c r="AK247" s="18" t="str">
        <f t="shared" si="3720"/>
        <v/>
      </c>
      <c r="AL247" s="18" t="str">
        <f t="shared" si="3720"/>
        <v/>
      </c>
      <c r="AM247" s="18" t="str">
        <f t="shared" si="3720"/>
        <v/>
      </c>
      <c r="AN247" s="18" t="str">
        <f t="shared" si="3720"/>
        <v/>
      </c>
      <c r="AO247" s="18" t="str">
        <f t="shared" si="3720"/>
        <v/>
      </c>
      <c r="AP247" s="18" t="str">
        <f t="shared" ref="AP247:AS247" si="3721">IF(AP246="","",IF(AP246=0,"",AP246/(AP243*100)))</f>
        <v/>
      </c>
      <c r="AQ247" s="18" t="str">
        <f t="shared" si="3721"/>
        <v/>
      </c>
      <c r="AR247" s="18" t="str">
        <f t="shared" si="3721"/>
        <v/>
      </c>
      <c r="AS247" s="18" t="str">
        <f t="shared" si="3721"/>
        <v/>
      </c>
    </row>
    <row r="248" spans="1:45" x14ac:dyDescent="0.15">
      <c r="A248" s="17" t="s">
        <v>59</v>
      </c>
      <c r="B248" s="9" t="s">
        <v>2</v>
      </c>
      <c r="C248" s="8">
        <v>106809</v>
      </c>
      <c r="D248" s="8">
        <v>106809</v>
      </c>
      <c r="E248" s="8">
        <v>106809</v>
      </c>
      <c r="F248" s="8">
        <v>106859</v>
      </c>
      <c r="G248" s="8">
        <v>106859</v>
      </c>
      <c r="H248" s="8">
        <v>106859</v>
      </c>
      <c r="I248" s="8">
        <v>106859</v>
      </c>
      <c r="J248" s="8">
        <v>106893</v>
      </c>
      <c r="K248" s="8">
        <f t="shared" ref="K248:K251" si="3722">IF(K$8="","",J248)</f>
        <v>106893</v>
      </c>
      <c r="L248" s="8">
        <f t="shared" ref="L248:L251" si="3723">IF(L$8="","",K248)</f>
        <v>106893</v>
      </c>
      <c r="M248" s="8">
        <v>106983</v>
      </c>
      <c r="N248" s="8" t="str">
        <f t="shared" ref="N248:N251" si="3724">IF(N$8="","",M248)</f>
        <v/>
      </c>
      <c r="O248" s="8" t="str">
        <f t="shared" ref="O248:O251" si="3725">IF(O$8="","",N248)</f>
        <v/>
      </c>
      <c r="P248" s="8" t="str">
        <f t="shared" ref="P248:P251" si="3726">IF(P$8="","",O248)</f>
        <v/>
      </c>
      <c r="Q248" s="8" t="str">
        <f>IF(Q$8="","",P248)</f>
        <v/>
      </c>
      <c r="R248" s="8" t="str">
        <f t="shared" ref="R248:R251" si="3727">IF(R$8="","",Q248)</f>
        <v/>
      </c>
      <c r="S248" s="8" t="str">
        <f t="shared" ref="S248:S251" si="3728">IF(S$8="","",R248)</f>
        <v/>
      </c>
      <c r="T248" s="8" t="str">
        <f>IF(T$8="","",S248)</f>
        <v/>
      </c>
      <c r="U248" s="8" t="str">
        <f t="shared" ref="U248:U251" si="3729">IF(U$8="","",T248)</f>
        <v/>
      </c>
      <c r="V248" s="8" t="str">
        <f t="shared" ref="V248:V251" si="3730">IF(V$8="","",U248)</f>
        <v/>
      </c>
      <c r="W248" s="8" t="str">
        <f t="shared" ref="W248:W251" si="3731">IF(W$8="","",V248)</f>
        <v/>
      </c>
      <c r="X248" s="8" t="str">
        <f>IF(X$8="","",W248)</f>
        <v/>
      </c>
      <c r="Y248" s="8" t="str">
        <f t="shared" ref="Y248:Y251" si="3732">IF(Y$8="","",X248)</f>
        <v/>
      </c>
      <c r="Z248" s="8" t="str">
        <f t="shared" ref="Z248:Z251" si="3733">IF(Z$8="","",Y248)</f>
        <v/>
      </c>
      <c r="AA248" s="8" t="str">
        <f>IF(AA$8="","",Z248)</f>
        <v/>
      </c>
      <c r="AB248" s="8" t="str">
        <f t="shared" ref="AB248:AB251" si="3734">IF(AB$8="","",AA248)</f>
        <v/>
      </c>
      <c r="AC248" s="8" t="str">
        <f t="shared" ref="AC248:AC251" si="3735">IF(AC$8="","",AB248)</f>
        <v/>
      </c>
      <c r="AD248" s="8" t="str">
        <f>IF(AD$8="","",AC248)</f>
        <v/>
      </c>
      <c r="AE248" s="8" t="str">
        <f t="shared" ref="AE248:AE251" si="3736">IF(AE$8="","",AD248)</f>
        <v/>
      </c>
      <c r="AF248" s="8" t="str">
        <f t="shared" ref="AF248:AF251" si="3737">IF(AF$8="","",AE248)</f>
        <v/>
      </c>
      <c r="AG248" s="8" t="str">
        <f t="shared" ref="AG248:AG251" si="3738">IF(AG$8="","",AF248)</f>
        <v/>
      </c>
      <c r="AH248" s="8" t="str">
        <f>IF(AH$8="","",AG248)</f>
        <v/>
      </c>
      <c r="AI248" s="8" t="str">
        <f t="shared" ref="AI248:AI251" si="3739">IF(AI$8="","",AH248)</f>
        <v/>
      </c>
      <c r="AJ248" s="8" t="str">
        <f t="shared" ref="AJ248:AJ251" si="3740">IF(AJ$8="","",AI248)</f>
        <v/>
      </c>
      <c r="AK248" s="8" t="str">
        <f t="shared" ref="AK248:AK251" si="3741">IF(AK$8="","",AJ248)</f>
        <v/>
      </c>
      <c r="AL248" s="8" t="str">
        <f>IF(AL$8="","",AK248)</f>
        <v/>
      </c>
      <c r="AM248" s="8" t="str">
        <f t="shared" ref="AM248:AM251" si="3742">IF(AM$8="","",AL248)</f>
        <v/>
      </c>
      <c r="AN248" s="8" t="str">
        <f t="shared" ref="AN248:AN251" si="3743">IF(AN$8="","",AM248)</f>
        <v/>
      </c>
      <c r="AO248" s="8" t="str">
        <f t="shared" ref="AO248:AO251" si="3744">IF(AO$8="","",AN248)</f>
        <v/>
      </c>
      <c r="AP248" s="8" t="str">
        <f t="shared" ref="AP248:AS248" si="3745">IF(AP$8="","",AO248)</f>
        <v/>
      </c>
      <c r="AQ248" s="8" t="str">
        <f t="shared" si="3745"/>
        <v/>
      </c>
      <c r="AR248" s="8" t="str">
        <f t="shared" si="3745"/>
        <v/>
      </c>
      <c r="AS248" s="8" t="str">
        <f t="shared" si="3745"/>
        <v/>
      </c>
    </row>
    <row r="249" spans="1:45" x14ac:dyDescent="0.15">
      <c r="A249" s="16" t="s">
        <v>71</v>
      </c>
      <c r="B249" s="9" t="s">
        <v>72</v>
      </c>
      <c r="C249" s="8">
        <v>598</v>
      </c>
      <c r="D249" s="8">
        <v>598</v>
      </c>
      <c r="E249" s="8">
        <v>598</v>
      </c>
      <c r="F249" s="8">
        <v>598</v>
      </c>
      <c r="G249" s="8">
        <v>598</v>
      </c>
      <c r="H249" s="8">
        <v>598</v>
      </c>
      <c r="I249" s="8">
        <v>598</v>
      </c>
      <c r="J249" s="8">
        <v>598</v>
      </c>
      <c r="K249" s="8">
        <f t="shared" si="3722"/>
        <v>598</v>
      </c>
      <c r="L249" s="8">
        <f t="shared" si="3723"/>
        <v>598</v>
      </c>
      <c r="M249" s="8">
        <f t="shared" ref="M249:M250" si="3746">IF(M$8="","",L249)</f>
        <v>598</v>
      </c>
      <c r="N249" s="8" t="str">
        <f t="shared" si="3724"/>
        <v/>
      </c>
      <c r="O249" s="8" t="str">
        <f t="shared" si="3725"/>
        <v/>
      </c>
      <c r="P249" s="8" t="str">
        <f t="shared" si="3726"/>
        <v/>
      </c>
      <c r="Q249" s="8" t="str">
        <f t="shared" ref="Q249:Q251" si="3747">IF(Q$8="","",P249)</f>
        <v/>
      </c>
      <c r="R249" s="8" t="str">
        <f t="shared" si="3727"/>
        <v/>
      </c>
      <c r="S249" s="8" t="str">
        <f t="shared" si="3728"/>
        <v/>
      </c>
      <c r="T249" s="8" t="str">
        <f t="shared" ref="T249:T251" si="3748">IF(T$8="","",S249)</f>
        <v/>
      </c>
      <c r="U249" s="8" t="str">
        <f t="shared" si="3729"/>
        <v/>
      </c>
      <c r="V249" s="8" t="str">
        <f t="shared" si="3730"/>
        <v/>
      </c>
      <c r="W249" s="8" t="str">
        <f t="shared" si="3731"/>
        <v/>
      </c>
      <c r="X249" s="8" t="str">
        <f>IF(X$8="","",W249)</f>
        <v/>
      </c>
      <c r="Y249" s="8" t="str">
        <f t="shared" si="3732"/>
        <v/>
      </c>
      <c r="Z249" s="8" t="str">
        <f t="shared" si="3733"/>
        <v/>
      </c>
      <c r="AA249" s="8" t="str">
        <f t="shared" ref="AA249:AA251" si="3749">IF(AA$8="","",Z249)</f>
        <v/>
      </c>
      <c r="AB249" s="8" t="str">
        <f t="shared" si="3734"/>
        <v/>
      </c>
      <c r="AC249" s="8" t="str">
        <f t="shared" si="3735"/>
        <v/>
      </c>
      <c r="AD249" s="8" t="str">
        <f t="shared" ref="AD249:AD251" si="3750">IF(AD$8="","",AC249)</f>
        <v/>
      </c>
      <c r="AE249" s="8" t="str">
        <f t="shared" si="3736"/>
        <v/>
      </c>
      <c r="AF249" s="8" t="str">
        <f t="shared" si="3737"/>
        <v/>
      </c>
      <c r="AG249" s="8" t="str">
        <f t="shared" si="3738"/>
        <v/>
      </c>
      <c r="AH249" s="8" t="str">
        <f t="shared" ref="AH248:AH251" si="3751">IF(AH$8="","",AG249)</f>
        <v/>
      </c>
      <c r="AI249" s="8" t="str">
        <f t="shared" si="3739"/>
        <v/>
      </c>
      <c r="AJ249" s="8" t="str">
        <f t="shared" si="3740"/>
        <v/>
      </c>
      <c r="AK249" s="8" t="str">
        <f t="shared" si="3741"/>
        <v/>
      </c>
      <c r="AL249" s="8" t="str">
        <f t="shared" ref="AL248:AL251" si="3752">IF(AL$8="","",AK249)</f>
        <v/>
      </c>
      <c r="AM249" s="8" t="str">
        <f t="shared" si="3742"/>
        <v/>
      </c>
      <c r="AN249" s="8" t="str">
        <f t="shared" si="3743"/>
        <v/>
      </c>
      <c r="AO249" s="8" t="str">
        <f t="shared" si="3744"/>
        <v/>
      </c>
      <c r="AP249" s="8" t="str">
        <f t="shared" ref="AP249:AS249" si="3753">IF(AP$8="","",AO249)</f>
        <v/>
      </c>
      <c r="AQ249" s="8" t="str">
        <f t="shared" si="3753"/>
        <v/>
      </c>
      <c r="AR249" s="8" t="str">
        <f t="shared" si="3753"/>
        <v/>
      </c>
      <c r="AS249" s="8" t="str">
        <f t="shared" si="3753"/>
        <v/>
      </c>
    </row>
    <row r="250" spans="1:45" x14ac:dyDescent="0.15">
      <c r="A250" s="15">
        <v>1</v>
      </c>
      <c r="B250" s="9" t="s">
        <v>73</v>
      </c>
      <c r="C250" s="8">
        <v>1026</v>
      </c>
      <c r="D250" s="8">
        <v>1026</v>
      </c>
      <c r="E250" s="8">
        <v>1026</v>
      </c>
      <c r="F250" s="8">
        <v>1026</v>
      </c>
      <c r="G250" s="8">
        <v>1026</v>
      </c>
      <c r="H250" s="8">
        <v>1026</v>
      </c>
      <c r="I250" s="8">
        <v>1026</v>
      </c>
      <c r="J250" s="8">
        <v>1026</v>
      </c>
      <c r="K250" s="8">
        <f t="shared" si="3722"/>
        <v>1026</v>
      </c>
      <c r="L250" s="8">
        <f t="shared" si="3723"/>
        <v>1026</v>
      </c>
      <c r="M250" s="8">
        <f t="shared" si="3746"/>
        <v>1026</v>
      </c>
      <c r="N250" s="8" t="str">
        <f t="shared" si="3724"/>
        <v/>
      </c>
      <c r="O250" s="8" t="str">
        <f t="shared" si="3725"/>
        <v/>
      </c>
      <c r="P250" s="8" t="str">
        <f t="shared" si="3726"/>
        <v/>
      </c>
      <c r="Q250" s="8" t="str">
        <f t="shared" si="3747"/>
        <v/>
      </c>
      <c r="R250" s="8" t="str">
        <f t="shared" si="3727"/>
        <v/>
      </c>
      <c r="S250" s="8" t="str">
        <f t="shared" si="3728"/>
        <v/>
      </c>
      <c r="T250" s="8" t="str">
        <f t="shared" si="3748"/>
        <v/>
      </c>
      <c r="U250" s="8" t="str">
        <f t="shared" si="3729"/>
        <v/>
      </c>
      <c r="V250" s="8" t="str">
        <f t="shared" si="3730"/>
        <v/>
      </c>
      <c r="W250" s="8" t="str">
        <f t="shared" si="3731"/>
        <v/>
      </c>
      <c r="X250" s="8" t="str">
        <f t="shared" ref="X249:X251" si="3754">IF(X$8="","",W250)</f>
        <v/>
      </c>
      <c r="Y250" s="8" t="str">
        <f t="shared" si="3732"/>
        <v/>
      </c>
      <c r="Z250" s="8" t="str">
        <f t="shared" si="3733"/>
        <v/>
      </c>
      <c r="AA250" s="8" t="str">
        <f t="shared" si="3749"/>
        <v/>
      </c>
      <c r="AB250" s="8" t="str">
        <f t="shared" si="3734"/>
        <v/>
      </c>
      <c r="AC250" s="8" t="str">
        <f t="shared" si="3735"/>
        <v/>
      </c>
      <c r="AD250" s="8" t="str">
        <f t="shared" si="3750"/>
        <v/>
      </c>
      <c r="AE250" s="8" t="str">
        <f t="shared" si="3736"/>
        <v/>
      </c>
      <c r="AF250" s="8" t="str">
        <f t="shared" si="3737"/>
        <v/>
      </c>
      <c r="AG250" s="8" t="str">
        <f t="shared" si="3738"/>
        <v/>
      </c>
      <c r="AH250" s="8" t="str">
        <f t="shared" si="3751"/>
        <v/>
      </c>
      <c r="AI250" s="8" t="str">
        <f t="shared" si="3739"/>
        <v/>
      </c>
      <c r="AJ250" s="8" t="str">
        <f t="shared" si="3740"/>
        <v/>
      </c>
      <c r="AK250" s="8" t="str">
        <f t="shared" si="3741"/>
        <v/>
      </c>
      <c r="AL250" s="8" t="str">
        <f t="shared" si="3752"/>
        <v/>
      </c>
      <c r="AM250" s="8" t="str">
        <f t="shared" si="3742"/>
        <v/>
      </c>
      <c r="AN250" s="8" t="str">
        <f t="shared" si="3743"/>
        <v/>
      </c>
      <c r="AO250" s="8" t="str">
        <f t="shared" si="3744"/>
        <v/>
      </c>
      <c r="AP250" s="8" t="str">
        <f t="shared" ref="AP250:AS250" si="3755">IF(AP$8="","",AO250)</f>
        <v/>
      </c>
      <c r="AQ250" s="8" t="str">
        <f t="shared" si="3755"/>
        <v/>
      </c>
      <c r="AR250" s="8" t="str">
        <f t="shared" si="3755"/>
        <v/>
      </c>
      <c r="AS250" s="8" t="str">
        <f t="shared" si="3755"/>
        <v/>
      </c>
    </row>
    <row r="251" spans="1:45" x14ac:dyDescent="0.15">
      <c r="A251" s="14"/>
      <c r="B251" s="9" t="s">
        <v>74</v>
      </c>
      <c r="C251" s="8">
        <v>1694</v>
      </c>
      <c r="D251" s="8">
        <v>1694</v>
      </c>
      <c r="E251" s="8">
        <v>1694</v>
      </c>
      <c r="F251" s="8">
        <v>1694</v>
      </c>
      <c r="G251" s="8">
        <v>1694</v>
      </c>
      <c r="H251" s="8">
        <v>1694</v>
      </c>
      <c r="I251" s="8">
        <v>1694</v>
      </c>
      <c r="J251" s="8">
        <v>1698</v>
      </c>
      <c r="K251" s="8">
        <f t="shared" si="3722"/>
        <v>1698</v>
      </c>
      <c r="L251" s="8">
        <f t="shared" si="3723"/>
        <v>1698</v>
      </c>
      <c r="M251" s="8">
        <f>IF(M$8="","",L251)</f>
        <v>1698</v>
      </c>
      <c r="N251" s="8" t="str">
        <f t="shared" si="3724"/>
        <v/>
      </c>
      <c r="O251" s="8" t="str">
        <f t="shared" si="3725"/>
        <v/>
      </c>
      <c r="P251" s="8" t="str">
        <f t="shared" si="3726"/>
        <v/>
      </c>
      <c r="Q251" s="8" t="str">
        <f t="shared" si="3747"/>
        <v/>
      </c>
      <c r="R251" s="8" t="str">
        <f t="shared" si="3727"/>
        <v/>
      </c>
      <c r="S251" s="8" t="str">
        <f t="shared" si="3728"/>
        <v/>
      </c>
      <c r="T251" s="8" t="str">
        <f t="shared" si="3748"/>
        <v/>
      </c>
      <c r="U251" s="8" t="str">
        <f t="shared" si="3729"/>
        <v/>
      </c>
      <c r="V251" s="8" t="str">
        <f t="shared" si="3730"/>
        <v/>
      </c>
      <c r="W251" s="8" t="str">
        <f t="shared" si="3731"/>
        <v/>
      </c>
      <c r="X251" s="8" t="str">
        <f t="shared" si="3754"/>
        <v/>
      </c>
      <c r="Y251" s="8" t="str">
        <f t="shared" si="3732"/>
        <v/>
      </c>
      <c r="Z251" s="8" t="str">
        <f t="shared" si="3733"/>
        <v/>
      </c>
      <c r="AA251" s="8" t="str">
        <f>IF(AA$8="","",Z251)</f>
        <v/>
      </c>
      <c r="AB251" s="8" t="str">
        <f t="shared" si="3734"/>
        <v/>
      </c>
      <c r="AC251" s="8" t="str">
        <f t="shared" si="3735"/>
        <v/>
      </c>
      <c r="AD251" s="8" t="str">
        <f t="shared" si="3750"/>
        <v/>
      </c>
      <c r="AE251" s="8" t="str">
        <f t="shared" si="3736"/>
        <v/>
      </c>
      <c r="AF251" s="8" t="str">
        <f t="shared" si="3737"/>
        <v/>
      </c>
      <c r="AG251" s="8" t="str">
        <f t="shared" si="3738"/>
        <v/>
      </c>
      <c r="AH251" s="8" t="str">
        <f t="shared" si="3751"/>
        <v/>
      </c>
      <c r="AI251" s="8" t="str">
        <f t="shared" si="3739"/>
        <v/>
      </c>
      <c r="AJ251" s="8" t="str">
        <f t="shared" si="3740"/>
        <v/>
      </c>
      <c r="AK251" s="8" t="str">
        <f t="shared" si="3741"/>
        <v/>
      </c>
      <c r="AL251" s="8" t="str">
        <f>IF(AL$8="","",AK251)</f>
        <v/>
      </c>
      <c r="AM251" s="8" t="str">
        <f t="shared" si="3742"/>
        <v/>
      </c>
      <c r="AN251" s="8" t="str">
        <f t="shared" si="3743"/>
        <v/>
      </c>
      <c r="AO251" s="8" t="str">
        <f t="shared" si="3744"/>
        <v/>
      </c>
      <c r="AP251" s="8" t="str">
        <f t="shared" ref="AP251:AS251" si="3756">IF(AP$8="","",AO251)</f>
        <v/>
      </c>
      <c r="AQ251" s="8" t="str">
        <f t="shared" si="3756"/>
        <v/>
      </c>
      <c r="AR251" s="8" t="str">
        <f t="shared" si="3756"/>
        <v/>
      </c>
      <c r="AS251" s="8" t="str">
        <f t="shared" si="3756"/>
        <v/>
      </c>
    </row>
    <row r="252" spans="1:45" x14ac:dyDescent="0.15">
      <c r="A252" s="7"/>
      <c r="B252" s="9" t="s">
        <v>8</v>
      </c>
      <c r="C252" s="8">
        <v>1050</v>
      </c>
      <c r="D252" s="8">
        <v>1050</v>
      </c>
      <c r="E252" s="8">
        <v>1050</v>
      </c>
      <c r="F252" s="8">
        <v>1050</v>
      </c>
      <c r="G252" s="8">
        <v>1050</v>
      </c>
      <c r="H252" s="8">
        <v>1050</v>
      </c>
      <c r="I252" s="8">
        <v>1050</v>
      </c>
      <c r="J252" s="8">
        <v>1050</v>
      </c>
      <c r="K252" s="8">
        <f t="shared" ref="K252" si="3757">IF(K248="","",J252)</f>
        <v>1050</v>
      </c>
      <c r="L252" s="8">
        <f t="shared" ref="L252" si="3758">IF(L248="","",K252)</f>
        <v>1050</v>
      </c>
      <c r="M252" s="8">
        <f t="shared" ref="M252" si="3759">IF(M248="","",L252)</f>
        <v>1050</v>
      </c>
      <c r="N252" s="8" t="str">
        <f t="shared" ref="N252" si="3760">IF(N248="","",M252)</f>
        <v/>
      </c>
      <c r="O252" s="8" t="str">
        <f t="shared" ref="O252" si="3761">IF(O248="","",N252)</f>
        <v/>
      </c>
      <c r="P252" s="8" t="str">
        <f t="shared" ref="P252" si="3762">IF(P248="","",O252)</f>
        <v/>
      </c>
      <c r="Q252" s="8" t="str">
        <f t="shared" ref="Q252" si="3763">IF(Q248="","",P252)</f>
        <v/>
      </c>
      <c r="R252" s="8" t="str">
        <f t="shared" ref="R252" si="3764">IF(R248="","",Q252)</f>
        <v/>
      </c>
      <c r="S252" s="8" t="str">
        <f t="shared" ref="S252" si="3765">IF(S248="","",R252)</f>
        <v/>
      </c>
      <c r="T252" s="8" t="str">
        <f t="shared" ref="T252" si="3766">IF(T248="","",S252)</f>
        <v/>
      </c>
      <c r="U252" s="8" t="str">
        <f t="shared" ref="U252" si="3767">IF(U248="","",T252)</f>
        <v/>
      </c>
      <c r="V252" s="8" t="str">
        <f t="shared" ref="V252" si="3768">IF(V248="","",U252)</f>
        <v/>
      </c>
      <c r="W252" s="8" t="str">
        <f t="shared" ref="W252" si="3769">IF(W248="","",V252)</f>
        <v/>
      </c>
      <c r="X252" s="8" t="str">
        <f t="shared" ref="X252" si="3770">IF(X248="","",W252)</f>
        <v/>
      </c>
      <c r="Y252" s="8" t="str">
        <f t="shared" ref="Y252" si="3771">IF(Y248="","",X252)</f>
        <v/>
      </c>
      <c r="Z252" s="8" t="str">
        <f t="shared" ref="Z252" si="3772">IF(Z248="","",Y252)</f>
        <v/>
      </c>
      <c r="AA252" s="8" t="str">
        <f t="shared" ref="AA252" si="3773">IF(AA248="","",Z252)</f>
        <v/>
      </c>
      <c r="AB252" s="8" t="str">
        <f t="shared" ref="AB252" si="3774">IF(AB248="","",AA252)</f>
        <v/>
      </c>
      <c r="AC252" s="8" t="str">
        <f t="shared" ref="AC252" si="3775">IF(AC248="","",AB252)</f>
        <v/>
      </c>
      <c r="AD252" s="8" t="str">
        <f t="shared" ref="AD252" si="3776">IF(AD248="","",AC252)</f>
        <v/>
      </c>
      <c r="AE252" s="8" t="str">
        <f t="shared" ref="AE252" si="3777">IF(AE248="","",AD252)</f>
        <v/>
      </c>
      <c r="AF252" s="8" t="str">
        <f t="shared" ref="AF252" si="3778">IF(AF248="","",AE252)</f>
        <v/>
      </c>
      <c r="AG252" s="8" t="str">
        <f t="shared" ref="AG252" si="3779">IF(AG248="","",AF252)</f>
        <v/>
      </c>
      <c r="AH252" s="8" t="str">
        <f t="shared" ref="AH252" si="3780">IF(AH248="","",AG252)</f>
        <v/>
      </c>
      <c r="AI252" s="8" t="str">
        <f t="shared" ref="AI252" si="3781">IF(AI248="","",AH252)</f>
        <v/>
      </c>
      <c r="AJ252" s="8" t="str">
        <f t="shared" ref="AJ252" si="3782">IF(AJ248="","",AI252)</f>
        <v/>
      </c>
      <c r="AK252" s="8" t="str">
        <f t="shared" ref="AK252" si="3783">IF(AK248="","",AJ252)</f>
        <v/>
      </c>
      <c r="AL252" s="8" t="str">
        <f t="shared" ref="AL252" si="3784">IF(AL248="","",AK252)</f>
        <v/>
      </c>
      <c r="AM252" s="8" t="str">
        <f t="shared" ref="AM252" si="3785">IF(AM248="","",AL252)</f>
        <v/>
      </c>
      <c r="AN252" s="8" t="str">
        <f t="shared" ref="AN252" si="3786">IF(AN248="","",AM252)</f>
        <v/>
      </c>
      <c r="AO252" s="8" t="str">
        <f t="shared" ref="AO252" si="3787">IF(AO248="","",AN252)</f>
        <v/>
      </c>
      <c r="AP252" s="8" t="str">
        <f t="shared" ref="AP252:AS252" si="3788">IF(AP248="","",AO252)</f>
        <v/>
      </c>
      <c r="AQ252" s="8" t="str">
        <f t="shared" si="3788"/>
        <v/>
      </c>
      <c r="AR252" s="8" t="str">
        <f t="shared" si="3788"/>
        <v/>
      </c>
      <c r="AS252" s="8" t="str">
        <f t="shared" si="3788"/>
        <v/>
      </c>
    </row>
    <row r="253" spans="1:45" s="85" customFormat="1" x14ac:dyDescent="0.15">
      <c r="A253" s="14" t="s">
        <v>9</v>
      </c>
      <c r="B253" s="13" t="s">
        <v>10</v>
      </c>
      <c r="C253" s="12" t="s">
        <v>76</v>
      </c>
      <c r="D253" s="12" t="s">
        <v>76</v>
      </c>
      <c r="E253" s="12" t="s">
        <v>76</v>
      </c>
      <c r="F253" s="12" t="s">
        <v>76</v>
      </c>
      <c r="G253" s="12" t="s">
        <v>76</v>
      </c>
      <c r="H253" s="12" t="s">
        <v>76</v>
      </c>
      <c r="I253" s="12" t="s">
        <v>76</v>
      </c>
      <c r="J253" s="12" t="s">
        <v>76</v>
      </c>
      <c r="K253" s="12" t="str">
        <f t="shared" ref="K253" si="3789">IF(K248="","",J253)</f>
        <v>A景品</v>
      </c>
      <c r="L253" s="12" t="str">
        <f t="shared" ref="L253" si="3790">IF(L248="","",K253)</f>
        <v>A景品</v>
      </c>
      <c r="M253" s="12" t="str">
        <f t="shared" ref="M253" si="3791">IF(M248="","",L253)</f>
        <v>A景品</v>
      </c>
      <c r="N253" s="12" t="str">
        <f t="shared" ref="N253" si="3792">IF(N248="","",M253)</f>
        <v/>
      </c>
      <c r="O253" s="12" t="str">
        <f t="shared" ref="O253" si="3793">IF(O248="","",N253)</f>
        <v/>
      </c>
      <c r="P253" s="12" t="str">
        <f t="shared" ref="P253" si="3794">IF(P248="","",O253)</f>
        <v/>
      </c>
      <c r="Q253" s="12" t="str">
        <f t="shared" ref="Q253" si="3795">IF(Q248="","",P253)</f>
        <v/>
      </c>
      <c r="R253" s="12" t="str">
        <f t="shared" ref="R253" si="3796">IF(R248="","",Q253)</f>
        <v/>
      </c>
      <c r="S253" s="12" t="str">
        <f t="shared" ref="S253" si="3797">IF(S248="","",R253)</f>
        <v/>
      </c>
      <c r="T253" s="12" t="str">
        <f t="shared" ref="T253" si="3798">IF(T248="","",S253)</f>
        <v/>
      </c>
      <c r="U253" s="12" t="str">
        <f t="shared" ref="U253" si="3799">IF(U248="","",T253)</f>
        <v/>
      </c>
      <c r="V253" s="12" t="str">
        <f t="shared" ref="V253" si="3800">IF(V248="","",U253)</f>
        <v/>
      </c>
      <c r="W253" s="12" t="str">
        <f t="shared" ref="W253" si="3801">IF(W248="","",V253)</f>
        <v/>
      </c>
      <c r="X253" s="12" t="str">
        <f t="shared" ref="X253" si="3802">IF(X248="","",W253)</f>
        <v/>
      </c>
      <c r="Y253" s="12" t="str">
        <f t="shared" ref="Y253" si="3803">IF(Y248="","",X253)</f>
        <v/>
      </c>
      <c r="Z253" s="12" t="str">
        <f t="shared" ref="Z253" si="3804">IF(Z248="","",Y253)</f>
        <v/>
      </c>
      <c r="AA253" s="12" t="str">
        <f t="shared" ref="AA253" si="3805">IF(AA248="","",Z253)</f>
        <v/>
      </c>
      <c r="AB253" s="12" t="str">
        <f t="shared" ref="AB253" si="3806">IF(AB248="","",AA253)</f>
        <v/>
      </c>
      <c r="AC253" s="12" t="str">
        <f t="shared" ref="AC253" si="3807">IF(AC248="","",AB253)</f>
        <v/>
      </c>
      <c r="AD253" s="12" t="str">
        <f t="shared" ref="AD253" si="3808">IF(AD248="","",AC253)</f>
        <v/>
      </c>
      <c r="AE253" s="12" t="str">
        <f t="shared" ref="AE253" si="3809">IF(AE248="","",AD253)</f>
        <v/>
      </c>
      <c r="AF253" s="12" t="str">
        <f t="shared" ref="AF253" si="3810">IF(AF248="","",AE253)</f>
        <v/>
      </c>
      <c r="AG253" s="12" t="str">
        <f t="shared" ref="AG253" si="3811">IF(AG248="","",AF253)</f>
        <v/>
      </c>
      <c r="AH253" s="12" t="str">
        <f t="shared" ref="AH253" si="3812">IF(AH248="","",AG253)</f>
        <v/>
      </c>
      <c r="AI253" s="12" t="str">
        <f t="shared" ref="AI253" si="3813">IF(AI248="","",AH253)</f>
        <v/>
      </c>
      <c r="AJ253" s="12" t="str">
        <f t="shared" ref="AJ253" si="3814">IF(AJ248="","",AI253)</f>
        <v/>
      </c>
      <c r="AK253" s="12" t="str">
        <f t="shared" ref="AK253" si="3815">IF(AK248="","",AJ253)</f>
        <v/>
      </c>
      <c r="AL253" s="12" t="str">
        <f t="shared" ref="AL253" si="3816">IF(AL248="","",AK253)</f>
        <v/>
      </c>
      <c r="AM253" s="12" t="str">
        <f t="shared" ref="AM253" si="3817">IF(AM248="","",AL253)</f>
        <v/>
      </c>
      <c r="AN253" s="12" t="str">
        <f t="shared" ref="AN253" si="3818">IF(AN248="","",AM253)</f>
        <v/>
      </c>
      <c r="AO253" s="12" t="str">
        <f t="shared" ref="AO253" si="3819">IF(AO248="","",AN253)</f>
        <v/>
      </c>
      <c r="AP253" s="12" t="str">
        <f t="shared" ref="AP253:AS253" si="3820">IF(AP248="","",AO253)</f>
        <v/>
      </c>
      <c r="AQ253" s="12" t="str">
        <f t="shared" si="3820"/>
        <v/>
      </c>
      <c r="AR253" s="12" t="str">
        <f t="shared" si="3820"/>
        <v/>
      </c>
      <c r="AS253" s="12" t="str">
        <f t="shared" si="3820"/>
        <v/>
      </c>
    </row>
    <row r="254" spans="1:45" x14ac:dyDescent="0.15">
      <c r="A254" s="7">
        <f>AVERAGE(C255:AS255)*30*100</f>
        <v>47454.545454545456</v>
      </c>
      <c r="B254" s="9" t="s">
        <v>12</v>
      </c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</row>
    <row r="255" spans="1:45" x14ac:dyDescent="0.15">
      <c r="A255" s="7">
        <f>SUM(C255:AS255)</f>
        <v>174</v>
      </c>
      <c r="B255" s="6" t="s">
        <v>13</v>
      </c>
      <c r="C255" s="5">
        <v>0</v>
      </c>
      <c r="D255" s="5">
        <v>0</v>
      </c>
      <c r="E255" s="5">
        <v>0</v>
      </c>
      <c r="F255" s="5">
        <v>50</v>
      </c>
      <c r="G255" s="5">
        <v>0</v>
      </c>
      <c r="H255" s="5">
        <v>0</v>
      </c>
      <c r="I255" s="5">
        <v>0</v>
      </c>
      <c r="J255" s="5">
        <v>34</v>
      </c>
      <c r="K255" s="5">
        <f t="shared" ref="K255" si="3821">IF(K248="","",K248-J248)</f>
        <v>0</v>
      </c>
      <c r="L255" s="5">
        <f t="shared" ref="L255" si="3822">IF(L248="","",L248-K248)</f>
        <v>0</v>
      </c>
      <c r="M255" s="5">
        <f t="shared" ref="M255" si="3823">IF(M248="","",M248-L248)</f>
        <v>90</v>
      </c>
      <c r="N255" s="5" t="str">
        <f t="shared" ref="N255" si="3824">IF(N248="","",N248-M248)</f>
        <v/>
      </c>
      <c r="O255" s="5" t="str">
        <f t="shared" ref="O255" si="3825">IF(O248="","",O248-N248)</f>
        <v/>
      </c>
      <c r="P255" s="5" t="str">
        <f t="shared" ref="P255" si="3826">IF(P248="","",P248-O248)</f>
        <v/>
      </c>
      <c r="Q255" s="5" t="str">
        <f t="shared" ref="Q255" si="3827">IF(Q248="","",Q248-P248)</f>
        <v/>
      </c>
      <c r="R255" s="5" t="str">
        <f t="shared" ref="R255" si="3828">IF(R248="","",R248-Q248)</f>
        <v/>
      </c>
      <c r="S255" s="5" t="str">
        <f t="shared" ref="S255" si="3829">IF(S248="","",S248-R248)</f>
        <v/>
      </c>
      <c r="T255" s="5" t="str">
        <f t="shared" ref="T255" si="3830">IF(T248="","",T248-S248)</f>
        <v/>
      </c>
      <c r="U255" s="5" t="str">
        <f t="shared" ref="U255" si="3831">IF(U248="","",U248-T248)</f>
        <v/>
      </c>
      <c r="V255" s="5" t="str">
        <f t="shared" ref="V255" si="3832">IF(V248="","",V248-U248)</f>
        <v/>
      </c>
      <c r="W255" s="5" t="str">
        <f t="shared" ref="W255" si="3833">IF(W248="","",W248-V248)</f>
        <v/>
      </c>
      <c r="X255" s="5" t="str">
        <f t="shared" ref="X255" si="3834">IF(X248="","",X248-W248)</f>
        <v/>
      </c>
      <c r="Y255" s="5" t="str">
        <f t="shared" ref="Y255" si="3835">IF(Y248="","",Y248-X248)</f>
        <v/>
      </c>
      <c r="Z255" s="5" t="str">
        <f t="shared" ref="Z255" si="3836">IF(Z248="","",Z248-Y248)</f>
        <v/>
      </c>
      <c r="AA255" s="5" t="str">
        <f t="shared" ref="AA255" si="3837">IF(AA248="","",AA248-Z248)</f>
        <v/>
      </c>
      <c r="AB255" s="5" t="str">
        <f t="shared" ref="AB255" si="3838">IF(AB248="","",AB248-AA248)</f>
        <v/>
      </c>
      <c r="AC255" s="5" t="str">
        <f t="shared" ref="AC255" si="3839">IF(AC248="","",AC248-AB248)</f>
        <v/>
      </c>
      <c r="AD255" s="5" t="str">
        <f t="shared" ref="AD255" si="3840">IF(AD248="","",AD248-AC248)</f>
        <v/>
      </c>
      <c r="AE255" s="5" t="str">
        <f t="shared" ref="AE255" si="3841">IF(AE248="","",AE248-AD248)</f>
        <v/>
      </c>
      <c r="AF255" s="5" t="str">
        <f t="shared" ref="AF255" si="3842">IF(AF248="","",AF248-AE248)</f>
        <v/>
      </c>
      <c r="AG255" s="5" t="str">
        <f t="shared" ref="AG255" si="3843">IF(AG248="","",AG248-AF248)</f>
        <v/>
      </c>
      <c r="AH255" s="5" t="str">
        <f t="shared" ref="AH255" si="3844">IF(AH248="","",AH248-AG248)</f>
        <v/>
      </c>
      <c r="AI255" s="5" t="str">
        <f t="shared" ref="AI255" si="3845">IF(AI248="","",AI248-AH248)</f>
        <v/>
      </c>
      <c r="AJ255" s="5" t="str">
        <f t="shared" ref="AJ255" si="3846">IF(AJ248="","",AJ248-AI248)</f>
        <v/>
      </c>
      <c r="AK255" s="5" t="str">
        <f t="shared" ref="AK255" si="3847">IF(AK248="","",AK248-AJ248)</f>
        <v/>
      </c>
      <c r="AL255" s="5" t="str">
        <f t="shared" ref="AL255" si="3848">IF(AL248="","",AL248-AK248)</f>
        <v/>
      </c>
      <c r="AM255" s="5" t="str">
        <f t="shared" ref="AM255" si="3849">IF(AM248="","",AM248-AL248)</f>
        <v/>
      </c>
      <c r="AN255" s="5" t="str">
        <f t="shared" ref="AN255" si="3850">IF(AN248="","",AN248-AM248)</f>
        <v/>
      </c>
      <c r="AO255" s="5" t="str">
        <f t="shared" ref="AO255" si="3851">IF(AO248="","",AO248-AN248)</f>
        <v/>
      </c>
      <c r="AP255" s="5" t="str">
        <f t="shared" ref="AP255:AS255" si="3852">IF(AP248="","",AP248-AO248)</f>
        <v/>
      </c>
      <c r="AQ255" s="5" t="str">
        <f t="shared" si="3852"/>
        <v/>
      </c>
      <c r="AR255" s="5" t="str">
        <f t="shared" si="3852"/>
        <v/>
      </c>
      <c r="AS255" s="5" t="str">
        <f t="shared" si="3852"/>
        <v/>
      </c>
    </row>
    <row r="256" spans="1:45" x14ac:dyDescent="0.15">
      <c r="A256" s="7">
        <f>SUM(C256:AS256)</f>
        <v>4</v>
      </c>
      <c r="B256" s="6" t="s">
        <v>14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4</v>
      </c>
      <c r="K256" s="5">
        <f t="shared" ref="K256" si="3853">IF(K249="","",(K249+K250+K251-J249-J250-J251))</f>
        <v>0</v>
      </c>
      <c r="L256" s="5">
        <f t="shared" ref="L256" si="3854">IF(L249="","",(L249+L250+L251-K249-K250-K251))</f>
        <v>0</v>
      </c>
      <c r="M256" s="5">
        <f t="shared" ref="M256" si="3855">IF(M249="","",(M249+M250+M251-L249-L250-L251))</f>
        <v>0</v>
      </c>
      <c r="N256" s="5" t="str">
        <f t="shared" ref="N256" si="3856">IF(N249="","",(N249+N250+N251-M249-M250-M251))</f>
        <v/>
      </c>
      <c r="O256" s="5" t="str">
        <f t="shared" ref="O256" si="3857">IF(O249="","",(O249+O250+O251-N249-N250-N251))</f>
        <v/>
      </c>
      <c r="P256" s="5" t="str">
        <f t="shared" ref="P256" si="3858">IF(P249="","",(P249+P250+P251-O249-O250-O251))</f>
        <v/>
      </c>
      <c r="Q256" s="5" t="str">
        <f t="shared" ref="Q256" si="3859">IF(Q249="","",(Q249+Q250+Q251-P249-P250-P251))</f>
        <v/>
      </c>
      <c r="R256" s="5" t="str">
        <f t="shared" ref="R256" si="3860">IF(R249="","",(R249+R250+R251-Q249-Q250-Q251))</f>
        <v/>
      </c>
      <c r="S256" s="5" t="str">
        <f t="shared" ref="S256" si="3861">IF(S249="","",(S249+S250+S251-R249-R250-R251))</f>
        <v/>
      </c>
      <c r="T256" s="5" t="str">
        <f t="shared" ref="T256" si="3862">IF(T249="","",(T249+T250+T251-S249-S250-S251))</f>
        <v/>
      </c>
      <c r="U256" s="5" t="str">
        <f t="shared" ref="U256" si="3863">IF(U249="","",(U249+U250+U251-T249-T250-T251))</f>
        <v/>
      </c>
      <c r="V256" s="5" t="str">
        <f t="shared" ref="V256" si="3864">IF(V249="","",(V249+V250+V251-U249-U250-U251))</f>
        <v/>
      </c>
      <c r="W256" s="5" t="str">
        <f t="shared" ref="W256" si="3865">IF(W249="","",(W249+W250+W251-V249-V250-V251))</f>
        <v/>
      </c>
      <c r="X256" s="5" t="str">
        <f t="shared" ref="X256" si="3866">IF(X249="","",(X249+X250+X251-W249-W250-W251))</f>
        <v/>
      </c>
      <c r="Y256" s="5" t="str">
        <f t="shared" ref="Y256" si="3867">IF(Y249="","",(Y249+Y250+Y251-X249-X250-X251))</f>
        <v/>
      </c>
      <c r="Z256" s="5" t="str">
        <f t="shared" ref="Z256" si="3868">IF(Z249="","",(Z249+Z250+Z251-Y249-Y250-Y251))</f>
        <v/>
      </c>
      <c r="AA256" s="5" t="str">
        <f t="shared" ref="AA256" si="3869">IF(AA249="","",(AA249+AA250+AA251-Z249-Z250-Z251))</f>
        <v/>
      </c>
      <c r="AB256" s="5" t="str">
        <f t="shared" ref="AB256" si="3870">IF(AB249="","",(AB249+AB250+AB251-AA249-AA250-AA251))</f>
        <v/>
      </c>
      <c r="AC256" s="5" t="str">
        <f t="shared" ref="AC256" si="3871">IF(AC249="","",(AC249+AC250+AC251-AB249-AB250-AB251))</f>
        <v/>
      </c>
      <c r="AD256" s="5" t="str">
        <f t="shared" ref="AD256" si="3872">IF(AD249="","",(AD249+AD250+AD251-AC249-AC250-AC251))</f>
        <v/>
      </c>
      <c r="AE256" s="5" t="str">
        <f t="shared" ref="AE256" si="3873">IF(AE249="","",(AE249+AE250+AE251-AD249-AD250-AD251))</f>
        <v/>
      </c>
      <c r="AF256" s="5" t="str">
        <f t="shared" ref="AF256" si="3874">IF(AF249="","",(AF249+AF250+AF251-AE249-AE250-AE251))</f>
        <v/>
      </c>
      <c r="AG256" s="5" t="str">
        <f t="shared" ref="AG256" si="3875">IF(AG249="","",(AG249+AG250+AG251-AF249-AF250-AF251))</f>
        <v/>
      </c>
      <c r="AH256" s="5" t="str">
        <f t="shared" ref="AH256" si="3876">IF(AH249="","",(AH249+AH250+AH251-AG249-AG250-AG251))</f>
        <v/>
      </c>
      <c r="AI256" s="5" t="str">
        <f t="shared" ref="AI256" si="3877">IF(AI249="","",(AI249+AI250+AI251-AH249-AH250-AH251))</f>
        <v/>
      </c>
      <c r="AJ256" s="5" t="str">
        <f t="shared" ref="AJ256" si="3878">IF(AJ249="","",(AJ249+AJ250+AJ251-AI249-AI250-AI251))</f>
        <v/>
      </c>
      <c r="AK256" s="5" t="str">
        <f t="shared" ref="AK256" si="3879">IF(AK249="","",(AK249+AK250+AK251-AJ249-AJ250-AJ251))</f>
        <v/>
      </c>
      <c r="AL256" s="5" t="str">
        <f t="shared" ref="AL256" si="3880">IF(AL249="","",(AL249+AL250+AL251-AK249-AK250-AK251))</f>
        <v/>
      </c>
      <c r="AM256" s="5" t="str">
        <f t="shared" ref="AM256" si="3881">IF(AM249="","",(AM249+AM250+AM251-AL249-AL250-AL251))</f>
        <v/>
      </c>
      <c r="AN256" s="5" t="str">
        <f t="shared" ref="AN256" si="3882">IF(AN249="","",(AN249+AN250+AN251-AM249-AM250-AM251))</f>
        <v/>
      </c>
      <c r="AO256" s="5" t="str">
        <f t="shared" ref="AO256" si="3883">IF(AO249="","",(AO249+AO250+AO251-AN249-AN250-AN251))</f>
        <v/>
      </c>
      <c r="AP256" s="5" t="str">
        <f t="shared" ref="AP256:AS256" si="3884">IF(AP249="","",(AP249+AP250+AP251-AO249-AO250-AO251))</f>
        <v/>
      </c>
      <c r="AQ256" s="5" t="str">
        <f t="shared" si="3884"/>
        <v/>
      </c>
      <c r="AR256" s="5" t="str">
        <f t="shared" si="3884"/>
        <v/>
      </c>
      <c r="AS256" s="5" t="str">
        <f t="shared" si="3884"/>
        <v/>
      </c>
    </row>
    <row r="257" spans="1:45" x14ac:dyDescent="0.15">
      <c r="A257" s="7">
        <f>SUM(C257:AS257)</f>
        <v>0</v>
      </c>
      <c r="B257" s="6" t="s">
        <v>15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f t="shared" ref="I257:AO257" si="3885">K256</f>
        <v>0</v>
      </c>
      <c r="L257" s="5">
        <f t="shared" si="3885"/>
        <v>0</v>
      </c>
      <c r="M257" s="5">
        <f t="shared" si="3885"/>
        <v>0</v>
      </c>
      <c r="N257" s="5" t="str">
        <f t="shared" si="3885"/>
        <v/>
      </c>
      <c r="O257" s="5" t="str">
        <f t="shared" si="3885"/>
        <v/>
      </c>
      <c r="P257" s="5" t="str">
        <f t="shared" si="3885"/>
        <v/>
      </c>
      <c r="Q257" s="5" t="str">
        <f t="shared" si="3885"/>
        <v/>
      </c>
      <c r="R257" s="5" t="str">
        <f t="shared" si="3885"/>
        <v/>
      </c>
      <c r="S257" s="5" t="str">
        <f t="shared" si="3885"/>
        <v/>
      </c>
      <c r="T257" s="5" t="str">
        <f t="shared" si="3885"/>
        <v/>
      </c>
      <c r="U257" s="5" t="str">
        <f t="shared" si="3885"/>
        <v/>
      </c>
      <c r="V257" s="5" t="str">
        <f t="shared" si="3885"/>
        <v/>
      </c>
      <c r="W257" s="5" t="str">
        <f t="shared" si="3885"/>
        <v/>
      </c>
      <c r="X257" s="5" t="str">
        <f t="shared" si="3885"/>
        <v/>
      </c>
      <c r="Y257" s="5" t="str">
        <f t="shared" si="3885"/>
        <v/>
      </c>
      <c r="Z257" s="5" t="str">
        <f t="shared" si="3885"/>
        <v/>
      </c>
      <c r="AA257" s="5" t="str">
        <f t="shared" si="3885"/>
        <v/>
      </c>
      <c r="AB257" s="5" t="str">
        <f t="shared" si="3885"/>
        <v/>
      </c>
      <c r="AC257" s="5" t="str">
        <f t="shared" si="3885"/>
        <v/>
      </c>
      <c r="AD257" s="5" t="str">
        <f t="shared" si="3885"/>
        <v/>
      </c>
      <c r="AE257" s="5" t="str">
        <f t="shared" si="3885"/>
        <v/>
      </c>
      <c r="AF257" s="5" t="str">
        <f t="shared" si="3885"/>
        <v/>
      </c>
      <c r="AG257" s="5" t="str">
        <f t="shared" si="3885"/>
        <v/>
      </c>
      <c r="AH257" s="5" t="str">
        <f t="shared" si="3885"/>
        <v/>
      </c>
      <c r="AI257" s="5" t="str">
        <f t="shared" si="3885"/>
        <v/>
      </c>
      <c r="AJ257" s="5" t="str">
        <f t="shared" si="3885"/>
        <v/>
      </c>
      <c r="AK257" s="5" t="str">
        <f t="shared" si="3885"/>
        <v/>
      </c>
      <c r="AL257" s="5" t="str">
        <f>AL256</f>
        <v/>
      </c>
      <c r="AM257" s="5" t="str">
        <f t="shared" si="3885"/>
        <v/>
      </c>
      <c r="AN257" s="5" t="str">
        <f t="shared" si="3885"/>
        <v/>
      </c>
      <c r="AO257" s="5" t="str">
        <f t="shared" si="3885"/>
        <v/>
      </c>
      <c r="AP257" s="5" t="str">
        <f t="shared" ref="AP257:AS257" si="3886">AP256</f>
        <v/>
      </c>
      <c r="AQ257" s="5" t="str">
        <f t="shared" si="3886"/>
        <v/>
      </c>
      <c r="AR257" s="5" t="str">
        <f t="shared" si="3886"/>
        <v/>
      </c>
      <c r="AS257" s="5" t="str">
        <f t="shared" si="3886"/>
        <v/>
      </c>
    </row>
    <row r="258" spans="1:45" x14ac:dyDescent="0.15">
      <c r="A258" s="7">
        <f>SUM(C258:AS258)</f>
        <v>0</v>
      </c>
      <c r="B258" s="6" t="s">
        <v>16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f t="shared" ref="I258:AO258" si="3887">IF(K248="","",K257*K252)</f>
        <v>0</v>
      </c>
      <c r="L258" s="5">
        <f t="shared" si="3887"/>
        <v>0</v>
      </c>
      <c r="M258" s="5">
        <f t="shared" si="3887"/>
        <v>0</v>
      </c>
      <c r="N258" s="5" t="str">
        <f t="shared" si="3887"/>
        <v/>
      </c>
      <c r="O258" s="5" t="str">
        <f t="shared" si="3887"/>
        <v/>
      </c>
      <c r="P258" s="5" t="str">
        <f t="shared" si="3887"/>
        <v/>
      </c>
      <c r="Q258" s="5" t="str">
        <f t="shared" si="3887"/>
        <v/>
      </c>
      <c r="R258" s="5" t="str">
        <f t="shared" si="3887"/>
        <v/>
      </c>
      <c r="S258" s="5" t="str">
        <f t="shared" si="3887"/>
        <v/>
      </c>
      <c r="T258" s="5" t="str">
        <f t="shared" si="3887"/>
        <v/>
      </c>
      <c r="U258" s="5" t="str">
        <f t="shared" si="3887"/>
        <v/>
      </c>
      <c r="V258" s="5" t="str">
        <f t="shared" si="3887"/>
        <v/>
      </c>
      <c r="W258" s="5" t="str">
        <f t="shared" si="3887"/>
        <v/>
      </c>
      <c r="X258" s="5" t="str">
        <f t="shared" si="3887"/>
        <v/>
      </c>
      <c r="Y258" s="5" t="str">
        <f t="shared" si="3887"/>
        <v/>
      </c>
      <c r="Z258" s="5" t="str">
        <f t="shared" si="3887"/>
        <v/>
      </c>
      <c r="AA258" s="5" t="str">
        <f t="shared" si="3887"/>
        <v/>
      </c>
      <c r="AB258" s="5" t="str">
        <f t="shared" si="3887"/>
        <v/>
      </c>
      <c r="AC258" s="5" t="str">
        <f t="shared" si="3887"/>
        <v/>
      </c>
      <c r="AD258" s="5" t="str">
        <f t="shared" si="3887"/>
        <v/>
      </c>
      <c r="AE258" s="5" t="str">
        <f t="shared" si="3887"/>
        <v/>
      </c>
      <c r="AF258" s="5" t="str">
        <f t="shared" si="3887"/>
        <v/>
      </c>
      <c r="AG258" s="5" t="str">
        <f t="shared" si="3887"/>
        <v/>
      </c>
      <c r="AH258" s="5" t="str">
        <f t="shared" si="3887"/>
        <v/>
      </c>
      <c r="AI258" s="5" t="str">
        <f t="shared" si="3887"/>
        <v/>
      </c>
      <c r="AJ258" s="5" t="str">
        <f t="shared" si="3887"/>
        <v/>
      </c>
      <c r="AK258" s="5" t="str">
        <f t="shared" si="3887"/>
        <v/>
      </c>
      <c r="AL258" s="5" t="str">
        <f t="shared" si="3887"/>
        <v/>
      </c>
      <c r="AM258" s="5" t="str">
        <f t="shared" si="3887"/>
        <v/>
      </c>
      <c r="AN258" s="5" t="str">
        <f t="shared" si="3887"/>
        <v/>
      </c>
      <c r="AO258" s="5" t="str">
        <f t="shared" si="3887"/>
        <v/>
      </c>
      <c r="AP258" s="5" t="str">
        <f t="shared" ref="AP258:AS258" si="3888">IF(AP248="","",AP257*AP252)</f>
        <v/>
      </c>
      <c r="AQ258" s="5" t="str">
        <f t="shared" si="3888"/>
        <v/>
      </c>
      <c r="AR258" s="5" t="str">
        <f t="shared" si="3888"/>
        <v/>
      </c>
      <c r="AS258" s="5" t="str">
        <f t="shared" si="3888"/>
        <v/>
      </c>
    </row>
    <row r="259" spans="1:45" ht="12" thickBot="1" x14ac:dyDescent="0.2">
      <c r="A259" s="4">
        <f>IF(A258="","",A258/(A255*100))</f>
        <v>0</v>
      </c>
      <c r="B259" s="3" t="s">
        <v>18</v>
      </c>
      <c r="C259" s="2" t="s">
        <v>19</v>
      </c>
      <c r="D259" s="2" t="s">
        <v>19</v>
      </c>
      <c r="E259" s="2" t="s">
        <v>19</v>
      </c>
      <c r="F259" s="2" t="s">
        <v>19</v>
      </c>
      <c r="G259" s="2" t="s">
        <v>19</v>
      </c>
      <c r="H259" s="2" t="s">
        <v>19</v>
      </c>
      <c r="I259" s="2" t="s">
        <v>19</v>
      </c>
      <c r="J259" s="2" t="s">
        <v>19</v>
      </c>
      <c r="K259" s="2" t="str">
        <f t="shared" ref="I259:AO259" si="3889">IF(K258="","",IF(K258=0,"",K258/(K255*100)))</f>
        <v/>
      </c>
      <c r="L259" s="2" t="str">
        <f t="shared" si="3889"/>
        <v/>
      </c>
      <c r="M259" s="2" t="str">
        <f t="shared" si="3889"/>
        <v/>
      </c>
      <c r="N259" s="2" t="str">
        <f t="shared" si="3889"/>
        <v/>
      </c>
      <c r="O259" s="2" t="str">
        <f t="shared" si="3889"/>
        <v/>
      </c>
      <c r="P259" s="2" t="str">
        <f t="shared" si="3889"/>
        <v/>
      </c>
      <c r="Q259" s="2" t="str">
        <f t="shared" si="3889"/>
        <v/>
      </c>
      <c r="R259" s="2" t="str">
        <f t="shared" si="3889"/>
        <v/>
      </c>
      <c r="S259" s="2" t="str">
        <f t="shared" si="3889"/>
        <v/>
      </c>
      <c r="T259" s="2" t="str">
        <f t="shared" si="3889"/>
        <v/>
      </c>
      <c r="U259" s="2" t="str">
        <f t="shared" si="3889"/>
        <v/>
      </c>
      <c r="V259" s="2" t="str">
        <f t="shared" si="3889"/>
        <v/>
      </c>
      <c r="W259" s="2" t="str">
        <f t="shared" si="3889"/>
        <v/>
      </c>
      <c r="X259" s="2" t="str">
        <f t="shared" si="3889"/>
        <v/>
      </c>
      <c r="Y259" s="2" t="str">
        <f t="shared" si="3889"/>
        <v/>
      </c>
      <c r="Z259" s="2" t="str">
        <f t="shared" si="3889"/>
        <v/>
      </c>
      <c r="AA259" s="2" t="str">
        <f t="shared" si="3889"/>
        <v/>
      </c>
      <c r="AB259" s="2" t="str">
        <f t="shared" si="3889"/>
        <v/>
      </c>
      <c r="AC259" s="2" t="str">
        <f t="shared" si="3889"/>
        <v/>
      </c>
      <c r="AD259" s="2" t="str">
        <f t="shared" si="3889"/>
        <v/>
      </c>
      <c r="AE259" s="2" t="str">
        <f t="shared" si="3889"/>
        <v/>
      </c>
      <c r="AF259" s="2" t="str">
        <f t="shared" si="3889"/>
        <v/>
      </c>
      <c r="AG259" s="2" t="str">
        <f t="shared" si="3889"/>
        <v/>
      </c>
      <c r="AH259" s="2" t="str">
        <f t="shared" si="3889"/>
        <v/>
      </c>
      <c r="AI259" s="2" t="str">
        <f t="shared" si="3889"/>
        <v/>
      </c>
      <c r="AJ259" s="2" t="str">
        <f t="shared" si="3889"/>
        <v/>
      </c>
      <c r="AK259" s="2" t="str">
        <f t="shared" si="3889"/>
        <v/>
      </c>
      <c r="AL259" s="2" t="str">
        <f t="shared" si="3889"/>
        <v/>
      </c>
      <c r="AM259" s="2" t="str">
        <f t="shared" si="3889"/>
        <v/>
      </c>
      <c r="AN259" s="2" t="str">
        <f t="shared" si="3889"/>
        <v/>
      </c>
      <c r="AO259" s="2" t="str">
        <f t="shared" si="3889"/>
        <v/>
      </c>
      <c r="AP259" s="2" t="str">
        <f t="shared" ref="AP259:AS259" si="3890">IF(AP258="","",IF(AP258=0,"",AP258/(AP255*100)))</f>
        <v/>
      </c>
      <c r="AQ259" s="2" t="str">
        <f t="shared" si="3890"/>
        <v/>
      </c>
      <c r="AR259" s="2" t="str">
        <f t="shared" si="3890"/>
        <v/>
      </c>
      <c r="AS259" s="2" t="str">
        <f t="shared" si="3890"/>
        <v/>
      </c>
    </row>
  </sheetData>
  <phoneticPr fontId="2"/>
  <conditionalFormatting sqref="A19">
    <cfRule type="cellIs" dxfId="74" priority="62" operator="greaterThan">
      <formula>0.25</formula>
    </cfRule>
  </conditionalFormatting>
  <conditionalFormatting sqref="A31 A34:A36 A43">
    <cfRule type="cellIs" dxfId="73" priority="63" operator="greaterThan">
      <formula>0.25</formula>
    </cfRule>
  </conditionalFormatting>
  <conditionalFormatting sqref="A55">
    <cfRule type="cellIs" dxfId="72" priority="24" operator="greaterThan">
      <formula>0.25</formula>
    </cfRule>
  </conditionalFormatting>
  <conditionalFormatting sqref="A67">
    <cfRule type="cellIs" dxfId="71" priority="25" operator="greaterThan">
      <formula>0.25</formula>
    </cfRule>
  </conditionalFormatting>
  <conditionalFormatting sqref="A79">
    <cfRule type="cellIs" dxfId="70" priority="26" operator="greaterThan">
      <formula>0.25</formula>
    </cfRule>
  </conditionalFormatting>
  <conditionalFormatting sqref="A91">
    <cfRule type="cellIs" dxfId="69" priority="64" operator="greaterThan">
      <formula>0.25</formula>
    </cfRule>
  </conditionalFormatting>
  <conditionalFormatting sqref="A103">
    <cfRule type="cellIs" dxfId="68" priority="45" operator="greaterThan">
      <formula>0.25</formula>
    </cfRule>
  </conditionalFormatting>
  <conditionalFormatting sqref="A115">
    <cfRule type="cellIs" dxfId="67" priority="65" operator="greaterThan">
      <formula>0.25</formula>
    </cfRule>
  </conditionalFormatting>
  <conditionalFormatting sqref="A127">
    <cfRule type="cellIs" dxfId="66" priority="66" operator="greaterThan">
      <formula>0.25</formula>
    </cfRule>
  </conditionalFormatting>
  <conditionalFormatting sqref="A139">
    <cfRule type="cellIs" dxfId="65" priority="67" operator="greaterThan">
      <formula>0.25</formula>
    </cfRule>
  </conditionalFormatting>
  <conditionalFormatting sqref="A151">
    <cfRule type="cellIs" dxfId="64" priority="46" operator="greaterThan">
      <formula>0.25</formula>
    </cfRule>
  </conditionalFormatting>
  <conditionalFormatting sqref="A163">
    <cfRule type="cellIs" dxfId="63" priority="68" operator="greaterThan">
      <formula>0.25</formula>
    </cfRule>
  </conditionalFormatting>
  <conditionalFormatting sqref="A175">
    <cfRule type="cellIs" dxfId="62" priority="69" operator="greaterThan">
      <formula>0.25</formula>
    </cfRule>
  </conditionalFormatting>
  <conditionalFormatting sqref="A187">
    <cfRule type="cellIs" dxfId="61" priority="70" operator="greaterThan">
      <formula>0.25</formula>
    </cfRule>
  </conditionalFormatting>
  <conditionalFormatting sqref="A199">
    <cfRule type="cellIs" dxfId="60" priority="47" operator="greaterThan">
      <formula>0.25</formula>
    </cfRule>
  </conditionalFormatting>
  <conditionalFormatting sqref="A211">
    <cfRule type="cellIs" dxfId="59" priority="71" operator="greaterThan">
      <formula>0.25</formula>
    </cfRule>
  </conditionalFormatting>
  <conditionalFormatting sqref="A223">
    <cfRule type="cellIs" dxfId="58" priority="72" operator="greaterThan">
      <formula>0.25</formula>
    </cfRule>
  </conditionalFormatting>
  <conditionalFormatting sqref="A235">
    <cfRule type="cellIs" dxfId="57" priority="73" operator="greaterThan">
      <formula>0.25</formula>
    </cfRule>
  </conditionalFormatting>
  <conditionalFormatting sqref="A247">
    <cfRule type="cellIs" dxfId="56" priority="74" operator="greaterThan">
      <formula>0.25</formula>
    </cfRule>
  </conditionalFormatting>
  <conditionalFormatting sqref="A259">
    <cfRule type="cellIs" dxfId="55" priority="75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C152-CA12-4C1D-BBDF-FABA0E1C31DB}">
  <dimension ref="A1:AS272"/>
  <sheetViews>
    <sheetView zoomScale="140" zoomScaleNormal="140" zoomScaleSheetLayoutView="100" workbookViewId="0">
      <pane xSplit="2" ySplit="2" topLeftCell="Y214" activePane="bottomRight" state="frozen"/>
      <selection pane="bottomLeft" activeCell="A3" sqref="A3"/>
      <selection pane="topRight" activeCell="C1" sqref="C1"/>
      <selection pane="bottomRight" activeCell="AE224" sqref="AE224"/>
    </sheetView>
  </sheetViews>
  <sheetFormatPr defaultColWidth="8.875" defaultRowHeight="15" x14ac:dyDescent="0.2"/>
  <cols>
    <col min="3" max="3" width="9.14453125" bestFit="1" customWidth="1"/>
    <col min="4" max="41" width="8.875" bestFit="1" customWidth="1"/>
  </cols>
  <sheetData>
    <row r="1" spans="1:45" s="84" customFormat="1" ht="11.25" x14ac:dyDescent="0.15">
      <c r="A1" s="349">
        <f>SUM(A14,A50,A62,A74,A86,A98,A110,A122,A134,A158,A146,A170,A182,A194,A206,A218,A230,A38,A26,A242,A254)</f>
        <v>935727.27272727282</v>
      </c>
      <c r="B1" s="47" t="s">
        <v>0</v>
      </c>
      <c r="C1" s="46">
        <v>46156</v>
      </c>
      <c r="D1" s="46">
        <v>46157</v>
      </c>
      <c r="E1" s="46">
        <v>46158</v>
      </c>
      <c r="F1" s="46">
        <v>46159</v>
      </c>
      <c r="G1" s="46">
        <v>46160</v>
      </c>
      <c r="H1" s="46">
        <v>46161</v>
      </c>
      <c r="I1" s="46">
        <v>46162</v>
      </c>
      <c r="J1" s="46">
        <v>46163</v>
      </c>
      <c r="K1" s="46">
        <v>46164</v>
      </c>
      <c r="L1" s="46">
        <f t="shared" ref="L1" si="0">K1+1</f>
        <v>46165</v>
      </c>
      <c r="M1" s="46">
        <f t="shared" ref="M1" si="1">L1+1</f>
        <v>46166</v>
      </c>
      <c r="N1" s="46">
        <f t="shared" ref="N1" si="2">M1+1</f>
        <v>46167</v>
      </c>
      <c r="O1" s="46">
        <f t="shared" ref="O1" si="3">N1+1</f>
        <v>46168</v>
      </c>
      <c r="P1" s="46">
        <f t="shared" ref="P1" si="4">O1+1</f>
        <v>46169</v>
      </c>
      <c r="Q1" s="46">
        <f t="shared" ref="Q1" si="5">P1+1</f>
        <v>46170</v>
      </c>
      <c r="R1" s="46">
        <f t="shared" ref="R1" si="6">Q1+1</f>
        <v>46171</v>
      </c>
      <c r="S1" s="46">
        <f t="shared" ref="S1" si="7">R1+1</f>
        <v>46172</v>
      </c>
      <c r="T1" s="46">
        <f t="shared" ref="T1" si="8">S1+1</f>
        <v>46173</v>
      </c>
      <c r="U1" s="46">
        <f t="shared" ref="U1" si="9">T1+1</f>
        <v>46174</v>
      </c>
      <c r="V1" s="46">
        <f t="shared" ref="V1" si="10">U1+1</f>
        <v>46175</v>
      </c>
      <c r="W1" s="46">
        <f t="shared" ref="W1" si="11">V1+1</f>
        <v>46176</v>
      </c>
      <c r="X1" s="46">
        <f t="shared" ref="X1" si="12">W1+1</f>
        <v>46177</v>
      </c>
      <c r="Y1" s="46">
        <f t="shared" ref="Y1" si="13">X1+1</f>
        <v>46178</v>
      </c>
      <c r="Z1" s="46">
        <f t="shared" ref="Z1" si="14">Y1+1</f>
        <v>46179</v>
      </c>
      <c r="AA1" s="46">
        <f t="shared" ref="AA1" si="15">Z1+1</f>
        <v>46180</v>
      </c>
      <c r="AB1" s="46">
        <f t="shared" ref="AB1" si="16">AA1+1</f>
        <v>46181</v>
      </c>
      <c r="AC1" s="46">
        <f t="shared" ref="AC1" si="17">AB1+1</f>
        <v>46182</v>
      </c>
      <c r="AD1" s="46">
        <f t="shared" ref="AD1" si="18">AC1+1</f>
        <v>46183</v>
      </c>
      <c r="AE1" s="46">
        <f t="shared" ref="AE1" si="19">AD1+1</f>
        <v>46184</v>
      </c>
      <c r="AF1" s="46">
        <f t="shared" ref="AF1" si="20">AE1+1</f>
        <v>46185</v>
      </c>
      <c r="AG1" s="46">
        <f t="shared" ref="AG1" si="21">AF1+1</f>
        <v>46186</v>
      </c>
      <c r="AH1" s="46">
        <f t="shared" ref="AH1" si="22">AG1+1</f>
        <v>46187</v>
      </c>
      <c r="AI1" s="46">
        <f t="shared" ref="AI1" si="23">AH1+1</f>
        <v>46188</v>
      </c>
      <c r="AJ1" s="46">
        <f t="shared" ref="AJ1" si="24">AI1+1</f>
        <v>46189</v>
      </c>
      <c r="AK1" s="46">
        <f t="shared" ref="AK1" si="25">AJ1+1</f>
        <v>46190</v>
      </c>
      <c r="AL1" s="46">
        <f t="shared" ref="AL1" si="26">AK1+1</f>
        <v>46191</v>
      </c>
      <c r="AM1" s="46">
        <f t="shared" ref="AM1" si="27">AL1+1</f>
        <v>46192</v>
      </c>
      <c r="AN1" s="46">
        <f t="shared" ref="AN1" si="28">AM1+1</f>
        <v>46193</v>
      </c>
      <c r="AO1" s="46">
        <f t="shared" ref="AO1:AS1" si="29">AN1+1</f>
        <v>46194</v>
      </c>
      <c r="AP1" s="46">
        <f t="shared" si="29"/>
        <v>46195</v>
      </c>
      <c r="AQ1" s="46">
        <f t="shared" si="29"/>
        <v>46196</v>
      </c>
      <c r="AR1" s="46">
        <f t="shared" si="29"/>
        <v>46197</v>
      </c>
      <c r="AS1" s="46">
        <f t="shared" si="29"/>
        <v>46198</v>
      </c>
    </row>
    <row r="2" spans="1:45" s="84" customFormat="1" ht="11.25" x14ac:dyDescent="0.15">
      <c r="A2" s="45"/>
      <c r="B2" s="44">
        <f>SUM(C2:AO2)</f>
        <v>3220</v>
      </c>
      <c r="C2" s="43">
        <v>0</v>
      </c>
      <c r="D2" s="43">
        <v>565</v>
      </c>
      <c r="E2" s="43">
        <v>0</v>
      </c>
      <c r="F2" s="43">
        <v>0</v>
      </c>
      <c r="G2" s="43">
        <v>1029</v>
      </c>
      <c r="H2" s="43">
        <v>0</v>
      </c>
      <c r="I2" s="43">
        <v>0</v>
      </c>
      <c r="J2" s="43">
        <v>0</v>
      </c>
      <c r="K2" s="43">
        <v>876</v>
      </c>
      <c r="L2" s="43">
        <f t="shared" ref="J2:AM2" si="30">SUM(L15,L27,L39,L51,L63,L75,L87,L99,L111,L123,L135,L147,L159,L171,L183,L195,L207,L219,L231,L245)</f>
        <v>0</v>
      </c>
      <c r="M2" s="43">
        <f t="shared" si="30"/>
        <v>750</v>
      </c>
      <c r="N2" s="43">
        <f t="shared" si="30"/>
        <v>0</v>
      </c>
      <c r="O2" s="43">
        <f t="shared" si="30"/>
        <v>0</v>
      </c>
      <c r="P2" s="43">
        <f t="shared" si="30"/>
        <v>0</v>
      </c>
      <c r="Q2" s="43">
        <f t="shared" si="30"/>
        <v>0</v>
      </c>
      <c r="R2" s="43">
        <f t="shared" si="30"/>
        <v>0</v>
      </c>
      <c r="S2" s="43">
        <f t="shared" si="30"/>
        <v>0</v>
      </c>
      <c r="T2" s="43">
        <f t="shared" si="30"/>
        <v>0</v>
      </c>
      <c r="U2" s="43">
        <f>SUM(U15,U27,U39,U51,U63,U75,U87,U99,U111,U123,U135,U147,U159,U171,U183,U195,U207,U219,U231,U245)</f>
        <v>0</v>
      </c>
      <c r="V2" s="43">
        <f t="shared" si="30"/>
        <v>0</v>
      </c>
      <c r="W2" s="43">
        <f t="shared" si="30"/>
        <v>0</v>
      </c>
      <c r="X2" s="43">
        <f t="shared" si="30"/>
        <v>0</v>
      </c>
      <c r="Y2" s="43">
        <f t="shared" si="30"/>
        <v>0</v>
      </c>
      <c r="Z2" s="43">
        <f t="shared" si="30"/>
        <v>0</v>
      </c>
      <c r="AA2" s="43">
        <f t="shared" si="30"/>
        <v>0</v>
      </c>
      <c r="AB2" s="43">
        <f t="shared" si="30"/>
        <v>0</v>
      </c>
      <c r="AC2" s="43">
        <f t="shared" si="30"/>
        <v>0</v>
      </c>
      <c r="AD2" s="43">
        <f t="shared" si="30"/>
        <v>0</v>
      </c>
      <c r="AE2" s="43">
        <f t="shared" si="30"/>
        <v>0</v>
      </c>
      <c r="AF2" s="43">
        <f t="shared" si="30"/>
        <v>0</v>
      </c>
      <c r="AG2" s="43">
        <f t="shared" si="30"/>
        <v>0</v>
      </c>
      <c r="AH2" s="43">
        <f t="shared" si="30"/>
        <v>0</v>
      </c>
      <c r="AI2" s="43">
        <f t="shared" si="30"/>
        <v>0</v>
      </c>
      <c r="AJ2" s="43">
        <f t="shared" si="30"/>
        <v>0</v>
      </c>
      <c r="AK2" s="43">
        <f t="shared" si="30"/>
        <v>0</v>
      </c>
      <c r="AL2" s="43">
        <f t="shared" si="30"/>
        <v>0</v>
      </c>
      <c r="AM2" s="43">
        <f t="shared" si="30"/>
        <v>0</v>
      </c>
      <c r="AN2" s="43">
        <f t="shared" ref="AN2" si="31">SUM(AN15,AN27,AN39,AN51,AN63,AN75,AN87,AN99,AN111,AN123,AN135,AN147,AN159,AN171,AN183,AN195,AN207,AN219,AN231,AN245)</f>
        <v>0</v>
      </c>
      <c r="AO2" s="43">
        <f t="shared" ref="AO2:AS2" si="32">SUM(AO15,AO27,AO39,AO51,AO63,AO75,AO87,AO99,AO111,AO123,AO135,AO147,AO159,AO171,AO183,AO195,AO207,AO219,AO231,AO245)</f>
        <v>0</v>
      </c>
      <c r="AP2" s="43">
        <f t="shared" si="32"/>
        <v>0</v>
      </c>
      <c r="AQ2" s="43">
        <f t="shared" si="32"/>
        <v>0</v>
      </c>
      <c r="AR2" s="43">
        <f t="shared" si="32"/>
        <v>0</v>
      </c>
      <c r="AS2" s="43">
        <f t="shared" si="32"/>
        <v>0</v>
      </c>
    </row>
    <row r="3" spans="1:45" s="388" customFormat="1" ht="11.25" x14ac:dyDescent="0.15">
      <c r="A3" s="385" t="s">
        <v>342</v>
      </c>
      <c r="B3" s="386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7"/>
      <c r="AJ3" s="387"/>
      <c r="AK3" s="387"/>
      <c r="AL3" s="387"/>
      <c r="AM3" s="387"/>
      <c r="AN3" s="387"/>
      <c r="AO3" s="387"/>
      <c r="AP3" s="387"/>
      <c r="AQ3" s="387"/>
      <c r="AR3" s="387"/>
      <c r="AS3" s="387"/>
    </row>
    <row r="4" spans="1:45" s="388" customFormat="1" ht="11.25" x14ac:dyDescent="0.15">
      <c r="A4" s="385" t="s">
        <v>343</v>
      </c>
      <c r="B4" s="386"/>
      <c r="C4" s="387"/>
      <c r="D4" s="387"/>
      <c r="E4" s="387"/>
      <c r="F4" s="387"/>
      <c r="G4" s="387"/>
      <c r="H4" s="387"/>
      <c r="I4" s="387"/>
      <c r="J4" s="387"/>
      <c r="K4" s="387"/>
      <c r="L4" s="387"/>
      <c r="M4" s="387"/>
      <c r="N4" s="387"/>
      <c r="O4" s="387"/>
      <c r="P4" s="387"/>
      <c r="Q4" s="387"/>
      <c r="R4" s="387"/>
      <c r="S4" s="387"/>
      <c r="T4" s="387"/>
      <c r="U4" s="387"/>
      <c r="V4" s="387"/>
      <c r="W4" s="387"/>
      <c r="X4" s="387"/>
      <c r="Y4" s="387"/>
      <c r="Z4" s="387"/>
      <c r="AA4" s="387"/>
      <c r="AB4" s="387"/>
      <c r="AC4" s="387"/>
      <c r="AD4" s="387"/>
      <c r="AE4" s="387"/>
      <c r="AF4" s="387"/>
      <c r="AG4" s="387"/>
      <c r="AH4" s="387"/>
      <c r="AI4" s="387"/>
      <c r="AJ4" s="387"/>
      <c r="AK4" s="387"/>
      <c r="AL4" s="387"/>
      <c r="AM4" s="387"/>
      <c r="AN4" s="387"/>
      <c r="AO4" s="387"/>
      <c r="AP4" s="387"/>
      <c r="AQ4" s="387"/>
      <c r="AR4" s="387"/>
      <c r="AS4" s="387"/>
    </row>
    <row r="5" spans="1:45" s="388" customFormat="1" ht="11.25" x14ac:dyDescent="0.15">
      <c r="A5" s="385" t="s">
        <v>344</v>
      </c>
      <c r="B5" s="386"/>
      <c r="C5" s="387"/>
      <c r="D5" s="387">
        <v>260</v>
      </c>
      <c r="E5" s="387"/>
      <c r="F5" s="387"/>
      <c r="G5" s="387">
        <v>695</v>
      </c>
      <c r="H5" s="387"/>
      <c r="I5" s="387"/>
      <c r="J5" s="387"/>
      <c r="K5" s="387">
        <v>1075</v>
      </c>
      <c r="L5" s="387"/>
      <c r="M5" s="387">
        <v>455</v>
      </c>
      <c r="N5" s="387"/>
      <c r="O5" s="387"/>
      <c r="P5" s="387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  <c r="AK5" s="387"/>
      <c r="AL5" s="387"/>
      <c r="AM5" s="387"/>
      <c r="AN5" s="387"/>
      <c r="AO5" s="387"/>
      <c r="AP5" s="387"/>
      <c r="AQ5" s="387"/>
      <c r="AR5" s="387"/>
      <c r="AS5" s="387"/>
    </row>
    <row r="6" spans="1:45" s="388" customFormat="1" ht="11.25" x14ac:dyDescent="0.15">
      <c r="A6" s="385" t="s">
        <v>345</v>
      </c>
      <c r="B6" s="386"/>
      <c r="C6" s="387"/>
      <c r="D6" s="387">
        <v>23</v>
      </c>
      <c r="E6" s="387"/>
      <c r="F6" s="387"/>
      <c r="G6" s="387">
        <v>62</v>
      </c>
      <c r="H6" s="387"/>
      <c r="I6" s="387"/>
      <c r="J6" s="387"/>
      <c r="K6" s="387">
        <v>94</v>
      </c>
      <c r="L6" s="387"/>
      <c r="M6" s="387">
        <v>125</v>
      </c>
      <c r="N6" s="387"/>
      <c r="O6" s="387"/>
      <c r="P6" s="387"/>
      <c r="Q6" s="387"/>
      <c r="R6" s="387"/>
      <c r="S6" s="387"/>
      <c r="T6" s="387"/>
      <c r="U6" s="387"/>
      <c r="V6" s="387"/>
      <c r="W6" s="387"/>
      <c r="X6" s="387"/>
      <c r="Y6" s="387"/>
      <c r="Z6" s="387"/>
      <c r="AA6" s="387"/>
      <c r="AB6" s="387"/>
      <c r="AC6" s="387"/>
      <c r="AD6" s="387"/>
      <c r="AE6" s="387"/>
      <c r="AF6" s="387"/>
      <c r="AG6" s="387"/>
      <c r="AH6" s="387"/>
      <c r="AI6" s="387"/>
      <c r="AJ6" s="387"/>
      <c r="AK6" s="387"/>
      <c r="AL6" s="387"/>
      <c r="AM6" s="387"/>
      <c r="AN6" s="387"/>
      <c r="AO6" s="387"/>
      <c r="AP6" s="387"/>
      <c r="AQ6" s="387"/>
      <c r="AR6" s="387"/>
      <c r="AS6" s="387"/>
    </row>
    <row r="7" spans="1:45" s="388" customFormat="1" ht="12" thickBot="1" x14ac:dyDescent="0.2">
      <c r="A7" s="385" t="s">
        <v>346</v>
      </c>
      <c r="B7" s="386"/>
      <c r="C7" s="387"/>
      <c r="D7" s="387">
        <v>6</v>
      </c>
      <c r="E7" s="387"/>
      <c r="F7" s="387"/>
      <c r="G7" s="387">
        <v>15</v>
      </c>
      <c r="H7" s="387"/>
      <c r="I7" s="387"/>
      <c r="J7" s="387"/>
      <c r="K7" s="387">
        <v>27</v>
      </c>
      <c r="L7" s="387"/>
      <c r="M7" s="387">
        <v>41</v>
      </c>
      <c r="N7" s="387"/>
      <c r="O7" s="387"/>
      <c r="P7" s="387"/>
      <c r="Q7" s="387"/>
      <c r="R7" s="387"/>
      <c r="S7" s="387"/>
      <c r="T7" s="387"/>
      <c r="U7" s="387"/>
      <c r="V7" s="387"/>
      <c r="W7" s="387"/>
      <c r="X7" s="387"/>
      <c r="Y7" s="387"/>
      <c r="Z7" s="387"/>
      <c r="AA7" s="387"/>
      <c r="AB7" s="387"/>
      <c r="AC7" s="387"/>
      <c r="AD7" s="387"/>
      <c r="AE7" s="387"/>
      <c r="AF7" s="387"/>
      <c r="AG7" s="387"/>
      <c r="AH7" s="387"/>
      <c r="AI7" s="387"/>
      <c r="AJ7" s="387"/>
      <c r="AK7" s="387"/>
      <c r="AL7" s="387"/>
      <c r="AM7" s="387"/>
      <c r="AN7" s="387"/>
      <c r="AO7" s="387"/>
      <c r="AP7" s="387"/>
      <c r="AQ7" s="387"/>
      <c r="AR7" s="387"/>
      <c r="AS7" s="387"/>
    </row>
    <row r="8" spans="1:45" s="84" customFormat="1" ht="11.25" x14ac:dyDescent="0.15">
      <c r="A8" s="22" t="s">
        <v>77</v>
      </c>
      <c r="B8" s="21" t="s">
        <v>2</v>
      </c>
      <c r="C8" s="20">
        <v>17345</v>
      </c>
      <c r="D8" s="20">
        <v>17364</v>
      </c>
      <c r="E8" s="20">
        <v>17364</v>
      </c>
      <c r="F8" s="20">
        <v>17364</v>
      </c>
      <c r="G8" s="20">
        <v>17408</v>
      </c>
      <c r="H8" s="20">
        <v>17408</v>
      </c>
      <c r="I8" s="20">
        <v>17408</v>
      </c>
      <c r="J8" s="20">
        <v>17408</v>
      </c>
      <c r="K8" s="20">
        <v>17423</v>
      </c>
      <c r="L8" s="20">
        <v>17423</v>
      </c>
      <c r="M8" s="20">
        <v>17446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</row>
    <row r="9" spans="1:45" s="84" customFormat="1" ht="11.25" x14ac:dyDescent="0.15">
      <c r="A9" s="16" t="s">
        <v>3</v>
      </c>
      <c r="B9" s="9" t="s">
        <v>4</v>
      </c>
      <c r="C9" s="8">
        <v>433</v>
      </c>
      <c r="D9" s="8">
        <v>433</v>
      </c>
      <c r="E9" s="8">
        <v>433</v>
      </c>
      <c r="F9" s="8">
        <v>433</v>
      </c>
      <c r="G9" s="8">
        <v>433</v>
      </c>
      <c r="H9" s="8">
        <v>433</v>
      </c>
      <c r="I9" s="8">
        <v>433</v>
      </c>
      <c r="J9" s="8">
        <v>433</v>
      </c>
      <c r="K9" s="8">
        <v>433</v>
      </c>
      <c r="L9" s="8">
        <f>IF(L$8="","",K9)</f>
        <v>433</v>
      </c>
      <c r="M9" s="8">
        <v>435</v>
      </c>
      <c r="N9" s="8" t="str">
        <f t="shared" ref="N9" si="33">IF(N$8="","",M9)</f>
        <v/>
      </c>
      <c r="O9" s="8" t="str">
        <f>IF(O$8="","",N9)</f>
        <v/>
      </c>
      <c r="P9" s="8" t="str">
        <f t="shared" ref="P9" si="34">IF(P$8="","",O9)</f>
        <v/>
      </c>
      <c r="Q9" s="8" t="str">
        <f t="shared" ref="Q9" si="35">IF(Q$8="","",P9)</f>
        <v/>
      </c>
      <c r="R9" s="8" t="str">
        <f t="shared" ref="R9" si="36">IF(R$8="","",Q9)</f>
        <v/>
      </c>
      <c r="S9" s="8" t="str">
        <f>IF(S$8="","",R9)</f>
        <v/>
      </c>
      <c r="T9" s="8" t="str">
        <f>IF(T$8="","",S9)</f>
        <v/>
      </c>
      <c r="U9" s="8" t="str">
        <f t="shared" ref="U9" si="37">IF(U$8="","",T9)</f>
        <v/>
      </c>
      <c r="V9" s="8" t="str">
        <f t="shared" ref="V9" si="38">IF(V$8="","",U9)</f>
        <v/>
      </c>
      <c r="W9" s="8" t="str">
        <f>IF(W$8="","",V9)</f>
        <v/>
      </c>
      <c r="X9" s="8" t="str">
        <f t="shared" ref="X9" si="39">IF(X$8="","",W9)</f>
        <v/>
      </c>
      <c r="Y9" s="8" t="str">
        <f t="shared" ref="Y9" si="40">IF(Y$8="","",X9)</f>
        <v/>
      </c>
      <c r="Z9" s="8" t="str">
        <f>IF(Z$8="","",Y9)</f>
        <v/>
      </c>
      <c r="AA9" s="8" t="str">
        <f t="shared" ref="AA9" si="41">IF(AA$8="","",Z9)</f>
        <v/>
      </c>
      <c r="AB9" s="8" t="str">
        <f t="shared" ref="AB9" si="42">IF(AB$8="","",AA9)</f>
        <v/>
      </c>
      <c r="AC9" s="8" t="str">
        <f t="shared" ref="AC9" si="43">IF(AC$8="","",AB9)</f>
        <v/>
      </c>
      <c r="AD9" s="8" t="str">
        <f>IF(AD$8="","",AC9)</f>
        <v/>
      </c>
      <c r="AE9" s="8" t="str">
        <f>IF(AE$8="","",AD9)</f>
        <v/>
      </c>
      <c r="AF9" s="8" t="str">
        <f t="shared" ref="AF9" si="44">IF(AF$8="","",AE9)</f>
        <v/>
      </c>
      <c r="AG9" s="8" t="str">
        <f t="shared" ref="AG9" si="45">IF(AG$8="","",AF9)</f>
        <v/>
      </c>
      <c r="AH9" s="8" t="str">
        <f t="shared" ref="AH9" si="46">IF(AH$8="","",AG9)</f>
        <v/>
      </c>
      <c r="AI9" s="8" t="str">
        <f t="shared" ref="AI9" si="47">IF(AI$8="","",AH9)</f>
        <v/>
      </c>
      <c r="AJ9" s="8" t="str">
        <f t="shared" ref="AJ9" si="48">IF(AJ$8="","",AI9)</f>
        <v/>
      </c>
      <c r="AK9" s="8" t="str">
        <f t="shared" ref="AK9" si="49">IF(AK$8="","",AJ9)</f>
        <v/>
      </c>
      <c r="AL9" s="8" t="str">
        <f t="shared" ref="AL9" si="50">IF(AL$8="","",AK9)</f>
        <v/>
      </c>
      <c r="AM9" s="8" t="str">
        <f t="shared" ref="AM9" si="51">IF(AM$8="","",AL9)</f>
        <v/>
      </c>
      <c r="AN9" s="8" t="str">
        <f t="shared" ref="AN9" si="52">IF(AN$8="","",AM9)</f>
        <v/>
      </c>
      <c r="AO9" s="8" t="str">
        <f t="shared" ref="AO9:AS9" si="53">IF(AO$8="","",AN9)</f>
        <v/>
      </c>
      <c r="AP9" s="8" t="str">
        <f t="shared" si="53"/>
        <v/>
      </c>
      <c r="AQ9" s="8" t="str">
        <f t="shared" si="53"/>
        <v/>
      </c>
      <c r="AR9" s="8" t="str">
        <f t="shared" si="53"/>
        <v/>
      </c>
      <c r="AS9" s="8" t="str">
        <f t="shared" si="53"/>
        <v/>
      </c>
    </row>
    <row r="10" spans="1:45" s="84" customFormat="1" ht="11.25" x14ac:dyDescent="0.15">
      <c r="A10" s="15">
        <v>1</v>
      </c>
      <c r="B10" s="9" t="s">
        <v>5</v>
      </c>
      <c r="C10" s="8">
        <v>15</v>
      </c>
      <c r="D10" s="8">
        <v>15</v>
      </c>
      <c r="E10" s="8">
        <v>15</v>
      </c>
      <c r="F10" s="8">
        <v>15</v>
      </c>
      <c r="G10" s="8">
        <v>15</v>
      </c>
      <c r="H10" s="8">
        <v>15</v>
      </c>
      <c r="I10" s="8">
        <v>15</v>
      </c>
      <c r="J10" s="8">
        <v>15</v>
      </c>
      <c r="K10" s="8">
        <v>15</v>
      </c>
      <c r="L10" s="8">
        <f>IF(L8="","",(K10+K11))</f>
        <v>15</v>
      </c>
      <c r="M10" s="8">
        <v>13</v>
      </c>
      <c r="N10" s="8" t="str">
        <f t="shared" ref="N10" si="54">IF(N8="","",(M10+M11))</f>
        <v/>
      </c>
      <c r="O10" s="8" t="str">
        <f t="shared" ref="O10" si="55">IF(O8="","",(N10+N11))</f>
        <v/>
      </c>
      <c r="P10" s="8" t="str">
        <f t="shared" ref="P10" si="56">IF(P8="","",(O10+O11))</f>
        <v/>
      </c>
      <c r="Q10" s="8" t="str">
        <f t="shared" ref="Q10" si="57">IF(Q8="","",(P10+P11))</f>
        <v/>
      </c>
      <c r="R10" s="8" t="str">
        <f t="shared" ref="R10" si="58">IF(R8="","",(Q10+Q11))</f>
        <v/>
      </c>
      <c r="S10" s="8" t="str">
        <f>IF(S8="","",(R10+R11))</f>
        <v/>
      </c>
      <c r="T10" s="8" t="str">
        <f>IF(T8="","",(S10+S11))</f>
        <v/>
      </c>
      <c r="U10" s="8" t="str">
        <f t="shared" ref="U10" si="59">IF(U8="","",(T10+T11))</f>
        <v/>
      </c>
      <c r="V10" s="8" t="str">
        <f t="shared" ref="V10" si="60">IF(V8="","",(U10+U11))</f>
        <v/>
      </c>
      <c r="W10" s="8" t="str">
        <f>IF(W8="","",(V10+V11))</f>
        <v/>
      </c>
      <c r="X10" s="8" t="str">
        <f t="shared" ref="X10" si="61">IF(X8="","",(W10+W11))</f>
        <v/>
      </c>
      <c r="Y10" s="8" t="str">
        <f t="shared" ref="Y10" si="62">IF(Y8="","",(X10+X11))</f>
        <v/>
      </c>
      <c r="Z10" s="8" t="str">
        <f>IF(Z8="","",(Y10+Y11))</f>
        <v/>
      </c>
      <c r="AA10" s="8" t="str">
        <f t="shared" ref="AA10" si="63">IF(AA8="","",(Z10+Z11))</f>
        <v/>
      </c>
      <c r="AB10" s="8" t="str">
        <f t="shared" ref="AB10" si="64">IF(AB8="","",(AA10+AA11))</f>
        <v/>
      </c>
      <c r="AC10" s="8" t="str">
        <f t="shared" ref="AC10" si="65">IF(AC8="","",(AB10+AB11))</f>
        <v/>
      </c>
      <c r="AD10" s="8" t="str">
        <f>IF(AD8="","",(AC10+AC11))</f>
        <v/>
      </c>
      <c r="AE10" s="8" t="str">
        <f>IF(AE8="","",(AD10+AD11))</f>
        <v/>
      </c>
      <c r="AF10" s="8" t="str">
        <f t="shared" ref="AF10" si="66">IF(AF8="","",(AE10+AE11))</f>
        <v/>
      </c>
      <c r="AG10" s="8" t="str">
        <f t="shared" ref="AG10" si="67">IF(AG8="","",(AF10+AF11))</f>
        <v/>
      </c>
      <c r="AH10" s="8" t="str">
        <f t="shared" ref="AH10" si="68">IF(AH8="","",(AG10+AG11))</f>
        <v/>
      </c>
      <c r="AI10" s="8" t="str">
        <f t="shared" ref="AI10" si="69">IF(AI8="","",(AH10+AH11))</f>
        <v/>
      </c>
      <c r="AJ10" s="8" t="str">
        <f t="shared" ref="AJ10" si="70">IF(AJ8="","",(AI10+AI11))</f>
        <v/>
      </c>
      <c r="AK10" s="8" t="str">
        <f t="shared" ref="AK10" si="71">IF(AK8="","",(AJ10+AJ11))</f>
        <v/>
      </c>
      <c r="AL10" s="8" t="str">
        <f t="shared" ref="AL10" si="72">IF(AL8="","",(AK10+AK11))</f>
        <v/>
      </c>
      <c r="AM10" s="8" t="str">
        <f t="shared" ref="AM10" si="73">IF(AM8="","",(AL10+AL11))</f>
        <v/>
      </c>
      <c r="AN10" s="8" t="str">
        <f t="shared" ref="AN10" si="74">IF(AN8="","",(AM10+AM11))</f>
        <v/>
      </c>
      <c r="AO10" s="8" t="str">
        <f t="shared" ref="AO10:AS10" si="75">IF(AO8="","",(AN10+AN11))</f>
        <v/>
      </c>
      <c r="AP10" s="8" t="str">
        <f t="shared" si="75"/>
        <v/>
      </c>
      <c r="AQ10" s="8" t="str">
        <f t="shared" si="75"/>
        <v/>
      </c>
      <c r="AR10" s="8" t="str">
        <f t="shared" si="75"/>
        <v/>
      </c>
      <c r="AS10" s="8" t="str">
        <f t="shared" si="75"/>
        <v/>
      </c>
    </row>
    <row r="11" spans="1:45" s="84" customFormat="1" ht="11.25" x14ac:dyDescent="0.15">
      <c r="A11" s="92" t="s">
        <v>6</v>
      </c>
      <c r="B11" s="9" t="s">
        <v>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</row>
    <row r="12" spans="1:45" s="84" customFormat="1" ht="11.25" x14ac:dyDescent="0.15">
      <c r="A12" s="93">
        <f>+(A15+A27+A39+A51)*100</f>
        <v>45300</v>
      </c>
      <c r="B12" s="9" t="s">
        <v>8</v>
      </c>
      <c r="C12" s="8">
        <v>500</v>
      </c>
      <c r="D12" s="8">
        <v>500</v>
      </c>
      <c r="E12" s="8">
        <v>500</v>
      </c>
      <c r="F12" s="8">
        <v>500</v>
      </c>
      <c r="G12" s="8">
        <v>500</v>
      </c>
      <c r="H12" s="8">
        <v>500</v>
      </c>
      <c r="I12" s="8">
        <v>500</v>
      </c>
      <c r="J12" s="8">
        <v>500</v>
      </c>
      <c r="K12" s="8">
        <v>500</v>
      </c>
      <c r="L12" s="8">
        <f t="shared" ref="L12" si="76">IF(L8="","",K12)</f>
        <v>500</v>
      </c>
      <c r="M12" s="8">
        <f t="shared" ref="M12" si="77">IF(M8="","",L12)</f>
        <v>500</v>
      </c>
      <c r="N12" s="8" t="str">
        <f t="shared" ref="N12" si="78">IF(N8="","",M12)</f>
        <v/>
      </c>
      <c r="O12" s="8" t="str">
        <f t="shared" ref="O12" si="79">IF(O8="","",N12)</f>
        <v/>
      </c>
      <c r="P12" s="8" t="str">
        <f t="shared" ref="P12" si="80">IF(P8="","",O12)</f>
        <v/>
      </c>
      <c r="Q12" s="8" t="str">
        <f t="shared" ref="Q12" si="81">IF(Q8="","",P12)</f>
        <v/>
      </c>
      <c r="R12" s="8" t="str">
        <f t="shared" ref="R12" si="82">IF(R8="","",Q12)</f>
        <v/>
      </c>
      <c r="S12" s="8" t="str">
        <f t="shared" ref="S12" si="83">IF(S8="","",R12)</f>
        <v/>
      </c>
      <c r="T12" s="8" t="str">
        <f t="shared" ref="T12" si="84">IF(T8="","",S12)</f>
        <v/>
      </c>
      <c r="U12" s="8" t="str">
        <f t="shared" ref="U12" si="85">IF(U8="","",T12)</f>
        <v/>
      </c>
      <c r="V12" s="8" t="str">
        <f t="shared" ref="V12" si="86">IF(V8="","",U12)</f>
        <v/>
      </c>
      <c r="W12" s="8" t="str">
        <f t="shared" ref="W12" si="87">IF(W8="","",V12)</f>
        <v/>
      </c>
      <c r="X12" s="8" t="str">
        <f t="shared" ref="X12" si="88">IF(X8="","",W12)</f>
        <v/>
      </c>
      <c r="Y12" s="8" t="str">
        <f t="shared" ref="Y12" si="89">IF(Y8="","",X12)</f>
        <v/>
      </c>
      <c r="Z12" s="8" t="str">
        <f t="shared" ref="Z12" si="90">IF(Z8="","",Y12)</f>
        <v/>
      </c>
      <c r="AA12" s="8" t="str">
        <f t="shared" ref="AA12" si="91">IF(AA8="","",Z12)</f>
        <v/>
      </c>
      <c r="AB12" s="8" t="str">
        <f t="shared" ref="AB12" si="92">IF(AB8="","",AA12)</f>
        <v/>
      </c>
      <c r="AC12" s="8" t="str">
        <f t="shared" ref="AC12" si="93">IF(AC8="","",AB12)</f>
        <v/>
      </c>
      <c r="AD12" s="8" t="str">
        <f t="shared" ref="AD12" si="94">IF(AD8="","",AC12)</f>
        <v/>
      </c>
      <c r="AE12" s="8" t="str">
        <f t="shared" ref="AE12" si="95">IF(AE8="","",AD12)</f>
        <v/>
      </c>
      <c r="AF12" s="8" t="str">
        <f t="shared" ref="AF12" si="96">IF(AF8="","",AE12)</f>
        <v/>
      </c>
      <c r="AG12" s="8" t="str">
        <f t="shared" ref="AG12" si="97">IF(AG8="","",AF12)</f>
        <v/>
      </c>
      <c r="AH12" s="8" t="str">
        <f t="shared" ref="AH12" si="98">IF(AH8="","",AG12)</f>
        <v/>
      </c>
      <c r="AI12" s="8" t="str">
        <f t="shared" ref="AI12" si="99">IF(AI8="","",AH12)</f>
        <v/>
      </c>
      <c r="AJ12" s="8" t="str">
        <f t="shared" ref="AJ12" si="100">IF(AJ8="","",AI12)</f>
        <v/>
      </c>
      <c r="AK12" s="8" t="str">
        <f t="shared" ref="AK12" si="101">IF(AK8="","",AJ12)</f>
        <v/>
      </c>
      <c r="AL12" s="8" t="str">
        <f t="shared" ref="AL12" si="102">IF(AL8="","",AK12)</f>
        <v/>
      </c>
      <c r="AM12" s="8" t="str">
        <f t="shared" ref="AM12" si="103">IF(AM8="","",AL12)</f>
        <v/>
      </c>
      <c r="AN12" s="8" t="str">
        <f t="shared" ref="AN12" si="104">IF(AN8="","",AM12)</f>
        <v/>
      </c>
      <c r="AO12" s="8" t="str">
        <f t="shared" ref="AO12:AS12" si="105">IF(AO8="","",AN12)</f>
        <v/>
      </c>
      <c r="AP12" s="8" t="str">
        <f t="shared" si="105"/>
        <v/>
      </c>
      <c r="AQ12" s="8" t="str">
        <f t="shared" si="105"/>
        <v/>
      </c>
      <c r="AR12" s="8" t="str">
        <f t="shared" si="105"/>
        <v/>
      </c>
      <c r="AS12" s="8" t="str">
        <f t="shared" si="105"/>
        <v/>
      </c>
    </row>
    <row r="13" spans="1:45" s="85" customFormat="1" ht="11.25" x14ac:dyDescent="0.15">
      <c r="A13" s="14" t="s">
        <v>9</v>
      </c>
      <c r="B13" s="13" t="s">
        <v>10</v>
      </c>
      <c r="C13" s="12" t="s">
        <v>69</v>
      </c>
      <c r="D13" s="12" t="s">
        <v>69</v>
      </c>
      <c r="E13" s="12" t="s">
        <v>69</v>
      </c>
      <c r="F13" s="12" t="s">
        <v>69</v>
      </c>
      <c r="G13" s="12" t="s">
        <v>69</v>
      </c>
      <c r="H13" s="12" t="s">
        <v>69</v>
      </c>
      <c r="I13" s="12" t="s">
        <v>69</v>
      </c>
      <c r="J13" s="12" t="s">
        <v>69</v>
      </c>
      <c r="K13" s="12" t="s">
        <v>69</v>
      </c>
      <c r="L13" s="12" t="str">
        <f>IF(L8="","",K13)</f>
        <v>バタースクイーズ</v>
      </c>
      <c r="M13" s="12" t="str">
        <f t="shared" ref="M13" si="106">IF(M8="","",L13)</f>
        <v>バタースクイーズ</v>
      </c>
      <c r="N13" s="12" t="str">
        <f t="shared" ref="N13" si="107">IF(N8="","",M13)</f>
        <v/>
      </c>
      <c r="O13" s="12" t="str">
        <f t="shared" ref="O13" si="108">IF(O8="","",N13)</f>
        <v/>
      </c>
      <c r="P13" s="12" t="str">
        <f t="shared" ref="P13" si="109">IF(P8="","",O13)</f>
        <v/>
      </c>
      <c r="Q13" s="12" t="str">
        <f t="shared" ref="Q13" si="110">IF(Q8="","",P13)</f>
        <v/>
      </c>
      <c r="R13" s="12" t="str">
        <f t="shared" ref="R13" si="111">IF(R8="","",Q13)</f>
        <v/>
      </c>
      <c r="S13" s="12" t="str">
        <f t="shared" ref="S13" si="112">IF(S8="","",R13)</f>
        <v/>
      </c>
      <c r="T13" s="12" t="str">
        <f t="shared" ref="T13" si="113">IF(T8="","",S13)</f>
        <v/>
      </c>
      <c r="U13" s="12" t="str">
        <f t="shared" ref="U13" si="114">IF(U8="","",T13)</f>
        <v/>
      </c>
      <c r="V13" s="12" t="str">
        <f t="shared" ref="V13" si="115">IF(V8="","",U13)</f>
        <v/>
      </c>
      <c r="W13" s="12" t="str">
        <f t="shared" ref="W13" si="116">IF(W8="","",V13)</f>
        <v/>
      </c>
      <c r="X13" s="12" t="str">
        <f t="shared" ref="X13" si="117">IF(X8="","",W13)</f>
        <v/>
      </c>
      <c r="Y13" s="12" t="str">
        <f t="shared" ref="Y13" si="118">IF(Y8="","",X13)</f>
        <v/>
      </c>
      <c r="Z13" s="12" t="str">
        <f t="shared" ref="Z13" si="119">IF(Z8="","",Y13)</f>
        <v/>
      </c>
      <c r="AA13" s="12" t="str">
        <f t="shared" ref="AA13" si="120">IF(AA8="","",Z13)</f>
        <v/>
      </c>
      <c r="AB13" s="12" t="str">
        <f t="shared" ref="AB13" si="121">IF(AB8="","",AA13)</f>
        <v/>
      </c>
      <c r="AC13" s="12" t="str">
        <f t="shared" ref="AC13" si="122">IF(AC8="","",AB13)</f>
        <v/>
      </c>
      <c r="AD13" s="12" t="str">
        <f t="shared" ref="AD13" si="123">IF(AD8="","",AC13)</f>
        <v/>
      </c>
      <c r="AE13" s="12" t="str">
        <f t="shared" ref="AE13" si="124">IF(AE8="","",AD13)</f>
        <v/>
      </c>
      <c r="AF13" s="12" t="str">
        <f t="shared" ref="AF13" si="125">IF(AF8="","",AE13)</f>
        <v/>
      </c>
      <c r="AG13" s="12" t="str">
        <f t="shared" ref="AG13" si="126">IF(AG8="","",AF13)</f>
        <v/>
      </c>
      <c r="AH13" s="12" t="str">
        <f t="shared" ref="AH13" si="127">IF(AH8="","",AG13)</f>
        <v/>
      </c>
      <c r="AI13" s="12" t="str">
        <f t="shared" ref="AI13" si="128">IF(AI8="","",AH13)</f>
        <v/>
      </c>
      <c r="AJ13" s="12" t="str">
        <f t="shared" ref="AJ13" si="129">IF(AJ8="","",AI13)</f>
        <v/>
      </c>
      <c r="AK13" s="12" t="str">
        <f t="shared" ref="AK13" si="130">IF(AK8="","",AJ13)</f>
        <v/>
      </c>
      <c r="AL13" s="12" t="str">
        <f t="shared" ref="AL13" si="131">IF(AL8="","",AK13)</f>
        <v/>
      </c>
      <c r="AM13" s="12" t="str">
        <f t="shared" ref="AM13" si="132">IF(AM8="","",AL13)</f>
        <v/>
      </c>
      <c r="AN13" s="12" t="str">
        <f t="shared" ref="AN13" si="133">IF(AN8="","",AM13)</f>
        <v/>
      </c>
      <c r="AO13" s="12" t="str">
        <f t="shared" ref="AO13:AS13" si="134">IF(AO8="","",AN13)</f>
        <v/>
      </c>
      <c r="AP13" s="12" t="str">
        <f t="shared" si="134"/>
        <v/>
      </c>
      <c r="AQ13" s="12" t="str">
        <f t="shared" si="134"/>
        <v/>
      </c>
      <c r="AR13" s="12" t="str">
        <f t="shared" si="134"/>
        <v/>
      </c>
      <c r="AS13" s="12" t="str">
        <f t="shared" si="134"/>
        <v/>
      </c>
    </row>
    <row r="14" spans="1:45" s="84" customFormat="1" ht="11.25" x14ac:dyDescent="0.15">
      <c r="A14" s="7">
        <f>AVERAGE(C15:AS15)*30*100</f>
        <v>27545.454545454544</v>
      </c>
      <c r="B14" s="9" t="s">
        <v>12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</row>
    <row r="15" spans="1:45" s="84" customFormat="1" ht="11.25" x14ac:dyDescent="0.15">
      <c r="A15" s="7">
        <f>SUM(C15:AS15)</f>
        <v>101</v>
      </c>
      <c r="B15" s="6" t="s">
        <v>13</v>
      </c>
      <c r="C15" s="5">
        <v>0</v>
      </c>
      <c r="D15" s="5">
        <v>19</v>
      </c>
      <c r="E15" s="5">
        <v>0</v>
      </c>
      <c r="F15" s="5">
        <v>0</v>
      </c>
      <c r="G15" s="5">
        <v>44</v>
      </c>
      <c r="H15" s="5">
        <v>0</v>
      </c>
      <c r="I15" s="5">
        <v>0</v>
      </c>
      <c r="J15" s="5">
        <v>0</v>
      </c>
      <c r="K15" s="5">
        <v>15</v>
      </c>
      <c r="L15" s="5">
        <f t="shared" ref="L15:L16" si="135">IF(L8="","",L8-K8)</f>
        <v>0</v>
      </c>
      <c r="M15" s="5">
        <f t="shared" ref="M15:M16" si="136">IF(M8="","",M8-L8)</f>
        <v>23</v>
      </c>
      <c r="N15" s="5" t="str">
        <f t="shared" ref="N15:N16" si="137">IF(N8="","",N8-M8)</f>
        <v/>
      </c>
      <c r="O15" s="5" t="str">
        <f t="shared" ref="O15:O16" si="138">IF(O8="","",O8-N8)</f>
        <v/>
      </c>
      <c r="P15" s="5" t="str">
        <f t="shared" ref="P15:P16" si="139">IF(P8="","",P8-O8)</f>
        <v/>
      </c>
      <c r="Q15" s="5" t="str">
        <f t="shared" ref="Q15:Q16" si="140">IF(Q8="","",Q8-P8)</f>
        <v/>
      </c>
      <c r="R15" s="5" t="str">
        <f t="shared" ref="R15:R16" si="141">IF(R8="","",R8-Q8)</f>
        <v/>
      </c>
      <c r="S15" s="5" t="str">
        <f t="shared" ref="S15:S16" si="142">IF(S8="","",S8-R8)</f>
        <v/>
      </c>
      <c r="T15" s="5" t="str">
        <f t="shared" ref="T15:T16" si="143">IF(T8="","",T8-S8)</f>
        <v/>
      </c>
      <c r="U15" s="5" t="str">
        <f t="shared" ref="U15:U16" si="144">IF(U8="","",U8-T8)</f>
        <v/>
      </c>
      <c r="V15" s="5" t="str">
        <f t="shared" ref="V15:V16" si="145">IF(V8="","",V8-U8)</f>
        <v/>
      </c>
      <c r="W15" s="5" t="str">
        <f t="shared" ref="W15:W16" si="146">IF(W8="","",W8-V8)</f>
        <v/>
      </c>
      <c r="X15" s="5" t="str">
        <f t="shared" ref="X15:X16" si="147">IF(X8="","",X8-W8)</f>
        <v/>
      </c>
      <c r="Y15" s="5" t="str">
        <f t="shared" ref="Y15:Y16" si="148">IF(Y8="","",Y8-X8)</f>
        <v/>
      </c>
      <c r="Z15" s="5" t="str">
        <f t="shared" ref="Z15:Z16" si="149">IF(Z8="","",Z8-Y8)</f>
        <v/>
      </c>
      <c r="AA15" s="5" t="str">
        <f t="shared" ref="AA15:AA16" si="150">IF(AA8="","",AA8-Z8)</f>
        <v/>
      </c>
      <c r="AB15" s="5" t="str">
        <f t="shared" ref="AB15:AB16" si="151">IF(AB8="","",AB8-AA8)</f>
        <v/>
      </c>
      <c r="AC15" s="5" t="str">
        <f t="shared" ref="AC15:AC16" si="152">IF(AC8="","",AC8-AB8)</f>
        <v/>
      </c>
      <c r="AD15" s="5" t="str">
        <f t="shared" ref="AD15:AD16" si="153">IF(AD8="","",AD8-AC8)</f>
        <v/>
      </c>
      <c r="AE15" s="5" t="str">
        <f t="shared" ref="AE15:AE16" si="154">IF(AE8="","",AE8-AD8)</f>
        <v/>
      </c>
      <c r="AF15" s="5" t="str">
        <f t="shared" ref="AF15:AF16" si="155">IF(AF8="","",AF8-AE8)</f>
        <v/>
      </c>
      <c r="AG15" s="5" t="str">
        <f t="shared" ref="AG15:AG16" si="156">IF(AG8="","",AG8-AF8)</f>
        <v/>
      </c>
      <c r="AH15" s="5" t="str">
        <f t="shared" ref="AH15:AH16" si="157">IF(AH8="","",AH8-AG8)</f>
        <v/>
      </c>
      <c r="AI15" s="5" t="str">
        <f t="shared" ref="AI15:AI16" si="158">IF(AI8="","",AI8-AH8)</f>
        <v/>
      </c>
      <c r="AJ15" s="5" t="str">
        <f t="shared" ref="AJ15:AJ16" si="159">IF(AJ8="","",AJ8-AI8)</f>
        <v/>
      </c>
      <c r="AK15" s="5" t="str">
        <f t="shared" ref="AK15:AK16" si="160">IF(AK8="","",AK8-AJ8)</f>
        <v/>
      </c>
      <c r="AL15" s="5" t="str">
        <f t="shared" ref="AL15:AL16" si="161">IF(AL8="","",AL8-AK8)</f>
        <v/>
      </c>
      <c r="AM15" s="5" t="str">
        <f t="shared" ref="AM15:AM16" si="162">IF(AM8="","",AM8-AL8)</f>
        <v/>
      </c>
      <c r="AN15" s="5" t="str">
        <f t="shared" ref="AN15" si="163">IF(AN8="","",AN8-AM8)</f>
        <v/>
      </c>
      <c r="AO15" s="5" t="str">
        <f t="shared" ref="AO15:AS15" si="164">IF(AO8="","",AO8-AN8)</f>
        <v/>
      </c>
      <c r="AP15" s="5" t="str">
        <f t="shared" si="164"/>
        <v/>
      </c>
      <c r="AQ15" s="5" t="str">
        <f t="shared" si="164"/>
        <v/>
      </c>
      <c r="AR15" s="5" t="str">
        <f t="shared" si="164"/>
        <v/>
      </c>
      <c r="AS15" s="5" t="str">
        <f t="shared" si="164"/>
        <v/>
      </c>
    </row>
    <row r="16" spans="1:45" s="84" customFormat="1" ht="11.25" x14ac:dyDescent="0.15">
      <c r="A16" s="7">
        <f>SUM(C16:AS16)</f>
        <v>2</v>
      </c>
      <c r="B16" s="6" t="s">
        <v>14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f t="shared" si="135"/>
        <v>0</v>
      </c>
      <c r="M16" s="5">
        <f t="shared" si="136"/>
        <v>2</v>
      </c>
      <c r="N16" s="5" t="str">
        <f t="shared" si="137"/>
        <v/>
      </c>
      <c r="O16" s="5" t="str">
        <f t="shared" si="138"/>
        <v/>
      </c>
      <c r="P16" s="5" t="str">
        <f t="shared" si="139"/>
        <v/>
      </c>
      <c r="Q16" s="5" t="str">
        <f t="shared" si="140"/>
        <v/>
      </c>
      <c r="R16" s="5" t="str">
        <f t="shared" si="141"/>
        <v/>
      </c>
      <c r="S16" s="5" t="str">
        <f t="shared" si="142"/>
        <v/>
      </c>
      <c r="T16" s="5" t="str">
        <f t="shared" si="143"/>
        <v/>
      </c>
      <c r="U16" s="5" t="str">
        <f t="shared" si="144"/>
        <v/>
      </c>
      <c r="V16" s="5" t="str">
        <f t="shared" si="145"/>
        <v/>
      </c>
      <c r="W16" s="5" t="str">
        <f t="shared" si="146"/>
        <v/>
      </c>
      <c r="X16" s="5" t="str">
        <f t="shared" si="147"/>
        <v/>
      </c>
      <c r="Y16" s="5" t="str">
        <f t="shared" si="148"/>
        <v/>
      </c>
      <c r="Z16" s="5" t="str">
        <f t="shared" si="149"/>
        <v/>
      </c>
      <c r="AA16" s="5" t="str">
        <f t="shared" si="150"/>
        <v/>
      </c>
      <c r="AB16" s="5" t="str">
        <f t="shared" si="151"/>
        <v/>
      </c>
      <c r="AC16" s="5" t="str">
        <f t="shared" si="152"/>
        <v/>
      </c>
      <c r="AD16" s="5" t="str">
        <f t="shared" si="153"/>
        <v/>
      </c>
      <c r="AE16" s="5" t="str">
        <f t="shared" si="154"/>
        <v/>
      </c>
      <c r="AF16" s="5" t="str">
        <f t="shared" si="155"/>
        <v/>
      </c>
      <c r="AG16" s="5" t="str">
        <f t="shared" si="156"/>
        <v/>
      </c>
      <c r="AH16" s="5" t="str">
        <f t="shared" si="157"/>
        <v/>
      </c>
      <c r="AI16" s="5" t="str">
        <f t="shared" si="158"/>
        <v/>
      </c>
      <c r="AJ16" s="5" t="str">
        <f t="shared" si="159"/>
        <v/>
      </c>
      <c r="AK16" s="5" t="str">
        <f t="shared" si="160"/>
        <v/>
      </c>
      <c r="AL16" s="5" t="str">
        <f t="shared" si="161"/>
        <v/>
      </c>
      <c r="AM16" s="5" t="str">
        <f t="shared" si="162"/>
        <v/>
      </c>
      <c r="AN16" s="5" t="str">
        <f t="shared" ref="AN16" si="165">IF(AN9="","",AN9-AM9)</f>
        <v/>
      </c>
      <c r="AO16" s="5" t="str">
        <f t="shared" ref="AO16:AS16" si="166">IF(AO9="","",AO9-AN9)</f>
        <v/>
      </c>
      <c r="AP16" s="5" t="str">
        <f t="shared" si="166"/>
        <v/>
      </c>
      <c r="AQ16" s="5" t="str">
        <f t="shared" si="166"/>
        <v/>
      </c>
      <c r="AR16" s="5" t="str">
        <f t="shared" si="166"/>
        <v/>
      </c>
      <c r="AS16" s="5" t="str">
        <f t="shared" si="166"/>
        <v/>
      </c>
    </row>
    <row r="17" spans="1:45" s="84" customFormat="1" ht="11.25" x14ac:dyDescent="0.15">
      <c r="A17" s="7">
        <f>SUM(C17:AS17)</f>
        <v>2</v>
      </c>
      <c r="B17" s="6" t="s">
        <v>15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f t="shared" ref="L17" si="167">IF(L10="","",K10+K11-L10)</f>
        <v>0</v>
      </c>
      <c r="M17" s="5">
        <f t="shared" ref="M17" si="168">IF(M10="","",L10+L11-M10)</f>
        <v>2</v>
      </c>
      <c r="N17" s="5" t="str">
        <f t="shared" ref="N17" si="169">IF(N10="","",M10+M11-N10)</f>
        <v/>
      </c>
      <c r="O17" s="5" t="str">
        <f t="shared" ref="O17" si="170">IF(O10="","",N10+N11-O10)</f>
        <v/>
      </c>
      <c r="P17" s="5" t="str">
        <f t="shared" ref="P17" si="171">IF(P10="","",O10+O11-P10)</f>
        <v/>
      </c>
      <c r="Q17" s="5" t="str">
        <f t="shared" ref="Q17" si="172">IF(Q10="","",P10+P11-Q10)</f>
        <v/>
      </c>
      <c r="R17" s="5" t="str">
        <f t="shared" ref="R17" si="173">IF(R10="","",Q10+Q11-R10)</f>
        <v/>
      </c>
      <c r="S17" s="5" t="str">
        <f t="shared" ref="S17" si="174">IF(S10="","",R10+R11-S10)</f>
        <v/>
      </c>
      <c r="T17" s="5" t="str">
        <f t="shared" ref="T17" si="175">IF(T10="","",S10+S11-T10)</f>
        <v/>
      </c>
      <c r="U17" s="5" t="str">
        <f t="shared" ref="U17" si="176">IF(U10="","",T10+T11-U10)</f>
        <v/>
      </c>
      <c r="V17" s="5" t="str">
        <f t="shared" ref="V17" si="177">IF(V10="","",U10+U11-V10)</f>
        <v/>
      </c>
      <c r="W17" s="5" t="str">
        <f t="shared" ref="W17" si="178">IF(W10="","",V10+V11-W10)</f>
        <v/>
      </c>
      <c r="X17" s="5" t="str">
        <f t="shared" ref="X17" si="179">IF(X10="","",W10+W11-X10)</f>
        <v/>
      </c>
      <c r="Y17" s="5" t="str">
        <f t="shared" ref="Y17" si="180">IF(Y10="","",X10+X11-Y10)</f>
        <v/>
      </c>
      <c r="Z17" s="5" t="str">
        <f t="shared" ref="Z17" si="181">IF(Z10="","",Y10+Y11-Z10)</f>
        <v/>
      </c>
      <c r="AA17" s="5" t="str">
        <f t="shared" ref="AA17" si="182">IF(AA10="","",Z10+Z11-AA10)</f>
        <v/>
      </c>
      <c r="AB17" s="5" t="str">
        <f t="shared" ref="AB17" si="183">IF(AB10="","",AA10+AA11-AB10)</f>
        <v/>
      </c>
      <c r="AC17" s="5" t="str">
        <f t="shared" ref="AC17" si="184">IF(AC10="","",AB10+AB11-AC10)</f>
        <v/>
      </c>
      <c r="AD17" s="5" t="str">
        <f t="shared" ref="AD17" si="185">IF(AD10="","",AC10+AC11-AD10)</f>
        <v/>
      </c>
      <c r="AE17" s="5" t="str">
        <f t="shared" ref="AE17" si="186">IF(AE10="","",AD10+AD11-AE10)</f>
        <v/>
      </c>
      <c r="AF17" s="5" t="str">
        <f t="shared" ref="AF17" si="187">IF(AF10="","",AE10+AE11-AF10)</f>
        <v/>
      </c>
      <c r="AG17" s="5" t="str">
        <f t="shared" ref="AG17" si="188">IF(AG10="","",AF10+AF11-AG10)</f>
        <v/>
      </c>
      <c r="AH17" s="5" t="str">
        <f t="shared" ref="AH17" si="189">IF(AH10="","",AG10+AG11-AH10)</f>
        <v/>
      </c>
      <c r="AI17" s="5" t="str">
        <f t="shared" ref="AI17" si="190">IF(AI10="","",AH10+AH11-AI10)</f>
        <v/>
      </c>
      <c r="AJ17" s="5" t="str">
        <f t="shared" ref="AJ17" si="191">IF(AJ10="","",AI10+AI11-AJ10)</f>
        <v/>
      </c>
      <c r="AK17" s="5" t="str">
        <f t="shared" ref="AK17" si="192">IF(AK10="","",AJ10+AJ11-AK10)</f>
        <v/>
      </c>
      <c r="AL17" s="5" t="str">
        <f t="shared" ref="AL17" si="193">IF(AL10="","",AK10+AK11-AL10)</f>
        <v/>
      </c>
      <c r="AM17" s="5" t="str">
        <f t="shared" ref="AM17" si="194">IF(AM10="","",AL10+AL11-AM10)</f>
        <v/>
      </c>
      <c r="AN17" s="5" t="str">
        <f t="shared" ref="AN17" si="195">IF(AN10="","",AM10+AM11-AN10)</f>
        <v/>
      </c>
      <c r="AO17" s="5" t="str">
        <f t="shared" ref="AO17:AS17" si="196">IF(AO10="","",AN10+AN11-AO10)</f>
        <v/>
      </c>
      <c r="AP17" s="5" t="str">
        <f t="shared" si="196"/>
        <v/>
      </c>
      <c r="AQ17" s="5" t="str">
        <f t="shared" si="196"/>
        <v/>
      </c>
      <c r="AR17" s="5" t="str">
        <f t="shared" si="196"/>
        <v/>
      </c>
      <c r="AS17" s="5" t="str">
        <f t="shared" si="196"/>
        <v/>
      </c>
    </row>
    <row r="18" spans="1:45" s="84" customFormat="1" ht="11.25" x14ac:dyDescent="0.15">
      <c r="A18" s="7">
        <f>SUM(C18:AS18)</f>
        <v>1000</v>
      </c>
      <c r="B18" s="6" t="s">
        <v>16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f t="shared" ref="J18:AM18" si="197">IF(L8="","",L17*L12)</f>
        <v>0</v>
      </c>
      <c r="M18" s="5">
        <f t="shared" si="197"/>
        <v>1000</v>
      </c>
      <c r="N18" s="5" t="str">
        <f t="shared" si="197"/>
        <v/>
      </c>
      <c r="O18" s="5" t="str">
        <f t="shared" si="197"/>
        <v/>
      </c>
      <c r="P18" s="5" t="str">
        <f t="shared" si="197"/>
        <v/>
      </c>
      <c r="Q18" s="5" t="str">
        <f t="shared" si="197"/>
        <v/>
      </c>
      <c r="R18" s="5" t="str">
        <f t="shared" si="197"/>
        <v/>
      </c>
      <c r="S18" s="5" t="str">
        <f t="shared" si="197"/>
        <v/>
      </c>
      <c r="T18" s="5" t="str">
        <f t="shared" si="197"/>
        <v/>
      </c>
      <c r="U18" s="5" t="str">
        <f t="shared" si="197"/>
        <v/>
      </c>
      <c r="V18" s="5" t="str">
        <f t="shared" si="197"/>
        <v/>
      </c>
      <c r="W18" s="5" t="str">
        <f t="shared" si="197"/>
        <v/>
      </c>
      <c r="X18" s="5" t="str">
        <f t="shared" si="197"/>
        <v/>
      </c>
      <c r="Y18" s="5" t="str">
        <f t="shared" si="197"/>
        <v/>
      </c>
      <c r="Z18" s="5" t="str">
        <f t="shared" si="197"/>
        <v/>
      </c>
      <c r="AA18" s="5" t="str">
        <f t="shared" si="197"/>
        <v/>
      </c>
      <c r="AB18" s="5" t="str">
        <f t="shared" si="197"/>
        <v/>
      </c>
      <c r="AC18" s="5" t="str">
        <f t="shared" si="197"/>
        <v/>
      </c>
      <c r="AD18" s="5" t="str">
        <f t="shared" si="197"/>
        <v/>
      </c>
      <c r="AE18" s="5" t="str">
        <f t="shared" si="197"/>
        <v/>
      </c>
      <c r="AF18" s="5" t="str">
        <f t="shared" si="197"/>
        <v/>
      </c>
      <c r="AG18" s="5" t="str">
        <f t="shared" si="197"/>
        <v/>
      </c>
      <c r="AH18" s="5" t="str">
        <f t="shared" si="197"/>
        <v/>
      </c>
      <c r="AI18" s="5" t="str">
        <f t="shared" si="197"/>
        <v/>
      </c>
      <c r="AJ18" s="5" t="str">
        <f t="shared" si="197"/>
        <v/>
      </c>
      <c r="AK18" s="5" t="str">
        <f t="shared" si="197"/>
        <v/>
      </c>
      <c r="AL18" s="5" t="str">
        <f t="shared" si="197"/>
        <v/>
      </c>
      <c r="AM18" s="5" t="str">
        <f t="shared" si="197"/>
        <v/>
      </c>
      <c r="AN18" s="5" t="str">
        <f t="shared" ref="AN18" si="198">IF(AN8="","",AN17*AN12)</f>
        <v/>
      </c>
      <c r="AO18" s="5" t="str">
        <f t="shared" ref="AO18:AS18" si="199">IF(AO8="","",AO17*AO12)</f>
        <v/>
      </c>
      <c r="AP18" s="5" t="str">
        <f t="shared" si="199"/>
        <v/>
      </c>
      <c r="AQ18" s="5" t="str">
        <f t="shared" si="199"/>
        <v/>
      </c>
      <c r="AR18" s="5" t="str">
        <f t="shared" si="199"/>
        <v/>
      </c>
      <c r="AS18" s="5" t="str">
        <f t="shared" si="199"/>
        <v/>
      </c>
    </row>
    <row r="19" spans="1:45" s="84" customFormat="1" ht="12" thickBot="1" x14ac:dyDescent="0.2">
      <c r="A19" s="4">
        <f>IF(A18="","",A18/(A15*100))</f>
        <v>9.9009900990099015E-2</v>
      </c>
      <c r="B19" s="6" t="s">
        <v>18</v>
      </c>
      <c r="C19" s="18" t="s">
        <v>19</v>
      </c>
      <c r="D19" s="18" t="s">
        <v>19</v>
      </c>
      <c r="E19" s="18" t="s">
        <v>19</v>
      </c>
      <c r="F19" s="18" t="s">
        <v>19</v>
      </c>
      <c r="G19" s="18" t="s">
        <v>19</v>
      </c>
      <c r="H19" s="18" t="s">
        <v>19</v>
      </c>
      <c r="I19" s="18" t="s">
        <v>19</v>
      </c>
      <c r="J19" s="18" t="s">
        <v>19</v>
      </c>
      <c r="K19" s="18" t="s">
        <v>19</v>
      </c>
      <c r="L19" s="18" t="str">
        <f t="shared" ref="J19:AM19" si="200">IF(L18="","",IF(L18=0,"",L18/(L15*100)))</f>
        <v/>
      </c>
      <c r="M19" s="18">
        <f t="shared" si="200"/>
        <v>0.43478260869565216</v>
      </c>
      <c r="N19" s="18" t="str">
        <f t="shared" si="200"/>
        <v/>
      </c>
      <c r="O19" s="18" t="str">
        <f t="shared" si="200"/>
        <v/>
      </c>
      <c r="P19" s="18" t="str">
        <f t="shared" si="200"/>
        <v/>
      </c>
      <c r="Q19" s="18" t="str">
        <f t="shared" si="200"/>
        <v/>
      </c>
      <c r="R19" s="18" t="str">
        <f t="shared" si="200"/>
        <v/>
      </c>
      <c r="S19" s="18" t="str">
        <f t="shared" si="200"/>
        <v/>
      </c>
      <c r="T19" s="18" t="str">
        <f t="shared" si="200"/>
        <v/>
      </c>
      <c r="U19" s="18" t="str">
        <f t="shared" si="200"/>
        <v/>
      </c>
      <c r="V19" s="18" t="str">
        <f t="shared" si="200"/>
        <v/>
      </c>
      <c r="W19" s="18" t="str">
        <f t="shared" si="200"/>
        <v/>
      </c>
      <c r="X19" s="18" t="str">
        <f t="shared" si="200"/>
        <v/>
      </c>
      <c r="Y19" s="18" t="str">
        <f t="shared" si="200"/>
        <v/>
      </c>
      <c r="Z19" s="18" t="str">
        <f t="shared" si="200"/>
        <v/>
      </c>
      <c r="AA19" s="18" t="str">
        <f t="shared" si="200"/>
        <v/>
      </c>
      <c r="AB19" s="18" t="str">
        <f t="shared" si="200"/>
        <v/>
      </c>
      <c r="AC19" s="18" t="str">
        <f t="shared" si="200"/>
        <v/>
      </c>
      <c r="AD19" s="18" t="str">
        <f t="shared" si="200"/>
        <v/>
      </c>
      <c r="AE19" s="18" t="str">
        <f t="shared" si="200"/>
        <v/>
      </c>
      <c r="AF19" s="18" t="str">
        <f t="shared" si="200"/>
        <v/>
      </c>
      <c r="AG19" s="18" t="str">
        <f t="shared" si="200"/>
        <v/>
      </c>
      <c r="AH19" s="18" t="str">
        <f t="shared" si="200"/>
        <v/>
      </c>
      <c r="AI19" s="18" t="str">
        <f t="shared" si="200"/>
        <v/>
      </c>
      <c r="AJ19" s="18" t="str">
        <f t="shared" si="200"/>
        <v/>
      </c>
      <c r="AK19" s="18" t="str">
        <f t="shared" si="200"/>
        <v/>
      </c>
      <c r="AL19" s="18" t="str">
        <f t="shared" si="200"/>
        <v/>
      </c>
      <c r="AM19" s="18" t="str">
        <f t="shared" si="200"/>
        <v/>
      </c>
      <c r="AN19" s="18" t="str">
        <f t="shared" ref="AN19" si="201">IF(AN18="","",IF(AN18=0,"",AN18/(AN15*100)))</f>
        <v/>
      </c>
      <c r="AO19" s="18" t="str">
        <f t="shared" ref="AO19:AS19" si="202">IF(AO18="","",IF(AO18=0,"",AO18/(AO15*100)))</f>
        <v/>
      </c>
      <c r="AP19" s="18" t="str">
        <f t="shared" si="202"/>
        <v/>
      </c>
      <c r="AQ19" s="18" t="str">
        <f t="shared" si="202"/>
        <v/>
      </c>
      <c r="AR19" s="18" t="str">
        <f t="shared" si="202"/>
        <v/>
      </c>
      <c r="AS19" s="18" t="str">
        <f t="shared" si="202"/>
        <v/>
      </c>
    </row>
    <row r="20" spans="1:45" s="84" customFormat="1" ht="11.25" x14ac:dyDescent="0.15">
      <c r="A20" s="17" t="s">
        <v>77</v>
      </c>
      <c r="B20" s="9" t="s">
        <v>2</v>
      </c>
      <c r="C20" s="8">
        <v>19113</v>
      </c>
      <c r="D20" s="8">
        <v>19141</v>
      </c>
      <c r="E20" s="8">
        <v>19141</v>
      </c>
      <c r="F20" s="8">
        <v>19141</v>
      </c>
      <c r="G20" s="8">
        <v>19166</v>
      </c>
      <c r="H20" s="8">
        <v>19166</v>
      </c>
      <c r="I20" s="8">
        <v>19166</v>
      </c>
      <c r="J20" s="8">
        <v>19166</v>
      </c>
      <c r="K20" s="8">
        <v>19174</v>
      </c>
      <c r="L20" s="8">
        <f>IF(L$8="","",K20)</f>
        <v>19174</v>
      </c>
      <c r="M20" s="8">
        <v>19210</v>
      </c>
      <c r="N20" s="8" t="str">
        <f t="shared" ref="N20:N21" si="203">IF(N$8="","",M20)</f>
        <v/>
      </c>
      <c r="O20" s="8" t="str">
        <f>IF(O$8="","",N20)</f>
        <v/>
      </c>
      <c r="P20" s="8" t="str">
        <f t="shared" ref="P20:P21" si="204">IF(P$8="","",O20)</f>
        <v/>
      </c>
      <c r="Q20" s="8" t="str">
        <f t="shared" ref="Q20:Q21" si="205">IF(Q$8="","",P20)</f>
        <v/>
      </c>
      <c r="R20" s="8" t="str">
        <f t="shared" ref="R20:R21" si="206">IF(R$8="","",Q20)</f>
        <v/>
      </c>
      <c r="S20" s="8" t="str">
        <f>IF(S$8="","",R20)</f>
        <v/>
      </c>
      <c r="T20" s="8" t="str">
        <f>IF(T$8="","",S20)</f>
        <v/>
      </c>
      <c r="U20" s="8" t="str">
        <f t="shared" ref="U20:U21" si="207">IF(U$8="","",T20)</f>
        <v/>
      </c>
      <c r="V20" s="8" t="str">
        <f>IF(V$8="","",U20)</f>
        <v/>
      </c>
      <c r="W20" s="8" t="str">
        <f>IF(W$8="","",V20)</f>
        <v/>
      </c>
      <c r="X20" s="8" t="str">
        <f t="shared" ref="X20:X21" si="208">IF(X$8="","",W20)</f>
        <v/>
      </c>
      <c r="Y20" s="8" t="str">
        <f t="shared" ref="Y20:Y21" si="209">IF(Y$8="","",X20)</f>
        <v/>
      </c>
      <c r="Z20" s="8" t="str">
        <f>IF(Z$8="","",Y20)</f>
        <v/>
      </c>
      <c r="AA20" s="8" t="str">
        <f t="shared" ref="AA20:AA21" si="210">IF(AA$8="","",Z20)</f>
        <v/>
      </c>
      <c r="AB20" s="8" t="str">
        <f t="shared" ref="AB20:AB21" si="211">IF(AB$8="","",AA20)</f>
        <v/>
      </c>
      <c r="AC20" s="8" t="str">
        <f t="shared" ref="AC20:AC21" si="212">IF(AC$8="","",AB20)</f>
        <v/>
      </c>
      <c r="AD20" s="8" t="str">
        <f>IF(AD$8="","",AC20)</f>
        <v/>
      </c>
      <c r="AE20" s="8" t="str">
        <f>IF(AE$8="","",AD20)</f>
        <v/>
      </c>
      <c r="AF20" s="8" t="str">
        <f t="shared" ref="AF20:AF21" si="213">IF(AF$8="","",AE20)</f>
        <v/>
      </c>
      <c r="AG20" s="8" t="str">
        <f>IF(AG$8="","",AF20)</f>
        <v/>
      </c>
      <c r="AH20" s="8" t="str">
        <f t="shared" ref="AH20:AH21" si="214">IF(AH$8="","",AG20)</f>
        <v/>
      </c>
      <c r="AI20" s="8" t="str">
        <f t="shared" ref="AI20:AI21" si="215">IF(AI$8="","",AH20)</f>
        <v/>
      </c>
      <c r="AJ20" s="8" t="str">
        <f>IF(AJ$8="","",AI20)</f>
        <v/>
      </c>
      <c r="AK20" s="8" t="str">
        <f t="shared" ref="AK20:AK21" si="216">IF(AK$8="","",AJ20)</f>
        <v/>
      </c>
      <c r="AL20" s="8" t="str">
        <f t="shared" ref="AL20:AL21" si="217">IF(AL$8="","",AK20)</f>
        <v/>
      </c>
      <c r="AM20" s="8" t="str">
        <f t="shared" ref="AM20:AM21" si="218">IF(AM$8="","",AL20)</f>
        <v/>
      </c>
      <c r="AN20" s="8" t="str">
        <f>IF(AN$8="","",AM20)</f>
        <v/>
      </c>
      <c r="AO20" s="8" t="str">
        <f t="shared" ref="AO20:AS20" si="219">IF(AO$8="","",AN20)</f>
        <v/>
      </c>
      <c r="AP20" s="8" t="str">
        <f t="shared" si="219"/>
        <v/>
      </c>
      <c r="AQ20" s="8" t="str">
        <f t="shared" si="219"/>
        <v/>
      </c>
      <c r="AR20" s="8" t="str">
        <f t="shared" si="219"/>
        <v/>
      </c>
      <c r="AS20" s="8" t="str">
        <f t="shared" si="219"/>
        <v/>
      </c>
    </row>
    <row r="21" spans="1:45" s="84" customFormat="1" ht="11.25" x14ac:dyDescent="0.15">
      <c r="A21" s="16" t="s">
        <v>3</v>
      </c>
      <c r="B21" s="9" t="s">
        <v>4</v>
      </c>
      <c r="C21" s="8">
        <v>432</v>
      </c>
      <c r="D21" s="8">
        <v>435</v>
      </c>
      <c r="E21" s="8">
        <v>435</v>
      </c>
      <c r="F21" s="8">
        <v>435</v>
      </c>
      <c r="G21" s="8">
        <v>435</v>
      </c>
      <c r="H21" s="8">
        <v>435</v>
      </c>
      <c r="I21" s="8">
        <v>435</v>
      </c>
      <c r="J21" s="8">
        <v>435</v>
      </c>
      <c r="K21" s="8">
        <v>435</v>
      </c>
      <c r="L21" s="8">
        <f>IF(L$8="","",K21)</f>
        <v>435</v>
      </c>
      <c r="M21" s="8">
        <v>438</v>
      </c>
      <c r="N21" s="8" t="str">
        <f t="shared" si="203"/>
        <v/>
      </c>
      <c r="O21" s="8" t="str">
        <f>IF(O$8="","",N21)</f>
        <v/>
      </c>
      <c r="P21" s="8" t="str">
        <f t="shared" si="204"/>
        <v/>
      </c>
      <c r="Q21" s="8" t="str">
        <f t="shared" si="205"/>
        <v/>
      </c>
      <c r="R21" s="8" t="str">
        <f t="shared" si="206"/>
        <v/>
      </c>
      <c r="S21" s="8" t="str">
        <f>IF(S$8="","",R21)</f>
        <v/>
      </c>
      <c r="T21" s="8" t="str">
        <f>IF(T$8="","",S21)</f>
        <v/>
      </c>
      <c r="U21" s="8" t="str">
        <f t="shared" si="207"/>
        <v/>
      </c>
      <c r="V21" s="8" t="str">
        <f>IF(V$8="","",U21)</f>
        <v/>
      </c>
      <c r="W21" s="8" t="str">
        <f t="shared" ref="W21" si="220">IF(W$8="","",V21)</f>
        <v/>
      </c>
      <c r="X21" s="8" t="str">
        <f t="shared" si="208"/>
        <v/>
      </c>
      <c r="Y21" s="8" t="str">
        <f t="shared" si="209"/>
        <v/>
      </c>
      <c r="Z21" s="8" t="str">
        <f>IF(Z$8="","",Y21)</f>
        <v/>
      </c>
      <c r="AA21" s="8" t="str">
        <f t="shared" si="210"/>
        <v/>
      </c>
      <c r="AB21" s="8" t="str">
        <f t="shared" si="211"/>
        <v/>
      </c>
      <c r="AC21" s="8" t="str">
        <f t="shared" si="212"/>
        <v/>
      </c>
      <c r="AD21" s="8" t="str">
        <f>IF(AD$8="","",AC21)</f>
        <v/>
      </c>
      <c r="AE21" s="8" t="str">
        <f>IF(AE$8="","",AD21)</f>
        <v/>
      </c>
      <c r="AF21" s="8" t="str">
        <f t="shared" si="213"/>
        <v/>
      </c>
      <c r="AG21" s="8" t="str">
        <f>IF(AG$8="","",AF21)</f>
        <v/>
      </c>
      <c r="AH21" s="8" t="str">
        <f t="shared" si="214"/>
        <v/>
      </c>
      <c r="AI21" s="8" t="str">
        <f t="shared" si="215"/>
        <v/>
      </c>
      <c r="AJ21" s="8" t="str">
        <f t="shared" ref="AJ20:AJ21" si="221">IF(AJ$8="","",AI21)</f>
        <v/>
      </c>
      <c r="AK21" s="8" t="str">
        <f t="shared" si="216"/>
        <v/>
      </c>
      <c r="AL21" s="8" t="str">
        <f t="shared" si="217"/>
        <v/>
      </c>
      <c r="AM21" s="8" t="str">
        <f t="shared" si="218"/>
        <v/>
      </c>
      <c r="AN21" s="8" t="str">
        <f t="shared" ref="AN21" si="222">IF(AN$8="","",AM21)</f>
        <v/>
      </c>
      <c r="AO21" s="8" t="str">
        <f t="shared" ref="AO21:AS21" si="223">IF(AO$8="","",AN21)</f>
        <v/>
      </c>
      <c r="AP21" s="8" t="str">
        <f t="shared" si="223"/>
        <v/>
      </c>
      <c r="AQ21" s="8" t="str">
        <f t="shared" si="223"/>
        <v/>
      </c>
      <c r="AR21" s="8" t="str">
        <f t="shared" si="223"/>
        <v/>
      </c>
      <c r="AS21" s="8" t="str">
        <f t="shared" si="223"/>
        <v/>
      </c>
    </row>
    <row r="22" spans="1:45" s="84" customFormat="1" ht="11.25" x14ac:dyDescent="0.15">
      <c r="A22" s="15">
        <v>2</v>
      </c>
      <c r="B22" s="9" t="s">
        <v>5</v>
      </c>
      <c r="C22" s="8">
        <v>42</v>
      </c>
      <c r="D22" s="8">
        <v>39</v>
      </c>
      <c r="E22" s="8">
        <v>39</v>
      </c>
      <c r="F22" s="8">
        <v>39</v>
      </c>
      <c r="G22" s="8">
        <v>39</v>
      </c>
      <c r="H22" s="8">
        <v>39</v>
      </c>
      <c r="I22" s="8">
        <v>39</v>
      </c>
      <c r="J22" s="8">
        <v>39</v>
      </c>
      <c r="K22" s="8">
        <v>39</v>
      </c>
      <c r="L22" s="8">
        <f>IF(L20="","",(K22+K23))</f>
        <v>39</v>
      </c>
      <c r="M22" s="8">
        <v>36</v>
      </c>
      <c r="N22" s="8" t="str">
        <f t="shared" ref="N22" si="224">IF(N20="","",(M22+M23))</f>
        <v/>
      </c>
      <c r="O22" s="8" t="str">
        <f t="shared" ref="O22" si="225">IF(O20="","",(N22+N23))</f>
        <v/>
      </c>
      <c r="P22" s="8" t="str">
        <f t="shared" ref="P22" si="226">IF(P20="","",(O22+O23))</f>
        <v/>
      </c>
      <c r="Q22" s="8" t="str">
        <f t="shared" ref="Q22" si="227">IF(Q20="","",(P22+P23))</f>
        <v/>
      </c>
      <c r="R22" s="8" t="str">
        <f t="shared" ref="R22" si="228">IF(R20="","",(Q22+Q23))</f>
        <v/>
      </c>
      <c r="S22" s="8" t="str">
        <f>IF(S20="","",(R22+R23))</f>
        <v/>
      </c>
      <c r="T22" s="8" t="str">
        <f>IF(T20="","",(S22+S23))</f>
        <v/>
      </c>
      <c r="U22" s="8" t="str">
        <f t="shared" ref="U22" si="229">IF(U20="","",(T22+T23))</f>
        <v/>
      </c>
      <c r="V22" s="8" t="str">
        <f>IF(V20="","",(U22+U23))</f>
        <v/>
      </c>
      <c r="W22" s="8" t="str">
        <f t="shared" ref="W22" si="230">IF(W20="","",(V22+V23))</f>
        <v/>
      </c>
      <c r="X22" s="8" t="str">
        <f t="shared" ref="X22" si="231">IF(X20="","",(W22+W23))</f>
        <v/>
      </c>
      <c r="Y22" s="8" t="str">
        <f t="shared" ref="Y22" si="232">IF(Y20="","",(X22+X23))</f>
        <v/>
      </c>
      <c r="Z22" s="8" t="str">
        <f>IF(Z20="","",(Y22+Y23))</f>
        <v/>
      </c>
      <c r="AA22" s="8" t="str">
        <f t="shared" ref="AA22" si="233">IF(AA20="","",(Z22+Z23))</f>
        <v/>
      </c>
      <c r="AB22" s="8" t="str">
        <f t="shared" ref="AB22" si="234">IF(AB20="","",(AA22+AA23))</f>
        <v/>
      </c>
      <c r="AC22" s="8" t="str">
        <f t="shared" ref="AC22" si="235">IF(AC20="","",(AB22+AB23))</f>
        <v/>
      </c>
      <c r="AD22" s="8" t="str">
        <f>IF(AD20="","",(AC22+AC23))</f>
        <v/>
      </c>
      <c r="AE22" s="8" t="str">
        <f>IF(AE20="","",(AD22+AD23))</f>
        <v/>
      </c>
      <c r="AF22" s="8" t="str">
        <f t="shared" ref="AF22" si="236">IF(AF20="","",(AE22+AE23))</f>
        <v/>
      </c>
      <c r="AG22" s="8" t="str">
        <f>IF(AG20="","",(AF22+AF23))</f>
        <v/>
      </c>
      <c r="AH22" s="8" t="str">
        <f t="shared" ref="AH22" si="237">IF(AH20="","",(AG22+AG23))</f>
        <v/>
      </c>
      <c r="AI22" s="8" t="str">
        <f t="shared" ref="AI22" si="238">IF(AI20="","",(AH22+AH23))</f>
        <v/>
      </c>
      <c r="AJ22" s="8" t="str">
        <f t="shared" ref="AJ22" si="239">IF(AJ20="","",(AI22+AI23))</f>
        <v/>
      </c>
      <c r="AK22" s="8" t="str">
        <f t="shared" ref="AK22" si="240">IF(AK20="","",(AJ22+AJ23))</f>
        <v/>
      </c>
      <c r="AL22" s="8" t="str">
        <f t="shared" ref="AL22" si="241">IF(AL20="","",(AK22+AK23))</f>
        <v/>
      </c>
      <c r="AM22" s="8" t="str">
        <f t="shared" ref="AM22" si="242">IF(AM20="","",(AL22+AL23))</f>
        <v/>
      </c>
      <c r="AN22" s="8" t="str">
        <f t="shared" ref="AN22" si="243">IF(AN20="","",(AM22+AM23))</f>
        <v/>
      </c>
      <c r="AO22" s="8" t="str">
        <f t="shared" ref="AO22:AS22" si="244">IF(AO20="","",(AN22+AN23))</f>
        <v/>
      </c>
      <c r="AP22" s="8" t="str">
        <f t="shared" si="244"/>
        <v/>
      </c>
      <c r="AQ22" s="8" t="str">
        <f t="shared" si="244"/>
        <v/>
      </c>
      <c r="AR22" s="8" t="str">
        <f t="shared" si="244"/>
        <v/>
      </c>
      <c r="AS22" s="8" t="str">
        <f t="shared" si="244"/>
        <v/>
      </c>
    </row>
    <row r="23" spans="1:45" s="84" customFormat="1" ht="11.25" x14ac:dyDescent="0.15">
      <c r="A23" s="14"/>
      <c r="B23" s="9" t="s">
        <v>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</row>
    <row r="24" spans="1:45" s="84" customFormat="1" ht="11.25" x14ac:dyDescent="0.15">
      <c r="A24" s="7"/>
      <c r="B24" s="9" t="s">
        <v>8</v>
      </c>
      <c r="C24" s="8">
        <v>682</v>
      </c>
      <c r="D24" s="8">
        <v>682</v>
      </c>
      <c r="E24" s="8">
        <v>682</v>
      </c>
      <c r="F24" s="8">
        <v>682</v>
      </c>
      <c r="G24" s="8">
        <v>682</v>
      </c>
      <c r="H24" s="8">
        <v>682</v>
      </c>
      <c r="I24" s="8">
        <v>682</v>
      </c>
      <c r="J24" s="8">
        <v>682</v>
      </c>
      <c r="K24" s="8">
        <v>682</v>
      </c>
      <c r="L24" s="8">
        <f t="shared" ref="L24" si="245">IF(L20="","",K24)</f>
        <v>682</v>
      </c>
      <c r="M24" s="8">
        <f t="shared" ref="M24" si="246">IF(M20="","",L24)</f>
        <v>682</v>
      </c>
      <c r="N24" s="8" t="str">
        <f t="shared" ref="N24" si="247">IF(N20="","",M24)</f>
        <v/>
      </c>
      <c r="O24" s="8" t="str">
        <f t="shared" ref="O24" si="248">IF(O20="","",N24)</f>
        <v/>
      </c>
      <c r="P24" s="8" t="str">
        <f t="shared" ref="P24" si="249">IF(P20="","",O24)</f>
        <v/>
      </c>
      <c r="Q24" s="8" t="str">
        <f t="shared" ref="Q24" si="250">IF(Q20="","",P24)</f>
        <v/>
      </c>
      <c r="R24" s="8" t="str">
        <f t="shared" ref="R24" si="251">IF(R20="","",Q24)</f>
        <v/>
      </c>
      <c r="S24" s="8" t="str">
        <f t="shared" ref="S24" si="252">IF(S20="","",R24)</f>
        <v/>
      </c>
      <c r="T24" s="8" t="str">
        <f t="shared" ref="T24" si="253">IF(T20="","",S24)</f>
        <v/>
      </c>
      <c r="U24" s="8" t="str">
        <f t="shared" ref="U24" si="254">IF(U20="","",T24)</f>
        <v/>
      </c>
      <c r="V24" s="8" t="str">
        <f t="shared" ref="V24" si="255">IF(V20="","",U24)</f>
        <v/>
      </c>
      <c r="W24" s="8" t="str">
        <f t="shared" ref="W24" si="256">IF(W20="","",V24)</f>
        <v/>
      </c>
      <c r="X24" s="8" t="str">
        <f t="shared" ref="X24" si="257">IF(X20="","",W24)</f>
        <v/>
      </c>
      <c r="Y24" s="8" t="str">
        <f t="shared" ref="Y24" si="258">IF(Y20="","",X24)</f>
        <v/>
      </c>
      <c r="Z24" s="8" t="str">
        <f t="shared" ref="Z24" si="259">IF(Z20="","",Y24)</f>
        <v/>
      </c>
      <c r="AA24" s="8" t="str">
        <f t="shared" ref="AA24" si="260">IF(AA20="","",Z24)</f>
        <v/>
      </c>
      <c r="AB24" s="8" t="str">
        <f t="shared" ref="AB24" si="261">IF(AB20="","",AA24)</f>
        <v/>
      </c>
      <c r="AC24" s="8" t="str">
        <f t="shared" ref="AC24" si="262">IF(AC20="","",AB24)</f>
        <v/>
      </c>
      <c r="AD24" s="8" t="str">
        <f t="shared" ref="AD24" si="263">IF(AD20="","",AC24)</f>
        <v/>
      </c>
      <c r="AE24" s="8" t="str">
        <f t="shared" ref="AE24" si="264">IF(AE20="","",AD24)</f>
        <v/>
      </c>
      <c r="AF24" s="8" t="str">
        <f t="shared" ref="AF24" si="265">IF(AF20="","",AE24)</f>
        <v/>
      </c>
      <c r="AG24" s="8" t="str">
        <f t="shared" ref="AG24" si="266">IF(AG20="","",AF24)</f>
        <v/>
      </c>
      <c r="AH24" s="8" t="str">
        <f t="shared" ref="AH24" si="267">IF(AH20="","",AG24)</f>
        <v/>
      </c>
      <c r="AI24" s="8" t="str">
        <f t="shared" ref="AI24" si="268">IF(AI20="","",AH24)</f>
        <v/>
      </c>
      <c r="AJ24" s="8" t="str">
        <f t="shared" ref="AJ24" si="269">IF(AJ20="","",AI24)</f>
        <v/>
      </c>
      <c r="AK24" s="8" t="str">
        <f t="shared" ref="AK24" si="270">IF(AK20="","",AJ24)</f>
        <v/>
      </c>
      <c r="AL24" s="8" t="str">
        <f t="shared" ref="AL24" si="271">IF(AL20="","",AK24)</f>
        <v/>
      </c>
      <c r="AM24" s="8" t="str">
        <f t="shared" ref="AM24" si="272">IF(AM20="","",AL24)</f>
        <v/>
      </c>
      <c r="AN24" s="8" t="str">
        <f t="shared" ref="AN24" si="273">IF(AN20="","",AM24)</f>
        <v/>
      </c>
      <c r="AO24" s="8" t="str">
        <f t="shared" ref="AO24:AS24" si="274">IF(AO20="","",AN24)</f>
        <v/>
      </c>
      <c r="AP24" s="8" t="str">
        <f t="shared" si="274"/>
        <v/>
      </c>
      <c r="AQ24" s="8" t="str">
        <f t="shared" si="274"/>
        <v/>
      </c>
      <c r="AR24" s="8" t="str">
        <f t="shared" si="274"/>
        <v/>
      </c>
      <c r="AS24" s="8" t="str">
        <f t="shared" si="274"/>
        <v/>
      </c>
    </row>
    <row r="25" spans="1:45" s="85" customFormat="1" ht="11.25" x14ac:dyDescent="0.15">
      <c r="A25" s="14" t="s">
        <v>9</v>
      </c>
      <c r="B25" s="13" t="s">
        <v>10</v>
      </c>
      <c r="C25" s="12" t="s">
        <v>347</v>
      </c>
      <c r="D25" s="12" t="s">
        <v>347</v>
      </c>
      <c r="E25" s="12" t="s">
        <v>347</v>
      </c>
      <c r="F25" s="12" t="s">
        <v>347</v>
      </c>
      <c r="G25" s="12" t="s">
        <v>347</v>
      </c>
      <c r="H25" s="12" t="s">
        <v>347</v>
      </c>
      <c r="I25" s="12" t="s">
        <v>347</v>
      </c>
      <c r="J25" s="12" t="s">
        <v>347</v>
      </c>
      <c r="K25" s="12" t="s">
        <v>347</v>
      </c>
      <c r="L25" s="12" t="str">
        <f t="shared" ref="L25" si="275">IF(L20="","",K25)</f>
        <v>ミニスクイーズ</v>
      </c>
      <c r="M25" s="12" t="str">
        <f t="shared" ref="M25" si="276">IF(M20="","",L25)</f>
        <v>ミニスクイーズ</v>
      </c>
      <c r="N25" s="12" t="str">
        <f t="shared" ref="N25" si="277">IF(N20="","",M25)</f>
        <v/>
      </c>
      <c r="O25" s="12" t="str">
        <f t="shared" ref="O25" si="278">IF(O20="","",N25)</f>
        <v/>
      </c>
      <c r="P25" s="12" t="str">
        <f t="shared" ref="P25" si="279">IF(P20="","",O25)</f>
        <v/>
      </c>
      <c r="Q25" s="12" t="str">
        <f t="shared" ref="Q25" si="280">IF(Q20="","",P25)</f>
        <v/>
      </c>
      <c r="R25" s="12" t="str">
        <f t="shared" ref="R25" si="281">IF(R20="","",Q25)</f>
        <v/>
      </c>
      <c r="S25" s="12" t="str">
        <f t="shared" ref="S25" si="282">IF(S20="","",R25)</f>
        <v/>
      </c>
      <c r="T25" s="12" t="str">
        <f t="shared" ref="T25" si="283">IF(T20="","",S25)</f>
        <v/>
      </c>
      <c r="U25" s="12" t="str">
        <f t="shared" ref="U25" si="284">IF(U20="","",T25)</f>
        <v/>
      </c>
      <c r="V25" s="12" t="str">
        <f t="shared" ref="V25" si="285">IF(V20="","",U25)</f>
        <v/>
      </c>
      <c r="W25" s="12" t="str">
        <f t="shared" ref="W25" si="286">IF(W20="","",V25)</f>
        <v/>
      </c>
      <c r="X25" s="12" t="str">
        <f t="shared" ref="X25" si="287">IF(X20="","",W25)</f>
        <v/>
      </c>
      <c r="Y25" s="12" t="str">
        <f t="shared" ref="Y25" si="288">IF(Y20="","",X25)</f>
        <v/>
      </c>
      <c r="Z25" s="12" t="str">
        <f>IF(Z20="","",Y25)</f>
        <v/>
      </c>
      <c r="AA25" s="12" t="str">
        <f t="shared" ref="AA25" si="289">IF(AA20="","",Z25)</f>
        <v/>
      </c>
      <c r="AB25" s="12" t="str">
        <f t="shared" ref="AB25" si="290">IF(AB20="","",AA25)</f>
        <v/>
      </c>
      <c r="AC25" s="12" t="str">
        <f t="shared" ref="AC25" si="291">IF(AC20="","",AB25)</f>
        <v/>
      </c>
      <c r="AD25" s="12" t="str">
        <f t="shared" ref="AD25" si="292">IF(AD20="","",AC25)</f>
        <v/>
      </c>
      <c r="AE25" s="12" t="str">
        <f t="shared" ref="AE25" si="293">IF(AE20="","",AD25)</f>
        <v/>
      </c>
      <c r="AF25" s="12" t="str">
        <f t="shared" ref="AF25" si="294">IF(AF20="","",AE25)</f>
        <v/>
      </c>
      <c r="AG25" s="12" t="str">
        <f t="shared" ref="AG25" si="295">IF(AG20="","",AF25)</f>
        <v/>
      </c>
      <c r="AH25" s="12" t="str">
        <f t="shared" ref="AH25" si="296">IF(AH20="","",AG25)</f>
        <v/>
      </c>
      <c r="AI25" s="12" t="str">
        <f t="shared" ref="AI25" si="297">IF(AI20="","",AH25)</f>
        <v/>
      </c>
      <c r="AJ25" s="12" t="str">
        <f t="shared" ref="AJ25" si="298">IF(AJ20="","",AI25)</f>
        <v/>
      </c>
      <c r="AK25" s="12" t="str">
        <f t="shared" ref="AK25" si="299">IF(AK20="","",AJ25)</f>
        <v/>
      </c>
      <c r="AL25" s="12" t="str">
        <f t="shared" ref="AL25" si="300">IF(AL20="","",AK25)</f>
        <v/>
      </c>
      <c r="AM25" s="12" t="str">
        <f t="shared" ref="AM25" si="301">IF(AM20="","",AL25)</f>
        <v/>
      </c>
      <c r="AN25" s="12" t="str">
        <f t="shared" ref="AN25" si="302">IF(AN20="","",AM25)</f>
        <v/>
      </c>
      <c r="AO25" s="12" t="str">
        <f t="shared" ref="AO25:AS25" si="303">IF(AO20="","",AN25)</f>
        <v/>
      </c>
      <c r="AP25" s="12" t="str">
        <f t="shared" si="303"/>
        <v/>
      </c>
      <c r="AQ25" s="12" t="str">
        <f t="shared" si="303"/>
        <v/>
      </c>
      <c r="AR25" s="12" t="str">
        <f t="shared" si="303"/>
        <v/>
      </c>
      <c r="AS25" s="12" t="str">
        <f t="shared" si="303"/>
        <v/>
      </c>
    </row>
    <row r="26" spans="1:45" s="84" customFormat="1" ht="11.25" x14ac:dyDescent="0.15">
      <c r="A26" s="7">
        <f>AVERAGE(C27:AS27)*30*100</f>
        <v>26454.545454545456</v>
      </c>
      <c r="B26" s="9" t="s">
        <v>12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</row>
    <row r="27" spans="1:45" s="84" customFormat="1" ht="11.25" x14ac:dyDescent="0.15">
      <c r="A27" s="7">
        <f>SUM(C27:AS27)</f>
        <v>97</v>
      </c>
      <c r="B27" s="6" t="s">
        <v>13</v>
      </c>
      <c r="C27" s="5">
        <v>0</v>
      </c>
      <c r="D27" s="5">
        <v>28</v>
      </c>
      <c r="E27" s="5">
        <v>0</v>
      </c>
      <c r="F27" s="5">
        <v>0</v>
      </c>
      <c r="G27" s="5">
        <v>25</v>
      </c>
      <c r="H27" s="5">
        <v>0</v>
      </c>
      <c r="I27" s="5">
        <v>0</v>
      </c>
      <c r="J27" s="5">
        <v>0</v>
      </c>
      <c r="K27" s="5">
        <v>8</v>
      </c>
      <c r="L27" s="5">
        <f t="shared" ref="L27:L28" si="304">IF(L20="","",L20-K20)</f>
        <v>0</v>
      </c>
      <c r="M27" s="5">
        <f t="shared" ref="M27:M28" si="305">IF(M20="","",M20-L20)</f>
        <v>36</v>
      </c>
      <c r="N27" s="5" t="str">
        <f t="shared" ref="N27:N28" si="306">IF(N20="","",N20-M20)</f>
        <v/>
      </c>
      <c r="O27" s="5" t="str">
        <f t="shared" ref="O27:O28" si="307">IF(O20="","",O20-N20)</f>
        <v/>
      </c>
      <c r="P27" s="5" t="str">
        <f t="shared" ref="P27:P28" si="308">IF(P20="","",P20-O20)</f>
        <v/>
      </c>
      <c r="Q27" s="5" t="str">
        <f t="shared" ref="Q27:Q28" si="309">IF(Q20="","",Q20-P20)</f>
        <v/>
      </c>
      <c r="R27" s="5" t="str">
        <f t="shared" ref="R27:R28" si="310">IF(R20="","",R20-Q20)</f>
        <v/>
      </c>
      <c r="S27" s="5" t="str">
        <f t="shared" ref="S27:S28" si="311">IF(S20="","",S20-R20)</f>
        <v/>
      </c>
      <c r="T27" s="5" t="str">
        <f t="shared" ref="T27:T28" si="312">IF(T20="","",T20-S20)</f>
        <v/>
      </c>
      <c r="U27" s="5" t="str">
        <f t="shared" ref="U27:U28" si="313">IF(U20="","",U20-T20)</f>
        <v/>
      </c>
      <c r="V27" s="5" t="str">
        <f t="shared" ref="V27:V28" si="314">IF(V20="","",V20-U20)</f>
        <v/>
      </c>
      <c r="W27" s="5" t="str">
        <f t="shared" ref="W27:W28" si="315">IF(W20="","",W20-V20)</f>
        <v/>
      </c>
      <c r="X27" s="5" t="str">
        <f t="shared" ref="X27:X28" si="316">IF(X20="","",X20-W20)</f>
        <v/>
      </c>
      <c r="Y27" s="5" t="str">
        <f t="shared" ref="Y27:Y28" si="317">IF(Y20="","",Y20-X20)</f>
        <v/>
      </c>
      <c r="Z27" s="5" t="str">
        <f t="shared" ref="Z27:Z28" si="318">IF(Z20="","",Z20-Y20)</f>
        <v/>
      </c>
      <c r="AA27" s="5" t="str">
        <f t="shared" ref="AA27:AA28" si="319">IF(AA20="","",AA20-Z20)</f>
        <v/>
      </c>
      <c r="AB27" s="5" t="str">
        <f t="shared" ref="AB27:AB28" si="320">IF(AB20="","",AB20-AA20)</f>
        <v/>
      </c>
      <c r="AC27" s="5" t="str">
        <f t="shared" ref="AC27:AC28" si="321">IF(AC20="","",AC20-AB20)</f>
        <v/>
      </c>
      <c r="AD27" s="5" t="str">
        <f t="shared" ref="AD27:AD28" si="322">IF(AD20="","",AD20-AC20)</f>
        <v/>
      </c>
      <c r="AE27" s="5" t="str">
        <f t="shared" ref="AE27:AE28" si="323">IF(AE20="","",AE20-AD20)</f>
        <v/>
      </c>
      <c r="AF27" s="5" t="str">
        <f t="shared" ref="AF27:AF28" si="324">IF(AF20="","",AF20-AE20)</f>
        <v/>
      </c>
      <c r="AG27" s="5" t="str">
        <f t="shared" ref="AG27:AG28" si="325">IF(AG20="","",AG20-AF20)</f>
        <v/>
      </c>
      <c r="AH27" s="5" t="str">
        <f t="shared" ref="AH27:AH28" si="326">IF(AH20="","",AH20-AG20)</f>
        <v/>
      </c>
      <c r="AI27" s="5" t="str">
        <f t="shared" ref="AI27:AI28" si="327">IF(AI20="","",AI20-AH20)</f>
        <v/>
      </c>
      <c r="AJ27" s="5" t="str">
        <f t="shared" ref="AJ27:AJ28" si="328">IF(AJ20="","",AJ20-AI20)</f>
        <v/>
      </c>
      <c r="AK27" s="5" t="str">
        <f t="shared" ref="AK27:AK28" si="329">IF(AK20="","",AK20-AJ20)</f>
        <v/>
      </c>
      <c r="AL27" s="5" t="str">
        <f t="shared" ref="AL27:AL28" si="330">IF(AL20="","",AL20-AK20)</f>
        <v/>
      </c>
      <c r="AM27" s="5" t="str">
        <f t="shared" ref="AM27:AM28" si="331">IF(AM20="","",AM20-AL20)</f>
        <v/>
      </c>
      <c r="AN27" s="5" t="str">
        <f t="shared" ref="AN27" si="332">IF(AN20="","",AN20-AM20)</f>
        <v/>
      </c>
      <c r="AO27" s="5" t="str">
        <f t="shared" ref="AO27:AS27" si="333">IF(AO20="","",AO20-AN20)</f>
        <v/>
      </c>
      <c r="AP27" s="5" t="str">
        <f t="shared" si="333"/>
        <v/>
      </c>
      <c r="AQ27" s="5" t="str">
        <f t="shared" si="333"/>
        <v/>
      </c>
      <c r="AR27" s="5" t="str">
        <f t="shared" si="333"/>
        <v/>
      </c>
      <c r="AS27" s="5" t="str">
        <f t="shared" si="333"/>
        <v/>
      </c>
    </row>
    <row r="28" spans="1:45" s="84" customFormat="1" ht="11.25" x14ac:dyDescent="0.15">
      <c r="A28" s="7">
        <f>SUM(C28:AS28)</f>
        <v>6</v>
      </c>
      <c r="B28" s="6" t="s">
        <v>14</v>
      </c>
      <c r="C28" s="5">
        <v>0</v>
      </c>
      <c r="D28" s="5">
        <v>3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f t="shared" si="304"/>
        <v>0</v>
      </c>
      <c r="M28" s="5">
        <f t="shared" si="305"/>
        <v>3</v>
      </c>
      <c r="N28" s="5" t="str">
        <f t="shared" si="306"/>
        <v/>
      </c>
      <c r="O28" s="5" t="str">
        <f t="shared" si="307"/>
        <v/>
      </c>
      <c r="P28" s="5" t="str">
        <f t="shared" si="308"/>
        <v/>
      </c>
      <c r="Q28" s="5" t="str">
        <f t="shared" si="309"/>
        <v/>
      </c>
      <c r="R28" s="5" t="str">
        <f t="shared" si="310"/>
        <v/>
      </c>
      <c r="S28" s="5" t="str">
        <f t="shared" si="311"/>
        <v/>
      </c>
      <c r="T28" s="5" t="str">
        <f t="shared" si="312"/>
        <v/>
      </c>
      <c r="U28" s="5" t="str">
        <f t="shared" si="313"/>
        <v/>
      </c>
      <c r="V28" s="5" t="str">
        <f t="shared" si="314"/>
        <v/>
      </c>
      <c r="W28" s="5" t="str">
        <f t="shared" si="315"/>
        <v/>
      </c>
      <c r="X28" s="5" t="str">
        <f t="shared" si="316"/>
        <v/>
      </c>
      <c r="Y28" s="5" t="str">
        <f t="shared" si="317"/>
        <v/>
      </c>
      <c r="Z28" s="5" t="str">
        <f t="shared" si="318"/>
        <v/>
      </c>
      <c r="AA28" s="5" t="str">
        <f t="shared" si="319"/>
        <v/>
      </c>
      <c r="AB28" s="5" t="str">
        <f t="shared" si="320"/>
        <v/>
      </c>
      <c r="AC28" s="5" t="str">
        <f t="shared" si="321"/>
        <v/>
      </c>
      <c r="AD28" s="5" t="str">
        <f t="shared" si="322"/>
        <v/>
      </c>
      <c r="AE28" s="5" t="str">
        <f t="shared" si="323"/>
        <v/>
      </c>
      <c r="AF28" s="5" t="str">
        <f t="shared" si="324"/>
        <v/>
      </c>
      <c r="AG28" s="5" t="str">
        <f t="shared" si="325"/>
        <v/>
      </c>
      <c r="AH28" s="5" t="str">
        <f t="shared" si="326"/>
        <v/>
      </c>
      <c r="AI28" s="5" t="str">
        <f t="shared" si="327"/>
        <v/>
      </c>
      <c r="AJ28" s="5" t="str">
        <f t="shared" si="328"/>
        <v/>
      </c>
      <c r="AK28" s="5" t="str">
        <f t="shared" si="329"/>
        <v/>
      </c>
      <c r="AL28" s="5" t="str">
        <f t="shared" si="330"/>
        <v/>
      </c>
      <c r="AM28" s="5" t="str">
        <f t="shared" si="331"/>
        <v/>
      </c>
      <c r="AN28" s="5" t="str">
        <f t="shared" ref="AN28" si="334">IF(AN21="","",AN21-AM21)</f>
        <v/>
      </c>
      <c r="AO28" s="5" t="str">
        <f t="shared" ref="AO28:AS28" si="335">IF(AO21="","",AO21-AN21)</f>
        <v/>
      </c>
      <c r="AP28" s="5" t="str">
        <f t="shared" si="335"/>
        <v/>
      </c>
      <c r="AQ28" s="5" t="str">
        <f t="shared" si="335"/>
        <v/>
      </c>
      <c r="AR28" s="5" t="str">
        <f t="shared" si="335"/>
        <v/>
      </c>
      <c r="AS28" s="5" t="str">
        <f t="shared" si="335"/>
        <v/>
      </c>
    </row>
    <row r="29" spans="1:45" s="84" customFormat="1" ht="11.25" x14ac:dyDescent="0.15">
      <c r="A29" s="7">
        <f>SUM(C29:AS29)</f>
        <v>6</v>
      </c>
      <c r="B29" s="6" t="s">
        <v>15</v>
      </c>
      <c r="C29" s="5">
        <v>0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f t="shared" ref="L29" si="336">IF(L22="","",K22+K23-L22)</f>
        <v>0</v>
      </c>
      <c r="M29" s="5">
        <f t="shared" ref="M29" si="337">IF(M22="","",L22+L23-M22)</f>
        <v>3</v>
      </c>
      <c r="N29" s="5" t="str">
        <f t="shared" ref="N29" si="338">IF(N22="","",M22+M23-N22)</f>
        <v/>
      </c>
      <c r="O29" s="5" t="str">
        <f t="shared" ref="O29" si="339">IF(O22="","",N22+N23-O22)</f>
        <v/>
      </c>
      <c r="P29" s="5" t="str">
        <f t="shared" ref="P29" si="340">IF(P22="","",O22+O23-P22)</f>
        <v/>
      </c>
      <c r="Q29" s="5" t="str">
        <f t="shared" ref="Q29" si="341">IF(Q22="","",P22+P23-Q22)</f>
        <v/>
      </c>
      <c r="R29" s="5" t="str">
        <f t="shared" ref="R29" si="342">IF(R22="","",Q22+Q23-R22)</f>
        <v/>
      </c>
      <c r="S29" s="5" t="str">
        <f t="shared" ref="S29" si="343">IF(S22="","",R22+R23-S22)</f>
        <v/>
      </c>
      <c r="T29" s="5" t="str">
        <f t="shared" ref="T29" si="344">IF(T22="","",S22+S23-T22)</f>
        <v/>
      </c>
      <c r="U29" s="5" t="str">
        <f t="shared" ref="U29" si="345">IF(U22="","",T22+T23-U22)</f>
        <v/>
      </c>
      <c r="V29" s="5" t="str">
        <f t="shared" ref="V29" si="346">IF(V22="","",U22+U23-V22)</f>
        <v/>
      </c>
      <c r="W29" s="5" t="str">
        <f t="shared" ref="W29" si="347">IF(W22="","",V22+V23-W22)</f>
        <v/>
      </c>
      <c r="X29" s="5" t="str">
        <f t="shared" ref="X29" si="348">IF(X22="","",W22+W23-X22)</f>
        <v/>
      </c>
      <c r="Y29" s="5" t="str">
        <f t="shared" ref="Y29" si="349">IF(Y22="","",X22+X23-Y22)</f>
        <v/>
      </c>
      <c r="Z29" s="5" t="str">
        <f t="shared" ref="Z29" si="350">IF(Z22="","",Y22+Y23-Z22)</f>
        <v/>
      </c>
      <c r="AA29" s="5" t="str">
        <f t="shared" ref="AA29" si="351">IF(AA22="","",Z22+Z23-AA22)</f>
        <v/>
      </c>
      <c r="AB29" s="5" t="str">
        <f t="shared" ref="AB29" si="352">IF(AB22="","",AA22+AA23-AB22)</f>
        <v/>
      </c>
      <c r="AC29" s="5" t="str">
        <f t="shared" ref="AC29" si="353">IF(AC22="","",AB22+AB23-AC22)</f>
        <v/>
      </c>
      <c r="AD29" s="5" t="str">
        <f t="shared" ref="AD29" si="354">IF(AD22="","",AC22+AC23-AD22)</f>
        <v/>
      </c>
      <c r="AE29" s="5" t="str">
        <f t="shared" ref="AE29" si="355">IF(AE22="","",AD22+AD23-AE22)</f>
        <v/>
      </c>
      <c r="AF29" s="5" t="str">
        <f t="shared" ref="AF29" si="356">IF(AF22="","",AE22+AE23-AF22)</f>
        <v/>
      </c>
      <c r="AG29" s="5" t="str">
        <f t="shared" ref="AG29" si="357">IF(AG22="","",AF22+AF23-AG22)</f>
        <v/>
      </c>
      <c r="AH29" s="5" t="str">
        <f t="shared" ref="AH29" si="358">IF(AH22="","",AG22+AG23-AH22)</f>
        <v/>
      </c>
      <c r="AI29" s="5" t="str">
        <f t="shared" ref="AI29" si="359">IF(AI22="","",AH22+AH23-AI22)</f>
        <v/>
      </c>
      <c r="AJ29" s="5" t="str">
        <f t="shared" ref="AJ29" si="360">IF(AJ22="","",AI22+AI23-AJ22)</f>
        <v/>
      </c>
      <c r="AK29" s="5" t="str">
        <f t="shared" ref="AK29" si="361">IF(AK22="","",AJ22+AJ23-AK22)</f>
        <v/>
      </c>
      <c r="AL29" s="5" t="str">
        <f t="shared" ref="AL29" si="362">IF(AL22="","",AK22+AK23-AL22)</f>
        <v/>
      </c>
      <c r="AM29" s="5" t="str">
        <f t="shared" ref="AM29" si="363">IF(AM22="","",AL22+AL23-AM22)</f>
        <v/>
      </c>
      <c r="AN29" s="5" t="str">
        <f t="shared" ref="AN29" si="364">IF(AN22="","",AM22+AM23-AN22)</f>
        <v/>
      </c>
      <c r="AO29" s="5" t="str">
        <f t="shared" ref="AO29:AS29" si="365">IF(AO22="","",AN22+AN23-AO22)</f>
        <v/>
      </c>
      <c r="AP29" s="5" t="str">
        <f t="shared" si="365"/>
        <v/>
      </c>
      <c r="AQ29" s="5" t="str">
        <f t="shared" si="365"/>
        <v/>
      </c>
      <c r="AR29" s="5" t="str">
        <f t="shared" si="365"/>
        <v/>
      </c>
      <c r="AS29" s="5" t="str">
        <f t="shared" si="365"/>
        <v/>
      </c>
    </row>
    <row r="30" spans="1:45" s="84" customFormat="1" ht="11.25" x14ac:dyDescent="0.15">
      <c r="A30" s="7">
        <f>SUM(C30:AS30)</f>
        <v>4092</v>
      </c>
      <c r="B30" s="6" t="s">
        <v>16</v>
      </c>
      <c r="C30" s="5">
        <v>0</v>
      </c>
      <c r="D30" s="5">
        <v>2046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f t="shared" ref="J30:AM30" si="366">IF(L20="","",L29*L24)</f>
        <v>0</v>
      </c>
      <c r="M30" s="5">
        <f t="shared" si="366"/>
        <v>2046</v>
      </c>
      <c r="N30" s="5" t="str">
        <f t="shared" si="366"/>
        <v/>
      </c>
      <c r="O30" s="5" t="str">
        <f t="shared" si="366"/>
        <v/>
      </c>
      <c r="P30" s="5" t="str">
        <f t="shared" si="366"/>
        <v/>
      </c>
      <c r="Q30" s="5" t="str">
        <f t="shared" si="366"/>
        <v/>
      </c>
      <c r="R30" s="5" t="str">
        <f t="shared" si="366"/>
        <v/>
      </c>
      <c r="S30" s="5" t="str">
        <f t="shared" si="366"/>
        <v/>
      </c>
      <c r="T30" s="5" t="str">
        <f t="shared" si="366"/>
        <v/>
      </c>
      <c r="U30" s="5" t="str">
        <f t="shared" si="366"/>
        <v/>
      </c>
      <c r="V30" s="5" t="str">
        <f t="shared" si="366"/>
        <v/>
      </c>
      <c r="W30" s="5" t="str">
        <f t="shared" si="366"/>
        <v/>
      </c>
      <c r="X30" s="5" t="str">
        <f t="shared" si="366"/>
        <v/>
      </c>
      <c r="Y30" s="5" t="str">
        <f t="shared" si="366"/>
        <v/>
      </c>
      <c r="Z30" s="5" t="str">
        <f t="shared" si="366"/>
        <v/>
      </c>
      <c r="AA30" s="5" t="str">
        <f t="shared" si="366"/>
        <v/>
      </c>
      <c r="AB30" s="5" t="str">
        <f t="shared" si="366"/>
        <v/>
      </c>
      <c r="AC30" s="5" t="str">
        <f t="shared" si="366"/>
        <v/>
      </c>
      <c r="AD30" s="5" t="str">
        <f t="shared" si="366"/>
        <v/>
      </c>
      <c r="AE30" s="5" t="str">
        <f t="shared" si="366"/>
        <v/>
      </c>
      <c r="AF30" s="5" t="str">
        <f t="shared" si="366"/>
        <v/>
      </c>
      <c r="AG30" s="5" t="str">
        <f t="shared" si="366"/>
        <v/>
      </c>
      <c r="AH30" s="5" t="str">
        <f t="shared" si="366"/>
        <v/>
      </c>
      <c r="AI30" s="5" t="str">
        <f t="shared" si="366"/>
        <v/>
      </c>
      <c r="AJ30" s="5" t="str">
        <f t="shared" si="366"/>
        <v/>
      </c>
      <c r="AK30" s="5" t="str">
        <f t="shared" si="366"/>
        <v/>
      </c>
      <c r="AL30" s="5" t="str">
        <f t="shared" si="366"/>
        <v/>
      </c>
      <c r="AM30" s="5" t="str">
        <f t="shared" si="366"/>
        <v/>
      </c>
      <c r="AN30" s="5" t="str">
        <f t="shared" ref="AN30" si="367">IF(AN20="","",AN29*AN24)</f>
        <v/>
      </c>
      <c r="AO30" s="5" t="str">
        <f t="shared" ref="AO30:AS30" si="368">IF(AO20="","",AO29*AO24)</f>
        <v/>
      </c>
      <c r="AP30" s="5" t="str">
        <f t="shared" si="368"/>
        <v/>
      </c>
      <c r="AQ30" s="5" t="str">
        <f t="shared" si="368"/>
        <v/>
      </c>
      <c r="AR30" s="5" t="str">
        <f t="shared" si="368"/>
        <v/>
      </c>
      <c r="AS30" s="5" t="str">
        <f t="shared" si="368"/>
        <v/>
      </c>
    </row>
    <row r="31" spans="1:45" s="84" customFormat="1" ht="12" thickBot="1" x14ac:dyDescent="0.2">
      <c r="A31" s="4">
        <f>IF(A30="","",A30/(A27*100))</f>
        <v>0.42185567010309277</v>
      </c>
      <c r="B31" s="6" t="s">
        <v>18</v>
      </c>
      <c r="C31" s="18" t="s">
        <v>19</v>
      </c>
      <c r="D31" s="18">
        <v>0.73071428571428576</v>
      </c>
      <c r="E31" s="18" t="s">
        <v>19</v>
      </c>
      <c r="F31" s="18" t="s">
        <v>19</v>
      </c>
      <c r="G31" s="18" t="s">
        <v>19</v>
      </c>
      <c r="H31" s="18" t="s">
        <v>19</v>
      </c>
      <c r="I31" s="18" t="s">
        <v>19</v>
      </c>
      <c r="J31" s="18" t="s">
        <v>19</v>
      </c>
      <c r="K31" s="18" t="s">
        <v>19</v>
      </c>
      <c r="L31" s="18" t="str">
        <f t="shared" ref="J31:AM31" si="369">IF(L30="","",IF(L30=0,"",L30/(L27*100)))</f>
        <v/>
      </c>
      <c r="M31" s="18">
        <f t="shared" si="369"/>
        <v>0.56833333333333336</v>
      </c>
      <c r="N31" s="18" t="str">
        <f t="shared" si="369"/>
        <v/>
      </c>
      <c r="O31" s="18" t="str">
        <f t="shared" si="369"/>
        <v/>
      </c>
      <c r="P31" s="18" t="str">
        <f t="shared" si="369"/>
        <v/>
      </c>
      <c r="Q31" s="18" t="str">
        <f t="shared" si="369"/>
        <v/>
      </c>
      <c r="R31" s="18" t="str">
        <f t="shared" si="369"/>
        <v/>
      </c>
      <c r="S31" s="18" t="str">
        <f t="shared" si="369"/>
        <v/>
      </c>
      <c r="T31" s="18" t="str">
        <f t="shared" si="369"/>
        <v/>
      </c>
      <c r="U31" s="18" t="str">
        <f t="shared" si="369"/>
        <v/>
      </c>
      <c r="V31" s="18" t="str">
        <f t="shared" si="369"/>
        <v/>
      </c>
      <c r="W31" s="18" t="str">
        <f t="shared" si="369"/>
        <v/>
      </c>
      <c r="X31" s="18" t="str">
        <f t="shared" si="369"/>
        <v/>
      </c>
      <c r="Y31" s="18" t="str">
        <f t="shared" si="369"/>
        <v/>
      </c>
      <c r="Z31" s="18" t="str">
        <f t="shared" si="369"/>
        <v/>
      </c>
      <c r="AA31" s="18" t="str">
        <f t="shared" si="369"/>
        <v/>
      </c>
      <c r="AB31" s="18" t="str">
        <f t="shared" si="369"/>
        <v/>
      </c>
      <c r="AC31" s="18" t="str">
        <f t="shared" si="369"/>
        <v/>
      </c>
      <c r="AD31" s="18" t="str">
        <f t="shared" si="369"/>
        <v/>
      </c>
      <c r="AE31" s="18" t="str">
        <f t="shared" si="369"/>
        <v/>
      </c>
      <c r="AF31" s="18" t="str">
        <f t="shared" si="369"/>
        <v/>
      </c>
      <c r="AG31" s="18" t="str">
        <f t="shared" si="369"/>
        <v/>
      </c>
      <c r="AH31" s="18" t="str">
        <f t="shared" si="369"/>
        <v/>
      </c>
      <c r="AI31" s="18" t="str">
        <f t="shared" si="369"/>
        <v/>
      </c>
      <c r="AJ31" s="18" t="str">
        <f t="shared" si="369"/>
        <v/>
      </c>
      <c r="AK31" s="18" t="str">
        <f t="shared" si="369"/>
        <v/>
      </c>
      <c r="AL31" s="18" t="str">
        <f t="shared" si="369"/>
        <v/>
      </c>
      <c r="AM31" s="18" t="str">
        <f t="shared" si="369"/>
        <v/>
      </c>
      <c r="AN31" s="18" t="str">
        <f t="shared" ref="AN31" si="370">IF(AN30="","",IF(AN30=0,"",AN30/(AN27*100)))</f>
        <v/>
      </c>
      <c r="AO31" s="18" t="str">
        <f t="shared" ref="AO31:AS31" si="371">IF(AO30="","",IF(AO30=0,"",AO30/(AO27*100)))</f>
        <v/>
      </c>
      <c r="AP31" s="18" t="str">
        <f t="shared" si="371"/>
        <v/>
      </c>
      <c r="AQ31" s="18" t="str">
        <f t="shared" si="371"/>
        <v/>
      </c>
      <c r="AR31" s="18" t="str">
        <f t="shared" si="371"/>
        <v/>
      </c>
      <c r="AS31" s="18" t="str">
        <f t="shared" si="371"/>
        <v/>
      </c>
    </row>
    <row r="32" spans="1:45" s="84" customFormat="1" ht="11.25" x14ac:dyDescent="0.15">
      <c r="A32" s="17" t="s">
        <v>77</v>
      </c>
      <c r="B32" s="9" t="s">
        <v>2</v>
      </c>
      <c r="C32" s="8">
        <v>14323</v>
      </c>
      <c r="D32" s="8">
        <v>14339</v>
      </c>
      <c r="E32" s="8">
        <v>14339</v>
      </c>
      <c r="F32" s="8">
        <v>14339</v>
      </c>
      <c r="G32" s="8">
        <v>14345</v>
      </c>
      <c r="H32" s="8">
        <v>14345</v>
      </c>
      <c r="I32" s="8">
        <v>14345</v>
      </c>
      <c r="J32" s="8">
        <v>14345</v>
      </c>
      <c r="K32" s="8">
        <v>14372</v>
      </c>
      <c r="L32" s="8">
        <f>IF(L$8="","",K32)</f>
        <v>14372</v>
      </c>
      <c r="M32" s="8">
        <v>14432</v>
      </c>
      <c r="N32" s="8" t="str">
        <f t="shared" ref="N32:N33" si="372">IF(N$8="","",M32)</f>
        <v/>
      </c>
      <c r="O32" s="8" t="str">
        <f>IF(O$8="","",N32)</f>
        <v/>
      </c>
      <c r="P32" s="8" t="str">
        <f t="shared" ref="P32:P33" si="373">IF(P$8="","",O32)</f>
        <v/>
      </c>
      <c r="Q32" s="8" t="str">
        <f t="shared" ref="Q32:Q33" si="374">IF(Q$8="","",P32)</f>
        <v/>
      </c>
      <c r="R32" s="8" t="str">
        <f t="shared" ref="R32:R33" si="375">IF(R$8="","",Q32)</f>
        <v/>
      </c>
      <c r="S32" s="8" t="str">
        <f>IF(S$8="","",R32)</f>
        <v/>
      </c>
      <c r="T32" s="8" t="str">
        <f>IF(T$8="","",S32)</f>
        <v/>
      </c>
      <c r="U32" s="8" t="str">
        <f t="shared" ref="U32:U33" si="376">IF(U$8="","",T32)</f>
        <v/>
      </c>
      <c r="V32" s="8" t="str">
        <f>IF(V$8="","",U32)</f>
        <v/>
      </c>
      <c r="W32" s="8" t="str">
        <f>IF(W$8="","",V32)</f>
        <v/>
      </c>
      <c r="X32" s="8" t="str">
        <f t="shared" ref="X32:X33" si="377">IF(X$8="","",W32)</f>
        <v/>
      </c>
      <c r="Y32" s="8" t="str">
        <f t="shared" ref="Y32:Y33" si="378">IF(Y$8="","",X32)</f>
        <v/>
      </c>
      <c r="Z32" s="8" t="str">
        <f>IF(Z$8="","",Y32)</f>
        <v/>
      </c>
      <c r="AA32" s="8" t="str">
        <f t="shared" ref="AA32:AA33" si="379">IF(AA$8="","",Z32)</f>
        <v/>
      </c>
      <c r="AB32" s="8" t="str">
        <f t="shared" ref="AB32:AB33" si="380">IF(AB$8="","",AA32)</f>
        <v/>
      </c>
      <c r="AC32" s="8" t="str">
        <f t="shared" ref="AC32:AC33" si="381">IF(AC$8="","",AB32)</f>
        <v/>
      </c>
      <c r="AD32" s="8" t="str">
        <f>IF(AD$8="","",AC32)</f>
        <v/>
      </c>
      <c r="AE32" s="8" t="str">
        <f>IF(AE$8="","",AD32)</f>
        <v/>
      </c>
      <c r="AF32" s="8" t="str">
        <f t="shared" ref="AF32:AF33" si="382">IF(AF$8="","",AE32)</f>
        <v/>
      </c>
      <c r="AG32" s="8" t="str">
        <f>IF(AG$8="","",AF32)</f>
        <v/>
      </c>
      <c r="AH32" s="8" t="str">
        <f t="shared" ref="AH32:AH33" si="383">IF(AH$8="","",AG32)</f>
        <v/>
      </c>
      <c r="AI32" s="8" t="str">
        <f t="shared" ref="AI32:AI33" si="384">IF(AI$8="","",AH32)</f>
        <v/>
      </c>
      <c r="AJ32" s="8" t="str">
        <f>IF(AJ$8="","",AI32)</f>
        <v/>
      </c>
      <c r="AK32" s="8" t="str">
        <f t="shared" ref="AK32:AK33" si="385">IF(AK$8="","",AJ32)</f>
        <v/>
      </c>
      <c r="AL32" s="8" t="str">
        <f t="shared" ref="AL32:AL33" si="386">IF(AL$8="","",AK32)</f>
        <v/>
      </c>
      <c r="AM32" s="8" t="str">
        <f t="shared" ref="AM32:AM33" si="387">IF(AM$8="","",AL32)</f>
        <v/>
      </c>
      <c r="AN32" s="8" t="str">
        <f>IF(AN$8="","",AM32)</f>
        <v/>
      </c>
      <c r="AO32" s="8" t="str">
        <f t="shared" ref="AO32:AS32" si="388">IF(AO$8="","",AN32)</f>
        <v/>
      </c>
      <c r="AP32" s="8" t="str">
        <f t="shared" si="388"/>
        <v/>
      </c>
      <c r="AQ32" s="8" t="str">
        <f t="shared" si="388"/>
        <v/>
      </c>
      <c r="AR32" s="8" t="str">
        <f t="shared" si="388"/>
        <v/>
      </c>
      <c r="AS32" s="8" t="str">
        <f t="shared" si="388"/>
        <v/>
      </c>
    </row>
    <row r="33" spans="1:45" s="84" customFormat="1" ht="11.25" x14ac:dyDescent="0.15">
      <c r="A33" s="16" t="s">
        <v>3</v>
      </c>
      <c r="B33" s="9" t="s">
        <v>4</v>
      </c>
      <c r="C33" s="8">
        <v>495</v>
      </c>
      <c r="D33" s="8">
        <v>495</v>
      </c>
      <c r="E33" s="8">
        <v>495</v>
      </c>
      <c r="F33" s="8">
        <v>495</v>
      </c>
      <c r="G33" s="8">
        <v>495</v>
      </c>
      <c r="H33" s="8">
        <v>495</v>
      </c>
      <c r="I33" s="8">
        <v>495</v>
      </c>
      <c r="J33" s="8">
        <v>495</v>
      </c>
      <c r="K33" s="8">
        <v>497</v>
      </c>
      <c r="L33" s="8">
        <f t="shared" ref="L33" si="389">IF(L$8="","",K33)</f>
        <v>497</v>
      </c>
      <c r="M33" s="8">
        <v>497</v>
      </c>
      <c r="N33" s="8" t="str">
        <f t="shared" si="372"/>
        <v/>
      </c>
      <c r="O33" s="8" t="str">
        <f>IF(O$8="","",N33)</f>
        <v/>
      </c>
      <c r="P33" s="8" t="str">
        <f t="shared" si="373"/>
        <v/>
      </c>
      <c r="Q33" s="8" t="str">
        <f t="shared" si="374"/>
        <v/>
      </c>
      <c r="R33" s="8" t="str">
        <f t="shared" si="375"/>
        <v/>
      </c>
      <c r="S33" s="8" t="str">
        <f>IF(S$8="","",R33)</f>
        <v/>
      </c>
      <c r="T33" s="8" t="str">
        <f t="shared" ref="T33" si="390">IF(T$8="","",S33)</f>
        <v/>
      </c>
      <c r="U33" s="8" t="str">
        <f t="shared" si="376"/>
        <v/>
      </c>
      <c r="V33" s="8" t="str">
        <f>IF(V$8="","",U33)</f>
        <v/>
      </c>
      <c r="W33" s="8" t="str">
        <f>IF(W$8="","",V33)</f>
        <v/>
      </c>
      <c r="X33" s="8" t="str">
        <f t="shared" si="377"/>
        <v/>
      </c>
      <c r="Y33" s="8" t="str">
        <f t="shared" si="378"/>
        <v/>
      </c>
      <c r="Z33" s="8" t="str">
        <f>IF(Z$8="","",Y33)</f>
        <v/>
      </c>
      <c r="AA33" s="8" t="str">
        <f t="shared" si="379"/>
        <v/>
      </c>
      <c r="AB33" s="8" t="str">
        <f t="shared" si="380"/>
        <v/>
      </c>
      <c r="AC33" s="8" t="str">
        <f t="shared" si="381"/>
        <v/>
      </c>
      <c r="AD33" s="8" t="str">
        <f t="shared" ref="AD33" si="391">IF(AD$8="","",AC33)</f>
        <v/>
      </c>
      <c r="AE33" s="8" t="str">
        <f t="shared" ref="AE32:AE33" si="392">IF(AE$8="","",AD33)</f>
        <v/>
      </c>
      <c r="AF33" s="8" t="str">
        <f t="shared" si="382"/>
        <v/>
      </c>
      <c r="AG33" s="8" t="str">
        <f>IF(AG$8="","",AF33)</f>
        <v/>
      </c>
      <c r="AH33" s="8" t="str">
        <f t="shared" si="383"/>
        <v/>
      </c>
      <c r="AI33" s="8" t="str">
        <f t="shared" si="384"/>
        <v/>
      </c>
      <c r="AJ33" s="8" t="str">
        <f t="shared" ref="AJ32:AJ33" si="393">IF(AJ$8="","",AI33)</f>
        <v/>
      </c>
      <c r="AK33" s="8" t="str">
        <f t="shared" si="385"/>
        <v/>
      </c>
      <c r="AL33" s="8" t="str">
        <f t="shared" si="386"/>
        <v/>
      </c>
      <c r="AM33" s="8" t="str">
        <f t="shared" si="387"/>
        <v/>
      </c>
      <c r="AN33" s="8" t="str">
        <f>IF(AN$8="","",AM33)</f>
        <v/>
      </c>
      <c r="AO33" s="8" t="str">
        <f t="shared" ref="AO33:AS33" si="394">IF(AO$8="","",AN33)</f>
        <v/>
      </c>
      <c r="AP33" s="8" t="str">
        <f t="shared" si="394"/>
        <v/>
      </c>
      <c r="AQ33" s="8" t="str">
        <f t="shared" si="394"/>
        <v/>
      </c>
      <c r="AR33" s="8" t="str">
        <f t="shared" si="394"/>
        <v/>
      </c>
      <c r="AS33" s="8" t="str">
        <f t="shared" si="394"/>
        <v/>
      </c>
    </row>
    <row r="34" spans="1:45" s="84" customFormat="1" ht="11.25" x14ac:dyDescent="0.15">
      <c r="A34" s="15">
        <v>3</v>
      </c>
      <c r="B34" s="9" t="s">
        <v>5</v>
      </c>
      <c r="C34" s="8">
        <v>21</v>
      </c>
      <c r="D34" s="8">
        <v>21</v>
      </c>
      <c r="E34" s="8">
        <v>21</v>
      </c>
      <c r="F34" s="8">
        <v>21</v>
      </c>
      <c r="G34" s="8">
        <v>21</v>
      </c>
      <c r="H34" s="8">
        <v>21</v>
      </c>
      <c r="I34" s="8">
        <v>21</v>
      </c>
      <c r="J34" s="8">
        <v>21</v>
      </c>
      <c r="K34" s="8">
        <v>19</v>
      </c>
      <c r="L34" s="8">
        <f t="shared" ref="L34" si="395">IF(L32="","",(K34+K35))</f>
        <v>19</v>
      </c>
      <c r="M34" s="8">
        <f t="shared" ref="M34" si="396">IF(M32="","",(L34+L35))</f>
        <v>19</v>
      </c>
      <c r="N34" s="8" t="str">
        <f t="shared" ref="N34" si="397">IF(N32="","",(M34+M35))</f>
        <v/>
      </c>
      <c r="O34" s="8" t="str">
        <f>IF(O32="","",(N34+N35))</f>
        <v/>
      </c>
      <c r="P34" s="8" t="str">
        <f t="shared" ref="P34" si="398">IF(P32="","",(O34+O35))</f>
        <v/>
      </c>
      <c r="Q34" s="8" t="str">
        <f t="shared" ref="Q34" si="399">IF(Q32="","",(P34+P35))</f>
        <v/>
      </c>
      <c r="R34" s="8" t="str">
        <f t="shared" ref="R34" si="400">IF(R32="","",(Q34+Q35))</f>
        <v/>
      </c>
      <c r="S34" s="8" t="str">
        <f>IF(S32="","",(R34+R35))</f>
        <v/>
      </c>
      <c r="T34" s="8" t="str">
        <f t="shared" ref="T34" si="401">IF(T32="","",(S34+S35))</f>
        <v/>
      </c>
      <c r="U34" s="8" t="str">
        <f t="shared" ref="U34" si="402">IF(U32="","",(T34+T35))</f>
        <v/>
      </c>
      <c r="V34" s="8" t="str">
        <f>IF(V32="","",(U34+U35))</f>
        <v/>
      </c>
      <c r="W34" s="8" t="str">
        <f>IF(W32="","",(V34+V35))</f>
        <v/>
      </c>
      <c r="X34" s="8" t="str">
        <f t="shared" ref="X34" si="403">IF(X32="","",(W34+W35))</f>
        <v/>
      </c>
      <c r="Y34" s="8" t="str">
        <f t="shared" ref="Y34" si="404">IF(Y32="","",(X34+X35))</f>
        <v/>
      </c>
      <c r="Z34" s="8" t="str">
        <f t="shared" ref="Z34" si="405">IF(Z32="","",(Y34+Y35))</f>
        <v/>
      </c>
      <c r="AA34" s="8" t="str">
        <f t="shared" ref="AA34" si="406">IF(AA32="","",(Z34+Z35))</f>
        <v/>
      </c>
      <c r="AB34" s="8" t="str">
        <f t="shared" ref="AB34" si="407">IF(AB32="","",(AA34+AA35))</f>
        <v/>
      </c>
      <c r="AC34" s="8" t="str">
        <f t="shared" ref="AC34" si="408">IF(AC32="","",(AB34+AB35))</f>
        <v/>
      </c>
      <c r="AD34" s="8" t="str">
        <f t="shared" ref="AD34" si="409">IF(AD32="","",(AC34+AC35))</f>
        <v/>
      </c>
      <c r="AE34" s="8" t="str">
        <f t="shared" ref="AE34" si="410">IF(AE32="","",(AD34+AD35))</f>
        <v/>
      </c>
      <c r="AF34" s="8" t="str">
        <f t="shared" ref="AF34" si="411">IF(AF32="","",(AE34+AE35))</f>
        <v/>
      </c>
      <c r="AG34" s="8" t="str">
        <f t="shared" ref="AG34" si="412">IF(AG32="","",(AF34+AF35))</f>
        <v/>
      </c>
      <c r="AH34" s="8" t="str">
        <f t="shared" ref="AH34" si="413">IF(AH32="","",(AG34+AG35))</f>
        <v/>
      </c>
      <c r="AI34" s="8" t="str">
        <f t="shared" ref="AI34" si="414">IF(AI32="","",(AH34+AH35))</f>
        <v/>
      </c>
      <c r="AJ34" s="8" t="str">
        <f t="shared" ref="AJ34" si="415">IF(AJ32="","",(AI34+AI35))</f>
        <v/>
      </c>
      <c r="AK34" s="8" t="str">
        <f t="shared" ref="AK34" si="416">IF(AK32="","",(AJ34+AJ35))</f>
        <v/>
      </c>
      <c r="AL34" s="8" t="str">
        <f t="shared" ref="AL34" si="417">IF(AL32="","",(AK34+AK35))</f>
        <v/>
      </c>
      <c r="AM34" s="8" t="str">
        <f t="shared" ref="AM34" si="418">IF(AM32="","",(AL34+AL35))</f>
        <v/>
      </c>
      <c r="AN34" s="8" t="str">
        <f>IF(AN32="","",(AM34+AM35))</f>
        <v/>
      </c>
      <c r="AO34" s="8" t="str">
        <f t="shared" ref="AO34:AS34" si="419">IF(AO32="","",(AN34+AN35))</f>
        <v/>
      </c>
      <c r="AP34" s="8" t="str">
        <f t="shared" si="419"/>
        <v/>
      </c>
      <c r="AQ34" s="8" t="str">
        <f t="shared" si="419"/>
        <v/>
      </c>
      <c r="AR34" s="8" t="str">
        <f t="shared" si="419"/>
        <v/>
      </c>
      <c r="AS34" s="8" t="str">
        <f t="shared" si="419"/>
        <v/>
      </c>
    </row>
    <row r="35" spans="1:45" s="84" customFormat="1" ht="11.25" x14ac:dyDescent="0.15">
      <c r="A35" s="14"/>
      <c r="B35" s="9" t="s">
        <v>7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</row>
    <row r="36" spans="1:45" s="84" customFormat="1" ht="11.25" x14ac:dyDescent="0.15">
      <c r="A36" s="7"/>
      <c r="B36" s="9" t="s">
        <v>8</v>
      </c>
      <c r="C36" s="8">
        <v>750</v>
      </c>
      <c r="D36" s="8">
        <v>750</v>
      </c>
      <c r="E36" s="8">
        <v>750</v>
      </c>
      <c r="F36" s="8">
        <v>750</v>
      </c>
      <c r="G36" s="8">
        <v>750</v>
      </c>
      <c r="H36" s="8">
        <v>750</v>
      </c>
      <c r="I36" s="8">
        <v>750</v>
      </c>
      <c r="J36" s="8">
        <v>750</v>
      </c>
      <c r="K36" s="8">
        <v>750</v>
      </c>
      <c r="L36" s="8">
        <f t="shared" ref="L36" si="420">IF(L32="","",K36)</f>
        <v>750</v>
      </c>
      <c r="M36" s="8">
        <f t="shared" ref="M36" si="421">IF(M32="","",L36)</f>
        <v>750</v>
      </c>
      <c r="N36" s="8" t="str">
        <f t="shared" ref="N36" si="422">IF(N32="","",M36)</f>
        <v/>
      </c>
      <c r="O36" s="8" t="str">
        <f t="shared" ref="O36" si="423">IF(O32="","",N36)</f>
        <v/>
      </c>
      <c r="P36" s="8" t="str">
        <f t="shared" ref="P36" si="424">IF(P32="","",O36)</f>
        <v/>
      </c>
      <c r="Q36" s="8" t="str">
        <f t="shared" ref="Q36" si="425">IF(Q32="","",P36)</f>
        <v/>
      </c>
      <c r="R36" s="8" t="str">
        <f t="shared" ref="R36" si="426">IF(R32="","",Q36)</f>
        <v/>
      </c>
      <c r="S36" s="8" t="str">
        <f t="shared" ref="S36" si="427">IF(S32="","",R36)</f>
        <v/>
      </c>
      <c r="T36" s="8" t="str">
        <f t="shared" ref="T36" si="428">IF(T32="","",S36)</f>
        <v/>
      </c>
      <c r="U36" s="8" t="str">
        <f t="shared" ref="U36" si="429">IF(U32="","",T36)</f>
        <v/>
      </c>
      <c r="V36" s="8" t="str">
        <f t="shared" ref="V36" si="430">IF(V32="","",U36)</f>
        <v/>
      </c>
      <c r="W36" s="8" t="str">
        <f t="shared" ref="W36" si="431">IF(W32="","",V36)</f>
        <v/>
      </c>
      <c r="X36" s="8" t="str">
        <f t="shared" ref="X36" si="432">IF(X32="","",W36)</f>
        <v/>
      </c>
      <c r="Y36" s="8" t="str">
        <f t="shared" ref="Y36" si="433">IF(Y32="","",X36)</f>
        <v/>
      </c>
      <c r="Z36" s="8" t="str">
        <f t="shared" ref="Z36" si="434">IF(Z32="","",Y36)</f>
        <v/>
      </c>
      <c r="AA36" s="8" t="str">
        <f t="shared" ref="AA36" si="435">IF(AA32="","",Z36)</f>
        <v/>
      </c>
      <c r="AB36" s="8" t="str">
        <f t="shared" ref="AB36" si="436">IF(AB32="","",AA36)</f>
        <v/>
      </c>
      <c r="AC36" s="8" t="str">
        <f t="shared" ref="AC36" si="437">IF(AC32="","",AB36)</f>
        <v/>
      </c>
      <c r="AD36" s="8" t="str">
        <f t="shared" ref="AD36" si="438">IF(AD32="","",AC36)</f>
        <v/>
      </c>
      <c r="AE36" s="8" t="str">
        <f t="shared" ref="AE36" si="439">IF(AE32="","",AD36)</f>
        <v/>
      </c>
      <c r="AF36" s="8" t="str">
        <f t="shared" ref="AF36" si="440">IF(AF32="","",AE36)</f>
        <v/>
      </c>
      <c r="AG36" s="8" t="str">
        <f t="shared" ref="AG36" si="441">IF(AG32="","",AF36)</f>
        <v/>
      </c>
      <c r="AH36" s="8" t="str">
        <f t="shared" ref="AH36" si="442">IF(AH32="","",AG36)</f>
        <v/>
      </c>
      <c r="AI36" s="8" t="str">
        <f t="shared" ref="AI36" si="443">IF(AI32="","",AH36)</f>
        <v/>
      </c>
      <c r="AJ36" s="8" t="str">
        <f t="shared" ref="AJ36" si="444">IF(AJ32="","",AI36)</f>
        <v/>
      </c>
      <c r="AK36" s="8" t="str">
        <f t="shared" ref="AK36" si="445">IF(AK32="","",AJ36)</f>
        <v/>
      </c>
      <c r="AL36" s="8" t="str">
        <f t="shared" ref="AL36" si="446">IF(AL32="","",AK36)</f>
        <v/>
      </c>
      <c r="AM36" s="8" t="str">
        <f t="shared" ref="AM36" si="447">IF(AM32="","",AL36)</f>
        <v/>
      </c>
      <c r="AN36" s="8" t="str">
        <f t="shared" ref="AN36" si="448">IF(AN32="","",AM36)</f>
        <v/>
      </c>
      <c r="AO36" s="8" t="str">
        <f t="shared" ref="AO36:AS36" si="449">IF(AO32="","",AN36)</f>
        <v/>
      </c>
      <c r="AP36" s="8" t="str">
        <f t="shared" si="449"/>
        <v/>
      </c>
      <c r="AQ36" s="8" t="str">
        <f t="shared" si="449"/>
        <v/>
      </c>
      <c r="AR36" s="8" t="str">
        <f t="shared" si="449"/>
        <v/>
      </c>
      <c r="AS36" s="8" t="str">
        <f t="shared" si="449"/>
        <v/>
      </c>
    </row>
    <row r="37" spans="1:45" s="85" customFormat="1" ht="11.25" x14ac:dyDescent="0.15">
      <c r="A37" s="14" t="s">
        <v>9</v>
      </c>
      <c r="B37" s="13" t="s">
        <v>10</v>
      </c>
      <c r="C37" s="12" t="s">
        <v>70</v>
      </c>
      <c r="D37" s="12" t="s">
        <v>70</v>
      </c>
      <c r="E37" s="12" t="s">
        <v>70</v>
      </c>
      <c r="F37" s="12" t="s">
        <v>70</v>
      </c>
      <c r="G37" s="12" t="s">
        <v>70</v>
      </c>
      <c r="H37" s="12" t="s">
        <v>70</v>
      </c>
      <c r="I37" s="12" t="s">
        <v>70</v>
      </c>
      <c r="J37" s="12" t="s">
        <v>70</v>
      </c>
      <c r="K37" s="12" t="s">
        <v>70</v>
      </c>
      <c r="L37" s="12" t="str">
        <f t="shared" ref="L37" si="450">IF(L32="","",K37)</f>
        <v>NICI</v>
      </c>
      <c r="M37" s="12" t="str">
        <f t="shared" ref="M37" si="451">IF(M32="","",L37)</f>
        <v>NICI</v>
      </c>
      <c r="N37" s="12" t="str">
        <f t="shared" ref="N37" si="452">IF(N32="","",M37)</f>
        <v/>
      </c>
      <c r="O37" s="12" t="str">
        <f t="shared" ref="O37" si="453">IF(O32="","",N37)</f>
        <v/>
      </c>
      <c r="P37" s="12" t="str">
        <f t="shared" ref="P37" si="454">IF(P32="","",O37)</f>
        <v/>
      </c>
      <c r="Q37" s="12" t="str">
        <f t="shared" ref="Q37" si="455">IF(Q32="","",P37)</f>
        <v/>
      </c>
      <c r="R37" s="12" t="str">
        <f t="shared" ref="R37" si="456">IF(R32="","",Q37)</f>
        <v/>
      </c>
      <c r="S37" s="12" t="str">
        <f t="shared" ref="S37" si="457">IF(S32="","",R37)</f>
        <v/>
      </c>
      <c r="T37" s="12" t="str">
        <f t="shared" ref="T37" si="458">IF(T32="","",S37)</f>
        <v/>
      </c>
      <c r="U37" s="12" t="str">
        <f t="shared" ref="U37" si="459">IF(U32="","",T37)</f>
        <v/>
      </c>
      <c r="V37" s="12" t="str">
        <f t="shared" ref="V37" si="460">IF(V32="","",U37)</f>
        <v/>
      </c>
      <c r="W37" s="12" t="str">
        <f t="shared" ref="W37" si="461">IF(W32="","",V37)</f>
        <v/>
      </c>
      <c r="X37" s="12" t="str">
        <f t="shared" ref="X37" si="462">IF(X32="","",W37)</f>
        <v/>
      </c>
      <c r="Y37" s="12" t="str">
        <f t="shared" ref="Y37" si="463">IF(Y32="","",X37)</f>
        <v/>
      </c>
      <c r="Z37" s="12" t="str">
        <f t="shared" ref="Z37" si="464">IF(Z32="","",Y37)</f>
        <v/>
      </c>
      <c r="AA37" s="12" t="str">
        <f t="shared" ref="AA37" si="465">IF(AA32="","",Z37)</f>
        <v/>
      </c>
      <c r="AB37" s="12" t="str">
        <f t="shared" ref="AB37" si="466">IF(AB32="","",AA37)</f>
        <v/>
      </c>
      <c r="AC37" s="12" t="str">
        <f t="shared" ref="AC37" si="467">IF(AC32="","",AB37)</f>
        <v/>
      </c>
      <c r="AD37" s="12" t="str">
        <f t="shared" ref="AD37" si="468">IF(AD32="","",AC37)</f>
        <v/>
      </c>
      <c r="AE37" s="12" t="str">
        <f t="shared" ref="AE37" si="469">IF(AE32="","",AD37)</f>
        <v/>
      </c>
      <c r="AF37" s="12" t="str">
        <f t="shared" ref="AF37" si="470">IF(AF32="","",AE37)</f>
        <v/>
      </c>
      <c r="AG37" s="12" t="str">
        <f t="shared" ref="AG37" si="471">IF(AG32="","",AF37)</f>
        <v/>
      </c>
      <c r="AH37" s="12" t="str">
        <f t="shared" ref="AH37" si="472">IF(AH32="","",AG37)</f>
        <v/>
      </c>
      <c r="AI37" s="12" t="str">
        <f t="shared" ref="AI37" si="473">IF(AI32="","",AH37)</f>
        <v/>
      </c>
      <c r="AJ37" s="12" t="str">
        <f t="shared" ref="AJ37" si="474">IF(AJ32="","",AI37)</f>
        <v/>
      </c>
      <c r="AK37" s="12" t="str">
        <f t="shared" ref="AK37" si="475">IF(AK32="","",AJ37)</f>
        <v/>
      </c>
      <c r="AL37" s="12" t="str">
        <f t="shared" ref="AL37" si="476">IF(AL32="","",AK37)</f>
        <v/>
      </c>
      <c r="AM37" s="12" t="str">
        <f t="shared" ref="AM37" si="477">IF(AM32="","",AL37)</f>
        <v/>
      </c>
      <c r="AN37" s="12" t="str">
        <f t="shared" ref="AN37" si="478">IF(AN32="","",AM37)</f>
        <v/>
      </c>
      <c r="AO37" s="12" t="str">
        <f t="shared" ref="AO37:AS37" si="479">IF(AO32="","",AN37)</f>
        <v/>
      </c>
      <c r="AP37" s="12" t="str">
        <f t="shared" si="479"/>
        <v/>
      </c>
      <c r="AQ37" s="12" t="str">
        <f t="shared" si="479"/>
        <v/>
      </c>
      <c r="AR37" s="12" t="str">
        <f t="shared" si="479"/>
        <v/>
      </c>
      <c r="AS37" s="12" t="str">
        <f t="shared" si="479"/>
        <v/>
      </c>
    </row>
    <row r="38" spans="1:45" s="84" customFormat="1" ht="11.25" x14ac:dyDescent="0.15">
      <c r="A38" s="7">
        <f>AVERAGE(C39:AS39)*30*100</f>
        <v>29727.272727272724</v>
      </c>
      <c r="B38" s="9" t="s">
        <v>12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1:45" s="84" customFormat="1" ht="11.25" x14ac:dyDescent="0.15">
      <c r="A39" s="7">
        <f>SUM(C39:AS39)</f>
        <v>109</v>
      </c>
      <c r="B39" s="6" t="s">
        <v>13</v>
      </c>
      <c r="C39" s="5">
        <v>0</v>
      </c>
      <c r="D39" s="5">
        <v>16</v>
      </c>
      <c r="E39" s="5">
        <v>0</v>
      </c>
      <c r="F39" s="5">
        <v>0</v>
      </c>
      <c r="G39" s="5">
        <v>6</v>
      </c>
      <c r="H39" s="5">
        <v>0</v>
      </c>
      <c r="I39" s="5">
        <v>0</v>
      </c>
      <c r="J39" s="5">
        <v>0</v>
      </c>
      <c r="K39" s="5">
        <v>27</v>
      </c>
      <c r="L39" s="5">
        <f t="shared" ref="L39:L40" si="480">IF(L32="","",L32-K32)</f>
        <v>0</v>
      </c>
      <c r="M39" s="5">
        <f t="shared" ref="M39:M40" si="481">IF(M32="","",M32-L32)</f>
        <v>60</v>
      </c>
      <c r="N39" s="5" t="str">
        <f t="shared" ref="N39:N40" si="482">IF(N32="","",N32-M32)</f>
        <v/>
      </c>
      <c r="O39" s="5" t="str">
        <f t="shared" ref="O39:O40" si="483">IF(O32="","",O32-N32)</f>
        <v/>
      </c>
      <c r="P39" s="5" t="str">
        <f t="shared" ref="P39:P40" si="484">IF(P32="","",P32-O32)</f>
        <v/>
      </c>
      <c r="Q39" s="5" t="str">
        <f t="shared" ref="Q39:Q40" si="485">IF(Q32="","",Q32-P32)</f>
        <v/>
      </c>
      <c r="R39" s="5" t="str">
        <f t="shared" ref="R39:R40" si="486">IF(R32="","",R32-Q32)</f>
        <v/>
      </c>
      <c r="S39" s="5" t="str">
        <f t="shared" ref="S39:S40" si="487">IF(S32="","",S32-R32)</f>
        <v/>
      </c>
      <c r="T39" s="5" t="str">
        <f t="shared" ref="T39:T40" si="488">IF(T32="","",T32-S32)</f>
        <v/>
      </c>
      <c r="U39" s="5" t="str">
        <f t="shared" ref="U39:U40" si="489">IF(U32="","",U32-T32)</f>
        <v/>
      </c>
      <c r="V39" s="5" t="str">
        <f t="shared" ref="V39:V40" si="490">IF(V32="","",V32-U32)</f>
        <v/>
      </c>
      <c r="W39" s="5" t="str">
        <f t="shared" ref="W39:W40" si="491">IF(W32="","",W32-V32)</f>
        <v/>
      </c>
      <c r="X39" s="5" t="str">
        <f t="shared" ref="X39:X40" si="492">IF(X32="","",X32-W32)</f>
        <v/>
      </c>
      <c r="Y39" s="5" t="str">
        <f t="shared" ref="Y39:Y40" si="493">IF(Y32="","",Y32-X32)</f>
        <v/>
      </c>
      <c r="Z39" s="5" t="str">
        <f t="shared" ref="Z39:Z40" si="494">IF(Z32="","",Z32-Y32)</f>
        <v/>
      </c>
      <c r="AA39" s="5" t="str">
        <f t="shared" ref="AA39:AA40" si="495">IF(AA32="","",AA32-Z32)</f>
        <v/>
      </c>
      <c r="AB39" s="5" t="str">
        <f t="shared" ref="AB39:AB40" si="496">IF(AB32="","",AB32-AA32)</f>
        <v/>
      </c>
      <c r="AC39" s="5" t="str">
        <f t="shared" ref="AC39:AC40" si="497">IF(AC32="","",AC32-AB32)</f>
        <v/>
      </c>
      <c r="AD39" s="5" t="str">
        <f t="shared" ref="AD39:AD40" si="498">IF(AD32="","",AD32-AC32)</f>
        <v/>
      </c>
      <c r="AE39" s="5" t="str">
        <f t="shared" ref="AE39:AE40" si="499">IF(AE32="","",AE32-AD32)</f>
        <v/>
      </c>
      <c r="AF39" s="5" t="str">
        <f t="shared" ref="AF39:AF40" si="500">IF(AF32="","",AF32-AE32)</f>
        <v/>
      </c>
      <c r="AG39" s="5" t="str">
        <f t="shared" ref="AG39:AG40" si="501">IF(AG32="","",AG32-AF32)</f>
        <v/>
      </c>
      <c r="AH39" s="5" t="str">
        <f t="shared" ref="AH39:AH40" si="502">IF(AH32="","",AH32-AG32)</f>
        <v/>
      </c>
      <c r="AI39" s="5" t="str">
        <f t="shared" ref="AI39:AI40" si="503">IF(AI32="","",AI32-AH32)</f>
        <v/>
      </c>
      <c r="AJ39" s="5" t="str">
        <f t="shared" ref="AJ39:AJ40" si="504">IF(AJ32="","",AJ32-AI32)</f>
        <v/>
      </c>
      <c r="AK39" s="5" t="str">
        <f t="shared" ref="AK39:AK40" si="505">IF(AK32="","",AK32-AJ32)</f>
        <v/>
      </c>
      <c r="AL39" s="5" t="str">
        <f t="shared" ref="AL39:AL40" si="506">IF(AL32="","",AL32-AK32)</f>
        <v/>
      </c>
      <c r="AM39" s="5" t="str">
        <f t="shared" ref="AM39:AM40" si="507">IF(AM32="","",AM32-AL32)</f>
        <v/>
      </c>
      <c r="AN39" s="5" t="str">
        <f t="shared" ref="AN39" si="508">IF(AN32="","",AN32-AM32)</f>
        <v/>
      </c>
      <c r="AO39" s="5" t="str">
        <f t="shared" ref="AO39:AS39" si="509">IF(AO32="","",AO32-AN32)</f>
        <v/>
      </c>
      <c r="AP39" s="5" t="str">
        <f t="shared" si="509"/>
        <v/>
      </c>
      <c r="AQ39" s="5" t="str">
        <f t="shared" si="509"/>
        <v/>
      </c>
      <c r="AR39" s="5" t="str">
        <f t="shared" si="509"/>
        <v/>
      </c>
      <c r="AS39" s="5" t="str">
        <f t="shared" si="509"/>
        <v/>
      </c>
    </row>
    <row r="40" spans="1:45" s="84" customFormat="1" ht="11.25" x14ac:dyDescent="0.15">
      <c r="A40" s="7">
        <f>SUM(C40:AS40)</f>
        <v>2</v>
      </c>
      <c r="B40" s="6" t="s">
        <v>14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2</v>
      </c>
      <c r="L40" s="5">
        <f t="shared" si="480"/>
        <v>0</v>
      </c>
      <c r="M40" s="5">
        <f t="shared" si="481"/>
        <v>0</v>
      </c>
      <c r="N40" s="5" t="str">
        <f t="shared" si="482"/>
        <v/>
      </c>
      <c r="O40" s="5" t="str">
        <f t="shared" si="483"/>
        <v/>
      </c>
      <c r="P40" s="5" t="str">
        <f t="shared" si="484"/>
        <v/>
      </c>
      <c r="Q40" s="5" t="str">
        <f t="shared" si="485"/>
        <v/>
      </c>
      <c r="R40" s="5" t="str">
        <f t="shared" si="486"/>
        <v/>
      </c>
      <c r="S40" s="5" t="str">
        <f t="shared" si="487"/>
        <v/>
      </c>
      <c r="T40" s="5" t="str">
        <f t="shared" si="488"/>
        <v/>
      </c>
      <c r="U40" s="5" t="str">
        <f t="shared" si="489"/>
        <v/>
      </c>
      <c r="V40" s="5" t="str">
        <f t="shared" si="490"/>
        <v/>
      </c>
      <c r="W40" s="5" t="str">
        <f t="shared" si="491"/>
        <v/>
      </c>
      <c r="X40" s="5" t="str">
        <f t="shared" si="492"/>
        <v/>
      </c>
      <c r="Y40" s="5" t="str">
        <f t="shared" si="493"/>
        <v/>
      </c>
      <c r="Z40" s="5" t="str">
        <f t="shared" si="494"/>
        <v/>
      </c>
      <c r="AA40" s="5" t="str">
        <f t="shared" si="495"/>
        <v/>
      </c>
      <c r="AB40" s="5" t="str">
        <f t="shared" si="496"/>
        <v/>
      </c>
      <c r="AC40" s="5" t="str">
        <f t="shared" si="497"/>
        <v/>
      </c>
      <c r="AD40" s="5" t="str">
        <f t="shared" si="498"/>
        <v/>
      </c>
      <c r="AE40" s="5" t="str">
        <f t="shared" si="499"/>
        <v/>
      </c>
      <c r="AF40" s="5" t="str">
        <f t="shared" si="500"/>
        <v/>
      </c>
      <c r="AG40" s="5" t="str">
        <f t="shared" si="501"/>
        <v/>
      </c>
      <c r="AH40" s="5" t="str">
        <f t="shared" si="502"/>
        <v/>
      </c>
      <c r="AI40" s="5" t="str">
        <f t="shared" si="503"/>
        <v/>
      </c>
      <c r="AJ40" s="5" t="str">
        <f t="shared" si="504"/>
        <v/>
      </c>
      <c r="AK40" s="5" t="str">
        <f t="shared" si="505"/>
        <v/>
      </c>
      <c r="AL40" s="5" t="str">
        <f t="shared" si="506"/>
        <v/>
      </c>
      <c r="AM40" s="5" t="str">
        <f t="shared" si="507"/>
        <v/>
      </c>
      <c r="AN40" s="5" t="str">
        <f t="shared" ref="AN40" si="510">IF(AN33="","",AN33-AM33)</f>
        <v/>
      </c>
      <c r="AO40" s="5" t="str">
        <f t="shared" ref="AO40:AS40" si="511">IF(AO33="","",AO33-AN33)</f>
        <v/>
      </c>
      <c r="AP40" s="5" t="str">
        <f t="shared" si="511"/>
        <v/>
      </c>
      <c r="AQ40" s="5" t="str">
        <f t="shared" si="511"/>
        <v/>
      </c>
      <c r="AR40" s="5" t="str">
        <f t="shared" si="511"/>
        <v/>
      </c>
      <c r="AS40" s="5" t="str">
        <f t="shared" si="511"/>
        <v/>
      </c>
    </row>
    <row r="41" spans="1:45" s="84" customFormat="1" ht="11.25" x14ac:dyDescent="0.15">
      <c r="A41" s="7">
        <f>SUM(C41:AS41)</f>
        <v>2</v>
      </c>
      <c r="B41" s="6" t="s">
        <v>15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2</v>
      </c>
      <c r="L41" s="5">
        <f t="shared" ref="L41" si="512">IF(L34="","",K34+K35-L34)</f>
        <v>0</v>
      </c>
      <c r="M41" s="5">
        <f t="shared" ref="M41" si="513">IF(M34="","",L34+L35-M34)</f>
        <v>0</v>
      </c>
      <c r="N41" s="5" t="str">
        <f t="shared" ref="N41" si="514">IF(N34="","",M34+M35-N34)</f>
        <v/>
      </c>
      <c r="O41" s="5" t="str">
        <f t="shared" ref="O41" si="515">IF(O34="","",N34+N35-O34)</f>
        <v/>
      </c>
      <c r="P41" s="5" t="str">
        <f t="shared" ref="P41" si="516">IF(P34="","",O34+O35-P34)</f>
        <v/>
      </c>
      <c r="Q41" s="5" t="str">
        <f t="shared" ref="Q41" si="517">IF(Q34="","",P34+P35-Q34)</f>
        <v/>
      </c>
      <c r="R41" s="5" t="str">
        <f t="shared" ref="R41" si="518">IF(R34="","",Q34+Q35-R34)</f>
        <v/>
      </c>
      <c r="S41" s="5" t="str">
        <f t="shared" ref="S41" si="519">IF(S34="","",R34+R35-S34)</f>
        <v/>
      </c>
      <c r="T41" s="5" t="str">
        <f t="shared" ref="T41" si="520">IF(T34="","",S34+S35-T34)</f>
        <v/>
      </c>
      <c r="U41" s="5" t="str">
        <f t="shared" ref="U41" si="521">IF(U34="","",T34+T35-U34)</f>
        <v/>
      </c>
      <c r="V41" s="5" t="str">
        <f t="shared" ref="V41" si="522">IF(V34="","",U34+U35-V34)</f>
        <v/>
      </c>
      <c r="W41" s="5" t="str">
        <f t="shared" ref="W41" si="523">IF(W34="","",V34+V35-W34)</f>
        <v/>
      </c>
      <c r="X41" s="5" t="str">
        <f t="shared" ref="X41" si="524">IF(X34="","",W34+W35-X34)</f>
        <v/>
      </c>
      <c r="Y41" s="5" t="str">
        <f t="shared" ref="Y41" si="525">IF(Y34="","",X34+X35-Y34)</f>
        <v/>
      </c>
      <c r="Z41" s="5" t="str">
        <f t="shared" ref="Z41" si="526">IF(Z34="","",Y34+Y35-Z34)</f>
        <v/>
      </c>
      <c r="AA41" s="5" t="str">
        <f t="shared" ref="AA41" si="527">IF(AA34="","",Z34+Z35-AA34)</f>
        <v/>
      </c>
      <c r="AB41" s="5" t="str">
        <f t="shared" ref="AB41" si="528">IF(AB34="","",AA34+AA35-AB34)</f>
        <v/>
      </c>
      <c r="AC41" s="5" t="str">
        <f t="shared" ref="AC41" si="529">IF(AC34="","",AB34+AB35-AC34)</f>
        <v/>
      </c>
      <c r="AD41" s="5" t="str">
        <f t="shared" ref="AD41" si="530">IF(AD34="","",AC34+AC35-AD34)</f>
        <v/>
      </c>
      <c r="AE41" s="5" t="str">
        <f t="shared" ref="AE41" si="531">IF(AE34="","",AD34+AD35-AE34)</f>
        <v/>
      </c>
      <c r="AF41" s="5" t="str">
        <f t="shared" ref="AF41" si="532">IF(AF34="","",AE34+AE35-AF34)</f>
        <v/>
      </c>
      <c r="AG41" s="5" t="str">
        <f t="shared" ref="AG41" si="533">IF(AG34="","",AF34+AF35-AG34)</f>
        <v/>
      </c>
      <c r="AH41" s="5" t="str">
        <f t="shared" ref="AH41" si="534">IF(AH34="","",AG34+AG35-AH34)</f>
        <v/>
      </c>
      <c r="AI41" s="5" t="str">
        <f t="shared" ref="AI41" si="535">IF(AI34="","",AH34+AH35-AI34)</f>
        <v/>
      </c>
      <c r="AJ41" s="5" t="str">
        <f t="shared" ref="AJ41" si="536">IF(AJ34="","",AI34+AI35-AJ34)</f>
        <v/>
      </c>
      <c r="AK41" s="5" t="str">
        <f t="shared" ref="AK41" si="537">IF(AK34="","",AJ34+AJ35-AK34)</f>
        <v/>
      </c>
      <c r="AL41" s="5" t="str">
        <f t="shared" ref="AL41" si="538">IF(AL34="","",AK34+AK35-AL34)</f>
        <v/>
      </c>
      <c r="AM41" s="5" t="str">
        <f t="shared" ref="AM41" si="539">IF(AM34="","",AL34+AL35-AM34)</f>
        <v/>
      </c>
      <c r="AN41" s="5" t="str">
        <f t="shared" ref="AN41" si="540">IF(AN34="","",AM34+AM35-AN34)</f>
        <v/>
      </c>
      <c r="AO41" s="5" t="str">
        <f t="shared" ref="AO41:AS41" si="541">IF(AO34="","",AN34+AN35-AO34)</f>
        <v/>
      </c>
      <c r="AP41" s="5" t="str">
        <f t="shared" si="541"/>
        <v/>
      </c>
      <c r="AQ41" s="5" t="str">
        <f t="shared" si="541"/>
        <v/>
      </c>
      <c r="AR41" s="5" t="str">
        <f t="shared" si="541"/>
        <v/>
      </c>
      <c r="AS41" s="5" t="str">
        <f t="shared" si="541"/>
        <v/>
      </c>
    </row>
    <row r="42" spans="1:45" s="84" customFormat="1" ht="11.25" x14ac:dyDescent="0.15">
      <c r="A42" s="7">
        <f>SUM(C42:AS42)</f>
        <v>1500</v>
      </c>
      <c r="B42" s="6" t="s">
        <v>16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1500</v>
      </c>
      <c r="L42" s="5">
        <f t="shared" ref="J42:AM42" si="542">IF(L32="","",L41*L36)</f>
        <v>0</v>
      </c>
      <c r="M42" s="5">
        <f t="shared" si="542"/>
        <v>0</v>
      </c>
      <c r="N42" s="5" t="str">
        <f t="shared" si="542"/>
        <v/>
      </c>
      <c r="O42" s="5" t="str">
        <f t="shared" si="542"/>
        <v/>
      </c>
      <c r="P42" s="5" t="str">
        <f t="shared" si="542"/>
        <v/>
      </c>
      <c r="Q42" s="5" t="str">
        <f t="shared" si="542"/>
        <v/>
      </c>
      <c r="R42" s="5" t="str">
        <f t="shared" si="542"/>
        <v/>
      </c>
      <c r="S42" s="5" t="str">
        <f t="shared" si="542"/>
        <v/>
      </c>
      <c r="T42" s="5" t="str">
        <f t="shared" si="542"/>
        <v/>
      </c>
      <c r="U42" s="5" t="str">
        <f t="shared" si="542"/>
        <v/>
      </c>
      <c r="V42" s="5" t="str">
        <f t="shared" si="542"/>
        <v/>
      </c>
      <c r="W42" s="5" t="str">
        <f t="shared" si="542"/>
        <v/>
      </c>
      <c r="X42" s="5" t="str">
        <f t="shared" si="542"/>
        <v/>
      </c>
      <c r="Y42" s="5" t="str">
        <f t="shared" si="542"/>
        <v/>
      </c>
      <c r="Z42" s="5" t="str">
        <f t="shared" si="542"/>
        <v/>
      </c>
      <c r="AA42" s="5" t="str">
        <f t="shared" si="542"/>
        <v/>
      </c>
      <c r="AB42" s="5" t="str">
        <f t="shared" si="542"/>
        <v/>
      </c>
      <c r="AC42" s="5" t="str">
        <f t="shared" si="542"/>
        <v/>
      </c>
      <c r="AD42" s="5" t="str">
        <f t="shared" si="542"/>
        <v/>
      </c>
      <c r="AE42" s="5" t="str">
        <f t="shared" si="542"/>
        <v/>
      </c>
      <c r="AF42" s="5" t="str">
        <f t="shared" si="542"/>
        <v/>
      </c>
      <c r="AG42" s="5" t="str">
        <f t="shared" si="542"/>
        <v/>
      </c>
      <c r="AH42" s="5" t="str">
        <f t="shared" si="542"/>
        <v/>
      </c>
      <c r="AI42" s="5" t="str">
        <f t="shared" si="542"/>
        <v/>
      </c>
      <c r="AJ42" s="5" t="str">
        <f t="shared" si="542"/>
        <v/>
      </c>
      <c r="AK42" s="5" t="str">
        <f t="shared" si="542"/>
        <v/>
      </c>
      <c r="AL42" s="5" t="str">
        <f t="shared" si="542"/>
        <v/>
      </c>
      <c r="AM42" s="5" t="str">
        <f t="shared" si="542"/>
        <v/>
      </c>
      <c r="AN42" s="5" t="str">
        <f t="shared" ref="AN42" si="543">IF(AN32="","",AN41*AN36)</f>
        <v/>
      </c>
      <c r="AO42" s="5" t="str">
        <f t="shared" ref="AO42:AS42" si="544">IF(AO32="","",AO41*AO36)</f>
        <v/>
      </c>
      <c r="AP42" s="5" t="str">
        <f t="shared" si="544"/>
        <v/>
      </c>
      <c r="AQ42" s="5" t="str">
        <f t="shared" si="544"/>
        <v/>
      </c>
      <c r="AR42" s="5" t="str">
        <f t="shared" si="544"/>
        <v/>
      </c>
      <c r="AS42" s="5" t="str">
        <f t="shared" si="544"/>
        <v/>
      </c>
    </row>
    <row r="43" spans="1:45" s="84" customFormat="1" ht="12" thickBot="1" x14ac:dyDescent="0.2">
      <c r="A43" s="4">
        <f>IF(A42="","",A42/(A39*100))</f>
        <v>0.13761467889908258</v>
      </c>
      <c r="B43" s="6" t="s">
        <v>18</v>
      </c>
      <c r="C43" s="18" t="s">
        <v>19</v>
      </c>
      <c r="D43" s="18" t="s">
        <v>19</v>
      </c>
      <c r="E43" s="18" t="s">
        <v>19</v>
      </c>
      <c r="F43" s="18" t="s">
        <v>19</v>
      </c>
      <c r="G43" s="18" t="s">
        <v>19</v>
      </c>
      <c r="H43" s="18" t="s">
        <v>19</v>
      </c>
      <c r="I43" s="18" t="s">
        <v>19</v>
      </c>
      <c r="J43" s="18" t="s">
        <v>19</v>
      </c>
      <c r="K43" s="18">
        <v>0.55555555555555558</v>
      </c>
      <c r="L43" s="18" t="str">
        <f t="shared" ref="J43:AM43" si="545">IF(L42="","",IF(L42=0,"",L42/(L39*100)))</f>
        <v/>
      </c>
      <c r="M43" s="18" t="str">
        <f t="shared" si="545"/>
        <v/>
      </c>
      <c r="N43" s="18" t="str">
        <f t="shared" si="545"/>
        <v/>
      </c>
      <c r="O43" s="18" t="str">
        <f t="shared" si="545"/>
        <v/>
      </c>
      <c r="P43" s="18" t="str">
        <f t="shared" si="545"/>
        <v/>
      </c>
      <c r="Q43" s="18" t="str">
        <f t="shared" si="545"/>
        <v/>
      </c>
      <c r="R43" s="18" t="str">
        <f t="shared" si="545"/>
        <v/>
      </c>
      <c r="S43" s="18" t="str">
        <f t="shared" si="545"/>
        <v/>
      </c>
      <c r="T43" s="18" t="str">
        <f t="shared" si="545"/>
        <v/>
      </c>
      <c r="U43" s="18" t="str">
        <f t="shared" si="545"/>
        <v/>
      </c>
      <c r="V43" s="18" t="str">
        <f t="shared" si="545"/>
        <v/>
      </c>
      <c r="W43" s="18" t="str">
        <f t="shared" si="545"/>
        <v/>
      </c>
      <c r="X43" s="18" t="str">
        <f t="shared" si="545"/>
        <v/>
      </c>
      <c r="Y43" s="18" t="str">
        <f t="shared" si="545"/>
        <v/>
      </c>
      <c r="Z43" s="18" t="str">
        <f t="shared" si="545"/>
        <v/>
      </c>
      <c r="AA43" s="18" t="str">
        <f t="shared" si="545"/>
        <v/>
      </c>
      <c r="AB43" s="18" t="str">
        <f t="shared" si="545"/>
        <v/>
      </c>
      <c r="AC43" s="18" t="str">
        <f t="shared" si="545"/>
        <v/>
      </c>
      <c r="AD43" s="18" t="str">
        <f t="shared" si="545"/>
        <v/>
      </c>
      <c r="AE43" s="18" t="str">
        <f t="shared" si="545"/>
        <v/>
      </c>
      <c r="AF43" s="18" t="str">
        <f t="shared" si="545"/>
        <v/>
      </c>
      <c r="AG43" s="18" t="str">
        <f t="shared" si="545"/>
        <v/>
      </c>
      <c r="AH43" s="18" t="str">
        <f t="shared" si="545"/>
        <v/>
      </c>
      <c r="AI43" s="18" t="str">
        <f t="shared" si="545"/>
        <v/>
      </c>
      <c r="AJ43" s="18" t="str">
        <f t="shared" si="545"/>
        <v/>
      </c>
      <c r="AK43" s="18" t="str">
        <f t="shared" si="545"/>
        <v/>
      </c>
      <c r="AL43" s="18" t="str">
        <f t="shared" si="545"/>
        <v/>
      </c>
      <c r="AM43" s="18" t="str">
        <f t="shared" si="545"/>
        <v/>
      </c>
      <c r="AN43" s="18" t="str">
        <f t="shared" ref="AN43" si="546">IF(AN42="","",IF(AN42=0,"",AN42/(AN39*100)))</f>
        <v/>
      </c>
      <c r="AO43" s="18" t="str">
        <f t="shared" ref="AO43:AS43" si="547">IF(AO42="","",IF(AO42=0,"",AO42/(AO39*100)))</f>
        <v/>
      </c>
      <c r="AP43" s="18" t="str">
        <f t="shared" si="547"/>
        <v/>
      </c>
      <c r="AQ43" s="18" t="str">
        <f t="shared" si="547"/>
        <v/>
      </c>
      <c r="AR43" s="18" t="str">
        <f t="shared" si="547"/>
        <v/>
      </c>
      <c r="AS43" s="18" t="str">
        <f t="shared" si="547"/>
        <v/>
      </c>
    </row>
    <row r="44" spans="1:45" s="84" customFormat="1" ht="11.25" x14ac:dyDescent="0.15">
      <c r="A44" s="17" t="s">
        <v>77</v>
      </c>
      <c r="B44" s="9" t="s">
        <v>2</v>
      </c>
      <c r="C44" s="8">
        <v>19831</v>
      </c>
      <c r="D44" s="8">
        <v>19874</v>
      </c>
      <c r="E44" s="8">
        <v>19874</v>
      </c>
      <c r="F44" s="8">
        <v>19874</v>
      </c>
      <c r="G44" s="8">
        <v>19904</v>
      </c>
      <c r="H44" s="8">
        <v>19904</v>
      </c>
      <c r="I44" s="8">
        <v>19904</v>
      </c>
      <c r="J44" s="8">
        <v>19904</v>
      </c>
      <c r="K44" s="8">
        <v>19957</v>
      </c>
      <c r="L44" s="8">
        <f>IF(L$8="","",K44)</f>
        <v>19957</v>
      </c>
      <c r="M44" s="8">
        <v>19977</v>
      </c>
      <c r="N44" s="8" t="str">
        <f t="shared" ref="N44:N45" si="548">IF(N$8="","",M44)</f>
        <v/>
      </c>
      <c r="O44" s="8" t="str">
        <f>IF(O$8="","",N44)</f>
        <v/>
      </c>
      <c r="P44" s="8" t="str">
        <f t="shared" ref="P44:P45" si="549">IF(P$8="","",O44)</f>
        <v/>
      </c>
      <c r="Q44" s="8" t="str">
        <f t="shared" ref="Q44:Q45" si="550">IF(Q$8="","",P44)</f>
        <v/>
      </c>
      <c r="R44" s="8" t="str">
        <f t="shared" ref="R44:R45" si="551">IF(R$8="","",Q44)</f>
        <v/>
      </c>
      <c r="S44" s="8" t="str">
        <f>IF(S$8="","",R44)</f>
        <v/>
      </c>
      <c r="T44" s="8" t="str">
        <f>IF(T$8="","",S44)</f>
        <v/>
      </c>
      <c r="U44" s="8" t="str">
        <f t="shared" ref="U44:U45" si="552">IF(U$8="","",T44)</f>
        <v/>
      </c>
      <c r="V44" s="8" t="str">
        <f>IF(V$8="","",U44)</f>
        <v/>
      </c>
      <c r="W44" s="8" t="str">
        <f>IF(W$8="","",V44)</f>
        <v/>
      </c>
      <c r="X44" s="8" t="str">
        <f t="shared" ref="X44:X45" si="553">IF(X$8="","",W44)</f>
        <v/>
      </c>
      <c r="Y44" s="8" t="str">
        <f t="shared" ref="Y44:Y45" si="554">IF(Y$8="","",X44)</f>
        <v/>
      </c>
      <c r="Z44" s="8" t="str">
        <f>IF(Z$8="","",Y44)</f>
        <v/>
      </c>
      <c r="AA44" s="8" t="str">
        <f t="shared" ref="AA44:AA45" si="555">IF(AA$8="","",Z44)</f>
        <v/>
      </c>
      <c r="AB44" s="8" t="str">
        <f t="shared" ref="AB44:AB45" si="556">IF(AB$8="","",AA44)</f>
        <v/>
      </c>
      <c r="AC44" s="8" t="str">
        <f t="shared" ref="AC44:AC45" si="557">IF(AC$8="","",AB44)</f>
        <v/>
      </c>
      <c r="AD44" s="8" t="str">
        <f>IF(AD$8="","",AC44)</f>
        <v/>
      </c>
      <c r="AE44" s="8" t="str">
        <f>IF(AE$8="","",AD44)</f>
        <v/>
      </c>
      <c r="AF44" s="8" t="str">
        <f t="shared" ref="AF44:AF45" si="558">IF(AF$8="","",AE44)</f>
        <v/>
      </c>
      <c r="AG44" s="8" t="str">
        <f>IF(AG$8="","",AF44)</f>
        <v/>
      </c>
      <c r="AH44" s="8" t="str">
        <f t="shared" ref="AH44:AH45" si="559">IF(AH$8="","",AG44)</f>
        <v/>
      </c>
      <c r="AI44" s="8" t="str">
        <f t="shared" ref="AI44:AI45" si="560">IF(AI$8="","",AH44)</f>
        <v/>
      </c>
      <c r="AJ44" s="8" t="str">
        <f>IF(AJ$8="","",AI44)</f>
        <v/>
      </c>
      <c r="AK44" s="8" t="str">
        <f t="shared" ref="AK44:AK45" si="561">IF(AK$8="","",AJ44)</f>
        <v/>
      </c>
      <c r="AL44" s="8" t="str">
        <f t="shared" ref="AL44:AL45" si="562">IF(AL$8="","",AK44)</f>
        <v/>
      </c>
      <c r="AM44" s="8" t="str">
        <f t="shared" ref="AM44:AM45" si="563">IF(AM$8="","",AL44)</f>
        <v/>
      </c>
      <c r="AN44" s="8" t="str">
        <f>IF(AN$8="","",AM44)</f>
        <v/>
      </c>
      <c r="AO44" s="8" t="str">
        <f t="shared" ref="AO44:AS44" si="564">IF(AO$8="","",AN44)</f>
        <v/>
      </c>
      <c r="AP44" s="8" t="str">
        <f t="shared" si="564"/>
        <v/>
      </c>
      <c r="AQ44" s="8" t="str">
        <f t="shared" si="564"/>
        <v/>
      </c>
      <c r="AR44" s="8" t="str">
        <f t="shared" si="564"/>
        <v/>
      </c>
      <c r="AS44" s="8" t="str">
        <f t="shared" si="564"/>
        <v/>
      </c>
    </row>
    <row r="45" spans="1:45" s="84" customFormat="1" ht="11.25" x14ac:dyDescent="0.15">
      <c r="A45" s="16" t="s">
        <v>3</v>
      </c>
      <c r="B45" s="9" t="s">
        <v>4</v>
      </c>
      <c r="C45" s="8">
        <v>529</v>
      </c>
      <c r="D45" s="8">
        <v>531</v>
      </c>
      <c r="E45" s="8">
        <v>531</v>
      </c>
      <c r="F45" s="8">
        <v>531</v>
      </c>
      <c r="G45" s="8">
        <v>531</v>
      </c>
      <c r="H45" s="8">
        <v>531</v>
      </c>
      <c r="I45" s="8">
        <v>531</v>
      </c>
      <c r="J45" s="8">
        <v>531</v>
      </c>
      <c r="K45" s="8">
        <v>532</v>
      </c>
      <c r="L45" s="8">
        <f>IF(L$8="","",K45)</f>
        <v>532</v>
      </c>
      <c r="M45" s="8">
        <v>532</v>
      </c>
      <c r="N45" s="8" t="str">
        <f t="shared" si="548"/>
        <v/>
      </c>
      <c r="O45" s="8" t="str">
        <f>IF(O$8="","",N45)</f>
        <v/>
      </c>
      <c r="P45" s="8" t="str">
        <f t="shared" si="549"/>
        <v/>
      </c>
      <c r="Q45" s="8" t="str">
        <f t="shared" si="550"/>
        <v/>
      </c>
      <c r="R45" s="8" t="str">
        <f t="shared" si="551"/>
        <v/>
      </c>
      <c r="S45" s="8" t="str">
        <f>IF(S$8="","",R45)</f>
        <v/>
      </c>
      <c r="T45" s="8" t="str">
        <f>IF(T$8="","",S45)</f>
        <v/>
      </c>
      <c r="U45" s="8" t="str">
        <f t="shared" si="552"/>
        <v/>
      </c>
      <c r="V45" s="8" t="str">
        <f t="shared" ref="V44:V45" si="565">IF(V$8="","",U45)</f>
        <v/>
      </c>
      <c r="W45" s="8" t="str">
        <f t="shared" ref="W45" si="566">IF(W$8="","",V45)</f>
        <v/>
      </c>
      <c r="X45" s="8" t="str">
        <f t="shared" si="553"/>
        <v/>
      </c>
      <c r="Y45" s="8" t="str">
        <f t="shared" si="554"/>
        <v/>
      </c>
      <c r="Z45" s="8" t="str">
        <f>IF(Z$8="","",Y45)</f>
        <v/>
      </c>
      <c r="AA45" s="8" t="str">
        <f t="shared" si="555"/>
        <v/>
      </c>
      <c r="AB45" s="8" t="str">
        <f t="shared" si="556"/>
        <v/>
      </c>
      <c r="AC45" s="8" t="str">
        <f t="shared" si="557"/>
        <v/>
      </c>
      <c r="AD45" s="8" t="str">
        <f t="shared" ref="AD45" si="567">IF(AD$8="","",AC45)</f>
        <v/>
      </c>
      <c r="AE45" s="8" t="str">
        <f>IF(AE$8="","",AD45)</f>
        <v/>
      </c>
      <c r="AF45" s="8" t="str">
        <f t="shared" si="558"/>
        <v/>
      </c>
      <c r="AG45" s="8" t="str">
        <f>IF(AG$8="","",AF45)</f>
        <v/>
      </c>
      <c r="AH45" s="8" t="str">
        <f t="shared" si="559"/>
        <v/>
      </c>
      <c r="AI45" s="8" t="str">
        <f t="shared" si="560"/>
        <v/>
      </c>
      <c r="AJ45" s="8" t="str">
        <f t="shared" ref="AJ44:AJ45" si="568">IF(AJ$8="","",AI45)</f>
        <v/>
      </c>
      <c r="AK45" s="8" t="str">
        <f t="shared" si="561"/>
        <v/>
      </c>
      <c r="AL45" s="8" t="str">
        <f t="shared" si="562"/>
        <v/>
      </c>
      <c r="AM45" s="8" t="str">
        <f t="shared" si="563"/>
        <v/>
      </c>
      <c r="AN45" s="8" t="str">
        <f>IF(AN$8="","",AM45)</f>
        <v/>
      </c>
      <c r="AO45" s="8" t="str">
        <f t="shared" ref="AO45:AS45" si="569">IF(AO$8="","",AN45)</f>
        <v/>
      </c>
      <c r="AP45" s="8" t="str">
        <f t="shared" si="569"/>
        <v/>
      </c>
      <c r="AQ45" s="8" t="str">
        <f t="shared" si="569"/>
        <v/>
      </c>
      <c r="AR45" s="8" t="str">
        <f t="shared" si="569"/>
        <v/>
      </c>
      <c r="AS45" s="8" t="str">
        <f t="shared" si="569"/>
        <v/>
      </c>
    </row>
    <row r="46" spans="1:45" s="84" customFormat="1" ht="11.25" x14ac:dyDescent="0.15">
      <c r="A46" s="15">
        <v>4</v>
      </c>
      <c r="B46" s="9" t="s">
        <v>5</v>
      </c>
      <c r="C46" s="8">
        <v>7</v>
      </c>
      <c r="D46" s="8">
        <v>7</v>
      </c>
      <c r="E46" s="8">
        <v>7</v>
      </c>
      <c r="F46" s="8">
        <v>7</v>
      </c>
      <c r="G46" s="8">
        <v>7</v>
      </c>
      <c r="H46" s="8">
        <v>7</v>
      </c>
      <c r="I46" s="8">
        <v>7</v>
      </c>
      <c r="J46" s="8">
        <v>7</v>
      </c>
      <c r="K46" s="8">
        <v>4</v>
      </c>
      <c r="L46" s="8">
        <f>IF(L44="","",(K46+K47))</f>
        <v>4</v>
      </c>
      <c r="M46" s="8">
        <v>24</v>
      </c>
      <c r="N46" s="8" t="str">
        <f t="shared" ref="N46" si="570">IF(N44="","",(M46+M47))</f>
        <v/>
      </c>
      <c r="O46" s="8" t="str">
        <f>IF(O44="","",(N46+N47))</f>
        <v/>
      </c>
      <c r="P46" s="8" t="str">
        <f t="shared" ref="P46" si="571">IF(P44="","",(O46+O47))</f>
        <v/>
      </c>
      <c r="Q46" s="8" t="str">
        <f t="shared" ref="Q46" si="572">IF(Q44="","",(P46+P47))</f>
        <v/>
      </c>
      <c r="R46" s="8" t="str">
        <f t="shared" ref="R46" si="573">IF(R44="","",(Q46+Q47))</f>
        <v/>
      </c>
      <c r="S46" s="8" t="str">
        <f>IF(S44="","",(R46+R47))</f>
        <v/>
      </c>
      <c r="T46" s="8" t="str">
        <f>IF(T44="","",(S46+S47))</f>
        <v/>
      </c>
      <c r="U46" s="8" t="str">
        <f t="shared" ref="U46" si="574">IF(U44="","",(T46+T47))</f>
        <v/>
      </c>
      <c r="V46" s="8" t="str">
        <f t="shared" ref="V46" si="575">IF(V44="","",(U46+U47))</f>
        <v/>
      </c>
      <c r="W46" s="8" t="str">
        <f t="shared" ref="W46" si="576">IF(W44="","",(V46+V47))</f>
        <v/>
      </c>
      <c r="X46" s="8" t="str">
        <f t="shared" ref="X46" si="577">IF(X44="","",(W46+W47))</f>
        <v/>
      </c>
      <c r="Y46" s="8" t="str">
        <f t="shared" ref="Y46" si="578">IF(Y44="","",(X46+X47))</f>
        <v/>
      </c>
      <c r="Z46" s="8" t="str">
        <f>IF(Z44="","",(Y46+Y47))</f>
        <v/>
      </c>
      <c r="AA46" s="8" t="str">
        <f t="shared" ref="AA46" si="579">IF(AA44="","",(Z46+Z47))</f>
        <v/>
      </c>
      <c r="AB46" s="8" t="str">
        <f t="shared" ref="AB46" si="580">IF(AB44="","",(AA46+AA47))</f>
        <v/>
      </c>
      <c r="AC46" s="8" t="str">
        <f t="shared" ref="AC46" si="581">IF(AC44="","",(AB46+AB47))</f>
        <v/>
      </c>
      <c r="AD46" s="8" t="str">
        <f t="shared" ref="AD46" si="582">IF(AD44="","",(AC46+AC47))</f>
        <v/>
      </c>
      <c r="AE46" s="8" t="str">
        <f>IF(AE44="","",(AD46+AD47))</f>
        <v/>
      </c>
      <c r="AF46" s="8" t="str">
        <f t="shared" ref="AF46" si="583">IF(AF44="","",(AE46+AE47))</f>
        <v/>
      </c>
      <c r="AG46" s="8" t="str">
        <f t="shared" ref="AG46" si="584">IF(AG44="","",(AF46+AF47))</f>
        <v/>
      </c>
      <c r="AH46" s="8" t="str">
        <f t="shared" ref="AH46" si="585">IF(AH44="","",(AG46+AG47))</f>
        <v/>
      </c>
      <c r="AI46" s="8" t="str">
        <f t="shared" ref="AI46" si="586">IF(AI44="","",(AH46+AH47))</f>
        <v/>
      </c>
      <c r="AJ46" s="8" t="str">
        <f t="shared" ref="AJ46" si="587">IF(AJ44="","",(AI46+AI47))</f>
        <v/>
      </c>
      <c r="AK46" s="8" t="str">
        <f t="shared" ref="AK46" si="588">IF(AK44="","",(AJ46+AJ47))</f>
        <v/>
      </c>
      <c r="AL46" s="8" t="str">
        <f t="shared" ref="AL46" si="589">IF(AL44="","",(AK46+AK47))</f>
        <v/>
      </c>
      <c r="AM46" s="8" t="str">
        <f t="shared" ref="AM46" si="590">IF(AM44="","",(AL46+AL47))</f>
        <v/>
      </c>
      <c r="AN46" s="8" t="str">
        <f>IF(AN44="","",(AM46+AM47))</f>
        <v/>
      </c>
      <c r="AO46" s="8" t="str">
        <f t="shared" ref="AO46:AS46" si="591">IF(AO44="","",(AN46+AN47))</f>
        <v/>
      </c>
      <c r="AP46" s="8" t="str">
        <f t="shared" si="591"/>
        <v/>
      </c>
      <c r="AQ46" s="8" t="str">
        <f t="shared" si="591"/>
        <v/>
      </c>
      <c r="AR46" s="8" t="str">
        <f t="shared" si="591"/>
        <v/>
      </c>
      <c r="AS46" s="8" t="str">
        <f t="shared" si="591"/>
        <v/>
      </c>
    </row>
    <row r="47" spans="1:45" s="84" customFormat="1" ht="11.25" x14ac:dyDescent="0.15">
      <c r="A47" s="14"/>
      <c r="B47" s="9" t="s">
        <v>7</v>
      </c>
      <c r="C47" s="8"/>
      <c r="D47" s="8"/>
      <c r="E47" s="8"/>
      <c r="F47" s="8"/>
      <c r="G47" s="8"/>
      <c r="H47" s="8"/>
      <c r="I47" s="8"/>
      <c r="J47" s="8"/>
      <c r="K47" s="8"/>
      <c r="L47" s="8">
        <v>20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</row>
    <row r="48" spans="1:45" s="84" customFormat="1" ht="11.25" x14ac:dyDescent="0.15">
      <c r="A48" s="7"/>
      <c r="B48" s="9" t="s">
        <v>8</v>
      </c>
      <c r="C48" s="8">
        <v>800</v>
      </c>
      <c r="D48" s="8">
        <v>800</v>
      </c>
      <c r="E48" s="8">
        <v>800</v>
      </c>
      <c r="F48" s="8">
        <v>800</v>
      </c>
      <c r="G48" s="8">
        <v>800</v>
      </c>
      <c r="H48" s="8">
        <v>800</v>
      </c>
      <c r="I48" s="8">
        <v>800</v>
      </c>
      <c r="J48" s="8">
        <v>800</v>
      </c>
      <c r="K48" s="8">
        <v>800</v>
      </c>
      <c r="L48" s="8">
        <f t="shared" ref="L48" si="592">IF(L44="","",K48)</f>
        <v>800</v>
      </c>
      <c r="M48" s="8">
        <f t="shared" ref="M48" si="593">IF(M44="","",L48)</f>
        <v>800</v>
      </c>
      <c r="N48" s="8" t="str">
        <f t="shared" ref="N48" si="594">IF(N44="","",M48)</f>
        <v/>
      </c>
      <c r="O48" s="8" t="str">
        <f t="shared" ref="O48" si="595">IF(O44="","",N48)</f>
        <v/>
      </c>
      <c r="P48" s="8" t="str">
        <f t="shared" ref="P48" si="596">IF(P44="","",O48)</f>
        <v/>
      </c>
      <c r="Q48" s="8" t="str">
        <f t="shared" ref="Q48" si="597">IF(Q44="","",P48)</f>
        <v/>
      </c>
      <c r="R48" s="8" t="str">
        <f t="shared" ref="R48" si="598">IF(R44="","",Q48)</f>
        <v/>
      </c>
      <c r="S48" s="8" t="str">
        <f t="shared" ref="S48" si="599">IF(S44="","",R48)</f>
        <v/>
      </c>
      <c r="T48" s="8" t="str">
        <f t="shared" ref="T48" si="600">IF(T44="","",S48)</f>
        <v/>
      </c>
      <c r="U48" s="8" t="str">
        <f t="shared" ref="U48" si="601">IF(U44="","",T48)</f>
        <v/>
      </c>
      <c r="V48" s="8" t="str">
        <f t="shared" ref="V48" si="602">IF(V44="","",U48)</f>
        <v/>
      </c>
      <c r="W48" s="8" t="str">
        <f t="shared" ref="W48" si="603">IF(W44="","",V48)</f>
        <v/>
      </c>
      <c r="X48" s="8" t="str">
        <f t="shared" ref="X48" si="604">IF(X44="","",W48)</f>
        <v/>
      </c>
      <c r="Y48" s="8" t="str">
        <f t="shared" ref="Y48" si="605">IF(Y44="","",X48)</f>
        <v/>
      </c>
      <c r="Z48" s="8" t="str">
        <f t="shared" ref="Z48" si="606">IF(Z44="","",Y48)</f>
        <v/>
      </c>
      <c r="AA48" s="8" t="str">
        <f t="shared" ref="AA48" si="607">IF(AA44="","",Z48)</f>
        <v/>
      </c>
      <c r="AB48" s="8" t="str">
        <f t="shared" ref="AB48" si="608">IF(AB44="","",AA48)</f>
        <v/>
      </c>
      <c r="AC48" s="8" t="str">
        <f t="shared" ref="AC48" si="609">IF(AC44="","",AB48)</f>
        <v/>
      </c>
      <c r="AD48" s="8" t="str">
        <f t="shared" ref="AD48" si="610">IF(AD44="","",AC48)</f>
        <v/>
      </c>
      <c r="AE48" s="8" t="str">
        <f t="shared" ref="AE48" si="611">IF(AE44="","",AD48)</f>
        <v/>
      </c>
      <c r="AF48" s="8" t="str">
        <f t="shared" ref="AF48" si="612">IF(AF44="","",AE48)</f>
        <v/>
      </c>
      <c r="AG48" s="8" t="str">
        <f t="shared" ref="AG48" si="613">IF(AG44="","",AF48)</f>
        <v/>
      </c>
      <c r="AH48" s="8" t="str">
        <f t="shared" ref="AH48" si="614">IF(AH44="","",AG48)</f>
        <v/>
      </c>
      <c r="AI48" s="8" t="str">
        <f t="shared" ref="AI48" si="615">IF(AI44="","",AH48)</f>
        <v/>
      </c>
      <c r="AJ48" s="8" t="str">
        <f t="shared" ref="AJ48" si="616">IF(AJ44="","",AI48)</f>
        <v/>
      </c>
      <c r="AK48" s="8" t="str">
        <f t="shared" ref="AK48" si="617">IF(AK44="","",AJ48)</f>
        <v/>
      </c>
      <c r="AL48" s="8" t="str">
        <f t="shared" ref="AL48" si="618">IF(AL44="","",AK48)</f>
        <v/>
      </c>
      <c r="AM48" s="8" t="str">
        <f t="shared" ref="AM48" si="619">IF(AM44="","",AL48)</f>
        <v/>
      </c>
      <c r="AN48" s="8" t="str">
        <f t="shared" ref="AN48" si="620">IF(AN44="","",AM48)</f>
        <v/>
      </c>
      <c r="AO48" s="8" t="str">
        <f t="shared" ref="AO48:AS48" si="621">IF(AO44="","",AN48)</f>
        <v/>
      </c>
      <c r="AP48" s="8" t="str">
        <f t="shared" si="621"/>
        <v/>
      </c>
      <c r="AQ48" s="8" t="str">
        <f t="shared" si="621"/>
        <v/>
      </c>
      <c r="AR48" s="8" t="str">
        <f t="shared" si="621"/>
        <v/>
      </c>
      <c r="AS48" s="8" t="str">
        <f t="shared" si="621"/>
        <v/>
      </c>
    </row>
    <row r="49" spans="1:45" s="85" customFormat="1" ht="11.25" x14ac:dyDescent="0.15">
      <c r="A49" s="14" t="s">
        <v>9</v>
      </c>
      <c r="B49" s="13" t="s">
        <v>10</v>
      </c>
      <c r="C49" s="12" t="s">
        <v>39</v>
      </c>
      <c r="D49" s="12" t="s">
        <v>39</v>
      </c>
      <c r="E49" s="12" t="s">
        <v>39</v>
      </c>
      <c r="F49" s="12" t="s">
        <v>39</v>
      </c>
      <c r="G49" s="12" t="s">
        <v>39</v>
      </c>
      <c r="H49" s="12" t="s">
        <v>39</v>
      </c>
      <c r="I49" s="12" t="s">
        <v>39</v>
      </c>
      <c r="J49" s="12" t="s">
        <v>39</v>
      </c>
      <c r="K49" s="12" t="s">
        <v>39</v>
      </c>
      <c r="L49" s="12" t="str">
        <f t="shared" ref="L49" si="622">IF(L44="","",K49)</f>
        <v>サンリオバンズクリップ</v>
      </c>
      <c r="M49" s="12" t="s">
        <v>370</v>
      </c>
      <c r="N49" s="12" t="str">
        <f t="shared" ref="N49" si="623">IF(N44="","",M49)</f>
        <v/>
      </c>
      <c r="O49" s="12" t="str">
        <f t="shared" ref="O49" si="624">IF(O44="","",N49)</f>
        <v/>
      </c>
      <c r="P49" s="12" t="str">
        <f t="shared" ref="P49" si="625">IF(P44="","",O49)</f>
        <v/>
      </c>
      <c r="Q49" s="12" t="str">
        <f t="shared" ref="Q49" si="626">IF(Q44="","",P49)</f>
        <v/>
      </c>
      <c r="R49" s="12" t="str">
        <f t="shared" ref="R49" si="627">IF(R44="","",Q49)</f>
        <v/>
      </c>
      <c r="S49" s="12" t="str">
        <f t="shared" ref="S49" si="628">IF(S44="","",R49)</f>
        <v/>
      </c>
      <c r="T49" s="12" t="str">
        <f t="shared" ref="T49" si="629">IF(T44="","",S49)</f>
        <v/>
      </c>
      <c r="U49" s="12" t="str">
        <f t="shared" ref="U49" si="630">IF(U44="","",T49)</f>
        <v/>
      </c>
      <c r="V49" s="12" t="str">
        <f t="shared" ref="V49" si="631">IF(V44="","",U49)</f>
        <v/>
      </c>
      <c r="W49" s="12" t="str">
        <f t="shared" ref="W49" si="632">IF(W44="","",V49)</f>
        <v/>
      </c>
      <c r="X49" s="12" t="str">
        <f t="shared" ref="X49" si="633">IF(X44="","",W49)</f>
        <v/>
      </c>
      <c r="Y49" s="12" t="str">
        <f t="shared" ref="Y49" si="634">IF(Y44="","",X49)</f>
        <v/>
      </c>
      <c r="Z49" s="12" t="str">
        <f t="shared" ref="Z49" si="635">IF(Z44="","",Y49)</f>
        <v/>
      </c>
      <c r="AA49" s="12" t="str">
        <f t="shared" ref="AA49" si="636">IF(AA44="","",Z49)</f>
        <v/>
      </c>
      <c r="AB49" s="12" t="str">
        <f t="shared" ref="AB49" si="637">IF(AB44="","",AA49)</f>
        <v/>
      </c>
      <c r="AC49" s="12" t="str">
        <f t="shared" ref="AC49" si="638">IF(AC44="","",AB49)</f>
        <v/>
      </c>
      <c r="AD49" s="12" t="str">
        <f t="shared" ref="AD49" si="639">IF(AD44="","",AC49)</f>
        <v/>
      </c>
      <c r="AE49" s="12" t="str">
        <f t="shared" ref="AE49" si="640">IF(AE44="","",AD49)</f>
        <v/>
      </c>
      <c r="AF49" s="12" t="str">
        <f t="shared" ref="AF49" si="641">IF(AF44="","",AE49)</f>
        <v/>
      </c>
      <c r="AG49" s="12" t="str">
        <f t="shared" ref="AG49" si="642">IF(AG44="","",AF49)</f>
        <v/>
      </c>
      <c r="AH49" s="12" t="str">
        <f t="shared" ref="AH49" si="643">IF(AH44="","",AG49)</f>
        <v/>
      </c>
      <c r="AI49" s="12" t="str">
        <f t="shared" ref="AI49" si="644">IF(AI44="","",AH49)</f>
        <v/>
      </c>
      <c r="AJ49" s="12" t="str">
        <f t="shared" ref="AJ49" si="645">IF(AJ44="","",AI49)</f>
        <v/>
      </c>
      <c r="AK49" s="12" t="str">
        <f t="shared" ref="AK49" si="646">IF(AK44="","",AJ49)</f>
        <v/>
      </c>
      <c r="AL49" s="12" t="str">
        <f t="shared" ref="AL49" si="647">IF(AL44="","",AK49)</f>
        <v/>
      </c>
      <c r="AM49" s="12" t="str">
        <f t="shared" ref="AM49" si="648">IF(AM44="","",AL49)</f>
        <v/>
      </c>
      <c r="AN49" s="12" t="str">
        <f t="shared" ref="AN49" si="649">IF(AN44="","",AM49)</f>
        <v/>
      </c>
      <c r="AO49" s="12" t="str">
        <f t="shared" ref="AO49:AS49" si="650">IF(AO44="","",AN49)</f>
        <v/>
      </c>
      <c r="AP49" s="12" t="str">
        <f t="shared" si="650"/>
        <v/>
      </c>
      <c r="AQ49" s="12" t="str">
        <f t="shared" si="650"/>
        <v/>
      </c>
      <c r="AR49" s="12" t="str">
        <f t="shared" si="650"/>
        <v/>
      </c>
      <c r="AS49" s="12" t="str">
        <f t="shared" si="650"/>
        <v/>
      </c>
    </row>
    <row r="50" spans="1:45" s="84" customFormat="1" ht="11.25" x14ac:dyDescent="0.15">
      <c r="A50" s="7">
        <f>AVERAGE(C51:AS51)*30*100</f>
        <v>39818.181818181816</v>
      </c>
      <c r="B50" s="9" t="s">
        <v>12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1:45" s="84" customFormat="1" ht="11.25" x14ac:dyDescent="0.15">
      <c r="A51" s="7">
        <f>SUM(C51:AS51)</f>
        <v>146</v>
      </c>
      <c r="B51" s="6" t="s">
        <v>13</v>
      </c>
      <c r="C51" s="5">
        <v>0</v>
      </c>
      <c r="D51" s="5">
        <v>43</v>
      </c>
      <c r="E51" s="5">
        <v>0</v>
      </c>
      <c r="F51" s="5">
        <v>0</v>
      </c>
      <c r="G51" s="5">
        <v>30</v>
      </c>
      <c r="H51" s="5">
        <v>0</v>
      </c>
      <c r="I51" s="5">
        <v>0</v>
      </c>
      <c r="J51" s="5">
        <v>0</v>
      </c>
      <c r="K51" s="5">
        <v>53</v>
      </c>
      <c r="L51" s="5">
        <f t="shared" ref="L51:L52" si="651">IF(L44="","",L44-K44)</f>
        <v>0</v>
      </c>
      <c r="M51" s="5">
        <f t="shared" ref="M51:M52" si="652">IF(M44="","",M44-L44)</f>
        <v>20</v>
      </c>
      <c r="N51" s="5" t="str">
        <f t="shared" ref="N51:N52" si="653">IF(N44="","",N44-M44)</f>
        <v/>
      </c>
      <c r="O51" s="5" t="str">
        <f t="shared" ref="O51:O52" si="654">IF(O44="","",O44-N44)</f>
        <v/>
      </c>
      <c r="P51" s="5" t="str">
        <f t="shared" ref="P51:P52" si="655">IF(P44="","",P44-O44)</f>
        <v/>
      </c>
      <c r="Q51" s="5" t="str">
        <f t="shared" ref="Q51:Q52" si="656">IF(Q44="","",Q44-P44)</f>
        <v/>
      </c>
      <c r="R51" s="5" t="str">
        <f t="shared" ref="R51:R52" si="657">IF(R44="","",R44-Q44)</f>
        <v/>
      </c>
      <c r="S51" s="5" t="str">
        <f t="shared" ref="S51:S52" si="658">IF(S44="","",S44-R44)</f>
        <v/>
      </c>
      <c r="T51" s="5" t="str">
        <f t="shared" ref="T51:T52" si="659">IF(T44="","",T44-S44)</f>
        <v/>
      </c>
      <c r="U51" s="5" t="str">
        <f t="shared" ref="U51:U52" si="660">IF(U44="","",U44-T44)</f>
        <v/>
      </c>
      <c r="V51" s="5" t="str">
        <f t="shared" ref="V51:V52" si="661">IF(V44="","",V44-U44)</f>
        <v/>
      </c>
      <c r="W51" s="5" t="str">
        <f t="shared" ref="W51:W52" si="662">IF(W44="","",W44-V44)</f>
        <v/>
      </c>
      <c r="X51" s="5" t="str">
        <f t="shared" ref="X51:X52" si="663">IF(X44="","",X44-W44)</f>
        <v/>
      </c>
      <c r="Y51" s="5" t="str">
        <f t="shared" ref="Y51:Y52" si="664">IF(Y44="","",Y44-X44)</f>
        <v/>
      </c>
      <c r="Z51" s="5" t="str">
        <f t="shared" ref="Z51:Z52" si="665">IF(Z44="","",Z44-Y44)</f>
        <v/>
      </c>
      <c r="AA51" s="5" t="str">
        <f t="shared" ref="AA51:AA52" si="666">IF(AA44="","",AA44-Z44)</f>
        <v/>
      </c>
      <c r="AB51" s="5" t="str">
        <f t="shared" ref="AB51:AB52" si="667">IF(AB44="","",AB44-AA44)</f>
        <v/>
      </c>
      <c r="AC51" s="5" t="str">
        <f t="shared" ref="AC51:AC52" si="668">IF(AC44="","",AC44-AB44)</f>
        <v/>
      </c>
      <c r="AD51" s="5" t="str">
        <f t="shared" ref="AD51:AD52" si="669">IF(AD44="","",AD44-AC44)</f>
        <v/>
      </c>
      <c r="AE51" s="5" t="str">
        <f t="shared" ref="AE51:AE52" si="670">IF(AE44="","",AE44-AD44)</f>
        <v/>
      </c>
      <c r="AF51" s="5" t="str">
        <f t="shared" ref="AF51:AF52" si="671">IF(AF44="","",AF44-AE44)</f>
        <v/>
      </c>
      <c r="AG51" s="5" t="str">
        <f t="shared" ref="AG51:AG52" si="672">IF(AG44="","",AG44-AF44)</f>
        <v/>
      </c>
      <c r="AH51" s="5" t="str">
        <f t="shared" ref="AH51:AH52" si="673">IF(AH44="","",AH44-AG44)</f>
        <v/>
      </c>
      <c r="AI51" s="5" t="str">
        <f t="shared" ref="AI51:AI52" si="674">IF(AI44="","",AI44-AH44)</f>
        <v/>
      </c>
      <c r="AJ51" s="5" t="str">
        <f t="shared" ref="AJ51:AJ52" si="675">IF(AJ44="","",AJ44-AI44)</f>
        <v/>
      </c>
      <c r="AK51" s="5" t="str">
        <f t="shared" ref="AK51:AK52" si="676">IF(AK44="","",AK44-AJ44)</f>
        <v/>
      </c>
      <c r="AL51" s="5" t="str">
        <f t="shared" ref="AL51:AL52" si="677">IF(AL44="","",AL44-AK44)</f>
        <v/>
      </c>
      <c r="AM51" s="5" t="str">
        <f t="shared" ref="AM51:AM52" si="678">IF(AM44="","",AM44-AL44)</f>
        <v/>
      </c>
      <c r="AN51" s="5" t="str">
        <f t="shared" ref="AN51" si="679">IF(AN44="","",AN44-AM44)</f>
        <v/>
      </c>
      <c r="AO51" s="5" t="str">
        <f t="shared" ref="AO51:AS51" si="680">IF(AO44="","",AO44-AN44)</f>
        <v/>
      </c>
      <c r="AP51" s="5" t="str">
        <f t="shared" si="680"/>
        <v/>
      </c>
      <c r="AQ51" s="5" t="str">
        <f t="shared" si="680"/>
        <v/>
      </c>
      <c r="AR51" s="5" t="str">
        <f t="shared" si="680"/>
        <v/>
      </c>
      <c r="AS51" s="5" t="str">
        <f t="shared" si="680"/>
        <v/>
      </c>
    </row>
    <row r="52" spans="1:45" s="84" customFormat="1" ht="11.25" x14ac:dyDescent="0.15">
      <c r="A52" s="7">
        <f>SUM(C52:AS52)</f>
        <v>3</v>
      </c>
      <c r="B52" s="6" t="s">
        <v>14</v>
      </c>
      <c r="C52" s="5">
        <v>0</v>
      </c>
      <c r="D52" s="5">
        <v>2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1</v>
      </c>
      <c r="L52" s="5">
        <f t="shared" si="651"/>
        <v>0</v>
      </c>
      <c r="M52" s="5">
        <f t="shared" si="652"/>
        <v>0</v>
      </c>
      <c r="N52" s="5" t="str">
        <f t="shared" si="653"/>
        <v/>
      </c>
      <c r="O52" s="5" t="str">
        <f t="shared" si="654"/>
        <v/>
      </c>
      <c r="P52" s="5" t="str">
        <f t="shared" si="655"/>
        <v/>
      </c>
      <c r="Q52" s="5" t="str">
        <f t="shared" si="656"/>
        <v/>
      </c>
      <c r="R52" s="5" t="str">
        <f t="shared" si="657"/>
        <v/>
      </c>
      <c r="S52" s="5" t="str">
        <f t="shared" si="658"/>
        <v/>
      </c>
      <c r="T52" s="5" t="str">
        <f t="shared" si="659"/>
        <v/>
      </c>
      <c r="U52" s="5" t="str">
        <f t="shared" si="660"/>
        <v/>
      </c>
      <c r="V52" s="5" t="str">
        <f t="shared" si="661"/>
        <v/>
      </c>
      <c r="W52" s="5" t="str">
        <f t="shared" si="662"/>
        <v/>
      </c>
      <c r="X52" s="5" t="str">
        <f t="shared" si="663"/>
        <v/>
      </c>
      <c r="Y52" s="5" t="str">
        <f t="shared" si="664"/>
        <v/>
      </c>
      <c r="Z52" s="5" t="str">
        <f t="shared" si="665"/>
        <v/>
      </c>
      <c r="AA52" s="5" t="str">
        <f t="shared" si="666"/>
        <v/>
      </c>
      <c r="AB52" s="5" t="str">
        <f t="shared" si="667"/>
        <v/>
      </c>
      <c r="AC52" s="5" t="str">
        <f t="shared" si="668"/>
        <v/>
      </c>
      <c r="AD52" s="5" t="str">
        <f t="shared" si="669"/>
        <v/>
      </c>
      <c r="AE52" s="5" t="str">
        <f t="shared" si="670"/>
        <v/>
      </c>
      <c r="AF52" s="5" t="str">
        <f t="shared" si="671"/>
        <v/>
      </c>
      <c r="AG52" s="5" t="str">
        <f t="shared" si="672"/>
        <v/>
      </c>
      <c r="AH52" s="5" t="str">
        <f t="shared" si="673"/>
        <v/>
      </c>
      <c r="AI52" s="5" t="str">
        <f t="shared" si="674"/>
        <v/>
      </c>
      <c r="AJ52" s="5" t="str">
        <f t="shared" si="675"/>
        <v/>
      </c>
      <c r="AK52" s="5" t="str">
        <f t="shared" si="676"/>
        <v/>
      </c>
      <c r="AL52" s="5" t="str">
        <f t="shared" si="677"/>
        <v/>
      </c>
      <c r="AM52" s="5" t="str">
        <f t="shared" si="678"/>
        <v/>
      </c>
      <c r="AN52" s="5" t="str">
        <f t="shared" ref="AN52" si="681">IF(AN45="","",AN45-AM45)</f>
        <v/>
      </c>
      <c r="AO52" s="5" t="str">
        <f t="shared" ref="AO52:AS52" si="682">IF(AO45="","",AO45-AN45)</f>
        <v/>
      </c>
      <c r="AP52" s="5" t="str">
        <f t="shared" si="682"/>
        <v/>
      </c>
      <c r="AQ52" s="5" t="str">
        <f t="shared" si="682"/>
        <v/>
      </c>
      <c r="AR52" s="5" t="str">
        <f t="shared" si="682"/>
        <v/>
      </c>
      <c r="AS52" s="5" t="str">
        <f t="shared" si="682"/>
        <v/>
      </c>
    </row>
    <row r="53" spans="1:45" s="84" customFormat="1" ht="11.25" x14ac:dyDescent="0.15">
      <c r="A53" s="7">
        <f>SUM(C53:AS53)</f>
        <v>3</v>
      </c>
      <c r="B53" s="6" t="s">
        <v>15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3</v>
      </c>
      <c r="L53" s="5">
        <f t="shared" ref="L53" si="683">IF(L46="","",K46+K47-L46)</f>
        <v>0</v>
      </c>
      <c r="M53" s="5">
        <f t="shared" ref="M53" si="684">IF(M46="","",L46+L47-M46)</f>
        <v>0</v>
      </c>
      <c r="N53" s="5" t="str">
        <f t="shared" ref="N53" si="685">IF(N46="","",M46+M47-N46)</f>
        <v/>
      </c>
      <c r="O53" s="5" t="str">
        <f t="shared" ref="O53" si="686">IF(O46="","",N46+N47-O46)</f>
        <v/>
      </c>
      <c r="P53" s="5" t="str">
        <f t="shared" ref="P53" si="687">IF(P46="","",O46+O47-P46)</f>
        <v/>
      </c>
      <c r="Q53" s="5" t="str">
        <f t="shared" ref="Q53" si="688">IF(Q46="","",P46+P47-Q46)</f>
        <v/>
      </c>
      <c r="R53" s="5" t="str">
        <f t="shared" ref="R53" si="689">IF(R46="","",Q46+Q47-R46)</f>
        <v/>
      </c>
      <c r="S53" s="5" t="str">
        <f t="shared" ref="S53" si="690">IF(S46="","",R46+R47-S46)</f>
        <v/>
      </c>
      <c r="T53" s="5" t="str">
        <f t="shared" ref="T53" si="691">IF(T46="","",S46+S47-T46)</f>
        <v/>
      </c>
      <c r="U53" s="5" t="str">
        <f t="shared" ref="U53" si="692">IF(U46="","",T46+T47-U46)</f>
        <v/>
      </c>
      <c r="V53" s="5" t="str">
        <f t="shared" ref="V53" si="693">IF(V46="","",U46+U47-V46)</f>
        <v/>
      </c>
      <c r="W53" s="5" t="str">
        <f t="shared" ref="W53" si="694">IF(W46="","",V46+V47-W46)</f>
        <v/>
      </c>
      <c r="X53" s="5" t="str">
        <f t="shared" ref="X53" si="695">IF(X46="","",W46+W47-X46)</f>
        <v/>
      </c>
      <c r="Y53" s="5" t="str">
        <f t="shared" ref="Y53" si="696">IF(Y46="","",X46+X47-Y46)</f>
        <v/>
      </c>
      <c r="Z53" s="5" t="str">
        <f t="shared" ref="Z53" si="697">IF(Z46="","",Y46+Y47-Z46)</f>
        <v/>
      </c>
      <c r="AA53" s="5" t="str">
        <f t="shared" ref="AA53" si="698">IF(AA46="","",Z46+Z47-AA46)</f>
        <v/>
      </c>
      <c r="AB53" s="5" t="str">
        <f t="shared" ref="AB53" si="699">IF(AB46="","",AA46+AA47-AB46)</f>
        <v/>
      </c>
      <c r="AC53" s="5" t="str">
        <f t="shared" ref="AC53" si="700">IF(AC46="","",AB46+AB47-AC46)</f>
        <v/>
      </c>
      <c r="AD53" s="5" t="str">
        <f t="shared" ref="AD53" si="701">IF(AD46="","",AC46+AC47-AD46)</f>
        <v/>
      </c>
      <c r="AE53" s="5" t="str">
        <f t="shared" ref="AE53" si="702">IF(AE46="","",AD46+AD47-AE46)</f>
        <v/>
      </c>
      <c r="AF53" s="5" t="str">
        <f t="shared" ref="AF53" si="703">IF(AF46="","",AE46+AE47-AF46)</f>
        <v/>
      </c>
      <c r="AG53" s="5" t="str">
        <f t="shared" ref="AG53" si="704">IF(AG46="","",AF46+AF47-AG46)</f>
        <v/>
      </c>
      <c r="AH53" s="5" t="str">
        <f t="shared" ref="AH53" si="705">IF(AH46="","",AG46+AG47-AH46)</f>
        <v/>
      </c>
      <c r="AI53" s="5" t="str">
        <f t="shared" ref="AI53" si="706">IF(AI46="","",AH46+AH47-AI46)</f>
        <v/>
      </c>
      <c r="AJ53" s="5" t="str">
        <f t="shared" ref="AJ53" si="707">IF(AJ46="","",AI46+AI47-AJ46)</f>
        <v/>
      </c>
      <c r="AK53" s="5" t="str">
        <f t="shared" ref="AK53" si="708">IF(AK46="","",AJ46+AJ47-AK46)</f>
        <v/>
      </c>
      <c r="AL53" s="5" t="str">
        <f t="shared" ref="AL53" si="709">IF(AL46="","",AK46+AK47-AL46)</f>
        <v/>
      </c>
      <c r="AM53" s="5" t="str">
        <f t="shared" ref="AM53" si="710">IF(AM46="","",AL46+AL47-AM46)</f>
        <v/>
      </c>
      <c r="AN53" s="5" t="str">
        <f t="shared" ref="AN53" si="711">IF(AN46="","",AM46+AM47-AN46)</f>
        <v/>
      </c>
      <c r="AO53" s="5" t="str">
        <f t="shared" ref="AO53:AS53" si="712">IF(AO46="","",AN46+AN47-AO46)</f>
        <v/>
      </c>
      <c r="AP53" s="5" t="str">
        <f t="shared" si="712"/>
        <v/>
      </c>
      <c r="AQ53" s="5" t="str">
        <f t="shared" si="712"/>
        <v/>
      </c>
      <c r="AR53" s="5" t="str">
        <f t="shared" si="712"/>
        <v/>
      </c>
      <c r="AS53" s="5" t="str">
        <f t="shared" si="712"/>
        <v/>
      </c>
    </row>
    <row r="54" spans="1:45" s="84" customFormat="1" ht="11.25" x14ac:dyDescent="0.15">
      <c r="A54" s="7">
        <f>SUM(C54:AS54)</f>
        <v>2400</v>
      </c>
      <c r="B54" s="6" t="s">
        <v>16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2400</v>
      </c>
      <c r="L54" s="5">
        <f t="shared" ref="J54:AM54" si="713">IF(L44="","",L53*L48)</f>
        <v>0</v>
      </c>
      <c r="M54" s="5">
        <f t="shared" si="713"/>
        <v>0</v>
      </c>
      <c r="N54" s="5" t="str">
        <f t="shared" si="713"/>
        <v/>
      </c>
      <c r="O54" s="5" t="str">
        <f t="shared" si="713"/>
        <v/>
      </c>
      <c r="P54" s="5" t="str">
        <f t="shared" si="713"/>
        <v/>
      </c>
      <c r="Q54" s="5" t="str">
        <f t="shared" si="713"/>
        <v/>
      </c>
      <c r="R54" s="5" t="str">
        <f t="shared" si="713"/>
        <v/>
      </c>
      <c r="S54" s="5" t="str">
        <f t="shared" si="713"/>
        <v/>
      </c>
      <c r="T54" s="5" t="str">
        <f t="shared" si="713"/>
        <v/>
      </c>
      <c r="U54" s="5" t="str">
        <f t="shared" si="713"/>
        <v/>
      </c>
      <c r="V54" s="5" t="str">
        <f t="shared" si="713"/>
        <v/>
      </c>
      <c r="W54" s="5" t="str">
        <f t="shared" si="713"/>
        <v/>
      </c>
      <c r="X54" s="5" t="str">
        <f t="shared" si="713"/>
        <v/>
      </c>
      <c r="Y54" s="5" t="str">
        <f t="shared" si="713"/>
        <v/>
      </c>
      <c r="Z54" s="5" t="str">
        <f t="shared" si="713"/>
        <v/>
      </c>
      <c r="AA54" s="5" t="str">
        <f t="shared" si="713"/>
        <v/>
      </c>
      <c r="AB54" s="5" t="str">
        <f t="shared" si="713"/>
        <v/>
      </c>
      <c r="AC54" s="5" t="str">
        <f t="shared" si="713"/>
        <v/>
      </c>
      <c r="AD54" s="5" t="str">
        <f t="shared" si="713"/>
        <v/>
      </c>
      <c r="AE54" s="5" t="str">
        <f t="shared" si="713"/>
        <v/>
      </c>
      <c r="AF54" s="5" t="str">
        <f t="shared" si="713"/>
        <v/>
      </c>
      <c r="AG54" s="5" t="str">
        <f t="shared" si="713"/>
        <v/>
      </c>
      <c r="AH54" s="5" t="str">
        <f t="shared" si="713"/>
        <v/>
      </c>
      <c r="AI54" s="5" t="str">
        <f t="shared" si="713"/>
        <v/>
      </c>
      <c r="AJ54" s="5" t="str">
        <f t="shared" si="713"/>
        <v/>
      </c>
      <c r="AK54" s="5" t="str">
        <f t="shared" si="713"/>
        <v/>
      </c>
      <c r="AL54" s="5" t="str">
        <f t="shared" si="713"/>
        <v/>
      </c>
      <c r="AM54" s="5" t="str">
        <f t="shared" si="713"/>
        <v/>
      </c>
      <c r="AN54" s="5" t="str">
        <f t="shared" ref="AN54" si="714">IF(AN44="","",AN53*AN48)</f>
        <v/>
      </c>
      <c r="AO54" s="5" t="str">
        <f t="shared" ref="AO54:AS54" si="715">IF(AO44="","",AO53*AO48)</f>
        <v/>
      </c>
      <c r="AP54" s="5" t="str">
        <f t="shared" si="715"/>
        <v/>
      </c>
      <c r="AQ54" s="5" t="str">
        <f t="shared" si="715"/>
        <v/>
      </c>
      <c r="AR54" s="5" t="str">
        <f t="shared" si="715"/>
        <v/>
      </c>
      <c r="AS54" s="5" t="str">
        <f t="shared" si="715"/>
        <v/>
      </c>
    </row>
    <row r="55" spans="1:45" s="84" customFormat="1" ht="12" thickBot="1" x14ac:dyDescent="0.2">
      <c r="A55" s="4">
        <f>IF(A54="","",A54/(A51*100))</f>
        <v>0.16438356164383561</v>
      </c>
      <c r="B55" s="3" t="s">
        <v>18</v>
      </c>
      <c r="C55" s="2" t="s">
        <v>19</v>
      </c>
      <c r="D55" s="2" t="s">
        <v>19</v>
      </c>
      <c r="E55" s="2" t="s">
        <v>19</v>
      </c>
      <c r="F55" s="2" t="s">
        <v>19</v>
      </c>
      <c r="G55" s="2" t="s">
        <v>19</v>
      </c>
      <c r="H55" s="2" t="s">
        <v>19</v>
      </c>
      <c r="I55" s="2" t="s">
        <v>19</v>
      </c>
      <c r="J55" s="2" t="s">
        <v>19</v>
      </c>
      <c r="K55" s="2">
        <v>0.45283018867924529</v>
      </c>
      <c r="L55" s="2" t="str">
        <f t="shared" ref="J55:AM55" si="716">IF(L54="","",IF(L54=0,"",L54/(L51*100)))</f>
        <v/>
      </c>
      <c r="M55" s="2" t="str">
        <f t="shared" si="716"/>
        <v/>
      </c>
      <c r="N55" s="2" t="str">
        <f t="shared" si="716"/>
        <v/>
      </c>
      <c r="O55" s="2" t="str">
        <f t="shared" si="716"/>
        <v/>
      </c>
      <c r="P55" s="2" t="str">
        <f t="shared" si="716"/>
        <v/>
      </c>
      <c r="Q55" s="2" t="str">
        <f t="shared" si="716"/>
        <v/>
      </c>
      <c r="R55" s="2" t="str">
        <f t="shared" si="716"/>
        <v/>
      </c>
      <c r="S55" s="2" t="str">
        <f t="shared" si="716"/>
        <v/>
      </c>
      <c r="T55" s="2" t="str">
        <f t="shared" si="716"/>
        <v/>
      </c>
      <c r="U55" s="2" t="str">
        <f t="shared" si="716"/>
        <v/>
      </c>
      <c r="V55" s="2" t="str">
        <f t="shared" si="716"/>
        <v/>
      </c>
      <c r="W55" s="2" t="str">
        <f t="shared" si="716"/>
        <v/>
      </c>
      <c r="X55" s="2" t="str">
        <f t="shared" si="716"/>
        <v/>
      </c>
      <c r="Y55" s="2" t="str">
        <f t="shared" si="716"/>
        <v/>
      </c>
      <c r="Z55" s="2" t="str">
        <f t="shared" si="716"/>
        <v/>
      </c>
      <c r="AA55" s="2" t="str">
        <f t="shared" si="716"/>
        <v/>
      </c>
      <c r="AB55" s="2" t="str">
        <f t="shared" si="716"/>
        <v/>
      </c>
      <c r="AC55" s="2" t="str">
        <f t="shared" si="716"/>
        <v/>
      </c>
      <c r="AD55" s="2" t="str">
        <f t="shared" si="716"/>
        <v/>
      </c>
      <c r="AE55" s="2" t="str">
        <f t="shared" si="716"/>
        <v/>
      </c>
      <c r="AF55" s="2" t="str">
        <f t="shared" si="716"/>
        <v/>
      </c>
      <c r="AG55" s="2" t="str">
        <f t="shared" si="716"/>
        <v/>
      </c>
      <c r="AH55" s="2" t="str">
        <f t="shared" si="716"/>
        <v/>
      </c>
      <c r="AI55" s="2" t="str">
        <f t="shared" si="716"/>
        <v/>
      </c>
      <c r="AJ55" s="2" t="str">
        <f t="shared" si="716"/>
        <v/>
      </c>
      <c r="AK55" s="2" t="str">
        <f t="shared" si="716"/>
        <v/>
      </c>
      <c r="AL55" s="2" t="str">
        <f t="shared" si="716"/>
        <v/>
      </c>
      <c r="AM55" s="2" t="str">
        <f t="shared" si="716"/>
        <v/>
      </c>
      <c r="AN55" s="2" t="str">
        <f t="shared" ref="AN55" si="717">IF(AN54="","",IF(AN54=0,"",AN54/(AN51*100)))</f>
        <v/>
      </c>
      <c r="AO55" s="2" t="str">
        <f t="shared" ref="AO55:AS55" si="718">IF(AO54="","",IF(AO54=0,"",AO54/(AO51*100)))</f>
        <v/>
      </c>
      <c r="AP55" s="2" t="str">
        <f t="shared" si="718"/>
        <v/>
      </c>
      <c r="AQ55" s="2" t="str">
        <f t="shared" si="718"/>
        <v/>
      </c>
      <c r="AR55" s="2" t="str">
        <f t="shared" si="718"/>
        <v/>
      </c>
      <c r="AS55" s="2" t="str">
        <f t="shared" si="718"/>
        <v/>
      </c>
    </row>
    <row r="56" spans="1:45" s="84" customFormat="1" ht="11.25" x14ac:dyDescent="0.15">
      <c r="A56" s="22" t="s">
        <v>77</v>
      </c>
      <c r="B56" s="21" t="s">
        <v>2</v>
      </c>
      <c r="C56" s="20">
        <v>14753</v>
      </c>
      <c r="D56" s="20">
        <v>14754</v>
      </c>
      <c r="E56" s="20">
        <v>14754</v>
      </c>
      <c r="F56" s="20">
        <v>14754</v>
      </c>
      <c r="G56" s="20">
        <v>14758</v>
      </c>
      <c r="H56" s="20">
        <v>14758</v>
      </c>
      <c r="I56" s="20">
        <v>14758</v>
      </c>
      <c r="J56" s="20">
        <v>14758</v>
      </c>
      <c r="K56" s="20">
        <v>14825</v>
      </c>
      <c r="L56" s="20">
        <f>IF(L$8="","",K56)</f>
        <v>14825</v>
      </c>
      <c r="M56" s="20">
        <v>14850</v>
      </c>
      <c r="N56" s="20" t="str">
        <f t="shared" ref="N56:N57" si="719">IF(N$8="","",M56)</f>
        <v/>
      </c>
      <c r="O56" s="20" t="str">
        <f>IF(O$8="","",N56)</f>
        <v/>
      </c>
      <c r="P56" s="20" t="str">
        <f t="shared" ref="P56:P57" si="720">IF(P$8="","",O56)</f>
        <v/>
      </c>
      <c r="Q56" s="20" t="str">
        <f t="shared" ref="Q56:Q57" si="721">IF(Q$8="","",P56)</f>
        <v/>
      </c>
      <c r="R56" s="20" t="str">
        <f t="shared" ref="R56:R57" si="722">IF(R$8="","",Q56)</f>
        <v/>
      </c>
      <c r="S56" s="20" t="str">
        <f>IF(S$8="","",R56)</f>
        <v/>
      </c>
      <c r="T56" s="20" t="str">
        <f>IF(T$8="","",S56)</f>
        <v/>
      </c>
      <c r="U56" s="20" t="str">
        <f t="shared" ref="U56:U57" si="723">IF(U$8="","",T56)</f>
        <v/>
      </c>
      <c r="V56" s="20" t="str">
        <f>IF(V$8="","",U56)</f>
        <v/>
      </c>
      <c r="W56" s="20" t="str">
        <f>IF(W$8="","",V56)</f>
        <v/>
      </c>
      <c r="X56" s="20" t="str">
        <f t="shared" ref="X56:X57" si="724">IF(X$8="","",W56)</f>
        <v/>
      </c>
      <c r="Y56" s="20" t="str">
        <f t="shared" ref="Y56:Y57" si="725">IF(Y$8="","",X56)</f>
        <v/>
      </c>
      <c r="Z56" s="20" t="str">
        <f>IF(Z$8="","",Y56)</f>
        <v/>
      </c>
      <c r="AA56" s="20" t="str">
        <f t="shared" ref="AA56:AA57" si="726">IF(AA$8="","",Z56)</f>
        <v/>
      </c>
      <c r="AB56" s="20" t="str">
        <f t="shared" ref="AB56:AB57" si="727">IF(AB$8="","",AA56)</f>
        <v/>
      </c>
      <c r="AC56" s="20" t="str">
        <f t="shared" ref="AC56:AC57" si="728">IF(AC$8="","",AB56)</f>
        <v/>
      </c>
      <c r="AD56" s="20" t="str">
        <f>IF(AD$8="","",AC56)</f>
        <v/>
      </c>
      <c r="AE56" s="20" t="str">
        <f>IF(AE$8="","",AD56)</f>
        <v/>
      </c>
      <c r="AF56" s="20" t="str">
        <f t="shared" ref="AF56:AF57" si="729">IF(AF$8="","",AE56)</f>
        <v/>
      </c>
      <c r="AG56" s="20" t="str">
        <f>IF(AG$8="","",AF56)</f>
        <v/>
      </c>
      <c r="AH56" s="20" t="str">
        <f t="shared" ref="AH56:AH57" si="730">IF(AH$8="","",AG56)</f>
        <v/>
      </c>
      <c r="AI56" s="20" t="str">
        <f t="shared" ref="AI56:AI57" si="731">IF(AI$8="","",AH56)</f>
        <v/>
      </c>
      <c r="AJ56" s="20" t="str">
        <f>IF(AJ$8="","",AI56)</f>
        <v/>
      </c>
      <c r="AK56" s="20" t="str">
        <f t="shared" ref="AK56:AK57" si="732">IF(AK$8="","",AJ56)</f>
        <v/>
      </c>
      <c r="AL56" s="20" t="str">
        <f t="shared" ref="AL56:AL57" si="733">IF(AL$8="","",AK56)</f>
        <v/>
      </c>
      <c r="AM56" s="20" t="str">
        <f t="shared" ref="AM56:AM57" si="734">IF(AM$8="","",AL56)</f>
        <v/>
      </c>
      <c r="AN56" s="20" t="str">
        <f>IF(AN$8="","",AM56)</f>
        <v/>
      </c>
      <c r="AO56" s="20" t="str">
        <f t="shared" ref="AO56:AS56" si="735">IF(AO$8="","",AN56)</f>
        <v/>
      </c>
      <c r="AP56" s="20" t="str">
        <f t="shared" si="735"/>
        <v/>
      </c>
      <c r="AQ56" s="20" t="str">
        <f t="shared" si="735"/>
        <v/>
      </c>
      <c r="AR56" s="20" t="str">
        <f t="shared" si="735"/>
        <v/>
      </c>
      <c r="AS56" s="20" t="str">
        <f t="shared" si="735"/>
        <v/>
      </c>
    </row>
    <row r="57" spans="1:45" s="84" customFormat="1" ht="11.25" x14ac:dyDescent="0.15">
      <c r="A57" s="16" t="s">
        <v>22</v>
      </c>
      <c r="B57" s="9" t="s">
        <v>4</v>
      </c>
      <c r="C57" s="8">
        <v>331</v>
      </c>
      <c r="D57" s="8">
        <v>331</v>
      </c>
      <c r="E57" s="8">
        <v>331</v>
      </c>
      <c r="F57" s="8">
        <v>331</v>
      </c>
      <c r="G57" s="8">
        <v>332</v>
      </c>
      <c r="H57" s="8">
        <v>332</v>
      </c>
      <c r="I57" s="8">
        <v>332</v>
      </c>
      <c r="J57" s="8">
        <v>332</v>
      </c>
      <c r="K57" s="8">
        <v>332</v>
      </c>
      <c r="L57" s="8">
        <f>IF(L$8="","",K57)</f>
        <v>332</v>
      </c>
      <c r="M57" s="8">
        <v>333</v>
      </c>
      <c r="N57" s="8" t="str">
        <f t="shared" si="719"/>
        <v/>
      </c>
      <c r="O57" s="8" t="str">
        <f>IF(O$8="","",N57)</f>
        <v/>
      </c>
      <c r="P57" s="8" t="str">
        <f t="shared" si="720"/>
        <v/>
      </c>
      <c r="Q57" s="8" t="str">
        <f t="shared" si="721"/>
        <v/>
      </c>
      <c r="R57" s="8" t="str">
        <f t="shared" si="722"/>
        <v/>
      </c>
      <c r="S57" s="8" t="str">
        <f>IF(S$8="","",R57)</f>
        <v/>
      </c>
      <c r="T57" s="8" t="str">
        <f>IF(T$8="","",S57)</f>
        <v/>
      </c>
      <c r="U57" s="8" t="str">
        <f t="shared" si="723"/>
        <v/>
      </c>
      <c r="V57" s="8" t="str">
        <f>IF(V$8="","",U57)</f>
        <v/>
      </c>
      <c r="W57" s="8" t="str">
        <f t="shared" ref="W57" si="736">IF(W$8="","",V57)</f>
        <v/>
      </c>
      <c r="X57" s="8" t="str">
        <f t="shared" si="724"/>
        <v/>
      </c>
      <c r="Y57" s="8" t="str">
        <f t="shared" si="725"/>
        <v/>
      </c>
      <c r="Z57" s="8" t="str">
        <f t="shared" ref="Z57" si="737">IF(Z$8="","",Y57)</f>
        <v/>
      </c>
      <c r="AA57" s="8" t="str">
        <f t="shared" si="726"/>
        <v/>
      </c>
      <c r="AB57" s="8" t="str">
        <f t="shared" si="727"/>
        <v/>
      </c>
      <c r="AC57" s="8" t="str">
        <f t="shared" si="728"/>
        <v/>
      </c>
      <c r="AD57" s="8" t="str">
        <f t="shared" ref="AD57" si="738">IF(AD$8="","",AC57)</f>
        <v/>
      </c>
      <c r="AE57" s="8" t="str">
        <f>IF(AE$8="","",AD57)</f>
        <v/>
      </c>
      <c r="AF57" s="8" t="str">
        <f t="shared" si="729"/>
        <v/>
      </c>
      <c r="AG57" s="8" t="str">
        <f t="shared" ref="AG57" si="739">IF(AG$8="","",AF57)</f>
        <v/>
      </c>
      <c r="AH57" s="8" t="str">
        <f t="shared" si="730"/>
        <v/>
      </c>
      <c r="AI57" s="8" t="str">
        <f t="shared" si="731"/>
        <v/>
      </c>
      <c r="AJ57" s="8" t="str">
        <f>IF(AJ$8="","",AI57)</f>
        <v/>
      </c>
      <c r="AK57" s="8" t="str">
        <f t="shared" si="732"/>
        <v/>
      </c>
      <c r="AL57" s="8" t="str">
        <f t="shared" si="733"/>
        <v/>
      </c>
      <c r="AM57" s="8" t="str">
        <f t="shared" si="734"/>
        <v/>
      </c>
      <c r="AN57" s="8" t="str">
        <f t="shared" ref="AN57" si="740">IF(AN$8="","",AM57)</f>
        <v/>
      </c>
      <c r="AO57" s="8" t="str">
        <f t="shared" ref="AO57:AS57" si="741">IF(AO$8="","",AN57)</f>
        <v/>
      </c>
      <c r="AP57" s="8" t="str">
        <f t="shared" si="741"/>
        <v/>
      </c>
      <c r="AQ57" s="8" t="str">
        <f t="shared" si="741"/>
        <v/>
      </c>
      <c r="AR57" s="8" t="str">
        <f t="shared" si="741"/>
        <v/>
      </c>
      <c r="AS57" s="8" t="str">
        <f t="shared" si="741"/>
        <v/>
      </c>
    </row>
    <row r="58" spans="1:45" s="84" customFormat="1" ht="11.25" x14ac:dyDescent="0.15">
      <c r="A58" s="15">
        <v>1</v>
      </c>
      <c r="B58" s="9" t="s">
        <v>5</v>
      </c>
      <c r="C58" s="8">
        <v>31</v>
      </c>
      <c r="D58" s="8">
        <v>31</v>
      </c>
      <c r="E58" s="8">
        <v>31</v>
      </c>
      <c r="F58" s="8">
        <v>31</v>
      </c>
      <c r="G58" s="8">
        <v>9</v>
      </c>
      <c r="H58" s="8">
        <v>9</v>
      </c>
      <c r="I58" s="8">
        <v>9</v>
      </c>
      <c r="J58" s="8">
        <v>9</v>
      </c>
      <c r="K58" s="8">
        <v>9</v>
      </c>
      <c r="L58" s="8">
        <f>IF(L56="","",(K58+K59))</f>
        <v>9</v>
      </c>
      <c r="M58" s="8">
        <v>8</v>
      </c>
      <c r="N58" s="8" t="str">
        <f t="shared" ref="N58" si="742">IF(N56="","",(M58+M59))</f>
        <v/>
      </c>
      <c r="O58" s="8" t="str">
        <f>IF(O56="","",(N58+N59))</f>
        <v/>
      </c>
      <c r="P58" s="8" t="str">
        <f t="shared" ref="P58" si="743">IF(P56="","",(O58+O59))</f>
        <v/>
      </c>
      <c r="Q58" s="8" t="str">
        <f t="shared" ref="Q58" si="744">IF(Q56="","",(P58+P59))</f>
        <v/>
      </c>
      <c r="R58" s="8" t="str">
        <f t="shared" ref="R58" si="745">IF(R56="","",(Q58+Q59))</f>
        <v/>
      </c>
      <c r="S58" s="8" t="str">
        <f t="shared" ref="S58" si="746">IF(S56="","",(R58+R59))</f>
        <v/>
      </c>
      <c r="T58" s="8" t="str">
        <f>IF(T56="","",(S58+S59))</f>
        <v/>
      </c>
      <c r="U58" s="8" t="str">
        <f t="shared" ref="U58" si="747">IF(U56="","",(T58+T59))</f>
        <v/>
      </c>
      <c r="V58" s="8" t="str">
        <f>IF(V56="","",(U58+U59))</f>
        <v/>
      </c>
      <c r="W58" s="8" t="str">
        <f t="shared" ref="W58" si="748">IF(W56="","",(V58+V59))</f>
        <v/>
      </c>
      <c r="X58" s="8" t="str">
        <f t="shared" ref="X58" si="749">IF(X56="","",(W58+W59))</f>
        <v/>
      </c>
      <c r="Y58" s="8" t="str">
        <f t="shared" ref="Y58" si="750">IF(Y56="","",(X58+X59))</f>
        <v/>
      </c>
      <c r="Z58" s="8" t="str">
        <f t="shared" ref="Z58" si="751">IF(Z56="","",(Y58+Y59))</f>
        <v/>
      </c>
      <c r="AA58" s="8" t="str">
        <f t="shared" ref="AA58" si="752">IF(AA56="","",(Z58+Z59))</f>
        <v/>
      </c>
      <c r="AB58" s="8" t="str">
        <f t="shared" ref="AB58" si="753">IF(AB56="","",(AA58+AA59))</f>
        <v/>
      </c>
      <c r="AC58" s="8" t="str">
        <f t="shared" ref="AC58" si="754">IF(AC56="","",(AB58+AB59))</f>
        <v/>
      </c>
      <c r="AD58" s="8" t="str">
        <f t="shared" ref="AD58" si="755">IF(AD56="","",(AC58+AC59))</f>
        <v/>
      </c>
      <c r="AE58" s="8" t="str">
        <f>IF(AE56="","",(AD58+AD59))</f>
        <v/>
      </c>
      <c r="AF58" s="8" t="str">
        <f t="shared" ref="AF58" si="756">IF(AF56="","",(AE58+AE59))</f>
        <v/>
      </c>
      <c r="AG58" s="8" t="str">
        <f t="shared" ref="AG58" si="757">IF(AG56="","",(AF58+AF59))</f>
        <v/>
      </c>
      <c r="AH58" s="8" t="str">
        <f t="shared" ref="AH58" si="758">IF(AH56="","",(AG58+AG59))</f>
        <v/>
      </c>
      <c r="AI58" s="8" t="str">
        <f t="shared" ref="AI58" si="759">IF(AI56="","",(AH58+AH59))</f>
        <v/>
      </c>
      <c r="AJ58" s="8" t="str">
        <f>IF(AJ56="","",(AI58+AI59))</f>
        <v/>
      </c>
      <c r="AK58" s="8" t="str">
        <f t="shared" ref="AK58" si="760">IF(AK56="","",(AJ58+AJ59))</f>
        <v/>
      </c>
      <c r="AL58" s="8" t="str">
        <f t="shared" ref="AL58" si="761">IF(AL56="","",(AK58+AK59))</f>
        <v/>
      </c>
      <c r="AM58" s="8" t="str">
        <f t="shared" ref="AM58" si="762">IF(AM56="","",(AL58+AL59))</f>
        <v/>
      </c>
      <c r="AN58" s="8" t="str">
        <f t="shared" ref="AN58" si="763">IF(AN56="","",(AM58+AM59))</f>
        <v/>
      </c>
      <c r="AO58" s="8" t="str">
        <f t="shared" ref="AO58:AS58" si="764">IF(AO56="","",(AN58+AN59))</f>
        <v/>
      </c>
      <c r="AP58" s="8" t="str">
        <f t="shared" si="764"/>
        <v/>
      </c>
      <c r="AQ58" s="8" t="str">
        <f t="shared" si="764"/>
        <v/>
      </c>
      <c r="AR58" s="8" t="str">
        <f t="shared" si="764"/>
        <v/>
      </c>
      <c r="AS58" s="8" t="str">
        <f t="shared" si="764"/>
        <v/>
      </c>
    </row>
    <row r="59" spans="1:45" s="84" customFormat="1" ht="11.25" x14ac:dyDescent="0.15">
      <c r="A59" s="92" t="s">
        <v>6</v>
      </c>
      <c r="B59" s="9" t="s">
        <v>7</v>
      </c>
      <c r="C59" s="8"/>
      <c r="D59" s="8"/>
      <c r="E59" s="8"/>
      <c r="F59" s="8">
        <v>-22</v>
      </c>
      <c r="G59" s="8"/>
      <c r="H59" s="8"/>
      <c r="I59" s="8"/>
      <c r="J59" s="8"/>
      <c r="K59" s="8"/>
      <c r="L59" s="8"/>
      <c r="M59" s="8">
        <v>4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1:45" s="84" customFormat="1" ht="11.25" x14ac:dyDescent="0.15">
      <c r="A60" s="93">
        <f>+(A63+A75+A87+A99)*100</f>
        <v>62200</v>
      </c>
      <c r="B60" s="9" t="s">
        <v>8</v>
      </c>
      <c r="C60" s="8">
        <v>700</v>
      </c>
      <c r="D60" s="8">
        <v>700</v>
      </c>
      <c r="E60" s="8">
        <v>700</v>
      </c>
      <c r="F60" s="8">
        <v>700</v>
      </c>
      <c r="G60" s="8">
        <v>700</v>
      </c>
      <c r="H60" s="8">
        <v>700</v>
      </c>
      <c r="I60" s="8">
        <v>700</v>
      </c>
      <c r="J60" s="8">
        <v>700</v>
      </c>
      <c r="K60" s="8">
        <v>700</v>
      </c>
      <c r="L60" s="8">
        <f t="shared" ref="L60" si="765">IF(L56="","",K60)</f>
        <v>700</v>
      </c>
      <c r="M60" s="8">
        <f t="shared" ref="M60" si="766">IF(M56="","",L60)</f>
        <v>700</v>
      </c>
      <c r="N60" s="8" t="str">
        <f t="shared" ref="N60" si="767">IF(N56="","",M60)</f>
        <v/>
      </c>
      <c r="O60" s="8" t="str">
        <f t="shared" ref="O60" si="768">IF(O56="","",N60)</f>
        <v/>
      </c>
      <c r="P60" s="8" t="str">
        <f t="shared" ref="P60" si="769">IF(P56="","",O60)</f>
        <v/>
      </c>
      <c r="Q60" s="8" t="str">
        <f t="shared" ref="Q60" si="770">IF(Q56="","",P60)</f>
        <v/>
      </c>
      <c r="R60" s="8" t="str">
        <f t="shared" ref="R60" si="771">IF(R56="","",Q60)</f>
        <v/>
      </c>
      <c r="S60" s="8" t="str">
        <f t="shared" ref="S60" si="772">IF(S56="","",R60)</f>
        <v/>
      </c>
      <c r="T60" s="8" t="str">
        <f t="shared" ref="T60" si="773">IF(T56="","",S60)</f>
        <v/>
      </c>
      <c r="U60" s="8" t="str">
        <f t="shared" ref="U60" si="774">IF(U56="","",T60)</f>
        <v/>
      </c>
      <c r="V60" s="8" t="str">
        <f t="shared" ref="V60" si="775">IF(V56="","",U60)</f>
        <v/>
      </c>
      <c r="W60" s="8" t="str">
        <f t="shared" ref="W60" si="776">IF(W56="","",V60)</f>
        <v/>
      </c>
      <c r="X60" s="8" t="str">
        <f t="shared" ref="X60" si="777">IF(X56="","",W60)</f>
        <v/>
      </c>
      <c r="Y60" s="8" t="str">
        <f t="shared" ref="Y60" si="778">IF(Y56="","",X60)</f>
        <v/>
      </c>
      <c r="Z60" s="8" t="str">
        <f t="shared" ref="Z60" si="779">IF(Z56="","",Y60)</f>
        <v/>
      </c>
      <c r="AA60" s="8" t="str">
        <f t="shared" ref="AA60" si="780">IF(AA56="","",Z60)</f>
        <v/>
      </c>
      <c r="AB60" s="8" t="str">
        <f t="shared" ref="AB60" si="781">IF(AB56="","",AA60)</f>
        <v/>
      </c>
      <c r="AC60" s="8" t="str">
        <f t="shared" ref="AC60" si="782">IF(AC56="","",AB60)</f>
        <v/>
      </c>
      <c r="AD60" s="8" t="str">
        <f t="shared" ref="AD60" si="783">IF(AD56="","",AC60)</f>
        <v/>
      </c>
      <c r="AE60" s="8" t="str">
        <f t="shared" ref="AE60" si="784">IF(AE56="","",AD60)</f>
        <v/>
      </c>
      <c r="AF60" s="8" t="str">
        <f t="shared" ref="AF60" si="785">IF(AF56="","",AE60)</f>
        <v/>
      </c>
      <c r="AG60" s="8" t="str">
        <f t="shared" ref="AG60" si="786">IF(AG56="","",AF60)</f>
        <v/>
      </c>
      <c r="AH60" s="8" t="str">
        <f t="shared" ref="AH60" si="787">IF(AH56="","",AG60)</f>
        <v/>
      </c>
      <c r="AI60" s="8" t="str">
        <f t="shared" ref="AI60" si="788">IF(AI56="","",AH60)</f>
        <v/>
      </c>
      <c r="AJ60" s="8" t="str">
        <f t="shared" ref="AJ60" si="789">IF(AJ56="","",AI60)</f>
        <v/>
      </c>
      <c r="AK60" s="8" t="str">
        <f t="shared" ref="AK60" si="790">IF(AK56="","",AJ60)</f>
        <v/>
      </c>
      <c r="AL60" s="8" t="str">
        <f t="shared" ref="AL60" si="791">IF(AL56="","",AK60)</f>
        <v/>
      </c>
      <c r="AM60" s="8" t="str">
        <f t="shared" ref="AM60" si="792">IF(AM56="","",AL60)</f>
        <v/>
      </c>
      <c r="AN60" s="8" t="str">
        <f t="shared" ref="AN60" si="793">IF(AN56="","",AM60)</f>
        <v/>
      </c>
      <c r="AO60" s="8" t="str">
        <f t="shared" ref="AO60:AS60" si="794">IF(AO56="","",AN60)</f>
        <v/>
      </c>
      <c r="AP60" s="8" t="str">
        <f t="shared" si="794"/>
        <v/>
      </c>
      <c r="AQ60" s="8" t="str">
        <f t="shared" si="794"/>
        <v/>
      </c>
      <c r="AR60" s="8" t="str">
        <f t="shared" si="794"/>
        <v/>
      </c>
      <c r="AS60" s="8" t="str">
        <f t="shared" si="794"/>
        <v/>
      </c>
    </row>
    <row r="61" spans="1:45" s="85" customFormat="1" ht="11.25" x14ac:dyDescent="0.15">
      <c r="A61" s="14" t="s">
        <v>9</v>
      </c>
      <c r="B61" s="13" t="s">
        <v>10</v>
      </c>
      <c r="C61" s="12" t="s">
        <v>341</v>
      </c>
      <c r="D61" s="12" t="s">
        <v>341</v>
      </c>
      <c r="E61" s="12" t="s">
        <v>341</v>
      </c>
      <c r="F61" s="12" t="s">
        <v>341</v>
      </c>
      <c r="G61" s="12" t="s">
        <v>364</v>
      </c>
      <c r="H61" s="12" t="s">
        <v>364</v>
      </c>
      <c r="I61" s="12" t="s">
        <v>364</v>
      </c>
      <c r="J61" s="12" t="s">
        <v>364</v>
      </c>
      <c r="K61" s="12" t="s">
        <v>364</v>
      </c>
      <c r="L61" s="12" t="str">
        <f t="shared" ref="L61" si="795">IF(L56="","",K61)</f>
        <v>スンスン金カラーがま口</v>
      </c>
      <c r="M61" s="12" t="str">
        <f t="shared" ref="M61" si="796">IF(M56="","",L61)</f>
        <v>スンスン金カラーがま口</v>
      </c>
      <c r="N61" s="12" t="str">
        <f t="shared" ref="N61" si="797">IF(N56="","",M61)</f>
        <v/>
      </c>
      <c r="O61" s="12" t="str">
        <f t="shared" ref="O61" si="798">IF(O56="","",N61)</f>
        <v/>
      </c>
      <c r="P61" s="12" t="str">
        <f t="shared" ref="P61" si="799">IF(P56="","",O61)</f>
        <v/>
      </c>
      <c r="Q61" s="12" t="str">
        <f t="shared" ref="Q61" si="800">IF(Q56="","",P61)</f>
        <v/>
      </c>
      <c r="R61" s="12" t="str">
        <f t="shared" ref="R61" si="801">IF(R56="","",Q61)</f>
        <v/>
      </c>
      <c r="S61" s="12" t="str">
        <f t="shared" ref="S61" si="802">IF(S56="","",R61)</f>
        <v/>
      </c>
      <c r="T61" s="12" t="str">
        <f>IF(T56="","",S61)</f>
        <v/>
      </c>
      <c r="U61" s="12" t="str">
        <f t="shared" ref="U61" si="803">IF(U56="","",T61)</f>
        <v/>
      </c>
      <c r="V61" s="12" t="str">
        <f t="shared" ref="V61" si="804">IF(V56="","",U61)</f>
        <v/>
      </c>
      <c r="W61" s="12" t="str">
        <f t="shared" ref="W61" si="805">IF(W56="","",V61)</f>
        <v/>
      </c>
      <c r="X61" s="12" t="str">
        <f t="shared" ref="X61" si="806">IF(X56="","",W61)</f>
        <v/>
      </c>
      <c r="Y61" s="12" t="str">
        <f t="shared" ref="Y61" si="807">IF(Y56="","",X61)</f>
        <v/>
      </c>
      <c r="Z61" s="12" t="str">
        <f t="shared" ref="Z61" si="808">IF(Z56="","",Y61)</f>
        <v/>
      </c>
      <c r="AA61" s="12" t="str">
        <f t="shared" ref="AA61" si="809">IF(AA56="","",Z61)</f>
        <v/>
      </c>
      <c r="AB61" s="12" t="str">
        <f t="shared" ref="AB61" si="810">IF(AB56="","",AA61)</f>
        <v/>
      </c>
      <c r="AC61" s="12" t="str">
        <f t="shared" ref="AC61" si="811">IF(AC56="","",AB61)</f>
        <v/>
      </c>
      <c r="AD61" s="12" t="str">
        <f t="shared" ref="AD61" si="812">IF(AD56="","",AC61)</f>
        <v/>
      </c>
      <c r="AE61" s="12" t="str">
        <f t="shared" ref="AE61" si="813">IF(AE56="","",AD61)</f>
        <v/>
      </c>
      <c r="AF61" s="12" t="str">
        <f t="shared" ref="AF61" si="814">IF(AF56="","",AE61)</f>
        <v/>
      </c>
      <c r="AG61" s="12" t="str">
        <f t="shared" ref="AG61" si="815">IF(AG56="","",AF61)</f>
        <v/>
      </c>
      <c r="AH61" s="12" t="str">
        <f t="shared" ref="AH61" si="816">IF(AH56="","",AG61)</f>
        <v/>
      </c>
      <c r="AI61" s="12" t="str">
        <f t="shared" ref="AI61" si="817">IF(AI56="","",AH61)</f>
        <v/>
      </c>
      <c r="AJ61" s="12" t="str">
        <f>IF(AJ56="","",AI61)</f>
        <v/>
      </c>
      <c r="AK61" s="12" t="str">
        <f t="shared" ref="AK61" si="818">IF(AK56="","",AJ61)</f>
        <v/>
      </c>
      <c r="AL61" s="12" t="str">
        <f t="shared" ref="AL61" si="819">IF(AL56="","",AK61)</f>
        <v/>
      </c>
      <c r="AM61" s="12" t="str">
        <f t="shared" ref="AM61" si="820">IF(AM56="","",AL61)</f>
        <v/>
      </c>
      <c r="AN61" s="12" t="str">
        <f t="shared" ref="AN61" si="821">IF(AN56="","",AM61)</f>
        <v/>
      </c>
      <c r="AO61" s="12" t="str">
        <f t="shared" ref="AO61:AS61" si="822">IF(AO56="","",AN61)</f>
        <v/>
      </c>
      <c r="AP61" s="12" t="str">
        <f t="shared" si="822"/>
        <v/>
      </c>
      <c r="AQ61" s="12" t="str">
        <f t="shared" si="822"/>
        <v/>
      </c>
      <c r="AR61" s="12" t="str">
        <f t="shared" si="822"/>
        <v/>
      </c>
      <c r="AS61" s="12" t="str">
        <f t="shared" si="822"/>
        <v/>
      </c>
    </row>
    <row r="62" spans="1:45" s="84" customFormat="1" ht="11.25" x14ac:dyDescent="0.15">
      <c r="A62" s="7">
        <f>AVERAGE(C63:AS63)*30*100</f>
        <v>26454.545454545456</v>
      </c>
      <c r="B62" s="9" t="s">
        <v>12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</row>
    <row r="63" spans="1:45" s="84" customFormat="1" ht="11.25" x14ac:dyDescent="0.15">
      <c r="A63" s="7">
        <f>SUM(C63:AS63)</f>
        <v>97</v>
      </c>
      <c r="B63" s="6" t="s">
        <v>13</v>
      </c>
      <c r="C63" s="5">
        <v>0</v>
      </c>
      <c r="D63" s="5">
        <v>1</v>
      </c>
      <c r="E63" s="5">
        <v>0</v>
      </c>
      <c r="F63" s="5">
        <v>0</v>
      </c>
      <c r="G63" s="5">
        <v>4</v>
      </c>
      <c r="H63" s="5">
        <v>0</v>
      </c>
      <c r="I63" s="5">
        <v>0</v>
      </c>
      <c r="J63" s="5">
        <v>0</v>
      </c>
      <c r="K63" s="5">
        <v>67</v>
      </c>
      <c r="L63" s="5">
        <f t="shared" ref="L63:L64" si="823">IF(L56="","",L56-K56)</f>
        <v>0</v>
      </c>
      <c r="M63" s="5">
        <f t="shared" ref="M63:M64" si="824">IF(M56="","",M56-L56)</f>
        <v>25</v>
      </c>
      <c r="N63" s="5" t="str">
        <f t="shared" ref="N63:N64" si="825">IF(N56="","",N56-M56)</f>
        <v/>
      </c>
      <c r="O63" s="5" t="str">
        <f t="shared" ref="O63:O64" si="826">IF(O56="","",O56-N56)</f>
        <v/>
      </c>
      <c r="P63" s="5" t="str">
        <f t="shared" ref="P63:P64" si="827">IF(P56="","",P56-O56)</f>
        <v/>
      </c>
      <c r="Q63" s="5" t="str">
        <f t="shared" ref="Q63:Q64" si="828">IF(Q56="","",Q56-P56)</f>
        <v/>
      </c>
      <c r="R63" s="5" t="str">
        <f t="shared" ref="R63:R64" si="829">IF(R56="","",R56-Q56)</f>
        <v/>
      </c>
      <c r="S63" s="5" t="str">
        <f t="shared" ref="S63:S64" si="830">IF(S56="","",S56-R56)</f>
        <v/>
      </c>
      <c r="T63" s="5" t="str">
        <f t="shared" ref="T63:T64" si="831">IF(T56="","",T56-S56)</f>
        <v/>
      </c>
      <c r="U63" s="5" t="str">
        <f t="shared" ref="U63:U64" si="832">IF(U56="","",U56-T56)</f>
        <v/>
      </c>
      <c r="V63" s="5" t="str">
        <f t="shared" ref="V63:V64" si="833">IF(V56="","",V56-U56)</f>
        <v/>
      </c>
      <c r="W63" s="5" t="str">
        <f t="shared" ref="W63:W64" si="834">IF(W56="","",W56-V56)</f>
        <v/>
      </c>
      <c r="X63" s="5" t="str">
        <f t="shared" ref="X63:X64" si="835">IF(X56="","",X56-W56)</f>
        <v/>
      </c>
      <c r="Y63" s="5" t="str">
        <f t="shared" ref="Y63:Y64" si="836">IF(Y56="","",Y56-X56)</f>
        <v/>
      </c>
      <c r="Z63" s="5" t="str">
        <f t="shared" ref="Z63:Z64" si="837">IF(Z56="","",Z56-Y56)</f>
        <v/>
      </c>
      <c r="AA63" s="5" t="str">
        <f t="shared" ref="AA63:AA64" si="838">IF(AA56="","",AA56-Z56)</f>
        <v/>
      </c>
      <c r="AB63" s="5" t="str">
        <f t="shared" ref="AB63:AB64" si="839">IF(AB56="","",AB56-AA56)</f>
        <v/>
      </c>
      <c r="AC63" s="5" t="str">
        <f t="shared" ref="AC63:AC64" si="840">IF(AC56="","",AC56-AB56)</f>
        <v/>
      </c>
      <c r="AD63" s="5" t="str">
        <f t="shared" ref="AD63:AD64" si="841">IF(AD56="","",AD56-AC56)</f>
        <v/>
      </c>
      <c r="AE63" s="5" t="str">
        <f t="shared" ref="AE63:AE64" si="842">IF(AE56="","",AE56-AD56)</f>
        <v/>
      </c>
      <c r="AF63" s="5" t="str">
        <f t="shared" ref="AF63:AF64" si="843">IF(AF56="","",AF56-AE56)</f>
        <v/>
      </c>
      <c r="AG63" s="5" t="str">
        <f t="shared" ref="AG63:AG64" si="844">IF(AG56="","",AG56-AF56)</f>
        <v/>
      </c>
      <c r="AH63" s="5" t="str">
        <f t="shared" ref="AH63:AH64" si="845">IF(AH56="","",AH56-AG56)</f>
        <v/>
      </c>
      <c r="AI63" s="5" t="str">
        <f t="shared" ref="AI63:AI64" si="846">IF(AI56="","",AI56-AH56)</f>
        <v/>
      </c>
      <c r="AJ63" s="5" t="str">
        <f t="shared" ref="AJ63:AJ64" si="847">IF(AJ56="","",AJ56-AI56)</f>
        <v/>
      </c>
      <c r="AK63" s="5" t="str">
        <f t="shared" ref="AK63:AK64" si="848">IF(AK56="","",AK56-AJ56)</f>
        <v/>
      </c>
      <c r="AL63" s="5" t="str">
        <f t="shared" ref="AL63:AL64" si="849">IF(AL56="","",AL56-AK56)</f>
        <v/>
      </c>
      <c r="AM63" s="5" t="str">
        <f t="shared" ref="AM63:AM64" si="850">IF(AM56="","",AM56-AL56)</f>
        <v/>
      </c>
      <c r="AN63" s="5" t="str">
        <f t="shared" ref="AN63" si="851">IF(AN56="","",AN56-AM56)</f>
        <v/>
      </c>
      <c r="AO63" s="5" t="str">
        <f t="shared" ref="AO63:AS63" si="852">IF(AO56="","",AO56-AN56)</f>
        <v/>
      </c>
      <c r="AP63" s="5" t="str">
        <f t="shared" si="852"/>
        <v/>
      </c>
      <c r="AQ63" s="5" t="str">
        <f t="shared" si="852"/>
        <v/>
      </c>
      <c r="AR63" s="5" t="str">
        <f t="shared" si="852"/>
        <v/>
      </c>
      <c r="AS63" s="5" t="str">
        <f t="shared" si="852"/>
        <v/>
      </c>
    </row>
    <row r="64" spans="1:45" s="84" customFormat="1" ht="11.25" x14ac:dyDescent="0.15">
      <c r="A64" s="7">
        <f>SUM(C64:AS64)</f>
        <v>2</v>
      </c>
      <c r="B64" s="6" t="s">
        <v>14</v>
      </c>
      <c r="C64" s="5">
        <v>0</v>
      </c>
      <c r="D64" s="5">
        <v>0</v>
      </c>
      <c r="E64" s="5">
        <v>0</v>
      </c>
      <c r="F64" s="5">
        <v>0</v>
      </c>
      <c r="G64" s="5">
        <v>1</v>
      </c>
      <c r="H64" s="5">
        <v>0</v>
      </c>
      <c r="I64" s="5">
        <v>0</v>
      </c>
      <c r="J64" s="5">
        <v>0</v>
      </c>
      <c r="K64" s="5">
        <v>0</v>
      </c>
      <c r="L64" s="5">
        <f t="shared" si="823"/>
        <v>0</v>
      </c>
      <c r="M64" s="5">
        <f t="shared" si="824"/>
        <v>1</v>
      </c>
      <c r="N64" s="5" t="str">
        <f t="shared" si="825"/>
        <v/>
      </c>
      <c r="O64" s="5" t="str">
        <f t="shared" si="826"/>
        <v/>
      </c>
      <c r="P64" s="5" t="str">
        <f t="shared" si="827"/>
        <v/>
      </c>
      <c r="Q64" s="5" t="str">
        <f t="shared" si="828"/>
        <v/>
      </c>
      <c r="R64" s="5" t="str">
        <f t="shared" si="829"/>
        <v/>
      </c>
      <c r="S64" s="5" t="str">
        <f t="shared" si="830"/>
        <v/>
      </c>
      <c r="T64" s="5" t="str">
        <f t="shared" si="831"/>
        <v/>
      </c>
      <c r="U64" s="5" t="str">
        <f t="shared" si="832"/>
        <v/>
      </c>
      <c r="V64" s="5" t="str">
        <f t="shared" si="833"/>
        <v/>
      </c>
      <c r="W64" s="5" t="str">
        <f t="shared" si="834"/>
        <v/>
      </c>
      <c r="X64" s="5" t="str">
        <f t="shared" si="835"/>
        <v/>
      </c>
      <c r="Y64" s="5" t="str">
        <f t="shared" si="836"/>
        <v/>
      </c>
      <c r="Z64" s="5" t="str">
        <f t="shared" si="837"/>
        <v/>
      </c>
      <c r="AA64" s="5" t="str">
        <f t="shared" si="838"/>
        <v/>
      </c>
      <c r="AB64" s="5" t="str">
        <f t="shared" si="839"/>
        <v/>
      </c>
      <c r="AC64" s="5" t="str">
        <f t="shared" si="840"/>
        <v/>
      </c>
      <c r="AD64" s="5" t="str">
        <f t="shared" si="841"/>
        <v/>
      </c>
      <c r="AE64" s="5" t="str">
        <f t="shared" si="842"/>
        <v/>
      </c>
      <c r="AF64" s="5" t="str">
        <f t="shared" si="843"/>
        <v/>
      </c>
      <c r="AG64" s="5" t="str">
        <f t="shared" si="844"/>
        <v/>
      </c>
      <c r="AH64" s="5" t="str">
        <f t="shared" si="845"/>
        <v/>
      </c>
      <c r="AI64" s="5" t="str">
        <f t="shared" si="846"/>
        <v/>
      </c>
      <c r="AJ64" s="5" t="str">
        <f t="shared" si="847"/>
        <v/>
      </c>
      <c r="AK64" s="5" t="str">
        <f t="shared" si="848"/>
        <v/>
      </c>
      <c r="AL64" s="5" t="str">
        <f t="shared" si="849"/>
        <v/>
      </c>
      <c r="AM64" s="5" t="str">
        <f t="shared" si="850"/>
        <v/>
      </c>
      <c r="AN64" s="5" t="str">
        <f t="shared" ref="AN64" si="853">IF(AN57="","",AN57-AM57)</f>
        <v/>
      </c>
      <c r="AO64" s="5" t="str">
        <f t="shared" ref="AO64:AS64" si="854">IF(AO57="","",AO57-AN57)</f>
        <v/>
      </c>
      <c r="AP64" s="5" t="str">
        <f t="shared" si="854"/>
        <v/>
      </c>
      <c r="AQ64" s="5" t="str">
        <f t="shared" si="854"/>
        <v/>
      </c>
      <c r="AR64" s="5" t="str">
        <f t="shared" si="854"/>
        <v/>
      </c>
      <c r="AS64" s="5" t="str">
        <f t="shared" si="854"/>
        <v/>
      </c>
    </row>
    <row r="65" spans="1:45" s="84" customFormat="1" ht="11.25" x14ac:dyDescent="0.15">
      <c r="A65" s="7">
        <f>SUM(C65:AS65)</f>
        <v>1</v>
      </c>
      <c r="B65" s="6" t="s">
        <v>15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f t="shared" ref="L65" si="855">IF(L58="","",K58+K59-L58)</f>
        <v>0</v>
      </c>
      <c r="M65" s="5">
        <f t="shared" ref="M65" si="856">IF(M58="","",L58+L59-M58)</f>
        <v>1</v>
      </c>
      <c r="N65" s="5" t="str">
        <f t="shared" ref="N65" si="857">IF(N58="","",M58+M59-N58)</f>
        <v/>
      </c>
      <c r="O65" s="5" t="str">
        <f t="shared" ref="O65" si="858">IF(O58="","",N58+N59-O58)</f>
        <v/>
      </c>
      <c r="P65" s="5" t="str">
        <f t="shared" ref="P65" si="859">IF(P58="","",O58+O59-P58)</f>
        <v/>
      </c>
      <c r="Q65" s="5" t="str">
        <f t="shared" ref="Q65" si="860">IF(Q58="","",P58+P59-Q58)</f>
        <v/>
      </c>
      <c r="R65" s="5" t="str">
        <f t="shared" ref="R65" si="861">IF(R58="","",Q58+Q59-R58)</f>
        <v/>
      </c>
      <c r="S65" s="5" t="str">
        <f t="shared" ref="S65" si="862">IF(S58="","",R58+R59-S58)</f>
        <v/>
      </c>
      <c r="T65" s="5" t="str">
        <f t="shared" ref="T65" si="863">IF(T58="","",S58+S59-T58)</f>
        <v/>
      </c>
      <c r="U65" s="5" t="str">
        <f t="shared" ref="U65" si="864">IF(U58="","",T58+T59-U58)</f>
        <v/>
      </c>
      <c r="V65" s="5" t="str">
        <f t="shared" ref="V65" si="865">IF(V58="","",U58+U59-V58)</f>
        <v/>
      </c>
      <c r="W65" s="5" t="str">
        <f t="shared" ref="W65" si="866">IF(W58="","",V58+V59-W58)</f>
        <v/>
      </c>
      <c r="X65" s="5" t="str">
        <f t="shared" ref="X65" si="867">IF(X58="","",W58+W59-X58)</f>
        <v/>
      </c>
      <c r="Y65" s="5" t="str">
        <f t="shared" ref="Y65" si="868">IF(Y58="","",X58+X59-Y58)</f>
        <v/>
      </c>
      <c r="Z65" s="5" t="str">
        <f t="shared" ref="Z65" si="869">IF(Z58="","",Y58+Y59-Z58)</f>
        <v/>
      </c>
      <c r="AA65" s="5" t="str">
        <f t="shared" ref="AA65" si="870">IF(AA58="","",Z58+Z59-AA58)</f>
        <v/>
      </c>
      <c r="AB65" s="5" t="str">
        <f t="shared" ref="AB65" si="871">IF(AB58="","",AA58+AA59-AB58)</f>
        <v/>
      </c>
      <c r="AC65" s="5" t="str">
        <f t="shared" ref="AC65" si="872">IF(AC58="","",AB58+AB59-AC58)</f>
        <v/>
      </c>
      <c r="AD65" s="5" t="str">
        <f t="shared" ref="AD65" si="873">IF(AD58="","",AC58+AC59-AD58)</f>
        <v/>
      </c>
      <c r="AE65" s="5" t="str">
        <f t="shared" ref="AE65" si="874">IF(AE58="","",AD58+AD59-AE58)</f>
        <v/>
      </c>
      <c r="AF65" s="5" t="str">
        <f t="shared" ref="AF65" si="875">IF(AF58="","",AE58+AE59-AF58)</f>
        <v/>
      </c>
      <c r="AG65" s="5" t="str">
        <f t="shared" ref="AG65" si="876">IF(AG58="","",AF58+AF59-AG58)</f>
        <v/>
      </c>
      <c r="AH65" s="5" t="str">
        <f t="shared" ref="AH65" si="877">IF(AH58="","",AG58+AG59-AH58)</f>
        <v/>
      </c>
      <c r="AI65" s="5" t="str">
        <f t="shared" ref="AI65" si="878">IF(AI58="","",AH58+AH59-AI58)</f>
        <v/>
      </c>
      <c r="AJ65" s="5" t="str">
        <f t="shared" ref="AJ65" si="879">IF(AJ58="","",AI58+AI59-AJ58)</f>
        <v/>
      </c>
      <c r="AK65" s="5" t="str">
        <f t="shared" ref="AK65" si="880">IF(AK58="","",AJ58+AJ59-AK58)</f>
        <v/>
      </c>
      <c r="AL65" s="5" t="str">
        <f t="shared" ref="AL65" si="881">IF(AL58="","",AK58+AK59-AL58)</f>
        <v/>
      </c>
      <c r="AM65" s="5" t="str">
        <f t="shared" ref="AM65" si="882">IF(AM58="","",AL58+AL59-AM58)</f>
        <v/>
      </c>
      <c r="AN65" s="5" t="str">
        <f t="shared" ref="AN65" si="883">IF(AN58="","",AM58+AM59-AN58)</f>
        <v/>
      </c>
      <c r="AO65" s="5" t="str">
        <f t="shared" ref="AO65:AS65" si="884">IF(AO58="","",AN58+AN59-AO58)</f>
        <v/>
      </c>
      <c r="AP65" s="5" t="str">
        <f t="shared" si="884"/>
        <v/>
      </c>
      <c r="AQ65" s="5" t="str">
        <f t="shared" si="884"/>
        <v/>
      </c>
      <c r="AR65" s="5" t="str">
        <f t="shared" si="884"/>
        <v/>
      </c>
      <c r="AS65" s="5" t="str">
        <f t="shared" si="884"/>
        <v/>
      </c>
    </row>
    <row r="66" spans="1:45" s="84" customFormat="1" ht="11.25" x14ac:dyDescent="0.15">
      <c r="A66" s="7">
        <f>SUM(C66:AS66)</f>
        <v>700</v>
      </c>
      <c r="B66" s="6" t="s">
        <v>16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f t="shared" ref="J66:AM66" si="885">IF(L56="","",L65*L60)</f>
        <v>0</v>
      </c>
      <c r="M66" s="5">
        <f t="shared" si="885"/>
        <v>700</v>
      </c>
      <c r="N66" s="5" t="str">
        <f t="shared" si="885"/>
        <v/>
      </c>
      <c r="O66" s="5" t="str">
        <f t="shared" si="885"/>
        <v/>
      </c>
      <c r="P66" s="5" t="str">
        <f t="shared" si="885"/>
        <v/>
      </c>
      <c r="Q66" s="5" t="str">
        <f t="shared" si="885"/>
        <v/>
      </c>
      <c r="R66" s="5" t="str">
        <f t="shared" si="885"/>
        <v/>
      </c>
      <c r="S66" s="5" t="str">
        <f t="shared" si="885"/>
        <v/>
      </c>
      <c r="T66" s="5" t="str">
        <f t="shared" si="885"/>
        <v/>
      </c>
      <c r="U66" s="5" t="str">
        <f t="shared" si="885"/>
        <v/>
      </c>
      <c r="V66" s="5" t="str">
        <f t="shared" si="885"/>
        <v/>
      </c>
      <c r="W66" s="5" t="str">
        <f t="shared" si="885"/>
        <v/>
      </c>
      <c r="X66" s="5" t="str">
        <f t="shared" si="885"/>
        <v/>
      </c>
      <c r="Y66" s="5" t="str">
        <f t="shared" si="885"/>
        <v/>
      </c>
      <c r="Z66" s="5" t="str">
        <f t="shared" si="885"/>
        <v/>
      </c>
      <c r="AA66" s="5" t="str">
        <f t="shared" si="885"/>
        <v/>
      </c>
      <c r="AB66" s="5" t="str">
        <f t="shared" si="885"/>
        <v/>
      </c>
      <c r="AC66" s="5" t="str">
        <f t="shared" si="885"/>
        <v/>
      </c>
      <c r="AD66" s="5" t="str">
        <f t="shared" si="885"/>
        <v/>
      </c>
      <c r="AE66" s="5" t="str">
        <f t="shared" si="885"/>
        <v/>
      </c>
      <c r="AF66" s="5" t="str">
        <f t="shared" si="885"/>
        <v/>
      </c>
      <c r="AG66" s="5" t="str">
        <f t="shared" si="885"/>
        <v/>
      </c>
      <c r="AH66" s="5" t="str">
        <f t="shared" si="885"/>
        <v/>
      </c>
      <c r="AI66" s="5" t="str">
        <f t="shared" si="885"/>
        <v/>
      </c>
      <c r="AJ66" s="5" t="str">
        <f t="shared" si="885"/>
        <v/>
      </c>
      <c r="AK66" s="5" t="str">
        <f t="shared" si="885"/>
        <v/>
      </c>
      <c r="AL66" s="5" t="str">
        <f t="shared" si="885"/>
        <v/>
      </c>
      <c r="AM66" s="5" t="str">
        <f t="shared" si="885"/>
        <v/>
      </c>
      <c r="AN66" s="5" t="str">
        <f t="shared" ref="AN66" si="886">IF(AN56="","",AN65*AN60)</f>
        <v/>
      </c>
      <c r="AO66" s="5" t="str">
        <f t="shared" ref="AO66:AS66" si="887">IF(AO56="","",AO65*AO60)</f>
        <v/>
      </c>
      <c r="AP66" s="5" t="str">
        <f t="shared" si="887"/>
        <v/>
      </c>
      <c r="AQ66" s="5" t="str">
        <f t="shared" si="887"/>
        <v/>
      </c>
      <c r="AR66" s="5" t="str">
        <f t="shared" si="887"/>
        <v/>
      </c>
      <c r="AS66" s="5" t="str">
        <f t="shared" si="887"/>
        <v/>
      </c>
    </row>
    <row r="67" spans="1:45" s="84" customFormat="1" ht="12" thickBot="1" x14ac:dyDescent="0.2">
      <c r="A67" s="4">
        <f>IF(A66="","",A66/(A63*100))</f>
        <v>7.2164948453608241E-2</v>
      </c>
      <c r="B67" s="6" t="s">
        <v>18</v>
      </c>
      <c r="C67" s="18" t="s">
        <v>19</v>
      </c>
      <c r="D67" s="18" t="s">
        <v>19</v>
      </c>
      <c r="E67" s="18" t="s">
        <v>19</v>
      </c>
      <c r="F67" s="18" t="s">
        <v>19</v>
      </c>
      <c r="G67" s="18" t="s">
        <v>19</v>
      </c>
      <c r="H67" s="18" t="s">
        <v>19</v>
      </c>
      <c r="I67" s="18" t="s">
        <v>19</v>
      </c>
      <c r="J67" s="18" t="s">
        <v>19</v>
      </c>
      <c r="K67" s="18" t="s">
        <v>19</v>
      </c>
      <c r="L67" s="18" t="str">
        <f t="shared" ref="J67:AM67" si="888">IF(L66="","",IF(L66=0,"",L66/(L63*100)))</f>
        <v/>
      </c>
      <c r="M67" s="18">
        <f t="shared" si="888"/>
        <v>0.28000000000000003</v>
      </c>
      <c r="N67" s="18" t="str">
        <f t="shared" si="888"/>
        <v/>
      </c>
      <c r="O67" s="18" t="str">
        <f t="shared" si="888"/>
        <v/>
      </c>
      <c r="P67" s="18" t="str">
        <f t="shared" si="888"/>
        <v/>
      </c>
      <c r="Q67" s="18" t="str">
        <f t="shared" si="888"/>
        <v/>
      </c>
      <c r="R67" s="18" t="str">
        <f t="shared" si="888"/>
        <v/>
      </c>
      <c r="S67" s="18" t="str">
        <f t="shared" si="888"/>
        <v/>
      </c>
      <c r="T67" s="18" t="str">
        <f t="shared" si="888"/>
        <v/>
      </c>
      <c r="U67" s="18" t="str">
        <f t="shared" si="888"/>
        <v/>
      </c>
      <c r="V67" s="18" t="str">
        <f t="shared" si="888"/>
        <v/>
      </c>
      <c r="W67" s="18" t="str">
        <f t="shared" si="888"/>
        <v/>
      </c>
      <c r="X67" s="18" t="str">
        <f t="shared" si="888"/>
        <v/>
      </c>
      <c r="Y67" s="18" t="str">
        <f t="shared" si="888"/>
        <v/>
      </c>
      <c r="Z67" s="18" t="str">
        <f t="shared" si="888"/>
        <v/>
      </c>
      <c r="AA67" s="18" t="str">
        <f t="shared" si="888"/>
        <v/>
      </c>
      <c r="AB67" s="18" t="str">
        <f t="shared" si="888"/>
        <v/>
      </c>
      <c r="AC67" s="18" t="str">
        <f t="shared" si="888"/>
        <v/>
      </c>
      <c r="AD67" s="18" t="str">
        <f t="shared" si="888"/>
        <v/>
      </c>
      <c r="AE67" s="18" t="str">
        <f t="shared" si="888"/>
        <v/>
      </c>
      <c r="AF67" s="18" t="str">
        <f t="shared" si="888"/>
        <v/>
      </c>
      <c r="AG67" s="18" t="str">
        <f t="shared" si="888"/>
        <v/>
      </c>
      <c r="AH67" s="18" t="str">
        <f t="shared" si="888"/>
        <v/>
      </c>
      <c r="AI67" s="18" t="str">
        <f t="shared" si="888"/>
        <v/>
      </c>
      <c r="AJ67" s="18" t="str">
        <f t="shared" si="888"/>
        <v/>
      </c>
      <c r="AK67" s="18" t="str">
        <f t="shared" si="888"/>
        <v/>
      </c>
      <c r="AL67" s="18" t="str">
        <f t="shared" si="888"/>
        <v/>
      </c>
      <c r="AM67" s="18" t="str">
        <f t="shared" si="888"/>
        <v/>
      </c>
      <c r="AN67" s="18" t="str">
        <f t="shared" ref="AN67" si="889">IF(AN66="","",IF(AN66=0,"",AN66/(AN63*100)))</f>
        <v/>
      </c>
      <c r="AO67" s="18" t="str">
        <f t="shared" ref="AO67:AS67" si="890">IF(AO66="","",IF(AO66=0,"",AO66/(AO63*100)))</f>
        <v/>
      </c>
      <c r="AP67" s="18" t="str">
        <f t="shared" si="890"/>
        <v/>
      </c>
      <c r="AQ67" s="18" t="str">
        <f t="shared" si="890"/>
        <v/>
      </c>
      <c r="AR67" s="18" t="str">
        <f t="shared" si="890"/>
        <v/>
      </c>
      <c r="AS67" s="18" t="str">
        <f t="shared" si="890"/>
        <v/>
      </c>
    </row>
    <row r="68" spans="1:45" s="84" customFormat="1" ht="11.25" x14ac:dyDescent="0.15">
      <c r="A68" s="17" t="s">
        <v>77</v>
      </c>
      <c r="B68" s="9" t="s">
        <v>2</v>
      </c>
      <c r="C68" s="8">
        <v>17201</v>
      </c>
      <c r="D68" s="8">
        <v>17217</v>
      </c>
      <c r="E68" s="8">
        <v>17217</v>
      </c>
      <c r="F68" s="8">
        <v>17217</v>
      </c>
      <c r="G68" s="8">
        <v>17318</v>
      </c>
      <c r="H68" s="8">
        <v>17318</v>
      </c>
      <c r="I68" s="8">
        <v>17318</v>
      </c>
      <c r="J68" s="8">
        <v>17318</v>
      </c>
      <c r="K68" s="8">
        <v>17341</v>
      </c>
      <c r="L68" s="8">
        <f>IF(L$8="","",K68)</f>
        <v>17341</v>
      </c>
      <c r="M68" s="8">
        <v>17386</v>
      </c>
      <c r="N68" s="8" t="str">
        <f t="shared" ref="N68:N69" si="891">IF(N$8="","",M68)</f>
        <v/>
      </c>
      <c r="O68" s="8" t="str">
        <f>IF(O$8="","",N68)</f>
        <v/>
      </c>
      <c r="P68" s="8" t="str">
        <f t="shared" ref="P68:P69" si="892">IF(P$8="","",O68)</f>
        <v/>
      </c>
      <c r="Q68" s="8" t="str">
        <f t="shared" ref="Q68:Q69" si="893">IF(Q$8="","",P68)</f>
        <v/>
      </c>
      <c r="R68" s="8" t="str">
        <f t="shared" ref="R68:R69" si="894">IF(R$8="","",Q68)</f>
        <v/>
      </c>
      <c r="S68" s="8" t="str">
        <f>IF(S$8="","",R68)</f>
        <v/>
      </c>
      <c r="T68" s="8" t="str">
        <f>IF(T$8="","",S68)</f>
        <v/>
      </c>
      <c r="U68" s="8" t="str">
        <f t="shared" ref="U68:U69" si="895">IF(U$8="","",T68)</f>
        <v/>
      </c>
      <c r="V68" s="8" t="str">
        <f>IF(V$8="","",U68)</f>
        <v/>
      </c>
      <c r="W68" s="8" t="str">
        <f>IF(W$8="","",V68)</f>
        <v/>
      </c>
      <c r="X68" s="8" t="str">
        <f t="shared" ref="X68:X69" si="896">IF(X$8="","",W68)</f>
        <v/>
      </c>
      <c r="Y68" s="8" t="str">
        <f t="shared" ref="Y68:Y69" si="897">IF(Y$8="","",X68)</f>
        <v/>
      </c>
      <c r="Z68" s="8" t="str">
        <f>IF(Z$8="","",Y68)</f>
        <v/>
      </c>
      <c r="AA68" s="8" t="str">
        <f t="shared" ref="AA68:AA69" si="898">IF(AA$8="","",Z68)</f>
        <v/>
      </c>
      <c r="AB68" s="8" t="str">
        <f t="shared" ref="AB68:AB69" si="899">IF(AB$8="","",AA68)</f>
        <v/>
      </c>
      <c r="AC68" s="8" t="str">
        <f t="shared" ref="AC68:AC69" si="900">IF(AC$8="","",AB68)</f>
        <v/>
      </c>
      <c r="AD68" s="8" t="str">
        <f>IF(AD$8="","",AC68)</f>
        <v/>
      </c>
      <c r="AE68" s="8" t="str">
        <f>IF(AE$8="","",AD68)</f>
        <v/>
      </c>
      <c r="AF68" s="8" t="str">
        <f t="shared" ref="AF68:AF69" si="901">IF(AF$8="","",AE68)</f>
        <v/>
      </c>
      <c r="AG68" s="8" t="str">
        <f>IF(AG$8="","",AF68)</f>
        <v/>
      </c>
      <c r="AH68" s="8" t="str">
        <f t="shared" ref="AH68:AH69" si="902">IF(AH$8="","",AG68)</f>
        <v/>
      </c>
      <c r="AI68" s="8" t="str">
        <f t="shared" ref="AI68:AI69" si="903">IF(AI$8="","",AH68)</f>
        <v/>
      </c>
      <c r="AJ68" s="8" t="str">
        <f>IF(AJ$8="","",AI68)</f>
        <v/>
      </c>
      <c r="AK68" s="8" t="str">
        <f t="shared" ref="AK68:AK69" si="904">IF(AK$8="","",AJ68)</f>
        <v/>
      </c>
      <c r="AL68" s="8" t="str">
        <f t="shared" ref="AL68:AL69" si="905">IF(AL$8="","",AK68)</f>
        <v/>
      </c>
      <c r="AM68" s="8" t="str">
        <f t="shared" ref="AM68:AM69" si="906">IF(AM$8="","",AL68)</f>
        <v/>
      </c>
      <c r="AN68" s="8" t="str">
        <f>IF(AN$8="","",AM68)</f>
        <v/>
      </c>
      <c r="AO68" s="8" t="str">
        <f t="shared" ref="AO68:AS68" si="907">IF(AO$8="","",AN68)</f>
        <v/>
      </c>
      <c r="AP68" s="8" t="str">
        <f t="shared" si="907"/>
        <v/>
      </c>
      <c r="AQ68" s="8" t="str">
        <f t="shared" si="907"/>
        <v/>
      </c>
      <c r="AR68" s="8" t="str">
        <f t="shared" si="907"/>
        <v/>
      </c>
      <c r="AS68" s="8" t="str">
        <f t="shared" si="907"/>
        <v/>
      </c>
    </row>
    <row r="69" spans="1:45" s="84" customFormat="1" ht="11.25" x14ac:dyDescent="0.15">
      <c r="A69" s="16" t="s">
        <v>24</v>
      </c>
      <c r="B69" s="9" t="s">
        <v>4</v>
      </c>
      <c r="C69" s="8">
        <v>386</v>
      </c>
      <c r="D69" s="8">
        <v>386</v>
      </c>
      <c r="E69" s="8">
        <v>386</v>
      </c>
      <c r="F69" s="8">
        <v>386</v>
      </c>
      <c r="G69" s="8">
        <v>388</v>
      </c>
      <c r="H69" s="8">
        <v>388</v>
      </c>
      <c r="I69" s="8">
        <v>388</v>
      </c>
      <c r="J69" s="8">
        <v>388</v>
      </c>
      <c r="K69" s="8">
        <v>388</v>
      </c>
      <c r="L69" s="8">
        <f>IF(L$8="","",K69)</f>
        <v>388</v>
      </c>
      <c r="M69" s="8">
        <f t="shared" ref="M68:M69" si="908">IF(M$8="","",L69)</f>
        <v>388</v>
      </c>
      <c r="N69" s="8" t="str">
        <f t="shared" si="891"/>
        <v/>
      </c>
      <c r="O69" s="8" t="str">
        <f>IF(O$8="","",N69)</f>
        <v/>
      </c>
      <c r="P69" s="8" t="str">
        <f t="shared" si="892"/>
        <v/>
      </c>
      <c r="Q69" s="8" t="str">
        <f t="shared" si="893"/>
        <v/>
      </c>
      <c r="R69" s="8" t="str">
        <f t="shared" si="894"/>
        <v/>
      </c>
      <c r="S69" s="8" t="str">
        <f t="shared" ref="S68:S69" si="909">IF(S$8="","",R69)</f>
        <v/>
      </c>
      <c r="T69" s="8" t="str">
        <f>IF(T$8="","",S69)</f>
        <v/>
      </c>
      <c r="U69" s="8" t="str">
        <f t="shared" si="895"/>
        <v/>
      </c>
      <c r="V69" s="8" t="str">
        <f>IF(V$8="","",U69)</f>
        <v/>
      </c>
      <c r="W69" s="8" t="str">
        <f t="shared" ref="W69" si="910">IF(W$8="","",V69)</f>
        <v/>
      </c>
      <c r="X69" s="8" t="str">
        <f t="shared" si="896"/>
        <v/>
      </c>
      <c r="Y69" s="8" t="str">
        <f t="shared" si="897"/>
        <v/>
      </c>
      <c r="Z69" s="8" t="str">
        <f>IF(Z$8="","",Y69)</f>
        <v/>
      </c>
      <c r="AA69" s="8" t="str">
        <f t="shared" si="898"/>
        <v/>
      </c>
      <c r="AB69" s="8" t="str">
        <f t="shared" si="899"/>
        <v/>
      </c>
      <c r="AC69" s="8" t="str">
        <f t="shared" si="900"/>
        <v/>
      </c>
      <c r="AD69" s="8" t="str">
        <f>IF(AD$8="","",AC69)</f>
        <v/>
      </c>
      <c r="AE69" s="8" t="str">
        <f>IF(AE$8="","",AD69)</f>
        <v/>
      </c>
      <c r="AF69" s="8" t="str">
        <f t="shared" si="901"/>
        <v/>
      </c>
      <c r="AG69" s="8" t="str">
        <f t="shared" ref="AG69" si="911">IF(AG$8="","",AF69)</f>
        <v/>
      </c>
      <c r="AH69" s="8" t="str">
        <f t="shared" si="902"/>
        <v/>
      </c>
      <c r="AI69" s="8" t="str">
        <f t="shared" si="903"/>
        <v/>
      </c>
      <c r="AJ69" s="8" t="str">
        <f>IF(AJ$8="","",AI69)</f>
        <v/>
      </c>
      <c r="AK69" s="8" t="str">
        <f t="shared" si="904"/>
        <v/>
      </c>
      <c r="AL69" s="8" t="str">
        <f t="shared" si="905"/>
        <v/>
      </c>
      <c r="AM69" s="8" t="str">
        <f t="shared" si="906"/>
        <v/>
      </c>
      <c r="AN69" s="8" t="str">
        <f t="shared" ref="AN69" si="912">IF(AN$8="","",AM69)</f>
        <v/>
      </c>
      <c r="AO69" s="8" t="str">
        <f t="shared" ref="AO69:AS69" si="913">IF(AO$8="","",AN69)</f>
        <v/>
      </c>
      <c r="AP69" s="8" t="str">
        <f t="shared" si="913"/>
        <v/>
      </c>
      <c r="AQ69" s="8" t="str">
        <f t="shared" si="913"/>
        <v/>
      </c>
      <c r="AR69" s="8" t="str">
        <f t="shared" si="913"/>
        <v/>
      </c>
      <c r="AS69" s="8" t="str">
        <f t="shared" si="913"/>
        <v/>
      </c>
    </row>
    <row r="70" spans="1:45" s="84" customFormat="1" ht="11.25" x14ac:dyDescent="0.15">
      <c r="A70" s="15">
        <v>2</v>
      </c>
      <c r="B70" s="9" t="s">
        <v>5</v>
      </c>
      <c r="C70" s="8">
        <v>11</v>
      </c>
      <c r="D70" s="8">
        <v>11</v>
      </c>
      <c r="E70" s="8">
        <v>11</v>
      </c>
      <c r="F70" s="8">
        <v>11</v>
      </c>
      <c r="G70" s="8">
        <v>9</v>
      </c>
      <c r="H70" s="8">
        <v>9</v>
      </c>
      <c r="I70" s="8">
        <v>9</v>
      </c>
      <c r="J70" s="8">
        <v>9</v>
      </c>
      <c r="K70" s="8">
        <v>9</v>
      </c>
      <c r="L70" s="8">
        <f>IF(L68="","",(K70+K71))</f>
        <v>9</v>
      </c>
      <c r="M70" s="8">
        <f t="shared" ref="M70" si="914">IF(M68="","",(L70+L71))</f>
        <v>9</v>
      </c>
      <c r="N70" s="8" t="str">
        <f t="shared" ref="N70" si="915">IF(N68="","",(M70+M71))</f>
        <v/>
      </c>
      <c r="O70" s="8" t="str">
        <f t="shared" ref="O70" si="916">IF(O68="","",(N70+N71))</f>
        <v/>
      </c>
      <c r="P70" s="8" t="str">
        <f t="shared" ref="P70" si="917">IF(P68="","",(O70+O71))</f>
        <v/>
      </c>
      <c r="Q70" s="8" t="str">
        <f t="shared" ref="Q70" si="918">IF(Q68="","",(P70+P71))</f>
        <v/>
      </c>
      <c r="R70" s="8" t="str">
        <f t="shared" ref="R70" si="919">IF(R68="","",(Q70+Q71))</f>
        <v/>
      </c>
      <c r="S70" s="8" t="str">
        <f t="shared" ref="S70" si="920">IF(S68="","",(R70+R71))</f>
        <v/>
      </c>
      <c r="T70" s="8" t="str">
        <f>IF(T68="","",(S70+S71))</f>
        <v/>
      </c>
      <c r="U70" s="8" t="str">
        <f t="shared" ref="U70" si="921">IF(U68="","",(T70+T71))</f>
        <v/>
      </c>
      <c r="V70" s="8" t="str">
        <f>IF(V68="","",(U70+U71))</f>
        <v/>
      </c>
      <c r="W70" s="8" t="str">
        <f t="shared" ref="W70" si="922">IF(W68="","",(V70+V71))</f>
        <v/>
      </c>
      <c r="X70" s="8" t="str">
        <f t="shared" ref="X70" si="923">IF(X68="","",(W70+W71))</f>
        <v/>
      </c>
      <c r="Y70" s="8" t="str">
        <f t="shared" ref="Y70" si="924">IF(Y68="","",(X70+X71))</f>
        <v/>
      </c>
      <c r="Z70" s="8" t="str">
        <f>IF(Z68="","",(Y70+Y71))</f>
        <v/>
      </c>
      <c r="AA70" s="8" t="str">
        <f t="shared" ref="AA70" si="925">IF(AA68="","",(Z70+Z71))</f>
        <v/>
      </c>
      <c r="AB70" s="8" t="str">
        <f t="shared" ref="AB70" si="926">IF(AB68="","",(AA70+AA71))</f>
        <v/>
      </c>
      <c r="AC70" s="8" t="str">
        <f t="shared" ref="AC70" si="927">IF(AC68="","",(AB70+AB71))</f>
        <v/>
      </c>
      <c r="AD70" s="8" t="str">
        <f>IF(AD68="","",(AC70+AC71))</f>
        <v/>
      </c>
      <c r="AE70" s="8" t="str">
        <f t="shared" ref="AE70" si="928">IF(AE68="","",(AD70+AD71))</f>
        <v/>
      </c>
      <c r="AF70" s="8" t="str">
        <f t="shared" ref="AF70" si="929">IF(AF68="","",(AE70+AE71))</f>
        <v/>
      </c>
      <c r="AG70" s="8" t="str">
        <f t="shared" ref="AG70" si="930">IF(AG68="","",(AF70+AF71))</f>
        <v/>
      </c>
      <c r="AH70" s="8" t="str">
        <f t="shared" ref="AH70" si="931">IF(AH68="","",(AG70+AG71))</f>
        <v/>
      </c>
      <c r="AI70" s="8" t="str">
        <f t="shared" ref="AI70" si="932">IF(AI68="","",(AH70+AH71))</f>
        <v/>
      </c>
      <c r="AJ70" s="8" t="str">
        <f>IF(AJ68="","",(AI70+AI71))</f>
        <v/>
      </c>
      <c r="AK70" s="8" t="str">
        <f t="shared" ref="AK70" si="933">IF(AK68="","",(AJ70+AJ71))</f>
        <v/>
      </c>
      <c r="AL70" s="8" t="str">
        <f t="shared" ref="AL70" si="934">IF(AL68="","",(AK70+AK71))</f>
        <v/>
      </c>
      <c r="AM70" s="8" t="str">
        <f t="shared" ref="AM70" si="935">IF(AM68="","",(AL70+AL71))</f>
        <v/>
      </c>
      <c r="AN70" s="8" t="str">
        <f t="shared" ref="AN70" si="936">IF(AN68="","",(AM70+AM71))</f>
        <v/>
      </c>
      <c r="AO70" s="8" t="str">
        <f t="shared" ref="AO70:AS70" si="937">IF(AO68="","",(AN70+AN71))</f>
        <v/>
      </c>
      <c r="AP70" s="8" t="str">
        <f t="shared" si="937"/>
        <v/>
      </c>
      <c r="AQ70" s="8" t="str">
        <f t="shared" si="937"/>
        <v/>
      </c>
      <c r="AR70" s="8" t="str">
        <f t="shared" si="937"/>
        <v/>
      </c>
      <c r="AS70" s="8" t="str">
        <f t="shared" si="937"/>
        <v/>
      </c>
    </row>
    <row r="71" spans="1:45" s="84" customFormat="1" ht="11.25" x14ac:dyDescent="0.15">
      <c r="A71" s="14"/>
      <c r="B71" s="9" t="s">
        <v>7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>
        <v>6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</row>
    <row r="72" spans="1:45" s="84" customFormat="1" ht="11.25" x14ac:dyDescent="0.15">
      <c r="A72" s="7"/>
      <c r="B72" s="9" t="s">
        <v>8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f t="shared" ref="L72" si="938">IF(L68="","",K72)</f>
        <v>0</v>
      </c>
      <c r="M72" s="8">
        <f t="shared" ref="M72" si="939">IF(M68="","",L72)</f>
        <v>0</v>
      </c>
      <c r="N72" s="8" t="str">
        <f t="shared" ref="N72" si="940">IF(N68="","",M72)</f>
        <v/>
      </c>
      <c r="O72" s="8" t="str">
        <f t="shared" ref="O72" si="941">IF(O68="","",N72)</f>
        <v/>
      </c>
      <c r="P72" s="8" t="str">
        <f t="shared" ref="P72" si="942">IF(P68="","",O72)</f>
        <v/>
      </c>
      <c r="Q72" s="8" t="str">
        <f t="shared" ref="Q72" si="943">IF(Q68="","",P72)</f>
        <v/>
      </c>
      <c r="R72" s="8" t="str">
        <f t="shared" ref="R72" si="944">IF(R68="","",Q72)</f>
        <v/>
      </c>
      <c r="S72" s="8" t="str">
        <f>IF(S68="","",R72)</f>
        <v/>
      </c>
      <c r="T72" s="8" t="str">
        <f t="shared" ref="T72" si="945">IF(T68="","",S72)</f>
        <v/>
      </c>
      <c r="U72" s="8" t="str">
        <f t="shared" ref="U72" si="946">IF(U68="","",T72)</f>
        <v/>
      </c>
      <c r="V72" s="8" t="str">
        <f t="shared" ref="V72" si="947">IF(V68="","",U72)</f>
        <v/>
      </c>
      <c r="W72" s="8" t="str">
        <f t="shared" ref="W72" si="948">IF(W68="","",V72)</f>
        <v/>
      </c>
      <c r="X72" s="8" t="str">
        <f t="shared" ref="X72" si="949">IF(X68="","",W72)</f>
        <v/>
      </c>
      <c r="Y72" s="8" t="str">
        <f t="shared" ref="Y72" si="950">IF(Y68="","",X72)</f>
        <v/>
      </c>
      <c r="Z72" s="8" t="str">
        <f t="shared" ref="Z72" si="951">IF(Z68="","",Y72)</f>
        <v/>
      </c>
      <c r="AA72" s="8" t="str">
        <f t="shared" ref="AA72" si="952">IF(AA68="","",Z72)</f>
        <v/>
      </c>
      <c r="AB72" s="8" t="str">
        <f t="shared" ref="AB72" si="953">IF(AB68="","",AA72)</f>
        <v/>
      </c>
      <c r="AC72" s="8" t="str">
        <f t="shared" ref="AC72" si="954">IF(AC68="","",AB72)</f>
        <v/>
      </c>
      <c r="AD72" s="8" t="str">
        <f t="shared" ref="AD72" si="955">IF(AD68="","",AC72)</f>
        <v/>
      </c>
      <c r="AE72" s="8" t="str">
        <f t="shared" ref="AE72" si="956">IF(AE68="","",AD72)</f>
        <v/>
      </c>
      <c r="AF72" s="8" t="str">
        <f t="shared" ref="AF72" si="957">IF(AF68="","",AE72)</f>
        <v/>
      </c>
      <c r="AG72" s="8" t="str">
        <f t="shared" ref="AG72" si="958">IF(AG68="","",AF72)</f>
        <v/>
      </c>
      <c r="AH72" s="8" t="str">
        <f t="shared" ref="AH72" si="959">IF(AH68="","",AG72)</f>
        <v/>
      </c>
      <c r="AI72" s="8" t="str">
        <f t="shared" ref="AI72" si="960">IF(AI68="","",AH72)</f>
        <v/>
      </c>
      <c r="AJ72" s="8" t="str">
        <f t="shared" ref="AJ72" si="961">IF(AJ68="","",AI72)</f>
        <v/>
      </c>
      <c r="AK72" s="8" t="str">
        <f t="shared" ref="AK72" si="962">IF(AK68="","",AJ72)</f>
        <v/>
      </c>
      <c r="AL72" s="8" t="str">
        <f t="shared" ref="AL72" si="963">IF(AL68="","",AK72)</f>
        <v/>
      </c>
      <c r="AM72" s="8" t="str">
        <f t="shared" ref="AM72" si="964">IF(AM68="","",AL72)</f>
        <v/>
      </c>
      <c r="AN72" s="8" t="str">
        <f t="shared" ref="AN72" si="965">IF(AN68="","",AM72)</f>
        <v/>
      </c>
      <c r="AO72" s="8" t="str">
        <f t="shared" ref="AO72:AS72" si="966">IF(AO68="","",AN72)</f>
        <v/>
      </c>
      <c r="AP72" s="8" t="str">
        <f t="shared" si="966"/>
        <v/>
      </c>
      <c r="AQ72" s="8" t="str">
        <f t="shared" si="966"/>
        <v/>
      </c>
      <c r="AR72" s="8" t="str">
        <f t="shared" si="966"/>
        <v/>
      </c>
      <c r="AS72" s="8" t="str">
        <f t="shared" si="966"/>
        <v/>
      </c>
    </row>
    <row r="73" spans="1:45" s="85" customFormat="1" ht="11.25" x14ac:dyDescent="0.15">
      <c r="A73" s="14" t="s">
        <v>9</v>
      </c>
      <c r="B73" s="13" t="s">
        <v>10</v>
      </c>
      <c r="C73" s="12" t="s">
        <v>356</v>
      </c>
      <c r="D73" s="12" t="s">
        <v>356</v>
      </c>
      <c r="E73" s="12" t="s">
        <v>356</v>
      </c>
      <c r="F73" s="12" t="s">
        <v>356</v>
      </c>
      <c r="G73" s="12" t="s">
        <v>356</v>
      </c>
      <c r="H73" s="12" t="s">
        <v>356</v>
      </c>
      <c r="I73" s="12" t="s">
        <v>356</v>
      </c>
      <c r="J73" s="12" t="s">
        <v>356</v>
      </c>
      <c r="K73" s="12" t="s">
        <v>356</v>
      </c>
      <c r="L73" s="12" t="str">
        <f t="shared" ref="L73" si="967">IF(L68="","",K73)</f>
        <v>たまごっちポシェット</v>
      </c>
      <c r="M73" s="12" t="str">
        <f t="shared" ref="M73" si="968">IF(M68="","",L73)</f>
        <v>たまごっちポシェット</v>
      </c>
      <c r="N73" s="12" t="str">
        <f t="shared" ref="N73" si="969">IF(N68="","",M73)</f>
        <v/>
      </c>
      <c r="O73" s="12" t="str">
        <f>IF(O68="","",N73)</f>
        <v/>
      </c>
      <c r="P73" s="12" t="str">
        <f t="shared" ref="P73" si="970">IF(P68="","",O73)</f>
        <v/>
      </c>
      <c r="Q73" s="12" t="str">
        <f t="shared" ref="Q73" si="971">IF(Q68="","",P73)</f>
        <v/>
      </c>
      <c r="R73" s="12" t="str">
        <f t="shared" ref="R73" si="972">IF(R68="","",Q73)</f>
        <v/>
      </c>
      <c r="S73" s="12" t="str">
        <f t="shared" ref="S73" si="973">IF(S68="","",R73)</f>
        <v/>
      </c>
      <c r="T73" s="12" t="str">
        <f t="shared" ref="T73" si="974">IF(T68="","",S73)</f>
        <v/>
      </c>
      <c r="U73" s="12" t="str">
        <f t="shared" ref="U73" si="975">IF(U68="","",T73)</f>
        <v/>
      </c>
      <c r="V73" s="12" t="str">
        <f t="shared" ref="V73" si="976">IF(V68="","",U73)</f>
        <v/>
      </c>
      <c r="W73" s="12" t="str">
        <f t="shared" ref="W73" si="977">IF(W68="","",V73)</f>
        <v/>
      </c>
      <c r="X73" s="12" t="str">
        <f t="shared" ref="X73" si="978">IF(X68="","",W73)</f>
        <v/>
      </c>
      <c r="Y73" s="12" t="str">
        <f t="shared" ref="Y73" si="979">IF(Y68="","",X73)</f>
        <v/>
      </c>
      <c r="Z73" s="12" t="str">
        <f t="shared" ref="Z73" si="980">IF(Z68="","",Y73)</f>
        <v/>
      </c>
      <c r="AA73" s="12" t="str">
        <f t="shared" ref="AA73" si="981">IF(AA68="","",Z73)</f>
        <v/>
      </c>
      <c r="AB73" s="12" t="str">
        <f t="shared" ref="AB73" si="982">IF(AB68="","",AA73)</f>
        <v/>
      </c>
      <c r="AC73" s="12" t="str">
        <f t="shared" ref="AC73" si="983">IF(AC68="","",AB73)</f>
        <v/>
      </c>
      <c r="AD73" s="12" t="str">
        <f t="shared" ref="AD73" si="984">IF(AD68="","",AC73)</f>
        <v/>
      </c>
      <c r="AE73" s="12" t="str">
        <f t="shared" ref="AE73" si="985">IF(AE68="","",AD73)</f>
        <v/>
      </c>
      <c r="AF73" s="12" t="str">
        <f t="shared" ref="AF73" si="986">IF(AF68="","",AE73)</f>
        <v/>
      </c>
      <c r="AG73" s="12" t="str">
        <f t="shared" ref="AG73" si="987">IF(AG68="","",AF73)</f>
        <v/>
      </c>
      <c r="AH73" s="12" t="str">
        <f t="shared" ref="AH73" si="988">IF(AH68="","",AG73)</f>
        <v/>
      </c>
      <c r="AI73" s="12" t="str">
        <f t="shared" ref="AI73" si="989">IF(AI68="","",AH73)</f>
        <v/>
      </c>
      <c r="AJ73" s="12" t="str">
        <f t="shared" ref="AJ73" si="990">IF(AJ68="","",AI73)</f>
        <v/>
      </c>
      <c r="AK73" s="12" t="str">
        <f t="shared" ref="AK73" si="991">IF(AK68="","",AJ73)</f>
        <v/>
      </c>
      <c r="AL73" s="12" t="str">
        <f t="shared" ref="AL73" si="992">IF(AL68="","",AK73)</f>
        <v/>
      </c>
      <c r="AM73" s="12" t="str">
        <f t="shared" ref="AM73" si="993">IF(AM68="","",AL73)</f>
        <v/>
      </c>
      <c r="AN73" s="12" t="str">
        <f t="shared" ref="AN73" si="994">IF(AN68="","",AM73)</f>
        <v/>
      </c>
      <c r="AO73" s="12" t="str">
        <f t="shared" ref="AO73:AS73" si="995">IF(AO68="","",AN73)</f>
        <v/>
      </c>
      <c r="AP73" s="12" t="str">
        <f t="shared" si="995"/>
        <v/>
      </c>
      <c r="AQ73" s="12" t="str">
        <f t="shared" si="995"/>
        <v/>
      </c>
      <c r="AR73" s="12" t="str">
        <f t="shared" si="995"/>
        <v/>
      </c>
      <c r="AS73" s="12" t="str">
        <f t="shared" si="995"/>
        <v/>
      </c>
    </row>
    <row r="74" spans="1:45" s="84" customFormat="1" ht="11.25" x14ac:dyDescent="0.15">
      <c r="A74" s="7">
        <f>AVERAGE(C75:AS75)*30*100</f>
        <v>50454.545454545449</v>
      </c>
      <c r="B74" s="9" t="s">
        <v>12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</row>
    <row r="75" spans="1:45" s="84" customFormat="1" ht="11.25" x14ac:dyDescent="0.15">
      <c r="A75" s="7">
        <f>SUM(C75:AS75)</f>
        <v>185</v>
      </c>
      <c r="B75" s="6" t="s">
        <v>13</v>
      </c>
      <c r="C75" s="5">
        <v>0</v>
      </c>
      <c r="D75" s="5">
        <v>16</v>
      </c>
      <c r="E75" s="5">
        <v>0</v>
      </c>
      <c r="F75" s="5">
        <v>0</v>
      </c>
      <c r="G75" s="5">
        <v>101</v>
      </c>
      <c r="H75" s="5">
        <v>0</v>
      </c>
      <c r="I75" s="5">
        <v>0</v>
      </c>
      <c r="J75" s="5">
        <v>0</v>
      </c>
      <c r="K75" s="5">
        <v>23</v>
      </c>
      <c r="L75" s="5">
        <f t="shared" ref="L75:L76" si="996">IF(L68="","",L68-K68)</f>
        <v>0</v>
      </c>
      <c r="M75" s="5">
        <f t="shared" ref="M75:M76" si="997">IF(M68="","",M68-L68)</f>
        <v>45</v>
      </c>
      <c r="N75" s="5" t="str">
        <f t="shared" ref="N75:N76" si="998">IF(N68="","",N68-M68)</f>
        <v/>
      </c>
      <c r="O75" s="5" t="str">
        <f t="shared" ref="O75:O76" si="999">IF(O68="","",O68-N68)</f>
        <v/>
      </c>
      <c r="P75" s="5" t="str">
        <f t="shared" ref="P75:P76" si="1000">IF(P68="","",P68-O68)</f>
        <v/>
      </c>
      <c r="Q75" s="5" t="str">
        <f t="shared" ref="Q75:Q76" si="1001">IF(Q68="","",Q68-P68)</f>
        <v/>
      </c>
      <c r="R75" s="5" t="str">
        <f t="shared" ref="R75:R76" si="1002">IF(R68="","",R68-Q68)</f>
        <v/>
      </c>
      <c r="S75" s="5" t="str">
        <f t="shared" ref="S75:S76" si="1003">IF(S68="","",S68-R68)</f>
        <v/>
      </c>
      <c r="T75" s="5" t="str">
        <f t="shared" ref="T75:T76" si="1004">IF(T68="","",T68-S68)</f>
        <v/>
      </c>
      <c r="U75" s="5" t="str">
        <f t="shared" ref="U75:U76" si="1005">IF(U68="","",U68-T68)</f>
        <v/>
      </c>
      <c r="V75" s="5" t="str">
        <f t="shared" ref="V75:V76" si="1006">IF(V68="","",V68-U68)</f>
        <v/>
      </c>
      <c r="W75" s="5" t="str">
        <f t="shared" ref="W75:W76" si="1007">IF(W68="","",W68-V68)</f>
        <v/>
      </c>
      <c r="X75" s="5" t="str">
        <f t="shared" ref="X75:X76" si="1008">IF(X68="","",X68-W68)</f>
        <v/>
      </c>
      <c r="Y75" s="5" t="str">
        <f t="shared" ref="Y75:Y76" si="1009">IF(Y68="","",Y68-X68)</f>
        <v/>
      </c>
      <c r="Z75" s="5" t="str">
        <f t="shared" ref="Z75:Z76" si="1010">IF(Z68="","",Z68-Y68)</f>
        <v/>
      </c>
      <c r="AA75" s="5" t="str">
        <f t="shared" ref="AA75:AA76" si="1011">IF(AA68="","",AA68-Z68)</f>
        <v/>
      </c>
      <c r="AB75" s="5" t="str">
        <f t="shared" ref="AB75:AB76" si="1012">IF(AB68="","",AB68-AA68)</f>
        <v/>
      </c>
      <c r="AC75" s="5" t="str">
        <f t="shared" ref="AC75:AC76" si="1013">IF(AC68="","",AC68-AB68)</f>
        <v/>
      </c>
      <c r="AD75" s="5" t="str">
        <f t="shared" ref="AD75:AD76" si="1014">IF(AD68="","",AD68-AC68)</f>
        <v/>
      </c>
      <c r="AE75" s="5" t="str">
        <f t="shared" ref="AE75:AE76" si="1015">IF(AE68="","",AE68-AD68)</f>
        <v/>
      </c>
      <c r="AF75" s="5" t="str">
        <f t="shared" ref="AF75:AF76" si="1016">IF(AF68="","",AF68-AE68)</f>
        <v/>
      </c>
      <c r="AG75" s="5" t="str">
        <f t="shared" ref="AG75:AG76" si="1017">IF(AG68="","",AG68-AF68)</f>
        <v/>
      </c>
      <c r="AH75" s="5" t="str">
        <f t="shared" ref="AH75:AH76" si="1018">IF(AH68="","",AH68-AG68)</f>
        <v/>
      </c>
      <c r="AI75" s="5" t="str">
        <f t="shared" ref="AI75:AI76" si="1019">IF(AI68="","",AI68-AH68)</f>
        <v/>
      </c>
      <c r="AJ75" s="5" t="str">
        <f t="shared" ref="AJ75:AJ76" si="1020">IF(AJ68="","",AJ68-AI68)</f>
        <v/>
      </c>
      <c r="AK75" s="5" t="str">
        <f t="shared" ref="AK75:AK76" si="1021">IF(AK68="","",AK68-AJ68)</f>
        <v/>
      </c>
      <c r="AL75" s="5" t="str">
        <f t="shared" ref="AL75:AL76" si="1022">IF(AL68="","",AL68-AK68)</f>
        <v/>
      </c>
      <c r="AM75" s="5" t="str">
        <f t="shared" ref="AM75:AM76" si="1023">IF(AM68="","",AM68-AL68)</f>
        <v/>
      </c>
      <c r="AN75" s="5" t="str">
        <f t="shared" ref="AN75" si="1024">IF(AN68="","",AN68-AM68)</f>
        <v/>
      </c>
      <c r="AO75" s="5" t="str">
        <f t="shared" ref="AO75:AS75" si="1025">IF(AO68="","",AO68-AN68)</f>
        <v/>
      </c>
      <c r="AP75" s="5" t="str">
        <f t="shared" si="1025"/>
        <v/>
      </c>
      <c r="AQ75" s="5" t="str">
        <f t="shared" si="1025"/>
        <v/>
      </c>
      <c r="AR75" s="5" t="str">
        <f t="shared" si="1025"/>
        <v/>
      </c>
      <c r="AS75" s="5" t="str">
        <f t="shared" si="1025"/>
        <v/>
      </c>
    </row>
    <row r="76" spans="1:45" s="84" customFormat="1" ht="11.25" x14ac:dyDescent="0.15">
      <c r="A76" s="7">
        <f>SUM(C76:AS76)</f>
        <v>2</v>
      </c>
      <c r="B76" s="6" t="s">
        <v>14</v>
      </c>
      <c r="C76" s="5">
        <v>0</v>
      </c>
      <c r="D76" s="5">
        <v>0</v>
      </c>
      <c r="E76" s="5">
        <v>0</v>
      </c>
      <c r="F76" s="5">
        <v>0</v>
      </c>
      <c r="G76" s="5">
        <v>2</v>
      </c>
      <c r="H76" s="5">
        <v>0</v>
      </c>
      <c r="I76" s="5">
        <v>0</v>
      </c>
      <c r="J76" s="5">
        <v>0</v>
      </c>
      <c r="K76" s="5">
        <v>0</v>
      </c>
      <c r="L76" s="5">
        <f t="shared" si="996"/>
        <v>0</v>
      </c>
      <c r="M76" s="5">
        <f t="shared" si="997"/>
        <v>0</v>
      </c>
      <c r="N76" s="5" t="str">
        <f t="shared" si="998"/>
        <v/>
      </c>
      <c r="O76" s="5" t="str">
        <f t="shared" si="999"/>
        <v/>
      </c>
      <c r="P76" s="5" t="str">
        <f t="shared" si="1000"/>
        <v/>
      </c>
      <c r="Q76" s="5" t="str">
        <f t="shared" si="1001"/>
        <v/>
      </c>
      <c r="R76" s="5" t="str">
        <f t="shared" si="1002"/>
        <v/>
      </c>
      <c r="S76" s="5" t="str">
        <f t="shared" si="1003"/>
        <v/>
      </c>
      <c r="T76" s="5" t="str">
        <f t="shared" si="1004"/>
        <v/>
      </c>
      <c r="U76" s="5" t="str">
        <f t="shared" si="1005"/>
        <v/>
      </c>
      <c r="V76" s="5" t="str">
        <f t="shared" si="1006"/>
        <v/>
      </c>
      <c r="W76" s="5" t="str">
        <f t="shared" si="1007"/>
        <v/>
      </c>
      <c r="X76" s="5" t="str">
        <f t="shared" si="1008"/>
        <v/>
      </c>
      <c r="Y76" s="5" t="str">
        <f t="shared" si="1009"/>
        <v/>
      </c>
      <c r="Z76" s="5" t="str">
        <f t="shared" si="1010"/>
        <v/>
      </c>
      <c r="AA76" s="5" t="str">
        <f t="shared" si="1011"/>
        <v/>
      </c>
      <c r="AB76" s="5" t="str">
        <f t="shared" si="1012"/>
        <v/>
      </c>
      <c r="AC76" s="5" t="str">
        <f t="shared" si="1013"/>
        <v/>
      </c>
      <c r="AD76" s="5" t="str">
        <f t="shared" si="1014"/>
        <v/>
      </c>
      <c r="AE76" s="5" t="str">
        <f t="shared" si="1015"/>
        <v/>
      </c>
      <c r="AF76" s="5" t="str">
        <f t="shared" si="1016"/>
        <v/>
      </c>
      <c r="AG76" s="5" t="str">
        <f t="shared" si="1017"/>
        <v/>
      </c>
      <c r="AH76" s="5" t="str">
        <f t="shared" si="1018"/>
        <v/>
      </c>
      <c r="AI76" s="5" t="str">
        <f t="shared" si="1019"/>
        <v/>
      </c>
      <c r="AJ76" s="5" t="str">
        <f t="shared" si="1020"/>
        <v/>
      </c>
      <c r="AK76" s="5" t="str">
        <f t="shared" si="1021"/>
        <v/>
      </c>
      <c r="AL76" s="5" t="str">
        <f t="shared" si="1022"/>
        <v/>
      </c>
      <c r="AM76" s="5" t="str">
        <f t="shared" si="1023"/>
        <v/>
      </c>
      <c r="AN76" s="5" t="str">
        <f t="shared" ref="AN76" si="1026">IF(AN69="","",AN69-AM69)</f>
        <v/>
      </c>
      <c r="AO76" s="5" t="str">
        <f t="shared" ref="AO76:AS76" si="1027">IF(AO69="","",AO69-AN69)</f>
        <v/>
      </c>
      <c r="AP76" s="5" t="str">
        <f t="shared" si="1027"/>
        <v/>
      </c>
      <c r="AQ76" s="5" t="str">
        <f t="shared" si="1027"/>
        <v/>
      </c>
      <c r="AR76" s="5" t="str">
        <f t="shared" si="1027"/>
        <v/>
      </c>
      <c r="AS76" s="5" t="str">
        <f t="shared" si="1027"/>
        <v/>
      </c>
    </row>
    <row r="77" spans="1:45" s="84" customFormat="1" ht="11.25" x14ac:dyDescent="0.15">
      <c r="A77" s="7">
        <f>SUM(C77:AS77)</f>
        <v>2</v>
      </c>
      <c r="B77" s="6" t="s">
        <v>15</v>
      </c>
      <c r="C77" s="5">
        <v>0</v>
      </c>
      <c r="D77" s="5">
        <v>0</v>
      </c>
      <c r="E77" s="5">
        <v>0</v>
      </c>
      <c r="F77" s="5">
        <v>0</v>
      </c>
      <c r="G77" s="5">
        <v>2</v>
      </c>
      <c r="H77" s="5">
        <v>0</v>
      </c>
      <c r="I77" s="5">
        <v>0</v>
      </c>
      <c r="J77" s="5">
        <v>0</v>
      </c>
      <c r="K77" s="5">
        <v>0</v>
      </c>
      <c r="L77" s="5">
        <f t="shared" ref="L77" si="1028">IF(L70="","",K70+K71-L70)</f>
        <v>0</v>
      </c>
      <c r="M77" s="5">
        <f t="shared" ref="M77" si="1029">IF(M70="","",L70+L71-M70)</f>
        <v>0</v>
      </c>
      <c r="N77" s="5" t="str">
        <f t="shared" ref="N77" si="1030">IF(N70="","",M70+M71-N70)</f>
        <v/>
      </c>
      <c r="O77" s="5" t="str">
        <f t="shared" ref="O77" si="1031">IF(O70="","",N70+N71-O70)</f>
        <v/>
      </c>
      <c r="P77" s="5" t="str">
        <f t="shared" ref="P77" si="1032">IF(P70="","",O70+O71-P70)</f>
        <v/>
      </c>
      <c r="Q77" s="5" t="str">
        <f t="shared" ref="Q77" si="1033">IF(Q70="","",P70+P71-Q70)</f>
        <v/>
      </c>
      <c r="R77" s="5" t="str">
        <f t="shared" ref="R77" si="1034">IF(R70="","",Q70+Q71-R70)</f>
        <v/>
      </c>
      <c r="S77" s="5" t="str">
        <f t="shared" ref="S77" si="1035">IF(S70="","",R70+R71-S70)</f>
        <v/>
      </c>
      <c r="T77" s="5" t="str">
        <f t="shared" ref="T77" si="1036">IF(T70="","",S70+S71-T70)</f>
        <v/>
      </c>
      <c r="U77" s="5" t="str">
        <f t="shared" ref="U77" si="1037">IF(U70="","",T70+T71-U70)</f>
        <v/>
      </c>
      <c r="V77" s="5" t="str">
        <f t="shared" ref="V77" si="1038">IF(V70="","",U70+U71-V70)</f>
        <v/>
      </c>
      <c r="W77" s="5" t="str">
        <f t="shared" ref="W77" si="1039">IF(W70="","",V70+V71-W70)</f>
        <v/>
      </c>
      <c r="X77" s="5" t="str">
        <f t="shared" ref="X77" si="1040">IF(X70="","",W70+W71-X70)</f>
        <v/>
      </c>
      <c r="Y77" s="5" t="str">
        <f t="shared" ref="Y77" si="1041">IF(Y70="","",X70+X71-Y70)</f>
        <v/>
      </c>
      <c r="Z77" s="5" t="str">
        <f t="shared" ref="Z77" si="1042">IF(Z70="","",Y70+Y71-Z70)</f>
        <v/>
      </c>
      <c r="AA77" s="5" t="str">
        <f t="shared" ref="AA77" si="1043">IF(AA70="","",Z70+Z71-AA70)</f>
        <v/>
      </c>
      <c r="AB77" s="5" t="str">
        <f t="shared" ref="AB77" si="1044">IF(AB70="","",AA70+AA71-AB70)</f>
        <v/>
      </c>
      <c r="AC77" s="5" t="str">
        <f t="shared" ref="AC77" si="1045">IF(AC70="","",AB70+AB71-AC70)</f>
        <v/>
      </c>
      <c r="AD77" s="5" t="str">
        <f t="shared" ref="AD77" si="1046">IF(AD70="","",AC70+AC71-AD70)</f>
        <v/>
      </c>
      <c r="AE77" s="5" t="str">
        <f t="shared" ref="AE77" si="1047">IF(AE70="","",AD70+AD71-AE70)</f>
        <v/>
      </c>
      <c r="AF77" s="5" t="str">
        <f t="shared" ref="AF77" si="1048">IF(AF70="","",AE70+AE71-AF70)</f>
        <v/>
      </c>
      <c r="AG77" s="5" t="str">
        <f t="shared" ref="AG77" si="1049">IF(AG70="","",AF70+AF71-AG70)</f>
        <v/>
      </c>
      <c r="AH77" s="5" t="str">
        <f t="shared" ref="AH77" si="1050">IF(AH70="","",AG70+AG71-AH70)</f>
        <v/>
      </c>
      <c r="AI77" s="5" t="str">
        <f t="shared" ref="AI77" si="1051">IF(AI70="","",AH70+AH71-AI70)</f>
        <v/>
      </c>
      <c r="AJ77" s="5" t="str">
        <f t="shared" ref="AJ77" si="1052">IF(AJ70="","",AI70+AI71-AJ70)</f>
        <v/>
      </c>
      <c r="AK77" s="5" t="str">
        <f t="shared" ref="AK77" si="1053">IF(AK70="","",AJ70+AJ71-AK70)</f>
        <v/>
      </c>
      <c r="AL77" s="5" t="str">
        <f t="shared" ref="AL77" si="1054">IF(AL70="","",AK70+AK71-AL70)</f>
        <v/>
      </c>
      <c r="AM77" s="5" t="str">
        <f t="shared" ref="AM77" si="1055">IF(AM70="","",AL70+AL71-AM70)</f>
        <v/>
      </c>
      <c r="AN77" s="5" t="str">
        <f t="shared" ref="AN77" si="1056">IF(AN70="","",AM70+AM71-AN70)</f>
        <v/>
      </c>
      <c r="AO77" s="5" t="str">
        <f t="shared" ref="AO77:AS77" si="1057">IF(AO70="","",AN70+AN71-AO70)</f>
        <v/>
      </c>
      <c r="AP77" s="5" t="str">
        <f t="shared" si="1057"/>
        <v/>
      </c>
      <c r="AQ77" s="5" t="str">
        <f t="shared" si="1057"/>
        <v/>
      </c>
      <c r="AR77" s="5" t="str">
        <f t="shared" si="1057"/>
        <v/>
      </c>
      <c r="AS77" s="5" t="str">
        <f t="shared" si="1057"/>
        <v/>
      </c>
    </row>
    <row r="78" spans="1:45" s="84" customFormat="1" ht="11.25" x14ac:dyDescent="0.15">
      <c r="A78" s="7">
        <f>SUM(C78:AS78)</f>
        <v>0</v>
      </c>
      <c r="B78" s="6" t="s">
        <v>16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f t="shared" ref="J78:AM78" si="1058">IF(L68="","",L77*L72)</f>
        <v>0</v>
      </c>
      <c r="M78" s="5">
        <f t="shared" si="1058"/>
        <v>0</v>
      </c>
      <c r="N78" s="5" t="str">
        <f t="shared" si="1058"/>
        <v/>
      </c>
      <c r="O78" s="5" t="str">
        <f t="shared" si="1058"/>
        <v/>
      </c>
      <c r="P78" s="5" t="str">
        <f t="shared" si="1058"/>
        <v/>
      </c>
      <c r="Q78" s="5" t="str">
        <f t="shared" si="1058"/>
        <v/>
      </c>
      <c r="R78" s="5" t="str">
        <f t="shared" si="1058"/>
        <v/>
      </c>
      <c r="S78" s="5" t="str">
        <f t="shared" si="1058"/>
        <v/>
      </c>
      <c r="T78" s="5" t="str">
        <f t="shared" si="1058"/>
        <v/>
      </c>
      <c r="U78" s="5" t="str">
        <f t="shared" si="1058"/>
        <v/>
      </c>
      <c r="V78" s="5" t="str">
        <f t="shared" si="1058"/>
        <v/>
      </c>
      <c r="W78" s="5" t="str">
        <f t="shared" si="1058"/>
        <v/>
      </c>
      <c r="X78" s="5" t="str">
        <f t="shared" si="1058"/>
        <v/>
      </c>
      <c r="Y78" s="5" t="str">
        <f t="shared" si="1058"/>
        <v/>
      </c>
      <c r="Z78" s="5" t="str">
        <f t="shared" si="1058"/>
        <v/>
      </c>
      <c r="AA78" s="5" t="str">
        <f t="shared" si="1058"/>
        <v/>
      </c>
      <c r="AB78" s="5" t="str">
        <f t="shared" si="1058"/>
        <v/>
      </c>
      <c r="AC78" s="5" t="str">
        <f t="shared" si="1058"/>
        <v/>
      </c>
      <c r="AD78" s="5" t="str">
        <f t="shared" si="1058"/>
        <v/>
      </c>
      <c r="AE78" s="5" t="str">
        <f t="shared" si="1058"/>
        <v/>
      </c>
      <c r="AF78" s="5" t="str">
        <f t="shared" si="1058"/>
        <v/>
      </c>
      <c r="AG78" s="5" t="str">
        <f t="shared" si="1058"/>
        <v/>
      </c>
      <c r="AH78" s="5" t="str">
        <f t="shared" si="1058"/>
        <v/>
      </c>
      <c r="AI78" s="5" t="str">
        <f t="shared" si="1058"/>
        <v/>
      </c>
      <c r="AJ78" s="5" t="str">
        <f t="shared" si="1058"/>
        <v/>
      </c>
      <c r="AK78" s="5" t="str">
        <f t="shared" si="1058"/>
        <v/>
      </c>
      <c r="AL78" s="5" t="str">
        <f t="shared" si="1058"/>
        <v/>
      </c>
      <c r="AM78" s="5" t="str">
        <f t="shared" si="1058"/>
        <v/>
      </c>
      <c r="AN78" s="5" t="str">
        <f t="shared" ref="AN78" si="1059">IF(AN68="","",AN77*AN72)</f>
        <v/>
      </c>
      <c r="AO78" s="5" t="str">
        <f t="shared" ref="AO78:AS78" si="1060">IF(AO68="","",AO77*AO72)</f>
        <v/>
      </c>
      <c r="AP78" s="5" t="str">
        <f t="shared" si="1060"/>
        <v/>
      </c>
      <c r="AQ78" s="5" t="str">
        <f t="shared" si="1060"/>
        <v/>
      </c>
      <c r="AR78" s="5" t="str">
        <f t="shared" si="1060"/>
        <v/>
      </c>
      <c r="AS78" s="5" t="str">
        <f t="shared" si="1060"/>
        <v/>
      </c>
    </row>
    <row r="79" spans="1:45" s="84" customFormat="1" ht="12" thickBot="1" x14ac:dyDescent="0.2">
      <c r="A79" s="4">
        <f>IF(A78="","",A78/(A75*100))</f>
        <v>0</v>
      </c>
      <c r="B79" s="6" t="s">
        <v>18</v>
      </c>
      <c r="C79" s="18" t="s">
        <v>19</v>
      </c>
      <c r="D79" s="18" t="s">
        <v>19</v>
      </c>
      <c r="E79" s="18" t="s">
        <v>19</v>
      </c>
      <c r="F79" s="18" t="s">
        <v>19</v>
      </c>
      <c r="G79" s="18" t="s">
        <v>19</v>
      </c>
      <c r="H79" s="18" t="s">
        <v>19</v>
      </c>
      <c r="I79" s="18" t="s">
        <v>19</v>
      </c>
      <c r="J79" s="18" t="s">
        <v>19</v>
      </c>
      <c r="K79" s="18" t="s">
        <v>19</v>
      </c>
      <c r="L79" s="18" t="str">
        <f t="shared" ref="J79:AM79" si="1061">IF(L78="","",IF(L78=0,"",L78/(L75*100)))</f>
        <v/>
      </c>
      <c r="M79" s="18" t="str">
        <f t="shared" si="1061"/>
        <v/>
      </c>
      <c r="N79" s="18" t="str">
        <f t="shared" si="1061"/>
        <v/>
      </c>
      <c r="O79" s="18" t="str">
        <f t="shared" si="1061"/>
        <v/>
      </c>
      <c r="P79" s="18" t="str">
        <f t="shared" si="1061"/>
        <v/>
      </c>
      <c r="Q79" s="18" t="str">
        <f t="shared" si="1061"/>
        <v/>
      </c>
      <c r="R79" s="18" t="str">
        <f t="shared" si="1061"/>
        <v/>
      </c>
      <c r="S79" s="18" t="str">
        <f t="shared" si="1061"/>
        <v/>
      </c>
      <c r="T79" s="18" t="str">
        <f t="shared" si="1061"/>
        <v/>
      </c>
      <c r="U79" s="18" t="str">
        <f t="shared" si="1061"/>
        <v/>
      </c>
      <c r="V79" s="18" t="str">
        <f t="shared" si="1061"/>
        <v/>
      </c>
      <c r="W79" s="18" t="str">
        <f t="shared" si="1061"/>
        <v/>
      </c>
      <c r="X79" s="18" t="str">
        <f t="shared" si="1061"/>
        <v/>
      </c>
      <c r="Y79" s="18" t="str">
        <f t="shared" si="1061"/>
        <v/>
      </c>
      <c r="Z79" s="18" t="str">
        <f t="shared" si="1061"/>
        <v/>
      </c>
      <c r="AA79" s="18" t="str">
        <f t="shared" si="1061"/>
        <v/>
      </c>
      <c r="AB79" s="18" t="str">
        <f t="shared" si="1061"/>
        <v/>
      </c>
      <c r="AC79" s="18" t="str">
        <f t="shared" si="1061"/>
        <v/>
      </c>
      <c r="AD79" s="18" t="str">
        <f t="shared" si="1061"/>
        <v/>
      </c>
      <c r="AE79" s="18" t="str">
        <f t="shared" si="1061"/>
        <v/>
      </c>
      <c r="AF79" s="18" t="str">
        <f t="shared" si="1061"/>
        <v/>
      </c>
      <c r="AG79" s="18" t="str">
        <f t="shared" si="1061"/>
        <v/>
      </c>
      <c r="AH79" s="18" t="str">
        <f t="shared" si="1061"/>
        <v/>
      </c>
      <c r="AI79" s="18" t="str">
        <f t="shared" si="1061"/>
        <v/>
      </c>
      <c r="AJ79" s="18" t="str">
        <f t="shared" si="1061"/>
        <v/>
      </c>
      <c r="AK79" s="18" t="str">
        <f t="shared" si="1061"/>
        <v/>
      </c>
      <c r="AL79" s="18" t="str">
        <f t="shared" si="1061"/>
        <v/>
      </c>
      <c r="AM79" s="18" t="str">
        <f t="shared" si="1061"/>
        <v/>
      </c>
      <c r="AN79" s="18" t="str">
        <f t="shared" ref="AN79" si="1062">IF(AN78="","",IF(AN78=0,"",AN78/(AN75*100)))</f>
        <v/>
      </c>
      <c r="AO79" s="18" t="str">
        <f t="shared" ref="AO79:AS79" si="1063">IF(AO78="","",IF(AO78=0,"",AO78/(AO75*100)))</f>
        <v/>
      </c>
      <c r="AP79" s="18" t="str">
        <f t="shared" si="1063"/>
        <v/>
      </c>
      <c r="AQ79" s="18" t="str">
        <f t="shared" si="1063"/>
        <v/>
      </c>
      <c r="AR79" s="18" t="str">
        <f t="shared" si="1063"/>
        <v/>
      </c>
      <c r="AS79" s="18" t="str">
        <f t="shared" si="1063"/>
        <v/>
      </c>
    </row>
    <row r="80" spans="1:45" s="84" customFormat="1" ht="11.25" x14ac:dyDescent="0.15">
      <c r="A80" s="17" t="s">
        <v>77</v>
      </c>
      <c r="B80" s="9" t="s">
        <v>2</v>
      </c>
      <c r="C80" s="8">
        <v>19699</v>
      </c>
      <c r="D80" s="8">
        <v>19727</v>
      </c>
      <c r="E80" s="8">
        <v>19727</v>
      </c>
      <c r="F80" s="8">
        <v>19727</v>
      </c>
      <c r="G80" s="8">
        <v>19835</v>
      </c>
      <c r="H80" s="8">
        <v>19835</v>
      </c>
      <c r="I80" s="8">
        <v>19835</v>
      </c>
      <c r="J80" s="8">
        <v>19835</v>
      </c>
      <c r="K80" s="8">
        <v>19861</v>
      </c>
      <c r="L80" s="8">
        <f>IF(L$8="","",K80)</f>
        <v>19861</v>
      </c>
      <c r="M80" s="8">
        <v>19904</v>
      </c>
      <c r="N80" s="8" t="str">
        <f t="shared" ref="N80:N81" si="1064">IF(N$8="","",M80)</f>
        <v/>
      </c>
      <c r="O80" s="8" t="str">
        <f>IF(O$8="","",N80)</f>
        <v/>
      </c>
      <c r="P80" s="8" t="str">
        <f t="shared" ref="P80:P81" si="1065">IF(P$8="","",O80)</f>
        <v/>
      </c>
      <c r="Q80" s="8" t="str">
        <f t="shared" ref="Q80:Q81" si="1066">IF(Q$8="","",P80)</f>
        <v/>
      </c>
      <c r="R80" s="8" t="str">
        <f t="shared" ref="R80:R81" si="1067">IF(R$8="","",Q80)</f>
        <v/>
      </c>
      <c r="S80" s="8" t="str">
        <f>IF(S$8="","",R80)</f>
        <v/>
      </c>
      <c r="T80" s="8" t="str">
        <f>IF(T$8="","",S80)</f>
        <v/>
      </c>
      <c r="U80" s="8" t="str">
        <f t="shared" ref="U80:U81" si="1068">IF(U$8="","",T80)</f>
        <v/>
      </c>
      <c r="V80" s="8" t="str">
        <f>IF(V$8="","",U80)</f>
        <v/>
      </c>
      <c r="W80" s="8" t="str">
        <f>IF(W$8="","",V80)</f>
        <v/>
      </c>
      <c r="X80" s="8" t="str">
        <f t="shared" ref="X80:X81" si="1069">IF(X$8="","",W80)</f>
        <v/>
      </c>
      <c r="Y80" s="8" t="str">
        <f t="shared" ref="Y80:Y81" si="1070">IF(Y$8="","",X80)</f>
        <v/>
      </c>
      <c r="Z80" s="8" t="str">
        <f>IF(Z$8="","",Y80)</f>
        <v/>
      </c>
      <c r="AA80" s="8" t="str">
        <f t="shared" ref="AA80:AA81" si="1071">IF(AA$8="","",Z80)</f>
        <v/>
      </c>
      <c r="AB80" s="8" t="str">
        <f t="shared" ref="AB80:AB81" si="1072">IF(AB$8="","",AA80)</f>
        <v/>
      </c>
      <c r="AC80" s="8" t="str">
        <f t="shared" ref="AC80:AC81" si="1073">IF(AC$8="","",AB80)</f>
        <v/>
      </c>
      <c r="AD80" s="8" t="str">
        <f>IF(AD$8="","",AC80)</f>
        <v/>
      </c>
      <c r="AE80" s="8" t="str">
        <f>IF(AE$8="","",AD80)</f>
        <v/>
      </c>
      <c r="AF80" s="8" t="str">
        <f t="shared" ref="AF80:AF81" si="1074">IF(AF$8="","",AE80)</f>
        <v/>
      </c>
      <c r="AG80" s="8" t="str">
        <f>IF(AG$8="","",AF80)</f>
        <v/>
      </c>
      <c r="AH80" s="8" t="str">
        <f t="shared" ref="AH80:AH81" si="1075">IF(AH$8="","",AG80)</f>
        <v/>
      </c>
      <c r="AI80" s="8" t="str">
        <f t="shared" ref="AI80:AI81" si="1076">IF(AI$8="","",AH80)</f>
        <v/>
      </c>
      <c r="AJ80" s="8" t="str">
        <f>IF(AJ$8="","",AI80)</f>
        <v/>
      </c>
      <c r="AK80" s="8" t="str">
        <f t="shared" ref="AK80:AK81" si="1077">IF(AK$8="","",AJ80)</f>
        <v/>
      </c>
      <c r="AL80" s="8" t="str">
        <f t="shared" ref="AL80:AL81" si="1078">IF(AL$8="","",AK80)</f>
        <v/>
      </c>
      <c r="AM80" s="8" t="str">
        <f t="shared" ref="AM80:AM81" si="1079">IF(AM$8="","",AL80)</f>
        <v/>
      </c>
      <c r="AN80" s="8" t="str">
        <f>IF(AN$8="","",AM80)</f>
        <v/>
      </c>
      <c r="AO80" s="8" t="str">
        <f t="shared" ref="AO80:AS80" si="1080">IF(AO$8="","",AN80)</f>
        <v/>
      </c>
      <c r="AP80" s="8" t="str">
        <f t="shared" si="1080"/>
        <v/>
      </c>
      <c r="AQ80" s="8" t="str">
        <f t="shared" si="1080"/>
        <v/>
      </c>
      <c r="AR80" s="8" t="str">
        <f t="shared" si="1080"/>
        <v/>
      </c>
      <c r="AS80" s="8" t="str">
        <f t="shared" si="1080"/>
        <v/>
      </c>
    </row>
    <row r="81" spans="1:45" s="84" customFormat="1" ht="11.25" x14ac:dyDescent="0.15">
      <c r="A81" s="16" t="s">
        <v>24</v>
      </c>
      <c r="B81" s="9" t="s">
        <v>4</v>
      </c>
      <c r="C81" s="8">
        <v>582</v>
      </c>
      <c r="D81" s="8">
        <v>583</v>
      </c>
      <c r="E81" s="8">
        <v>583</v>
      </c>
      <c r="F81" s="8">
        <v>583</v>
      </c>
      <c r="G81" s="8">
        <v>585</v>
      </c>
      <c r="H81" s="8">
        <v>585</v>
      </c>
      <c r="I81" s="8">
        <v>585</v>
      </c>
      <c r="J81" s="8">
        <v>585</v>
      </c>
      <c r="K81" s="8">
        <v>585</v>
      </c>
      <c r="L81" s="8">
        <f>IF(L$8="","",K81)</f>
        <v>585</v>
      </c>
      <c r="M81" s="8">
        <v>587</v>
      </c>
      <c r="N81" s="8" t="str">
        <f t="shared" si="1064"/>
        <v/>
      </c>
      <c r="O81" s="8" t="str">
        <f>IF(O$8="","",N81)</f>
        <v/>
      </c>
      <c r="P81" s="8" t="str">
        <f t="shared" si="1065"/>
        <v/>
      </c>
      <c r="Q81" s="8" t="str">
        <f t="shared" si="1066"/>
        <v/>
      </c>
      <c r="R81" s="8" t="str">
        <f t="shared" si="1067"/>
        <v/>
      </c>
      <c r="S81" s="8" t="str">
        <f>IF(S$8="","",R81)</f>
        <v/>
      </c>
      <c r="T81" s="8" t="str">
        <f>IF(T$8="","",S81)</f>
        <v/>
      </c>
      <c r="U81" s="8" t="str">
        <f t="shared" si="1068"/>
        <v/>
      </c>
      <c r="V81" s="8" t="str">
        <f>IF(V$8="","",U81)</f>
        <v/>
      </c>
      <c r="W81" s="8" t="str">
        <f t="shared" ref="W81" si="1081">IF(W$8="","",V81)</f>
        <v/>
      </c>
      <c r="X81" s="8" t="str">
        <f t="shared" si="1069"/>
        <v/>
      </c>
      <c r="Y81" s="8" t="str">
        <f t="shared" si="1070"/>
        <v/>
      </c>
      <c r="Z81" s="8" t="str">
        <f>IF(Z$8="","",Y81)</f>
        <v/>
      </c>
      <c r="AA81" s="8" t="str">
        <f t="shared" si="1071"/>
        <v/>
      </c>
      <c r="AB81" s="8" t="str">
        <f t="shared" si="1072"/>
        <v/>
      </c>
      <c r="AC81" s="8" t="str">
        <f t="shared" si="1073"/>
        <v/>
      </c>
      <c r="AD81" s="8" t="str">
        <f>IF(AD$8="","",AC81)</f>
        <v/>
      </c>
      <c r="AE81" s="8" t="str">
        <f>IF(AE$8="","",AD81)</f>
        <v/>
      </c>
      <c r="AF81" s="8" t="str">
        <f t="shared" si="1074"/>
        <v/>
      </c>
      <c r="AG81" s="8" t="str">
        <f>IF(AG$8="","",AF81)</f>
        <v/>
      </c>
      <c r="AH81" s="8" t="str">
        <f t="shared" si="1075"/>
        <v/>
      </c>
      <c r="AI81" s="8" t="str">
        <f t="shared" si="1076"/>
        <v/>
      </c>
      <c r="AJ81" s="8" t="str">
        <f>IF(AJ$8="","",AI81)</f>
        <v/>
      </c>
      <c r="AK81" s="8" t="str">
        <f t="shared" si="1077"/>
        <v/>
      </c>
      <c r="AL81" s="8" t="str">
        <f t="shared" si="1078"/>
        <v/>
      </c>
      <c r="AM81" s="8" t="str">
        <f t="shared" si="1079"/>
        <v/>
      </c>
      <c r="AN81" s="8" t="str">
        <f t="shared" ref="AN81" si="1082">IF(AN$8="","",AM81)</f>
        <v/>
      </c>
      <c r="AO81" s="8" t="str">
        <f t="shared" ref="AO81:AS81" si="1083">IF(AO$8="","",AN81)</f>
        <v/>
      </c>
      <c r="AP81" s="8" t="str">
        <f t="shared" si="1083"/>
        <v/>
      </c>
      <c r="AQ81" s="8" t="str">
        <f t="shared" si="1083"/>
        <v/>
      </c>
      <c r="AR81" s="8" t="str">
        <f t="shared" si="1083"/>
        <v/>
      </c>
      <c r="AS81" s="8" t="str">
        <f t="shared" si="1083"/>
        <v/>
      </c>
    </row>
    <row r="82" spans="1:45" s="84" customFormat="1" ht="11.25" x14ac:dyDescent="0.15">
      <c r="A82" s="15">
        <v>3</v>
      </c>
      <c r="B82" s="9" t="s">
        <v>5</v>
      </c>
      <c r="C82" s="8">
        <v>18</v>
      </c>
      <c r="D82" s="8">
        <v>17</v>
      </c>
      <c r="E82" s="8">
        <v>17</v>
      </c>
      <c r="F82" s="8">
        <v>17</v>
      </c>
      <c r="G82" s="8">
        <v>15</v>
      </c>
      <c r="H82" s="8">
        <v>15</v>
      </c>
      <c r="I82" s="8">
        <v>15</v>
      </c>
      <c r="J82" s="8">
        <v>15</v>
      </c>
      <c r="K82" s="8">
        <v>15</v>
      </c>
      <c r="L82" s="8">
        <f>IF(L80="","",(K82+K83))</f>
        <v>15</v>
      </c>
      <c r="M82" s="8">
        <v>13</v>
      </c>
      <c r="N82" s="8" t="str">
        <f t="shared" ref="N82" si="1084">IF(N80="","",(M82+M83))</f>
        <v/>
      </c>
      <c r="O82" s="8" t="str">
        <f>IF(O80="","",(N82+N83))</f>
        <v/>
      </c>
      <c r="P82" s="8" t="str">
        <f t="shared" ref="P82" si="1085">IF(P80="","",(O82+O83))</f>
        <v/>
      </c>
      <c r="Q82" s="8" t="str">
        <f t="shared" ref="Q82" si="1086">IF(Q80="","",(P82+P83))</f>
        <v/>
      </c>
      <c r="R82" s="8" t="str">
        <f t="shared" ref="R82" si="1087">IF(R80="","",(Q82+Q83))</f>
        <v/>
      </c>
      <c r="S82" s="8" t="str">
        <f>IF(S80="","",(R82+R83))</f>
        <v/>
      </c>
      <c r="T82" s="8" t="str">
        <f>IF(T80="","",(S82+S83))</f>
        <v/>
      </c>
      <c r="U82" s="8" t="str">
        <f t="shared" ref="U82" si="1088">IF(U80="","",(T82+T83))</f>
        <v/>
      </c>
      <c r="V82" s="8" t="str">
        <f>IF(V80="","",(U82+U83))</f>
        <v/>
      </c>
      <c r="W82" s="8" t="str">
        <f t="shared" ref="W82" si="1089">IF(W80="","",(V82+V83))</f>
        <v/>
      </c>
      <c r="X82" s="8" t="str">
        <f t="shared" ref="X82" si="1090">IF(X80="","",(W82+W83))</f>
        <v/>
      </c>
      <c r="Y82" s="8" t="str">
        <f t="shared" ref="Y82" si="1091">IF(Y80="","",(X82+X83))</f>
        <v/>
      </c>
      <c r="Z82" s="8" t="str">
        <f>IF(Z80="","",(Y82+Y83))</f>
        <v/>
      </c>
      <c r="AA82" s="8" t="str">
        <f t="shared" ref="AA82" si="1092">IF(AA80="","",(Z82+Z83))</f>
        <v/>
      </c>
      <c r="AB82" s="8" t="str">
        <f t="shared" ref="AB82" si="1093">IF(AB80="","",(AA82+AA83))</f>
        <v/>
      </c>
      <c r="AC82" s="8" t="str">
        <f t="shared" ref="AC82" si="1094">IF(AC80="","",(AB82+AB83))</f>
        <v/>
      </c>
      <c r="AD82" s="8" t="str">
        <f>IF(AD80="","",(AC82+AC83))</f>
        <v/>
      </c>
      <c r="AE82" s="8" t="str">
        <f>IF(AE80="","",(AD82+AD83))</f>
        <v/>
      </c>
      <c r="AF82" s="8" t="str">
        <f t="shared" ref="AF82" si="1095">IF(AF80="","",(AE82+AE83))</f>
        <v/>
      </c>
      <c r="AG82" s="8" t="str">
        <f>IF(AG80="","",(AF82+AF83))</f>
        <v/>
      </c>
      <c r="AH82" s="8" t="str">
        <f t="shared" ref="AH82" si="1096">IF(AH80="","",(AG82+AG83))</f>
        <v/>
      </c>
      <c r="AI82" s="8" t="str">
        <f t="shared" ref="AI82" si="1097">IF(AI80="","",(AH82+AH83))</f>
        <v/>
      </c>
      <c r="AJ82" s="8" t="str">
        <f>IF(AJ80="","",(AI82+AI83))</f>
        <v/>
      </c>
      <c r="AK82" s="8" t="str">
        <f t="shared" ref="AK82" si="1098">IF(AK80="","",(AJ82+AJ83))</f>
        <v/>
      </c>
      <c r="AL82" s="8" t="str">
        <f t="shared" ref="AL82" si="1099">IF(AL80="","",(AK82+AK83))</f>
        <v/>
      </c>
      <c r="AM82" s="8" t="str">
        <f t="shared" ref="AM82" si="1100">IF(AM80="","",(AL82+AL83))</f>
        <v/>
      </c>
      <c r="AN82" s="8" t="str">
        <f t="shared" ref="AN82" si="1101">IF(AN80="","",(AM82+AM83))</f>
        <v/>
      </c>
      <c r="AO82" s="8" t="str">
        <f t="shared" ref="AO82:AS82" si="1102">IF(AO80="","",(AN82+AN83))</f>
        <v/>
      </c>
      <c r="AP82" s="8" t="str">
        <f t="shared" si="1102"/>
        <v/>
      </c>
      <c r="AQ82" s="8" t="str">
        <f t="shared" si="1102"/>
        <v/>
      </c>
      <c r="AR82" s="8" t="str">
        <f t="shared" si="1102"/>
        <v/>
      </c>
      <c r="AS82" s="8" t="str">
        <f t="shared" si="1102"/>
        <v/>
      </c>
    </row>
    <row r="83" spans="1:45" s="84" customFormat="1" ht="11.25" x14ac:dyDescent="0.15">
      <c r="A83" s="14"/>
      <c r="B83" s="9" t="s">
        <v>7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>
        <v>5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</row>
    <row r="84" spans="1:45" s="84" customFormat="1" ht="11.25" x14ac:dyDescent="0.15">
      <c r="A84" s="7"/>
      <c r="B84" s="9" t="s">
        <v>8</v>
      </c>
      <c r="C84" s="8">
        <v>150</v>
      </c>
      <c r="D84" s="8">
        <v>150</v>
      </c>
      <c r="E84" s="8">
        <v>150</v>
      </c>
      <c r="F84" s="8">
        <v>150</v>
      </c>
      <c r="G84" s="8">
        <v>150</v>
      </c>
      <c r="H84" s="8">
        <v>150</v>
      </c>
      <c r="I84" s="8">
        <v>150</v>
      </c>
      <c r="J84" s="8">
        <v>150</v>
      </c>
      <c r="K84" s="8">
        <v>150</v>
      </c>
      <c r="L84" s="8">
        <f t="shared" ref="L84" si="1103">IF(L80="","",K84)</f>
        <v>150</v>
      </c>
      <c r="M84" s="8">
        <f t="shared" ref="M84" si="1104">IF(M80="","",L84)</f>
        <v>150</v>
      </c>
      <c r="N84" s="8" t="str">
        <f t="shared" ref="N84" si="1105">IF(N80="","",M84)</f>
        <v/>
      </c>
      <c r="O84" s="8" t="str">
        <f t="shared" ref="O84" si="1106">IF(O80="","",N84)</f>
        <v/>
      </c>
      <c r="P84" s="8" t="str">
        <f t="shared" ref="P84" si="1107">IF(P80="","",O84)</f>
        <v/>
      </c>
      <c r="Q84" s="8" t="str">
        <f t="shared" ref="Q84" si="1108">IF(Q80="","",P84)</f>
        <v/>
      </c>
      <c r="R84" s="8" t="str">
        <f t="shared" ref="R84" si="1109">IF(R80="","",Q84)</f>
        <v/>
      </c>
      <c r="S84" s="8" t="str">
        <f t="shared" ref="S84" si="1110">IF(S80="","",R84)</f>
        <v/>
      </c>
      <c r="T84" s="8" t="str">
        <f t="shared" ref="T84" si="1111">IF(T80="","",S84)</f>
        <v/>
      </c>
      <c r="U84" s="8" t="str">
        <f t="shared" ref="U84" si="1112">IF(U80="","",T84)</f>
        <v/>
      </c>
      <c r="V84" s="8" t="str">
        <f t="shared" ref="V84" si="1113">IF(V80="","",U84)</f>
        <v/>
      </c>
      <c r="W84" s="8" t="str">
        <f t="shared" ref="W84" si="1114">IF(W80="","",V84)</f>
        <v/>
      </c>
      <c r="X84" s="8" t="str">
        <f t="shared" ref="X84" si="1115">IF(X80="","",W84)</f>
        <v/>
      </c>
      <c r="Y84" s="8" t="str">
        <f t="shared" ref="Y84" si="1116">IF(Y80="","",X84)</f>
        <v/>
      </c>
      <c r="Z84" s="8" t="str">
        <f t="shared" ref="Z84" si="1117">IF(Z80="","",Y84)</f>
        <v/>
      </c>
      <c r="AA84" s="8" t="str">
        <f t="shared" ref="AA84" si="1118">IF(AA80="","",Z84)</f>
        <v/>
      </c>
      <c r="AB84" s="8" t="str">
        <f t="shared" ref="AB84" si="1119">IF(AB80="","",AA84)</f>
        <v/>
      </c>
      <c r="AC84" s="8" t="str">
        <f t="shared" ref="AC84" si="1120">IF(AC80="","",AB84)</f>
        <v/>
      </c>
      <c r="AD84" s="8" t="str">
        <f t="shared" ref="AD84" si="1121">IF(AD80="","",AC84)</f>
        <v/>
      </c>
      <c r="AE84" s="8" t="str">
        <f t="shared" ref="AE84" si="1122">IF(AE80="","",AD84)</f>
        <v/>
      </c>
      <c r="AF84" s="8" t="str">
        <f t="shared" ref="AF84" si="1123">IF(AF80="","",AE84)</f>
        <v/>
      </c>
      <c r="AG84" s="8" t="str">
        <f t="shared" ref="AG84" si="1124">IF(AG80="","",AF84)</f>
        <v/>
      </c>
      <c r="AH84" s="8" t="str">
        <f t="shared" ref="AH84" si="1125">IF(AH80="","",AG84)</f>
        <v/>
      </c>
      <c r="AI84" s="8" t="str">
        <f t="shared" ref="AI84" si="1126">IF(AI80="","",AH84)</f>
        <v/>
      </c>
      <c r="AJ84" s="8" t="str">
        <f t="shared" ref="AJ84" si="1127">IF(AJ80="","",AI84)</f>
        <v/>
      </c>
      <c r="AK84" s="8" t="str">
        <f t="shared" ref="AK84" si="1128">IF(AK80="","",AJ84)</f>
        <v/>
      </c>
      <c r="AL84" s="8" t="str">
        <f t="shared" ref="AL84" si="1129">IF(AL80="","",AK84)</f>
        <v/>
      </c>
      <c r="AM84" s="8" t="str">
        <f t="shared" ref="AM84" si="1130">IF(AM80="","",AL84)</f>
        <v/>
      </c>
      <c r="AN84" s="8" t="str">
        <f t="shared" ref="AN84" si="1131">IF(AN80="","",AM84)</f>
        <v/>
      </c>
      <c r="AO84" s="8" t="str">
        <f t="shared" ref="AO84:AS84" si="1132">IF(AO80="","",AN84)</f>
        <v/>
      </c>
      <c r="AP84" s="8" t="str">
        <f t="shared" si="1132"/>
        <v/>
      </c>
      <c r="AQ84" s="8" t="str">
        <f t="shared" si="1132"/>
        <v/>
      </c>
      <c r="AR84" s="8" t="str">
        <f t="shared" si="1132"/>
        <v/>
      </c>
      <c r="AS84" s="8" t="str">
        <f t="shared" si="1132"/>
        <v/>
      </c>
    </row>
    <row r="85" spans="1:45" s="85" customFormat="1" ht="11.25" x14ac:dyDescent="0.15">
      <c r="A85" s="14" t="s">
        <v>9</v>
      </c>
      <c r="B85" s="13" t="s">
        <v>10</v>
      </c>
      <c r="C85" s="12" t="s">
        <v>354</v>
      </c>
      <c r="D85" s="12" t="s">
        <v>354</v>
      </c>
      <c r="E85" s="12" t="s">
        <v>354</v>
      </c>
      <c r="F85" s="12" t="s">
        <v>354</v>
      </c>
      <c r="G85" s="12" t="s">
        <v>354</v>
      </c>
      <c r="H85" s="12" t="s">
        <v>354</v>
      </c>
      <c r="I85" s="12" t="s">
        <v>354</v>
      </c>
      <c r="J85" s="12" t="s">
        <v>354</v>
      </c>
      <c r="K85" s="12" t="s">
        <v>354</v>
      </c>
      <c r="L85" s="12" t="str">
        <f>IF(L80="","",K85)</f>
        <v>フルーツスクイーズ</v>
      </c>
      <c r="M85" s="12" t="str">
        <f t="shared" ref="M85" si="1133">IF(M80="","",L85)</f>
        <v>フルーツスクイーズ</v>
      </c>
      <c r="N85" s="12" t="str">
        <f t="shared" ref="N85" si="1134">IF(N80="","",M85)</f>
        <v/>
      </c>
      <c r="O85" s="12" t="str">
        <f t="shared" ref="O85" si="1135">IF(O80="","",N85)</f>
        <v/>
      </c>
      <c r="P85" s="12" t="str">
        <f t="shared" ref="P85" si="1136">IF(P80="","",O85)</f>
        <v/>
      </c>
      <c r="Q85" s="12" t="str">
        <f t="shared" ref="Q85" si="1137">IF(Q80="","",P85)</f>
        <v/>
      </c>
      <c r="R85" s="12" t="str">
        <f t="shared" ref="R85" si="1138">IF(R80="","",Q85)</f>
        <v/>
      </c>
      <c r="S85" s="12" t="str">
        <f t="shared" ref="S85" si="1139">IF(S80="","",R85)</f>
        <v/>
      </c>
      <c r="T85" s="12" t="str">
        <f t="shared" ref="T85" si="1140">IF(T80="","",S85)</f>
        <v/>
      </c>
      <c r="U85" s="12" t="str">
        <f t="shared" ref="U85" si="1141">IF(U80="","",T85)</f>
        <v/>
      </c>
      <c r="V85" s="12" t="str">
        <f t="shared" ref="V85" si="1142">IF(V80="","",U85)</f>
        <v/>
      </c>
      <c r="W85" s="12" t="str">
        <f t="shared" ref="W85" si="1143">IF(W80="","",V85)</f>
        <v/>
      </c>
      <c r="X85" s="12" t="str">
        <f t="shared" ref="X85" si="1144">IF(X80="","",W85)</f>
        <v/>
      </c>
      <c r="Y85" s="12" t="str">
        <f t="shared" ref="Y85" si="1145">IF(Y80="","",X85)</f>
        <v/>
      </c>
      <c r="Z85" s="12" t="str">
        <f t="shared" ref="Z85" si="1146">IF(Z80="","",Y85)</f>
        <v/>
      </c>
      <c r="AA85" s="12" t="str">
        <f t="shared" ref="AA85" si="1147">IF(AA80="","",Z85)</f>
        <v/>
      </c>
      <c r="AB85" s="12" t="str">
        <f t="shared" ref="AB85" si="1148">IF(AB80="","",AA85)</f>
        <v/>
      </c>
      <c r="AC85" s="12" t="str">
        <f t="shared" ref="AC85" si="1149">IF(AC80="","",AB85)</f>
        <v/>
      </c>
      <c r="AD85" s="12" t="str">
        <f t="shared" ref="AD85" si="1150">IF(AD80="","",AC85)</f>
        <v/>
      </c>
      <c r="AE85" s="12" t="str">
        <f t="shared" ref="AE85" si="1151">IF(AE80="","",AD85)</f>
        <v/>
      </c>
      <c r="AF85" s="12" t="str">
        <f t="shared" ref="AF85" si="1152">IF(AF80="","",AE85)</f>
        <v/>
      </c>
      <c r="AG85" s="12" t="str">
        <f t="shared" ref="AG85" si="1153">IF(AG80="","",AF85)</f>
        <v/>
      </c>
      <c r="AH85" s="12" t="str">
        <f t="shared" ref="AH85" si="1154">IF(AH80="","",AG85)</f>
        <v/>
      </c>
      <c r="AI85" s="12" t="str">
        <f t="shared" ref="AI85" si="1155">IF(AI80="","",AH85)</f>
        <v/>
      </c>
      <c r="AJ85" s="12" t="str">
        <f t="shared" ref="AJ85" si="1156">IF(AJ80="","",AI85)</f>
        <v/>
      </c>
      <c r="AK85" s="12" t="str">
        <f t="shared" ref="AK85" si="1157">IF(AK80="","",AJ85)</f>
        <v/>
      </c>
      <c r="AL85" s="12" t="str">
        <f t="shared" ref="AL85" si="1158">IF(AL80="","",AK85)</f>
        <v/>
      </c>
      <c r="AM85" s="12" t="str">
        <f t="shared" ref="AM85" si="1159">IF(AM80="","",AL85)</f>
        <v/>
      </c>
      <c r="AN85" s="12" t="str">
        <f t="shared" ref="AN85" si="1160">IF(AN80="","",AM85)</f>
        <v/>
      </c>
      <c r="AO85" s="12" t="str">
        <f t="shared" ref="AO85:AS85" si="1161">IF(AO80="","",AN85)</f>
        <v/>
      </c>
      <c r="AP85" s="12" t="str">
        <f t="shared" si="1161"/>
        <v/>
      </c>
      <c r="AQ85" s="12" t="str">
        <f t="shared" si="1161"/>
        <v/>
      </c>
      <c r="AR85" s="12" t="str">
        <f t="shared" si="1161"/>
        <v/>
      </c>
      <c r="AS85" s="12" t="str">
        <f t="shared" si="1161"/>
        <v/>
      </c>
    </row>
    <row r="86" spans="1:45" s="84" customFormat="1" ht="11.25" x14ac:dyDescent="0.15">
      <c r="A86" s="7">
        <f>AVERAGE(C87:AS87)*30*100</f>
        <v>55909.090909090912</v>
      </c>
      <c r="B86" s="9" t="s">
        <v>12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</row>
    <row r="87" spans="1:45" s="84" customFormat="1" ht="11.25" x14ac:dyDescent="0.15">
      <c r="A87" s="7">
        <f>SUM(C87:AS87)</f>
        <v>205</v>
      </c>
      <c r="B87" s="6" t="s">
        <v>13</v>
      </c>
      <c r="C87" s="5">
        <v>0</v>
      </c>
      <c r="D87" s="5">
        <v>28</v>
      </c>
      <c r="E87" s="5">
        <v>0</v>
      </c>
      <c r="F87" s="5">
        <v>0</v>
      </c>
      <c r="G87" s="5">
        <v>108</v>
      </c>
      <c r="H87" s="5">
        <v>0</v>
      </c>
      <c r="I87" s="5">
        <v>0</v>
      </c>
      <c r="J87" s="5">
        <v>0</v>
      </c>
      <c r="K87" s="5">
        <v>26</v>
      </c>
      <c r="L87" s="5">
        <f t="shared" ref="L87:L88" si="1162">IF(L80="","",L80-K80)</f>
        <v>0</v>
      </c>
      <c r="M87" s="5">
        <f t="shared" ref="M87:M88" si="1163">IF(M80="","",M80-L80)</f>
        <v>43</v>
      </c>
      <c r="N87" s="5" t="str">
        <f t="shared" ref="N87:N88" si="1164">IF(N80="","",N80-M80)</f>
        <v/>
      </c>
      <c r="O87" s="5" t="str">
        <f t="shared" ref="O87:O88" si="1165">IF(O80="","",O80-N80)</f>
        <v/>
      </c>
      <c r="P87" s="5" t="str">
        <f t="shared" ref="P87:P88" si="1166">IF(P80="","",P80-O80)</f>
        <v/>
      </c>
      <c r="Q87" s="5" t="str">
        <f t="shared" ref="Q87:Q88" si="1167">IF(Q80="","",Q80-P80)</f>
        <v/>
      </c>
      <c r="R87" s="5" t="str">
        <f t="shared" ref="R87:R88" si="1168">IF(R80="","",R80-Q80)</f>
        <v/>
      </c>
      <c r="S87" s="5" t="str">
        <f t="shared" ref="S87:S88" si="1169">IF(S80="","",S80-R80)</f>
        <v/>
      </c>
      <c r="T87" s="5" t="str">
        <f t="shared" ref="T87:T88" si="1170">IF(T80="","",T80-S80)</f>
        <v/>
      </c>
      <c r="U87" s="5" t="str">
        <f t="shared" ref="U87:U88" si="1171">IF(U80="","",U80-T80)</f>
        <v/>
      </c>
      <c r="V87" s="5" t="str">
        <f t="shared" ref="V87:V88" si="1172">IF(V80="","",V80-U80)</f>
        <v/>
      </c>
      <c r="W87" s="5" t="str">
        <f t="shared" ref="W87:W88" si="1173">IF(W80="","",W80-V80)</f>
        <v/>
      </c>
      <c r="X87" s="5" t="str">
        <f t="shared" ref="X87:X88" si="1174">IF(X80="","",X80-W80)</f>
        <v/>
      </c>
      <c r="Y87" s="5" t="str">
        <f t="shared" ref="Y87:Y88" si="1175">IF(Y80="","",Y80-X80)</f>
        <v/>
      </c>
      <c r="Z87" s="5" t="str">
        <f t="shared" ref="Z87:Z88" si="1176">IF(Z80="","",Z80-Y80)</f>
        <v/>
      </c>
      <c r="AA87" s="5" t="str">
        <f t="shared" ref="AA87:AA88" si="1177">IF(AA80="","",AA80-Z80)</f>
        <v/>
      </c>
      <c r="AB87" s="5" t="str">
        <f t="shared" ref="AB87:AB88" si="1178">IF(AB80="","",AB80-AA80)</f>
        <v/>
      </c>
      <c r="AC87" s="5" t="str">
        <f t="shared" ref="AC87:AC88" si="1179">IF(AC80="","",AC80-AB80)</f>
        <v/>
      </c>
      <c r="AD87" s="5" t="str">
        <f t="shared" ref="AD87:AD88" si="1180">IF(AD80="","",AD80-AC80)</f>
        <v/>
      </c>
      <c r="AE87" s="5" t="str">
        <f t="shared" ref="AE87:AE88" si="1181">IF(AE80="","",AE80-AD80)</f>
        <v/>
      </c>
      <c r="AF87" s="5" t="str">
        <f t="shared" ref="AF87:AF88" si="1182">IF(AF80="","",AF80-AE80)</f>
        <v/>
      </c>
      <c r="AG87" s="5" t="str">
        <f t="shared" ref="AG87:AG88" si="1183">IF(AG80="","",AG80-AF80)</f>
        <v/>
      </c>
      <c r="AH87" s="5" t="str">
        <f t="shared" ref="AH87:AH88" si="1184">IF(AH80="","",AH80-AG80)</f>
        <v/>
      </c>
      <c r="AI87" s="5" t="str">
        <f t="shared" ref="AI87:AI88" si="1185">IF(AI80="","",AI80-AH80)</f>
        <v/>
      </c>
      <c r="AJ87" s="5" t="str">
        <f t="shared" ref="AJ87:AJ88" si="1186">IF(AJ80="","",AJ80-AI80)</f>
        <v/>
      </c>
      <c r="AK87" s="5" t="str">
        <f t="shared" ref="AK87:AK88" si="1187">IF(AK80="","",AK80-AJ80)</f>
        <v/>
      </c>
      <c r="AL87" s="5" t="str">
        <f t="shared" ref="AL87:AL88" si="1188">IF(AL80="","",AL80-AK80)</f>
        <v/>
      </c>
      <c r="AM87" s="5" t="str">
        <f t="shared" ref="AM87:AM88" si="1189">IF(AM80="","",AM80-AL80)</f>
        <v/>
      </c>
      <c r="AN87" s="5" t="str">
        <f t="shared" ref="AN87" si="1190">IF(AN80="","",AN80-AM80)</f>
        <v/>
      </c>
      <c r="AO87" s="5" t="str">
        <f t="shared" ref="AO87:AS87" si="1191">IF(AO80="","",AO80-AN80)</f>
        <v/>
      </c>
      <c r="AP87" s="5" t="str">
        <f t="shared" si="1191"/>
        <v/>
      </c>
      <c r="AQ87" s="5" t="str">
        <f t="shared" si="1191"/>
        <v/>
      </c>
      <c r="AR87" s="5" t="str">
        <f t="shared" si="1191"/>
        <v/>
      </c>
      <c r="AS87" s="5" t="str">
        <f t="shared" si="1191"/>
        <v/>
      </c>
    </row>
    <row r="88" spans="1:45" s="84" customFormat="1" ht="11.25" x14ac:dyDescent="0.15">
      <c r="A88" s="7">
        <f>SUM(C88:AS88)</f>
        <v>5</v>
      </c>
      <c r="B88" s="6" t="s">
        <v>14</v>
      </c>
      <c r="C88" s="5">
        <v>0</v>
      </c>
      <c r="D88" s="5">
        <v>1</v>
      </c>
      <c r="E88" s="5">
        <v>0</v>
      </c>
      <c r="F88" s="5">
        <v>0</v>
      </c>
      <c r="G88" s="5">
        <v>2</v>
      </c>
      <c r="H88" s="5">
        <v>0</v>
      </c>
      <c r="I88" s="5">
        <v>0</v>
      </c>
      <c r="J88" s="5">
        <v>0</v>
      </c>
      <c r="K88" s="5">
        <v>0</v>
      </c>
      <c r="L88" s="5">
        <f t="shared" si="1162"/>
        <v>0</v>
      </c>
      <c r="M88" s="5">
        <f t="shared" si="1163"/>
        <v>2</v>
      </c>
      <c r="N88" s="5" t="str">
        <f t="shared" si="1164"/>
        <v/>
      </c>
      <c r="O88" s="5" t="str">
        <f t="shared" si="1165"/>
        <v/>
      </c>
      <c r="P88" s="5" t="str">
        <f t="shared" si="1166"/>
        <v/>
      </c>
      <c r="Q88" s="5" t="str">
        <f t="shared" si="1167"/>
        <v/>
      </c>
      <c r="R88" s="5" t="str">
        <f t="shared" si="1168"/>
        <v/>
      </c>
      <c r="S88" s="5" t="str">
        <f t="shared" si="1169"/>
        <v/>
      </c>
      <c r="T88" s="5" t="str">
        <f t="shared" si="1170"/>
        <v/>
      </c>
      <c r="U88" s="5" t="str">
        <f t="shared" si="1171"/>
        <v/>
      </c>
      <c r="V88" s="5" t="str">
        <f t="shared" si="1172"/>
        <v/>
      </c>
      <c r="W88" s="5" t="str">
        <f t="shared" si="1173"/>
        <v/>
      </c>
      <c r="X88" s="5" t="str">
        <f t="shared" si="1174"/>
        <v/>
      </c>
      <c r="Y88" s="5" t="str">
        <f t="shared" si="1175"/>
        <v/>
      </c>
      <c r="Z88" s="5" t="str">
        <f t="shared" si="1176"/>
        <v/>
      </c>
      <c r="AA88" s="5" t="str">
        <f t="shared" si="1177"/>
        <v/>
      </c>
      <c r="AB88" s="5" t="str">
        <f t="shared" si="1178"/>
        <v/>
      </c>
      <c r="AC88" s="5" t="str">
        <f t="shared" si="1179"/>
        <v/>
      </c>
      <c r="AD88" s="5" t="str">
        <f t="shared" si="1180"/>
        <v/>
      </c>
      <c r="AE88" s="5" t="str">
        <f t="shared" si="1181"/>
        <v/>
      </c>
      <c r="AF88" s="5" t="str">
        <f t="shared" si="1182"/>
        <v/>
      </c>
      <c r="AG88" s="5" t="str">
        <f t="shared" si="1183"/>
        <v/>
      </c>
      <c r="AH88" s="5" t="str">
        <f t="shared" si="1184"/>
        <v/>
      </c>
      <c r="AI88" s="5" t="str">
        <f t="shared" si="1185"/>
        <v/>
      </c>
      <c r="AJ88" s="5" t="str">
        <f t="shared" si="1186"/>
        <v/>
      </c>
      <c r="AK88" s="5" t="str">
        <f t="shared" si="1187"/>
        <v/>
      </c>
      <c r="AL88" s="5" t="str">
        <f t="shared" si="1188"/>
        <v/>
      </c>
      <c r="AM88" s="5" t="str">
        <f t="shared" si="1189"/>
        <v/>
      </c>
      <c r="AN88" s="5" t="str">
        <f t="shared" ref="AN88" si="1192">IF(AN81="","",AN81-AM81)</f>
        <v/>
      </c>
      <c r="AO88" s="5" t="str">
        <f t="shared" ref="AO88:AS88" si="1193">IF(AO81="","",AO81-AN81)</f>
        <v/>
      </c>
      <c r="AP88" s="5" t="str">
        <f t="shared" si="1193"/>
        <v/>
      </c>
      <c r="AQ88" s="5" t="str">
        <f t="shared" si="1193"/>
        <v/>
      </c>
      <c r="AR88" s="5" t="str">
        <f t="shared" si="1193"/>
        <v/>
      </c>
      <c r="AS88" s="5" t="str">
        <f t="shared" si="1193"/>
        <v/>
      </c>
    </row>
    <row r="89" spans="1:45" s="84" customFormat="1" ht="11.25" x14ac:dyDescent="0.15">
      <c r="A89" s="7">
        <f>SUM(C89:AS89)</f>
        <v>5</v>
      </c>
      <c r="B89" s="6" t="s">
        <v>15</v>
      </c>
      <c r="C89" s="5">
        <v>0</v>
      </c>
      <c r="D89" s="5">
        <v>1</v>
      </c>
      <c r="E89" s="5">
        <v>0</v>
      </c>
      <c r="F89" s="5">
        <v>0</v>
      </c>
      <c r="G89" s="5">
        <v>2</v>
      </c>
      <c r="H89" s="5">
        <v>0</v>
      </c>
      <c r="I89" s="5">
        <v>0</v>
      </c>
      <c r="J89" s="5">
        <v>0</v>
      </c>
      <c r="K89" s="5">
        <v>0</v>
      </c>
      <c r="L89" s="5">
        <f t="shared" ref="L89" si="1194">IF(L82="","",K82+K83-L82)</f>
        <v>0</v>
      </c>
      <c r="M89" s="5">
        <f t="shared" ref="M89" si="1195">IF(M82="","",L82+L83-M82)</f>
        <v>2</v>
      </c>
      <c r="N89" s="5" t="str">
        <f t="shared" ref="N89" si="1196">IF(N82="","",M82+M83-N82)</f>
        <v/>
      </c>
      <c r="O89" s="5" t="str">
        <f t="shared" ref="O89" si="1197">IF(O82="","",N82+N83-O82)</f>
        <v/>
      </c>
      <c r="P89" s="5" t="str">
        <f t="shared" ref="P89" si="1198">IF(P82="","",O82+O83-P82)</f>
        <v/>
      </c>
      <c r="Q89" s="5" t="str">
        <f t="shared" ref="Q89" si="1199">IF(Q82="","",P82+P83-Q82)</f>
        <v/>
      </c>
      <c r="R89" s="5" t="str">
        <f t="shared" ref="R89" si="1200">IF(R82="","",Q82+Q83-R82)</f>
        <v/>
      </c>
      <c r="S89" s="5" t="str">
        <f t="shared" ref="S89" si="1201">IF(S82="","",R82+R83-S82)</f>
        <v/>
      </c>
      <c r="T89" s="5" t="str">
        <f t="shared" ref="T89" si="1202">IF(T82="","",S82+S83-T82)</f>
        <v/>
      </c>
      <c r="U89" s="5" t="str">
        <f t="shared" ref="U89" si="1203">IF(U82="","",T82+T83-U82)</f>
        <v/>
      </c>
      <c r="V89" s="5" t="str">
        <f t="shared" ref="V89" si="1204">IF(V82="","",U82+U83-V82)</f>
        <v/>
      </c>
      <c r="W89" s="5" t="str">
        <f t="shared" ref="W89" si="1205">IF(W82="","",V82+V83-W82)</f>
        <v/>
      </c>
      <c r="X89" s="5" t="str">
        <f t="shared" ref="X89" si="1206">IF(X82="","",W82+W83-X82)</f>
        <v/>
      </c>
      <c r="Y89" s="5" t="str">
        <f t="shared" ref="Y89" si="1207">IF(Y82="","",X82+X83-Y82)</f>
        <v/>
      </c>
      <c r="Z89" s="5" t="str">
        <f t="shared" ref="Z89" si="1208">IF(Z82="","",Y82+Y83-Z82)</f>
        <v/>
      </c>
      <c r="AA89" s="5" t="str">
        <f t="shared" ref="AA89" si="1209">IF(AA82="","",Z82+Z83-AA82)</f>
        <v/>
      </c>
      <c r="AB89" s="5" t="str">
        <f t="shared" ref="AB89" si="1210">IF(AB82="","",AA82+AA83-AB82)</f>
        <v/>
      </c>
      <c r="AC89" s="5" t="str">
        <f t="shared" ref="AC89" si="1211">IF(AC82="","",AB82+AB83-AC82)</f>
        <v/>
      </c>
      <c r="AD89" s="5" t="str">
        <f t="shared" ref="AD89" si="1212">IF(AD82="","",AC82+AC83-AD82)</f>
        <v/>
      </c>
      <c r="AE89" s="5" t="str">
        <f t="shared" ref="AE89" si="1213">IF(AE82="","",AD82+AD83-AE82)</f>
        <v/>
      </c>
      <c r="AF89" s="5" t="str">
        <f t="shared" ref="AF89" si="1214">IF(AF82="","",AE82+AE83-AF82)</f>
        <v/>
      </c>
      <c r="AG89" s="5" t="str">
        <f t="shared" ref="AG89" si="1215">IF(AG82="","",AF82+AF83-AG82)</f>
        <v/>
      </c>
      <c r="AH89" s="5" t="str">
        <f t="shared" ref="AH89" si="1216">IF(AH82="","",AG82+AG83-AH82)</f>
        <v/>
      </c>
      <c r="AI89" s="5" t="str">
        <f t="shared" ref="AI89" si="1217">IF(AI82="","",AH82+AH83-AI82)</f>
        <v/>
      </c>
      <c r="AJ89" s="5" t="str">
        <f t="shared" ref="AJ89" si="1218">IF(AJ82="","",AI82+AI83-AJ82)</f>
        <v/>
      </c>
      <c r="AK89" s="5" t="str">
        <f t="shared" ref="AK89" si="1219">IF(AK82="","",AJ82+AJ83-AK82)</f>
        <v/>
      </c>
      <c r="AL89" s="5" t="str">
        <f t="shared" ref="AL89" si="1220">IF(AL82="","",AK82+AK83-AL82)</f>
        <v/>
      </c>
      <c r="AM89" s="5" t="str">
        <f t="shared" ref="AM89" si="1221">IF(AM82="","",AL82+AL83-AM82)</f>
        <v/>
      </c>
      <c r="AN89" s="5" t="str">
        <f t="shared" ref="AN89" si="1222">IF(AN82="","",AM82+AM83-AN82)</f>
        <v/>
      </c>
      <c r="AO89" s="5" t="str">
        <f t="shared" ref="AO89:AS89" si="1223">IF(AO82="","",AN82+AN83-AO82)</f>
        <v/>
      </c>
      <c r="AP89" s="5" t="str">
        <f t="shared" si="1223"/>
        <v/>
      </c>
      <c r="AQ89" s="5" t="str">
        <f t="shared" si="1223"/>
        <v/>
      </c>
      <c r="AR89" s="5" t="str">
        <f t="shared" si="1223"/>
        <v/>
      </c>
      <c r="AS89" s="5" t="str">
        <f t="shared" si="1223"/>
        <v/>
      </c>
    </row>
    <row r="90" spans="1:45" s="84" customFormat="1" ht="11.25" x14ac:dyDescent="0.15">
      <c r="A90" s="7">
        <f>SUM(C90:AS90)</f>
        <v>750</v>
      </c>
      <c r="B90" s="6" t="s">
        <v>16</v>
      </c>
      <c r="C90" s="5">
        <v>0</v>
      </c>
      <c r="D90" s="5">
        <v>150</v>
      </c>
      <c r="E90" s="5">
        <v>0</v>
      </c>
      <c r="F90" s="5">
        <v>0</v>
      </c>
      <c r="G90" s="5">
        <v>300</v>
      </c>
      <c r="H90" s="5">
        <v>0</v>
      </c>
      <c r="I90" s="5">
        <v>0</v>
      </c>
      <c r="J90" s="5">
        <v>0</v>
      </c>
      <c r="K90" s="5">
        <v>0</v>
      </c>
      <c r="L90" s="5">
        <f t="shared" ref="J90:AM90" si="1224">IF(L80="","",L89*L84)</f>
        <v>0</v>
      </c>
      <c r="M90" s="5">
        <f t="shared" si="1224"/>
        <v>300</v>
      </c>
      <c r="N90" s="5" t="str">
        <f t="shared" si="1224"/>
        <v/>
      </c>
      <c r="O90" s="5" t="str">
        <f t="shared" si="1224"/>
        <v/>
      </c>
      <c r="P90" s="5" t="str">
        <f t="shared" si="1224"/>
        <v/>
      </c>
      <c r="Q90" s="5" t="str">
        <f t="shared" si="1224"/>
        <v/>
      </c>
      <c r="R90" s="5" t="str">
        <f t="shared" si="1224"/>
        <v/>
      </c>
      <c r="S90" s="5" t="str">
        <f t="shared" si="1224"/>
        <v/>
      </c>
      <c r="T90" s="5" t="str">
        <f t="shared" si="1224"/>
        <v/>
      </c>
      <c r="U90" s="5" t="str">
        <f t="shared" si="1224"/>
        <v/>
      </c>
      <c r="V90" s="5" t="str">
        <f t="shared" si="1224"/>
        <v/>
      </c>
      <c r="W90" s="5" t="str">
        <f t="shared" si="1224"/>
        <v/>
      </c>
      <c r="X90" s="5" t="str">
        <f t="shared" si="1224"/>
        <v/>
      </c>
      <c r="Y90" s="5" t="str">
        <f t="shared" si="1224"/>
        <v/>
      </c>
      <c r="Z90" s="5" t="str">
        <f t="shared" si="1224"/>
        <v/>
      </c>
      <c r="AA90" s="5" t="str">
        <f t="shared" si="1224"/>
        <v/>
      </c>
      <c r="AB90" s="5" t="str">
        <f t="shared" si="1224"/>
        <v/>
      </c>
      <c r="AC90" s="5" t="str">
        <f t="shared" si="1224"/>
        <v/>
      </c>
      <c r="AD90" s="5" t="str">
        <f t="shared" si="1224"/>
        <v/>
      </c>
      <c r="AE90" s="5" t="str">
        <f t="shared" si="1224"/>
        <v/>
      </c>
      <c r="AF90" s="5" t="str">
        <f t="shared" si="1224"/>
        <v/>
      </c>
      <c r="AG90" s="5" t="str">
        <f t="shared" si="1224"/>
        <v/>
      </c>
      <c r="AH90" s="5" t="str">
        <f t="shared" si="1224"/>
        <v/>
      </c>
      <c r="AI90" s="5" t="str">
        <f t="shared" si="1224"/>
        <v/>
      </c>
      <c r="AJ90" s="5" t="str">
        <f t="shared" si="1224"/>
        <v/>
      </c>
      <c r="AK90" s="5" t="str">
        <f t="shared" si="1224"/>
        <v/>
      </c>
      <c r="AL90" s="5" t="str">
        <f t="shared" si="1224"/>
        <v/>
      </c>
      <c r="AM90" s="5" t="str">
        <f t="shared" si="1224"/>
        <v/>
      </c>
      <c r="AN90" s="5" t="str">
        <f t="shared" ref="AN90" si="1225">IF(AN80="","",AN89*AN84)</f>
        <v/>
      </c>
      <c r="AO90" s="5" t="str">
        <f t="shared" ref="AO90:AS90" si="1226">IF(AO80="","",AO89*AO84)</f>
        <v/>
      </c>
      <c r="AP90" s="5" t="str">
        <f t="shared" si="1226"/>
        <v/>
      </c>
      <c r="AQ90" s="5" t="str">
        <f t="shared" si="1226"/>
        <v/>
      </c>
      <c r="AR90" s="5" t="str">
        <f t="shared" si="1226"/>
        <v/>
      </c>
      <c r="AS90" s="5" t="str">
        <f t="shared" si="1226"/>
        <v/>
      </c>
    </row>
    <row r="91" spans="1:45" s="84" customFormat="1" ht="12" thickBot="1" x14ac:dyDescent="0.2">
      <c r="A91" s="4">
        <f>IF(A90="","",A90/(A87*100))</f>
        <v>3.6585365853658534E-2</v>
      </c>
      <c r="B91" s="6" t="s">
        <v>18</v>
      </c>
      <c r="C91" s="18" t="s">
        <v>19</v>
      </c>
      <c r="D91" s="18">
        <v>5.3571428571428568E-2</v>
      </c>
      <c r="E91" s="18" t="s">
        <v>19</v>
      </c>
      <c r="F91" s="18" t="s">
        <v>19</v>
      </c>
      <c r="G91" s="18">
        <v>2.7777777777777776E-2</v>
      </c>
      <c r="H91" s="18" t="s">
        <v>19</v>
      </c>
      <c r="I91" s="18" t="s">
        <v>19</v>
      </c>
      <c r="J91" s="18" t="s">
        <v>19</v>
      </c>
      <c r="K91" s="18" t="s">
        <v>19</v>
      </c>
      <c r="L91" s="18" t="str">
        <f t="shared" ref="J91:AM91" si="1227">IF(L90="","",IF(L90=0,"",L90/(L87*100)))</f>
        <v/>
      </c>
      <c r="M91" s="18">
        <f t="shared" si="1227"/>
        <v>6.9767441860465115E-2</v>
      </c>
      <c r="N91" s="18" t="str">
        <f t="shared" si="1227"/>
        <v/>
      </c>
      <c r="O91" s="18" t="str">
        <f t="shared" si="1227"/>
        <v/>
      </c>
      <c r="P91" s="18" t="str">
        <f t="shared" si="1227"/>
        <v/>
      </c>
      <c r="Q91" s="18" t="str">
        <f t="shared" si="1227"/>
        <v/>
      </c>
      <c r="R91" s="18" t="str">
        <f t="shared" si="1227"/>
        <v/>
      </c>
      <c r="S91" s="18" t="str">
        <f t="shared" si="1227"/>
        <v/>
      </c>
      <c r="T91" s="18" t="str">
        <f t="shared" si="1227"/>
        <v/>
      </c>
      <c r="U91" s="18" t="str">
        <f t="shared" si="1227"/>
        <v/>
      </c>
      <c r="V91" s="18" t="str">
        <f t="shared" si="1227"/>
        <v/>
      </c>
      <c r="W91" s="18" t="str">
        <f t="shared" si="1227"/>
        <v/>
      </c>
      <c r="X91" s="18" t="str">
        <f t="shared" si="1227"/>
        <v/>
      </c>
      <c r="Y91" s="18" t="str">
        <f t="shared" si="1227"/>
        <v/>
      </c>
      <c r="Z91" s="18" t="str">
        <f t="shared" si="1227"/>
        <v/>
      </c>
      <c r="AA91" s="18" t="str">
        <f t="shared" si="1227"/>
        <v/>
      </c>
      <c r="AB91" s="18" t="str">
        <f t="shared" si="1227"/>
        <v/>
      </c>
      <c r="AC91" s="18" t="str">
        <f t="shared" si="1227"/>
        <v/>
      </c>
      <c r="AD91" s="18" t="str">
        <f t="shared" si="1227"/>
        <v/>
      </c>
      <c r="AE91" s="18" t="str">
        <f t="shared" si="1227"/>
        <v/>
      </c>
      <c r="AF91" s="18" t="str">
        <f t="shared" si="1227"/>
        <v/>
      </c>
      <c r="AG91" s="18" t="str">
        <f t="shared" si="1227"/>
        <v/>
      </c>
      <c r="AH91" s="18" t="str">
        <f t="shared" si="1227"/>
        <v/>
      </c>
      <c r="AI91" s="18" t="str">
        <f t="shared" si="1227"/>
        <v/>
      </c>
      <c r="AJ91" s="18" t="str">
        <f t="shared" si="1227"/>
        <v/>
      </c>
      <c r="AK91" s="18" t="str">
        <f t="shared" si="1227"/>
        <v/>
      </c>
      <c r="AL91" s="18" t="str">
        <f t="shared" si="1227"/>
        <v/>
      </c>
      <c r="AM91" s="18" t="str">
        <f t="shared" si="1227"/>
        <v/>
      </c>
      <c r="AN91" s="18" t="str">
        <f t="shared" ref="AN91" si="1228">IF(AN90="","",IF(AN90=0,"",AN90/(AN87*100)))</f>
        <v/>
      </c>
      <c r="AO91" s="18" t="str">
        <f t="shared" ref="AO91:AS91" si="1229">IF(AO90="","",IF(AO90=0,"",AO90/(AO87*100)))</f>
        <v/>
      </c>
      <c r="AP91" s="18" t="str">
        <f t="shared" si="1229"/>
        <v/>
      </c>
      <c r="AQ91" s="18" t="str">
        <f t="shared" si="1229"/>
        <v/>
      </c>
      <c r="AR91" s="18" t="str">
        <f t="shared" si="1229"/>
        <v/>
      </c>
      <c r="AS91" s="18" t="str">
        <f t="shared" si="1229"/>
        <v/>
      </c>
    </row>
    <row r="92" spans="1:45" s="84" customFormat="1" ht="11.25" x14ac:dyDescent="0.15">
      <c r="A92" s="17" t="s">
        <v>77</v>
      </c>
      <c r="B92" s="9" t="s">
        <v>2</v>
      </c>
      <c r="C92" s="8">
        <v>16102</v>
      </c>
      <c r="D92" s="8">
        <v>16109</v>
      </c>
      <c r="E92" s="8">
        <v>16109</v>
      </c>
      <c r="F92" s="8">
        <v>16109</v>
      </c>
      <c r="G92" s="8">
        <v>16126</v>
      </c>
      <c r="H92" s="8">
        <v>16126</v>
      </c>
      <c r="I92" s="8">
        <v>16126</v>
      </c>
      <c r="J92" s="8">
        <v>16126</v>
      </c>
      <c r="K92" s="8">
        <v>16163</v>
      </c>
      <c r="L92" s="8">
        <f>IF(L$8="","",K92)</f>
        <v>16163</v>
      </c>
      <c r="M92" s="8">
        <v>16237</v>
      </c>
      <c r="N92" s="8" t="str">
        <f t="shared" ref="N92:N93" si="1230">IF(N$8="","",M92)</f>
        <v/>
      </c>
      <c r="O92" s="8" t="str">
        <f>IF(O$8="","",N92)</f>
        <v/>
      </c>
      <c r="P92" s="8" t="str">
        <f t="shared" ref="P92:P93" si="1231">IF(P$8="","",O92)</f>
        <v/>
      </c>
      <c r="Q92" s="8" t="str">
        <f t="shared" ref="Q92:Q93" si="1232">IF(Q$8="","",P92)</f>
        <v/>
      </c>
      <c r="R92" s="8" t="str">
        <f t="shared" ref="R92:R93" si="1233">IF(R$8="","",Q92)</f>
        <v/>
      </c>
      <c r="S92" s="8" t="str">
        <f>IF(S$8="","",R92)</f>
        <v/>
      </c>
      <c r="T92" s="8" t="str">
        <f>IF(T$8="","",S92)</f>
        <v/>
      </c>
      <c r="U92" s="8" t="str">
        <f t="shared" ref="U92:U93" si="1234">IF(U$8="","",T92)</f>
        <v/>
      </c>
      <c r="V92" s="8" t="str">
        <f>IF(V$8="","",U92)</f>
        <v/>
      </c>
      <c r="W92" s="8" t="str">
        <f>IF(W$8="","",V92)</f>
        <v/>
      </c>
      <c r="X92" s="8" t="str">
        <f t="shared" ref="X92:X93" si="1235">IF(X$8="","",W92)</f>
        <v/>
      </c>
      <c r="Y92" s="8" t="str">
        <f t="shared" ref="Y92:Y93" si="1236">IF(Y$8="","",X92)</f>
        <v/>
      </c>
      <c r="Z92" s="8" t="str">
        <f>IF(Z$8="","",Y92)</f>
        <v/>
      </c>
      <c r="AA92" s="8" t="str">
        <f t="shared" ref="AA92:AA93" si="1237">IF(AA$8="","",Z92)</f>
        <v/>
      </c>
      <c r="AB92" s="8" t="str">
        <f t="shared" ref="AB92:AB93" si="1238">IF(AB$8="","",AA92)</f>
        <v/>
      </c>
      <c r="AC92" s="8" t="str">
        <f t="shared" ref="AC92:AC93" si="1239">IF(AC$8="","",AB92)</f>
        <v/>
      </c>
      <c r="AD92" s="8" t="str">
        <f>IF(AD$8="","",AC92)</f>
        <v/>
      </c>
      <c r="AE92" s="8" t="str">
        <f>IF(AE$8="","",AD92)</f>
        <v/>
      </c>
      <c r="AF92" s="8" t="str">
        <f t="shared" ref="AF92:AF93" si="1240">IF(AF$8="","",AE92)</f>
        <v/>
      </c>
      <c r="AG92" s="8" t="str">
        <f>IF(AG$8="","",AF92)</f>
        <v/>
      </c>
      <c r="AH92" s="8" t="str">
        <f t="shared" ref="AH92:AH93" si="1241">IF(AH$8="","",AG92)</f>
        <v/>
      </c>
      <c r="AI92" s="8" t="str">
        <f t="shared" ref="AI92:AI93" si="1242">IF(AI$8="","",AH92)</f>
        <v/>
      </c>
      <c r="AJ92" s="8" t="str">
        <f>IF(AJ$8="","",AI92)</f>
        <v/>
      </c>
      <c r="AK92" s="8" t="str">
        <f t="shared" ref="AK92:AK93" si="1243">IF(AK$8="","",AJ92)</f>
        <v/>
      </c>
      <c r="AL92" s="8" t="str">
        <f t="shared" ref="AL92:AL93" si="1244">IF(AL$8="","",AK92)</f>
        <v/>
      </c>
      <c r="AM92" s="8" t="str">
        <f t="shared" ref="AM92:AM93" si="1245">IF(AM$8="","",AL92)</f>
        <v/>
      </c>
      <c r="AN92" s="8" t="str">
        <f>IF(AN$8="","",AM92)</f>
        <v/>
      </c>
      <c r="AO92" s="8" t="str">
        <f t="shared" ref="AO92:AS92" si="1246">IF(AO$8="","",AN92)</f>
        <v/>
      </c>
      <c r="AP92" s="8" t="str">
        <f t="shared" si="1246"/>
        <v/>
      </c>
      <c r="AQ92" s="8" t="str">
        <f t="shared" si="1246"/>
        <v/>
      </c>
      <c r="AR92" s="8" t="str">
        <f t="shared" si="1246"/>
        <v/>
      </c>
      <c r="AS92" s="8" t="str">
        <f t="shared" si="1246"/>
        <v/>
      </c>
    </row>
    <row r="93" spans="1:45" s="84" customFormat="1" ht="11.25" x14ac:dyDescent="0.15">
      <c r="A93" s="16" t="s">
        <v>24</v>
      </c>
      <c r="B93" s="9" t="s">
        <v>4</v>
      </c>
      <c r="C93" s="8">
        <v>465</v>
      </c>
      <c r="D93" s="8">
        <v>465</v>
      </c>
      <c r="E93" s="8">
        <v>465</v>
      </c>
      <c r="F93" s="8">
        <v>465</v>
      </c>
      <c r="G93" s="8">
        <v>466</v>
      </c>
      <c r="H93" s="8">
        <v>466</v>
      </c>
      <c r="I93" s="8">
        <v>466</v>
      </c>
      <c r="J93" s="8">
        <v>466</v>
      </c>
      <c r="K93" s="8">
        <v>466</v>
      </c>
      <c r="L93" s="8">
        <f>IF(L$8="","",K93)</f>
        <v>466</v>
      </c>
      <c r="M93" s="8">
        <v>467</v>
      </c>
      <c r="N93" s="8" t="str">
        <f t="shared" si="1230"/>
        <v/>
      </c>
      <c r="O93" s="8" t="str">
        <f>IF(O$8="","",N93)</f>
        <v/>
      </c>
      <c r="P93" s="8" t="str">
        <f t="shared" si="1231"/>
        <v/>
      </c>
      <c r="Q93" s="8" t="str">
        <f t="shared" si="1232"/>
        <v/>
      </c>
      <c r="R93" s="8" t="str">
        <f t="shared" si="1233"/>
        <v/>
      </c>
      <c r="S93" s="8" t="str">
        <f>IF(S$8="","",R93)</f>
        <v/>
      </c>
      <c r="T93" s="8" t="str">
        <f>IF(T$8="","",S93)</f>
        <v/>
      </c>
      <c r="U93" s="8" t="str">
        <f t="shared" si="1234"/>
        <v/>
      </c>
      <c r="V93" s="8" t="str">
        <f>IF(V$8="","",U93)</f>
        <v/>
      </c>
      <c r="W93" s="8" t="str">
        <f t="shared" ref="W93" si="1247">IF(W$8="","",V93)</f>
        <v/>
      </c>
      <c r="X93" s="8" t="str">
        <f t="shared" si="1235"/>
        <v/>
      </c>
      <c r="Y93" s="8" t="str">
        <f t="shared" si="1236"/>
        <v/>
      </c>
      <c r="Z93" s="8" t="str">
        <f>IF(Z$8="","",Y93)</f>
        <v/>
      </c>
      <c r="AA93" s="8" t="str">
        <f t="shared" si="1237"/>
        <v/>
      </c>
      <c r="AB93" s="8" t="str">
        <f t="shared" si="1238"/>
        <v/>
      </c>
      <c r="AC93" s="8" t="str">
        <f t="shared" si="1239"/>
        <v/>
      </c>
      <c r="AD93" s="8" t="str">
        <f t="shared" ref="AD93" si="1248">IF(AD$8="","",AC93)</f>
        <v/>
      </c>
      <c r="AE93" s="8" t="str">
        <f t="shared" ref="AE92:AE93" si="1249">IF(AE$8="","",AD93)</f>
        <v/>
      </c>
      <c r="AF93" s="8" t="str">
        <f t="shared" si="1240"/>
        <v/>
      </c>
      <c r="AG93" s="8" t="str">
        <f>IF(AG$8="","",AF93)</f>
        <v/>
      </c>
      <c r="AH93" s="8" t="str">
        <f t="shared" si="1241"/>
        <v/>
      </c>
      <c r="AI93" s="8" t="str">
        <f t="shared" si="1242"/>
        <v/>
      </c>
      <c r="AJ93" s="8" t="str">
        <f>IF(AJ$8="","",AI93)</f>
        <v/>
      </c>
      <c r="AK93" s="8" t="str">
        <f t="shared" si="1243"/>
        <v/>
      </c>
      <c r="AL93" s="8" t="str">
        <f t="shared" si="1244"/>
        <v/>
      </c>
      <c r="AM93" s="8" t="str">
        <f t="shared" si="1245"/>
        <v/>
      </c>
      <c r="AN93" s="8" t="str">
        <f t="shared" ref="AN93" si="1250">IF(AN$8="","",AM93)</f>
        <v/>
      </c>
      <c r="AO93" s="8" t="str">
        <f t="shared" ref="AO93:AS93" si="1251">IF(AO$8="","",AN93)</f>
        <v/>
      </c>
      <c r="AP93" s="8" t="str">
        <f t="shared" si="1251"/>
        <v/>
      </c>
      <c r="AQ93" s="8" t="str">
        <f t="shared" si="1251"/>
        <v/>
      </c>
      <c r="AR93" s="8" t="str">
        <f t="shared" si="1251"/>
        <v/>
      </c>
      <c r="AS93" s="8" t="str">
        <f t="shared" si="1251"/>
        <v/>
      </c>
    </row>
    <row r="94" spans="1:45" s="84" customFormat="1" ht="11.25" x14ac:dyDescent="0.15">
      <c r="A94" s="15">
        <v>4</v>
      </c>
      <c r="B94" s="9" t="s">
        <v>5</v>
      </c>
      <c r="C94" s="8">
        <v>5</v>
      </c>
      <c r="D94" s="8">
        <v>5</v>
      </c>
      <c r="E94" s="8">
        <v>6</v>
      </c>
      <c r="F94" s="8">
        <v>6</v>
      </c>
      <c r="G94" s="8">
        <v>5</v>
      </c>
      <c r="H94" s="8">
        <v>5</v>
      </c>
      <c r="I94" s="8">
        <v>5</v>
      </c>
      <c r="J94" s="8">
        <v>5</v>
      </c>
      <c r="K94" s="8">
        <v>5</v>
      </c>
      <c r="L94" s="8">
        <f>IF(L92="","",(K94+K95))</f>
        <v>5</v>
      </c>
      <c r="M94" s="8">
        <v>3</v>
      </c>
      <c r="N94" s="8" t="str">
        <f t="shared" ref="N94" si="1252">IF(N92="","",(M94+M95))</f>
        <v/>
      </c>
      <c r="O94" s="8" t="str">
        <f t="shared" ref="O94" si="1253">IF(O92="","",(N94+N95))</f>
        <v/>
      </c>
      <c r="P94" s="8" t="str">
        <f t="shared" ref="P94" si="1254">IF(P92="","",(O94+O95))</f>
        <v/>
      </c>
      <c r="Q94" s="8" t="str">
        <f t="shared" ref="Q94" si="1255">IF(Q92="","",(P94+P95))</f>
        <v/>
      </c>
      <c r="R94" s="8" t="str">
        <f t="shared" ref="R94" si="1256">IF(R92="","",(Q94+Q95))</f>
        <v/>
      </c>
      <c r="S94" s="8" t="str">
        <f>IF(S92="","",(R94+R95))</f>
        <v/>
      </c>
      <c r="T94" s="8" t="str">
        <f>IF(T92="","",(S94+S95))</f>
        <v/>
      </c>
      <c r="U94" s="8" t="str">
        <f t="shared" ref="U94" si="1257">IF(U92="","",(T94+T95))</f>
        <v/>
      </c>
      <c r="V94" s="8" t="str">
        <f>IF(V92="","",(U94+U95))</f>
        <v/>
      </c>
      <c r="W94" s="8" t="str">
        <f t="shared" ref="W94" si="1258">IF(W92="","",(V94+V95))</f>
        <v/>
      </c>
      <c r="X94" s="8" t="str">
        <f t="shared" ref="X94" si="1259">IF(X92="","",(W94+W95))</f>
        <v/>
      </c>
      <c r="Y94" s="8" t="str">
        <f t="shared" ref="Y94" si="1260">IF(Y92="","",(X94+X95))</f>
        <v/>
      </c>
      <c r="Z94" s="8" t="str">
        <f>IF(Z92="","",(Y94+Y95))</f>
        <v/>
      </c>
      <c r="AA94" s="8" t="str">
        <f t="shared" ref="AA94" si="1261">IF(AA92="","",(Z94+Z95))</f>
        <v/>
      </c>
      <c r="AB94" s="8" t="str">
        <f t="shared" ref="AB94" si="1262">IF(AB92="","",(AA94+AA95))</f>
        <v/>
      </c>
      <c r="AC94" s="8" t="str">
        <f t="shared" ref="AC94" si="1263">IF(AC92="","",(AB94+AB95))</f>
        <v/>
      </c>
      <c r="AD94" s="8" t="str">
        <f t="shared" ref="AD94" si="1264">IF(AD92="","",(AC94+AC95))</f>
        <v/>
      </c>
      <c r="AE94" s="8" t="str">
        <f t="shared" ref="AE94" si="1265">IF(AE92="","",(AD94+AD95))</f>
        <v/>
      </c>
      <c r="AF94" s="8" t="str">
        <f t="shared" ref="AF94" si="1266">IF(AF92="","",(AE94+AE95))</f>
        <v/>
      </c>
      <c r="AG94" s="8" t="str">
        <f t="shared" ref="AG94" si="1267">IF(AG92="","",(AF94+AF95))</f>
        <v/>
      </c>
      <c r="AH94" s="8" t="str">
        <f t="shared" ref="AH94" si="1268">IF(AH92="","",(AG94+AG95))</f>
        <v/>
      </c>
      <c r="AI94" s="8" t="str">
        <f t="shared" ref="AI94" si="1269">IF(AI92="","",(AH94+AH95))</f>
        <v/>
      </c>
      <c r="AJ94" s="8" t="str">
        <f>IF(AJ92="","",(AI94+AI95))</f>
        <v/>
      </c>
      <c r="AK94" s="8" t="str">
        <f t="shared" ref="AK94" si="1270">IF(AK92="","",(AJ94+AJ95))</f>
        <v/>
      </c>
      <c r="AL94" s="8" t="str">
        <f t="shared" ref="AL94" si="1271">IF(AL92="","",(AK94+AK95))</f>
        <v/>
      </c>
      <c r="AM94" s="8" t="str">
        <f t="shared" ref="AM94" si="1272">IF(AM92="","",(AL94+AL95))</f>
        <v/>
      </c>
      <c r="AN94" s="8" t="str">
        <f t="shared" ref="AN94" si="1273">IF(AN92="","",(AM94+AM95))</f>
        <v/>
      </c>
      <c r="AO94" s="8" t="str">
        <f t="shared" ref="AO94:AS94" si="1274">IF(AO92="","",(AN94+AN95))</f>
        <v/>
      </c>
      <c r="AP94" s="8" t="str">
        <f t="shared" si="1274"/>
        <v/>
      </c>
      <c r="AQ94" s="8" t="str">
        <f t="shared" si="1274"/>
        <v/>
      </c>
      <c r="AR94" s="8" t="str">
        <f t="shared" si="1274"/>
        <v/>
      </c>
      <c r="AS94" s="8" t="str">
        <f t="shared" si="1274"/>
        <v/>
      </c>
    </row>
    <row r="95" spans="1:45" s="84" customFormat="1" ht="11.25" x14ac:dyDescent="0.15">
      <c r="A95" s="14"/>
      <c r="B95" s="9" t="s">
        <v>7</v>
      </c>
      <c r="C95" s="8"/>
      <c r="D95" s="8">
        <v>1</v>
      </c>
      <c r="E95" s="8"/>
      <c r="F95" s="8"/>
      <c r="G95" s="8"/>
      <c r="H95" s="8"/>
      <c r="I95" s="8"/>
      <c r="J95" s="8"/>
      <c r="K95" s="8"/>
      <c r="L95" s="8"/>
      <c r="M95" s="8">
        <v>3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</row>
    <row r="96" spans="1:45" s="84" customFormat="1" ht="11.25" x14ac:dyDescent="0.15">
      <c r="A96" s="7"/>
      <c r="B96" s="9" t="s">
        <v>8</v>
      </c>
      <c r="C96" s="8">
        <v>500</v>
      </c>
      <c r="D96" s="8">
        <v>500</v>
      </c>
      <c r="E96" s="8">
        <v>500</v>
      </c>
      <c r="F96" s="8">
        <v>500</v>
      </c>
      <c r="G96" s="8">
        <v>500</v>
      </c>
      <c r="H96" s="8">
        <v>500</v>
      </c>
      <c r="I96" s="8">
        <v>500</v>
      </c>
      <c r="J96" s="8">
        <v>500</v>
      </c>
      <c r="K96" s="8">
        <v>500</v>
      </c>
      <c r="L96" s="8">
        <f t="shared" ref="L96" si="1275">IF(L92="","",K96)</f>
        <v>500</v>
      </c>
      <c r="M96" s="8">
        <f t="shared" ref="M96" si="1276">IF(M92="","",L96)</f>
        <v>500</v>
      </c>
      <c r="N96" s="8" t="str">
        <f t="shared" ref="N96" si="1277">IF(N92="","",M96)</f>
        <v/>
      </c>
      <c r="O96" s="8" t="str">
        <f t="shared" ref="O96" si="1278">IF(O92="","",N96)</f>
        <v/>
      </c>
      <c r="P96" s="8" t="str">
        <f t="shared" ref="P96" si="1279">IF(P92="","",O96)</f>
        <v/>
      </c>
      <c r="Q96" s="8" t="str">
        <f t="shared" ref="Q96" si="1280">IF(Q92="","",P96)</f>
        <v/>
      </c>
      <c r="R96" s="8" t="str">
        <f t="shared" ref="R96" si="1281">IF(R92="","",Q96)</f>
        <v/>
      </c>
      <c r="S96" s="8" t="str">
        <f t="shared" ref="S96" si="1282">IF(S92="","",R96)</f>
        <v/>
      </c>
      <c r="T96" s="8" t="str">
        <f t="shared" ref="T96" si="1283">IF(T92="","",S96)</f>
        <v/>
      </c>
      <c r="U96" s="8" t="str">
        <f t="shared" ref="U96" si="1284">IF(U92="","",T96)</f>
        <v/>
      </c>
      <c r="V96" s="8" t="str">
        <f t="shared" ref="V96" si="1285">IF(V92="","",U96)</f>
        <v/>
      </c>
      <c r="W96" s="8" t="str">
        <f t="shared" ref="W96" si="1286">IF(W92="","",V96)</f>
        <v/>
      </c>
      <c r="X96" s="8" t="str">
        <f t="shared" ref="X96" si="1287">IF(X92="","",W96)</f>
        <v/>
      </c>
      <c r="Y96" s="8" t="str">
        <f t="shared" ref="Y96" si="1288">IF(Y92="","",X96)</f>
        <v/>
      </c>
      <c r="Z96" s="8" t="str">
        <f t="shared" ref="Z96" si="1289">IF(Z92="","",Y96)</f>
        <v/>
      </c>
      <c r="AA96" s="8" t="str">
        <f t="shared" ref="AA96" si="1290">IF(AA92="","",Z96)</f>
        <v/>
      </c>
      <c r="AB96" s="8" t="str">
        <f t="shared" ref="AB96" si="1291">IF(AB92="","",AA96)</f>
        <v/>
      </c>
      <c r="AC96" s="8" t="str">
        <f t="shared" ref="AC96" si="1292">IF(AC92="","",AB96)</f>
        <v/>
      </c>
      <c r="AD96" s="8" t="str">
        <f t="shared" ref="AD96" si="1293">IF(AD92="","",AC96)</f>
        <v/>
      </c>
      <c r="AE96" s="8" t="str">
        <f t="shared" ref="AE96" si="1294">IF(AE92="","",AD96)</f>
        <v/>
      </c>
      <c r="AF96" s="8" t="str">
        <f t="shared" ref="AF96" si="1295">IF(AF92="","",AE96)</f>
        <v/>
      </c>
      <c r="AG96" s="8" t="str">
        <f t="shared" ref="AG96" si="1296">IF(AG92="","",AF96)</f>
        <v/>
      </c>
      <c r="AH96" s="8" t="str">
        <f t="shared" ref="AH96" si="1297">IF(AH92="","",AG96)</f>
        <v/>
      </c>
      <c r="AI96" s="8" t="str">
        <f t="shared" ref="AI96" si="1298">IF(AI92="","",AH96)</f>
        <v/>
      </c>
      <c r="AJ96" s="8" t="str">
        <f t="shared" ref="AJ96" si="1299">IF(AJ92="","",AI96)</f>
        <v/>
      </c>
      <c r="AK96" s="8" t="str">
        <f t="shared" ref="AK96" si="1300">IF(AK92="","",AJ96)</f>
        <v/>
      </c>
      <c r="AL96" s="8" t="str">
        <f t="shared" ref="AL96" si="1301">IF(AL92="","",AK96)</f>
        <v/>
      </c>
      <c r="AM96" s="8" t="str">
        <f t="shared" ref="AM96" si="1302">IF(AM92="","",AL96)</f>
        <v/>
      </c>
      <c r="AN96" s="8" t="str">
        <f t="shared" ref="AN96" si="1303">IF(AN92="","",AM96)</f>
        <v/>
      </c>
      <c r="AO96" s="8" t="str">
        <f t="shared" ref="AO96:AS96" si="1304">IF(AO92="","",AN96)</f>
        <v/>
      </c>
      <c r="AP96" s="8" t="str">
        <f t="shared" si="1304"/>
        <v/>
      </c>
      <c r="AQ96" s="8" t="str">
        <f t="shared" si="1304"/>
        <v/>
      </c>
      <c r="AR96" s="8" t="str">
        <f t="shared" si="1304"/>
        <v/>
      </c>
      <c r="AS96" s="8" t="str">
        <f t="shared" si="1304"/>
        <v/>
      </c>
    </row>
    <row r="97" spans="1:45" s="85" customFormat="1" ht="11.25" x14ac:dyDescent="0.15">
      <c r="A97" s="14" t="s">
        <v>9</v>
      </c>
      <c r="B97" s="13" t="s">
        <v>10</v>
      </c>
      <c r="C97" s="12" t="s">
        <v>52</v>
      </c>
      <c r="D97" s="12" t="s">
        <v>52</v>
      </c>
      <c r="E97" s="12" t="s">
        <v>52</v>
      </c>
      <c r="F97" s="12" t="s">
        <v>52</v>
      </c>
      <c r="G97" s="12" t="s">
        <v>52</v>
      </c>
      <c r="H97" s="12" t="s">
        <v>52</v>
      </c>
      <c r="I97" s="12" t="s">
        <v>52</v>
      </c>
      <c r="J97" s="12" t="s">
        <v>52</v>
      </c>
      <c r="K97" s="12" t="s">
        <v>52</v>
      </c>
      <c r="L97" s="12" t="str">
        <f t="shared" ref="L97" si="1305">IF(L92="","",K97)</f>
        <v>ギャルキティフェイスポーチ</v>
      </c>
      <c r="M97" s="12" t="str">
        <f t="shared" ref="M97" si="1306">IF(M92="","",L97)</f>
        <v>ギャルキティフェイスポーチ</v>
      </c>
      <c r="N97" s="12" t="str">
        <f t="shared" ref="N97" si="1307">IF(N92="","",M97)</f>
        <v/>
      </c>
      <c r="O97" s="12" t="str">
        <f t="shared" ref="O97" si="1308">IF(O92="","",N97)</f>
        <v/>
      </c>
      <c r="P97" s="12" t="str">
        <f t="shared" ref="P97" si="1309">IF(P92="","",O97)</f>
        <v/>
      </c>
      <c r="Q97" s="12" t="str">
        <f t="shared" ref="Q97" si="1310">IF(Q92="","",P97)</f>
        <v/>
      </c>
      <c r="R97" s="12" t="str">
        <f t="shared" ref="R97" si="1311">IF(R92="","",Q97)</f>
        <v/>
      </c>
      <c r="S97" s="12" t="str">
        <f t="shared" ref="S97" si="1312">IF(S92="","",R97)</f>
        <v/>
      </c>
      <c r="T97" s="12" t="str">
        <f t="shared" ref="T97" si="1313">IF(T92="","",S97)</f>
        <v/>
      </c>
      <c r="U97" s="12" t="str">
        <f t="shared" ref="U97" si="1314">IF(U92="","",T97)</f>
        <v/>
      </c>
      <c r="V97" s="12" t="str">
        <f t="shared" ref="V97" si="1315">IF(V92="","",U97)</f>
        <v/>
      </c>
      <c r="W97" s="12" t="str">
        <f t="shared" ref="W97" si="1316">IF(W92="","",V97)</f>
        <v/>
      </c>
      <c r="X97" s="12" t="str">
        <f t="shared" ref="X97" si="1317">IF(X92="","",W97)</f>
        <v/>
      </c>
      <c r="Y97" s="12" t="str">
        <f t="shared" ref="Y97" si="1318">IF(Y92="","",X97)</f>
        <v/>
      </c>
      <c r="Z97" s="12" t="str">
        <f t="shared" ref="Z97" si="1319">IF(Z92="","",Y97)</f>
        <v/>
      </c>
      <c r="AA97" s="12" t="str">
        <f t="shared" ref="AA97" si="1320">IF(AA92="","",Z97)</f>
        <v/>
      </c>
      <c r="AB97" s="12" t="str">
        <f t="shared" ref="AB97" si="1321">IF(AB92="","",AA97)</f>
        <v/>
      </c>
      <c r="AC97" s="12" t="str">
        <f t="shared" ref="AC97" si="1322">IF(AC92="","",AB97)</f>
        <v/>
      </c>
      <c r="AD97" s="12" t="str">
        <f t="shared" ref="AD97" si="1323">IF(AD92="","",AC97)</f>
        <v/>
      </c>
      <c r="AE97" s="12" t="str">
        <f t="shared" ref="AE97" si="1324">IF(AE92="","",AD97)</f>
        <v/>
      </c>
      <c r="AF97" s="12" t="str">
        <f t="shared" ref="AF97" si="1325">IF(AF92="","",AE97)</f>
        <v/>
      </c>
      <c r="AG97" s="12" t="str">
        <f t="shared" ref="AG97" si="1326">IF(AG92="","",AF97)</f>
        <v/>
      </c>
      <c r="AH97" s="12" t="str">
        <f t="shared" ref="AH97" si="1327">IF(AH92="","",AG97)</f>
        <v/>
      </c>
      <c r="AI97" s="12" t="str">
        <f t="shared" ref="AI97" si="1328">IF(AI92="","",AH97)</f>
        <v/>
      </c>
      <c r="AJ97" s="12" t="str">
        <f t="shared" ref="AJ97" si="1329">IF(AJ92="","",AI97)</f>
        <v/>
      </c>
      <c r="AK97" s="12" t="str">
        <f t="shared" ref="AK97" si="1330">IF(AK92="","",AJ97)</f>
        <v/>
      </c>
      <c r="AL97" s="12" t="str">
        <f t="shared" ref="AL97" si="1331">IF(AL92="","",AK97)</f>
        <v/>
      </c>
      <c r="AM97" s="12" t="str">
        <f t="shared" ref="AM97" si="1332">IF(AM92="","",AL97)</f>
        <v/>
      </c>
      <c r="AN97" s="12" t="str">
        <f t="shared" ref="AN97" si="1333">IF(AN92="","",AM97)</f>
        <v/>
      </c>
      <c r="AO97" s="12" t="str">
        <f t="shared" ref="AO97:AS97" si="1334">IF(AO92="","",AN97)</f>
        <v/>
      </c>
      <c r="AP97" s="12" t="str">
        <f t="shared" si="1334"/>
        <v/>
      </c>
      <c r="AQ97" s="12" t="str">
        <f t="shared" si="1334"/>
        <v/>
      </c>
      <c r="AR97" s="12" t="str">
        <f t="shared" si="1334"/>
        <v/>
      </c>
      <c r="AS97" s="12" t="str">
        <f t="shared" si="1334"/>
        <v/>
      </c>
    </row>
    <row r="98" spans="1:45" s="84" customFormat="1" ht="11.25" x14ac:dyDescent="0.15">
      <c r="A98" s="7">
        <f>AVERAGE(C99:AS99)*30*100</f>
        <v>36818.181818181816</v>
      </c>
      <c r="B98" s="9" t="s">
        <v>12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</row>
    <row r="99" spans="1:45" s="84" customFormat="1" ht="11.25" x14ac:dyDescent="0.15">
      <c r="A99" s="7">
        <f>SUM(C99:AS99)</f>
        <v>135</v>
      </c>
      <c r="B99" s="6" t="s">
        <v>13</v>
      </c>
      <c r="C99" s="5">
        <v>0</v>
      </c>
      <c r="D99" s="5">
        <v>7</v>
      </c>
      <c r="E99" s="5">
        <v>0</v>
      </c>
      <c r="F99" s="5">
        <v>0</v>
      </c>
      <c r="G99" s="5">
        <v>17</v>
      </c>
      <c r="H99" s="5">
        <v>0</v>
      </c>
      <c r="I99" s="5">
        <v>0</v>
      </c>
      <c r="J99" s="5">
        <v>0</v>
      </c>
      <c r="K99" s="5">
        <v>37</v>
      </c>
      <c r="L99" s="5">
        <f t="shared" ref="L99:L100" si="1335">IF(L92="","",L92-K92)</f>
        <v>0</v>
      </c>
      <c r="M99" s="5">
        <f t="shared" ref="M99:M100" si="1336">IF(M92="","",M92-L92)</f>
        <v>74</v>
      </c>
      <c r="N99" s="5" t="str">
        <f t="shared" ref="N99:N100" si="1337">IF(N92="","",N92-M92)</f>
        <v/>
      </c>
      <c r="O99" s="5" t="str">
        <f t="shared" ref="O99:O100" si="1338">IF(O92="","",O92-N92)</f>
        <v/>
      </c>
      <c r="P99" s="5" t="str">
        <f t="shared" ref="P99:P100" si="1339">IF(P92="","",P92-O92)</f>
        <v/>
      </c>
      <c r="Q99" s="5" t="str">
        <f t="shared" ref="Q99:Q100" si="1340">IF(Q92="","",Q92-P92)</f>
        <v/>
      </c>
      <c r="R99" s="5" t="str">
        <f t="shared" ref="R99:R100" si="1341">IF(R92="","",R92-Q92)</f>
        <v/>
      </c>
      <c r="S99" s="5" t="str">
        <f t="shared" ref="S99:S100" si="1342">IF(S92="","",S92-R92)</f>
        <v/>
      </c>
      <c r="T99" s="5" t="str">
        <f t="shared" ref="T99:T100" si="1343">IF(T92="","",T92-S92)</f>
        <v/>
      </c>
      <c r="U99" s="5" t="str">
        <f t="shared" ref="U99:U100" si="1344">IF(U92="","",U92-T92)</f>
        <v/>
      </c>
      <c r="V99" s="5" t="str">
        <f t="shared" ref="V99:V100" si="1345">IF(V92="","",V92-U92)</f>
        <v/>
      </c>
      <c r="W99" s="5" t="str">
        <f t="shared" ref="W99:W100" si="1346">IF(W92="","",W92-V92)</f>
        <v/>
      </c>
      <c r="X99" s="5" t="str">
        <f t="shared" ref="X99:X100" si="1347">IF(X92="","",X92-W92)</f>
        <v/>
      </c>
      <c r="Y99" s="5" t="str">
        <f t="shared" ref="Y99:Y100" si="1348">IF(Y92="","",Y92-X92)</f>
        <v/>
      </c>
      <c r="Z99" s="5" t="str">
        <f t="shared" ref="Z99:Z100" si="1349">IF(Z92="","",Z92-Y92)</f>
        <v/>
      </c>
      <c r="AA99" s="5" t="str">
        <f t="shared" ref="AA99:AA100" si="1350">IF(AA92="","",AA92-Z92)</f>
        <v/>
      </c>
      <c r="AB99" s="5" t="str">
        <f t="shared" ref="AB99:AB100" si="1351">IF(AB92="","",AB92-AA92)</f>
        <v/>
      </c>
      <c r="AC99" s="5" t="str">
        <f t="shared" ref="AC99:AC100" si="1352">IF(AC92="","",AC92-AB92)</f>
        <v/>
      </c>
      <c r="AD99" s="5" t="str">
        <f t="shared" ref="AD99:AD100" si="1353">IF(AD92="","",AD92-AC92)</f>
        <v/>
      </c>
      <c r="AE99" s="5" t="str">
        <f t="shared" ref="AE99:AE100" si="1354">IF(AE92="","",AE92-AD92)</f>
        <v/>
      </c>
      <c r="AF99" s="5" t="str">
        <f t="shared" ref="AF99:AF100" si="1355">IF(AF92="","",AF92-AE92)</f>
        <v/>
      </c>
      <c r="AG99" s="5" t="str">
        <f t="shared" ref="AG99:AG100" si="1356">IF(AG92="","",AG92-AF92)</f>
        <v/>
      </c>
      <c r="AH99" s="5" t="str">
        <f t="shared" ref="AH99:AH100" si="1357">IF(AH92="","",AH92-AG92)</f>
        <v/>
      </c>
      <c r="AI99" s="5" t="str">
        <f t="shared" ref="AI99:AI100" si="1358">IF(AI92="","",AI92-AH92)</f>
        <v/>
      </c>
      <c r="AJ99" s="5" t="str">
        <f t="shared" ref="AJ99:AJ100" si="1359">IF(AJ92="","",AJ92-AI92)</f>
        <v/>
      </c>
      <c r="AK99" s="5" t="str">
        <f t="shared" ref="AK99:AK100" si="1360">IF(AK92="","",AK92-AJ92)</f>
        <v/>
      </c>
      <c r="AL99" s="5" t="str">
        <f t="shared" ref="AL99:AL100" si="1361">IF(AL92="","",AL92-AK92)</f>
        <v/>
      </c>
      <c r="AM99" s="5" t="str">
        <f t="shared" ref="AM99:AM100" si="1362">IF(AM92="","",AM92-AL92)</f>
        <v/>
      </c>
      <c r="AN99" s="5" t="str">
        <f t="shared" ref="AN99" si="1363">IF(AN92="","",AN92-AM92)</f>
        <v/>
      </c>
      <c r="AO99" s="5" t="str">
        <f t="shared" ref="AO99:AS99" si="1364">IF(AO92="","",AO92-AN92)</f>
        <v/>
      </c>
      <c r="AP99" s="5" t="str">
        <f t="shared" si="1364"/>
        <v/>
      </c>
      <c r="AQ99" s="5" t="str">
        <f t="shared" si="1364"/>
        <v/>
      </c>
      <c r="AR99" s="5" t="str">
        <f t="shared" si="1364"/>
        <v/>
      </c>
      <c r="AS99" s="5" t="str">
        <f t="shared" si="1364"/>
        <v/>
      </c>
    </row>
    <row r="100" spans="1:45" s="84" customFormat="1" ht="11.25" x14ac:dyDescent="0.15">
      <c r="A100" s="7">
        <f>SUM(C100:AS100)</f>
        <v>2</v>
      </c>
      <c r="B100" s="6" t="s">
        <v>14</v>
      </c>
      <c r="C100" s="5">
        <v>0</v>
      </c>
      <c r="D100" s="5">
        <v>0</v>
      </c>
      <c r="E100" s="5">
        <v>0</v>
      </c>
      <c r="F100" s="5">
        <v>0</v>
      </c>
      <c r="G100" s="5">
        <v>1</v>
      </c>
      <c r="H100" s="5">
        <v>0</v>
      </c>
      <c r="I100" s="5">
        <v>0</v>
      </c>
      <c r="J100" s="5">
        <v>0</v>
      </c>
      <c r="K100" s="5">
        <v>0</v>
      </c>
      <c r="L100" s="5">
        <f t="shared" si="1335"/>
        <v>0</v>
      </c>
      <c r="M100" s="5">
        <f t="shared" si="1336"/>
        <v>1</v>
      </c>
      <c r="N100" s="5" t="str">
        <f t="shared" si="1337"/>
        <v/>
      </c>
      <c r="O100" s="5" t="str">
        <f t="shared" si="1338"/>
        <v/>
      </c>
      <c r="P100" s="5" t="str">
        <f t="shared" si="1339"/>
        <v/>
      </c>
      <c r="Q100" s="5" t="str">
        <f t="shared" si="1340"/>
        <v/>
      </c>
      <c r="R100" s="5" t="str">
        <f t="shared" si="1341"/>
        <v/>
      </c>
      <c r="S100" s="5" t="str">
        <f t="shared" si="1342"/>
        <v/>
      </c>
      <c r="T100" s="5" t="str">
        <f t="shared" si="1343"/>
        <v/>
      </c>
      <c r="U100" s="5" t="str">
        <f t="shared" si="1344"/>
        <v/>
      </c>
      <c r="V100" s="5" t="str">
        <f t="shared" si="1345"/>
        <v/>
      </c>
      <c r="W100" s="5" t="str">
        <f t="shared" si="1346"/>
        <v/>
      </c>
      <c r="X100" s="5" t="str">
        <f t="shared" si="1347"/>
        <v/>
      </c>
      <c r="Y100" s="5" t="str">
        <f t="shared" si="1348"/>
        <v/>
      </c>
      <c r="Z100" s="5" t="str">
        <f t="shared" si="1349"/>
        <v/>
      </c>
      <c r="AA100" s="5" t="str">
        <f t="shared" si="1350"/>
        <v/>
      </c>
      <c r="AB100" s="5" t="str">
        <f t="shared" si="1351"/>
        <v/>
      </c>
      <c r="AC100" s="5" t="str">
        <f t="shared" si="1352"/>
        <v/>
      </c>
      <c r="AD100" s="5" t="str">
        <f t="shared" si="1353"/>
        <v/>
      </c>
      <c r="AE100" s="5" t="str">
        <f t="shared" si="1354"/>
        <v/>
      </c>
      <c r="AF100" s="5" t="str">
        <f t="shared" si="1355"/>
        <v/>
      </c>
      <c r="AG100" s="5" t="str">
        <f t="shared" si="1356"/>
        <v/>
      </c>
      <c r="AH100" s="5" t="str">
        <f t="shared" si="1357"/>
        <v/>
      </c>
      <c r="AI100" s="5" t="str">
        <f t="shared" si="1358"/>
        <v/>
      </c>
      <c r="AJ100" s="5" t="str">
        <f t="shared" si="1359"/>
        <v/>
      </c>
      <c r="AK100" s="5" t="str">
        <f t="shared" si="1360"/>
        <v/>
      </c>
      <c r="AL100" s="5" t="str">
        <f t="shared" si="1361"/>
        <v/>
      </c>
      <c r="AM100" s="5" t="str">
        <f t="shared" si="1362"/>
        <v/>
      </c>
      <c r="AN100" s="5" t="str">
        <f t="shared" ref="AN100" si="1365">IF(AN93="","",AN93-AM93)</f>
        <v/>
      </c>
      <c r="AO100" s="5" t="str">
        <f t="shared" ref="AO100:AS100" si="1366">IF(AO93="","",AO93-AN93)</f>
        <v/>
      </c>
      <c r="AP100" s="5" t="str">
        <f t="shared" si="1366"/>
        <v/>
      </c>
      <c r="AQ100" s="5" t="str">
        <f t="shared" si="1366"/>
        <v/>
      </c>
      <c r="AR100" s="5" t="str">
        <f t="shared" si="1366"/>
        <v/>
      </c>
      <c r="AS100" s="5" t="str">
        <f t="shared" si="1366"/>
        <v/>
      </c>
    </row>
    <row r="101" spans="1:45" s="84" customFormat="1" ht="11.25" x14ac:dyDescent="0.15">
      <c r="A101" s="7">
        <f>SUM(C101:AS101)</f>
        <v>3</v>
      </c>
      <c r="B101" s="6" t="s">
        <v>15</v>
      </c>
      <c r="C101" s="5">
        <v>0</v>
      </c>
      <c r="D101" s="5">
        <v>0</v>
      </c>
      <c r="E101" s="5">
        <v>0</v>
      </c>
      <c r="F101" s="5">
        <v>0</v>
      </c>
      <c r="G101" s="5">
        <v>1</v>
      </c>
      <c r="H101" s="5">
        <v>0</v>
      </c>
      <c r="I101" s="5">
        <v>0</v>
      </c>
      <c r="J101" s="5">
        <v>0</v>
      </c>
      <c r="K101" s="5">
        <v>0</v>
      </c>
      <c r="L101" s="5">
        <f t="shared" ref="L101" si="1367">IF(L94="","",K94+K95-L94)</f>
        <v>0</v>
      </c>
      <c r="M101" s="5">
        <f t="shared" ref="M101" si="1368">IF(M94="","",L94+L95-M94)</f>
        <v>2</v>
      </c>
      <c r="N101" s="5" t="str">
        <f t="shared" ref="N101" si="1369">IF(N94="","",M94+M95-N94)</f>
        <v/>
      </c>
      <c r="O101" s="5" t="str">
        <f t="shared" ref="O101" si="1370">IF(O94="","",N94+N95-O94)</f>
        <v/>
      </c>
      <c r="P101" s="5" t="str">
        <f t="shared" ref="P101" si="1371">IF(P94="","",O94+O95-P94)</f>
        <v/>
      </c>
      <c r="Q101" s="5" t="str">
        <f t="shared" ref="Q101" si="1372">IF(Q94="","",P94+P95-Q94)</f>
        <v/>
      </c>
      <c r="R101" s="5" t="str">
        <f t="shared" ref="R101" si="1373">IF(R94="","",Q94+Q95-R94)</f>
        <v/>
      </c>
      <c r="S101" s="5" t="str">
        <f t="shared" ref="S101" si="1374">IF(S94="","",R94+R95-S94)</f>
        <v/>
      </c>
      <c r="T101" s="5" t="str">
        <f t="shared" ref="T101" si="1375">IF(T94="","",S94+S95-T94)</f>
        <v/>
      </c>
      <c r="U101" s="5" t="str">
        <f t="shared" ref="U101" si="1376">IF(U94="","",T94+T95-U94)</f>
        <v/>
      </c>
      <c r="V101" s="5" t="str">
        <f t="shared" ref="V101" si="1377">IF(V94="","",U94+U95-V94)</f>
        <v/>
      </c>
      <c r="W101" s="5" t="str">
        <f t="shared" ref="W101" si="1378">IF(W94="","",V94+V95-W94)</f>
        <v/>
      </c>
      <c r="X101" s="5" t="str">
        <f t="shared" ref="X101" si="1379">IF(X94="","",W94+W95-X94)</f>
        <v/>
      </c>
      <c r="Y101" s="5" t="str">
        <f t="shared" ref="Y101" si="1380">IF(Y94="","",X94+X95-Y94)</f>
        <v/>
      </c>
      <c r="Z101" s="5" t="str">
        <f t="shared" ref="Z101" si="1381">IF(Z94="","",Y94+Y95-Z94)</f>
        <v/>
      </c>
      <c r="AA101" s="5" t="str">
        <f t="shared" ref="AA101" si="1382">IF(AA94="","",Z94+Z95-AA94)</f>
        <v/>
      </c>
      <c r="AB101" s="5" t="str">
        <f t="shared" ref="AB101" si="1383">IF(AB94="","",AA94+AA95-AB94)</f>
        <v/>
      </c>
      <c r="AC101" s="5" t="str">
        <f t="shared" ref="AC101" si="1384">IF(AC94="","",AB94+AB95-AC94)</f>
        <v/>
      </c>
      <c r="AD101" s="5" t="str">
        <f t="shared" ref="AD101" si="1385">IF(AD94="","",AC94+AC95-AD94)</f>
        <v/>
      </c>
      <c r="AE101" s="5" t="str">
        <f t="shared" ref="AE101" si="1386">IF(AE94="","",AD94+AD95-AE94)</f>
        <v/>
      </c>
      <c r="AF101" s="5" t="str">
        <f t="shared" ref="AF101" si="1387">IF(AF94="","",AE94+AE95-AF94)</f>
        <v/>
      </c>
      <c r="AG101" s="5" t="str">
        <f t="shared" ref="AG101" si="1388">IF(AG94="","",AF94+AF95-AG94)</f>
        <v/>
      </c>
      <c r="AH101" s="5" t="str">
        <f t="shared" ref="AH101" si="1389">IF(AH94="","",AG94+AG95-AH94)</f>
        <v/>
      </c>
      <c r="AI101" s="5" t="str">
        <f t="shared" ref="AI101" si="1390">IF(AI94="","",AH94+AH95-AI94)</f>
        <v/>
      </c>
      <c r="AJ101" s="5" t="str">
        <f t="shared" ref="AJ101" si="1391">IF(AJ94="","",AI94+AI95-AJ94)</f>
        <v/>
      </c>
      <c r="AK101" s="5" t="str">
        <f t="shared" ref="AK101" si="1392">IF(AK94="","",AJ94+AJ95-AK94)</f>
        <v/>
      </c>
      <c r="AL101" s="5" t="str">
        <f t="shared" ref="AL101" si="1393">IF(AL94="","",AK94+AK95-AL94)</f>
        <v/>
      </c>
      <c r="AM101" s="5" t="str">
        <f t="shared" ref="AM101" si="1394">IF(AM94="","",AL94+AL95-AM94)</f>
        <v/>
      </c>
      <c r="AN101" s="5" t="str">
        <f t="shared" ref="AN101" si="1395">IF(AN94="","",AM94+AM95-AN94)</f>
        <v/>
      </c>
      <c r="AO101" s="5" t="str">
        <f t="shared" ref="AO101:AS101" si="1396">IF(AO94="","",AN94+AN95-AO94)</f>
        <v/>
      </c>
      <c r="AP101" s="5" t="str">
        <f t="shared" si="1396"/>
        <v/>
      </c>
      <c r="AQ101" s="5" t="str">
        <f t="shared" si="1396"/>
        <v/>
      </c>
      <c r="AR101" s="5" t="str">
        <f t="shared" si="1396"/>
        <v/>
      </c>
      <c r="AS101" s="5" t="str">
        <f t="shared" si="1396"/>
        <v/>
      </c>
    </row>
    <row r="102" spans="1:45" s="84" customFormat="1" ht="11.25" x14ac:dyDescent="0.15">
      <c r="A102" s="7">
        <f>SUM(C102:AS102)</f>
        <v>1500</v>
      </c>
      <c r="B102" s="6" t="s">
        <v>16</v>
      </c>
      <c r="C102" s="5">
        <v>0</v>
      </c>
      <c r="D102" s="5">
        <v>0</v>
      </c>
      <c r="E102" s="5">
        <v>0</v>
      </c>
      <c r="F102" s="5">
        <v>0</v>
      </c>
      <c r="G102" s="5">
        <v>500</v>
      </c>
      <c r="H102" s="5">
        <v>0</v>
      </c>
      <c r="I102" s="5">
        <v>0</v>
      </c>
      <c r="J102" s="5">
        <v>0</v>
      </c>
      <c r="K102" s="5">
        <v>0</v>
      </c>
      <c r="L102" s="5">
        <f t="shared" ref="J102:AM102" si="1397">IF(L92="","",L101*L96)</f>
        <v>0</v>
      </c>
      <c r="M102" s="5">
        <f t="shared" si="1397"/>
        <v>1000</v>
      </c>
      <c r="N102" s="5" t="str">
        <f t="shared" si="1397"/>
        <v/>
      </c>
      <c r="O102" s="5" t="str">
        <f t="shared" si="1397"/>
        <v/>
      </c>
      <c r="P102" s="5" t="str">
        <f t="shared" si="1397"/>
        <v/>
      </c>
      <c r="Q102" s="5" t="str">
        <f t="shared" si="1397"/>
        <v/>
      </c>
      <c r="R102" s="5" t="str">
        <f t="shared" si="1397"/>
        <v/>
      </c>
      <c r="S102" s="5" t="str">
        <f t="shared" si="1397"/>
        <v/>
      </c>
      <c r="T102" s="5" t="str">
        <f t="shared" si="1397"/>
        <v/>
      </c>
      <c r="U102" s="5" t="str">
        <f t="shared" si="1397"/>
        <v/>
      </c>
      <c r="V102" s="5" t="str">
        <f t="shared" si="1397"/>
        <v/>
      </c>
      <c r="W102" s="5" t="str">
        <f t="shared" si="1397"/>
        <v/>
      </c>
      <c r="X102" s="5" t="str">
        <f t="shared" si="1397"/>
        <v/>
      </c>
      <c r="Y102" s="5" t="str">
        <f t="shared" si="1397"/>
        <v/>
      </c>
      <c r="Z102" s="5" t="str">
        <f t="shared" si="1397"/>
        <v/>
      </c>
      <c r="AA102" s="5" t="str">
        <f t="shared" si="1397"/>
        <v/>
      </c>
      <c r="AB102" s="5" t="str">
        <f t="shared" si="1397"/>
        <v/>
      </c>
      <c r="AC102" s="5" t="str">
        <f t="shared" si="1397"/>
        <v/>
      </c>
      <c r="AD102" s="5" t="str">
        <f t="shared" si="1397"/>
        <v/>
      </c>
      <c r="AE102" s="5" t="str">
        <f t="shared" si="1397"/>
        <v/>
      </c>
      <c r="AF102" s="5" t="str">
        <f t="shared" si="1397"/>
        <v/>
      </c>
      <c r="AG102" s="5" t="str">
        <f t="shared" si="1397"/>
        <v/>
      </c>
      <c r="AH102" s="5" t="str">
        <f t="shared" si="1397"/>
        <v/>
      </c>
      <c r="AI102" s="5" t="str">
        <f t="shared" si="1397"/>
        <v/>
      </c>
      <c r="AJ102" s="5" t="str">
        <f t="shared" si="1397"/>
        <v/>
      </c>
      <c r="AK102" s="5" t="str">
        <f t="shared" si="1397"/>
        <v/>
      </c>
      <c r="AL102" s="5" t="str">
        <f t="shared" si="1397"/>
        <v/>
      </c>
      <c r="AM102" s="5" t="str">
        <f t="shared" si="1397"/>
        <v/>
      </c>
      <c r="AN102" s="5" t="str">
        <f t="shared" ref="AN102" si="1398">IF(AN92="","",AN101*AN96)</f>
        <v/>
      </c>
      <c r="AO102" s="5" t="str">
        <f t="shared" ref="AO102:AS102" si="1399">IF(AO92="","",AO101*AO96)</f>
        <v/>
      </c>
      <c r="AP102" s="5" t="str">
        <f t="shared" si="1399"/>
        <v/>
      </c>
      <c r="AQ102" s="5" t="str">
        <f t="shared" si="1399"/>
        <v/>
      </c>
      <c r="AR102" s="5" t="str">
        <f t="shared" si="1399"/>
        <v/>
      </c>
      <c r="AS102" s="5" t="str">
        <f t="shared" si="1399"/>
        <v/>
      </c>
    </row>
    <row r="103" spans="1:45" s="84" customFormat="1" ht="12" thickBot="1" x14ac:dyDescent="0.2">
      <c r="A103" s="4">
        <f>IF(A102="","",A102/(A99*100))</f>
        <v>0.1111111111111111</v>
      </c>
      <c r="B103" s="3" t="s">
        <v>18</v>
      </c>
      <c r="C103" s="2" t="s">
        <v>19</v>
      </c>
      <c r="D103" s="2" t="s">
        <v>19</v>
      </c>
      <c r="E103" s="2" t="s">
        <v>19</v>
      </c>
      <c r="F103" s="2" t="s">
        <v>19</v>
      </c>
      <c r="G103" s="2">
        <v>0.29411764705882354</v>
      </c>
      <c r="H103" s="2" t="s">
        <v>19</v>
      </c>
      <c r="I103" s="2" t="s">
        <v>19</v>
      </c>
      <c r="J103" s="2" t="s">
        <v>19</v>
      </c>
      <c r="K103" s="2" t="s">
        <v>19</v>
      </c>
      <c r="L103" s="2" t="str">
        <f t="shared" ref="J103:AM103" si="1400">IF(L102="","",IF(L102=0,"",L102/(L99*100)))</f>
        <v/>
      </c>
      <c r="M103" s="2">
        <f t="shared" si="1400"/>
        <v>0.13513513513513514</v>
      </c>
      <c r="N103" s="2" t="str">
        <f t="shared" si="1400"/>
        <v/>
      </c>
      <c r="O103" s="2" t="str">
        <f t="shared" si="1400"/>
        <v/>
      </c>
      <c r="P103" s="2" t="str">
        <f t="shared" si="1400"/>
        <v/>
      </c>
      <c r="Q103" s="2" t="str">
        <f t="shared" si="1400"/>
        <v/>
      </c>
      <c r="R103" s="2" t="str">
        <f t="shared" si="1400"/>
        <v/>
      </c>
      <c r="S103" s="2" t="str">
        <f t="shared" si="1400"/>
        <v/>
      </c>
      <c r="T103" s="2" t="str">
        <f t="shared" si="1400"/>
        <v/>
      </c>
      <c r="U103" s="2" t="str">
        <f t="shared" si="1400"/>
        <v/>
      </c>
      <c r="V103" s="2" t="str">
        <f t="shared" si="1400"/>
        <v/>
      </c>
      <c r="W103" s="2" t="str">
        <f t="shared" si="1400"/>
        <v/>
      </c>
      <c r="X103" s="2" t="str">
        <f t="shared" si="1400"/>
        <v/>
      </c>
      <c r="Y103" s="2" t="str">
        <f t="shared" si="1400"/>
        <v/>
      </c>
      <c r="Z103" s="2" t="str">
        <f t="shared" si="1400"/>
        <v/>
      </c>
      <c r="AA103" s="2" t="str">
        <f t="shared" si="1400"/>
        <v/>
      </c>
      <c r="AB103" s="2" t="str">
        <f t="shared" si="1400"/>
        <v/>
      </c>
      <c r="AC103" s="2" t="str">
        <f t="shared" si="1400"/>
        <v/>
      </c>
      <c r="AD103" s="2" t="str">
        <f t="shared" si="1400"/>
        <v/>
      </c>
      <c r="AE103" s="2" t="str">
        <f t="shared" si="1400"/>
        <v/>
      </c>
      <c r="AF103" s="2" t="str">
        <f t="shared" si="1400"/>
        <v/>
      </c>
      <c r="AG103" s="2" t="str">
        <f t="shared" si="1400"/>
        <v/>
      </c>
      <c r="AH103" s="2" t="str">
        <f t="shared" si="1400"/>
        <v/>
      </c>
      <c r="AI103" s="2" t="str">
        <f t="shared" si="1400"/>
        <v/>
      </c>
      <c r="AJ103" s="2" t="str">
        <f t="shared" si="1400"/>
        <v/>
      </c>
      <c r="AK103" s="2" t="str">
        <f t="shared" si="1400"/>
        <v/>
      </c>
      <c r="AL103" s="2" t="str">
        <f t="shared" si="1400"/>
        <v/>
      </c>
      <c r="AM103" s="2" t="str">
        <f t="shared" si="1400"/>
        <v/>
      </c>
      <c r="AN103" s="2" t="str">
        <f t="shared" ref="AN103" si="1401">IF(AN102="","",IF(AN102=0,"",AN102/(AN99*100)))</f>
        <v/>
      </c>
      <c r="AO103" s="2" t="str">
        <f t="shared" ref="AO103:AS103" si="1402">IF(AO102="","",IF(AO102=0,"",AO102/(AO99*100)))</f>
        <v/>
      </c>
      <c r="AP103" s="2" t="str">
        <f t="shared" si="1402"/>
        <v/>
      </c>
      <c r="AQ103" s="2" t="str">
        <f t="shared" si="1402"/>
        <v/>
      </c>
      <c r="AR103" s="2" t="str">
        <f t="shared" si="1402"/>
        <v/>
      </c>
      <c r="AS103" s="2" t="str">
        <f t="shared" si="1402"/>
        <v/>
      </c>
    </row>
    <row r="104" spans="1:45" s="84" customFormat="1" ht="11.25" x14ac:dyDescent="0.15">
      <c r="A104" s="22" t="s">
        <v>77</v>
      </c>
      <c r="B104" s="21" t="s">
        <v>2</v>
      </c>
      <c r="C104" s="20">
        <v>5268</v>
      </c>
      <c r="D104" s="20">
        <v>5286</v>
      </c>
      <c r="E104" s="20">
        <v>5286</v>
      </c>
      <c r="F104" s="20">
        <v>5286</v>
      </c>
      <c r="G104" s="20">
        <v>5303</v>
      </c>
      <c r="H104" s="20">
        <v>5303</v>
      </c>
      <c r="I104" s="20">
        <v>5303</v>
      </c>
      <c r="J104" s="20">
        <v>5303</v>
      </c>
      <c r="K104" s="20">
        <v>5331</v>
      </c>
      <c r="L104" s="20">
        <f>IF(L$8="","",K104)</f>
        <v>5331</v>
      </c>
      <c r="M104" s="20">
        <v>5346</v>
      </c>
      <c r="N104" s="20" t="str">
        <f t="shared" ref="N104:N105" si="1403">IF(N$8="","",M104)</f>
        <v/>
      </c>
      <c r="O104" s="20" t="str">
        <f>IF(O$8="","",N104)</f>
        <v/>
      </c>
      <c r="P104" s="20" t="str">
        <f t="shared" ref="P104:P105" si="1404">IF(P$8="","",O104)</f>
        <v/>
      </c>
      <c r="Q104" s="20" t="str">
        <f t="shared" ref="Q104:Q105" si="1405">IF(Q$8="","",P104)</f>
        <v/>
      </c>
      <c r="R104" s="20" t="str">
        <f t="shared" ref="R104:R105" si="1406">IF(R$8="","",Q104)</f>
        <v/>
      </c>
      <c r="S104" s="20" t="str">
        <f>IF(S$8="","",R104)</f>
        <v/>
      </c>
      <c r="T104" s="20" t="str">
        <f>IF(T$8="","",S104)</f>
        <v/>
      </c>
      <c r="U104" s="20" t="str">
        <f t="shared" ref="U104:U105" si="1407">IF(U$8="","",T104)</f>
        <v/>
      </c>
      <c r="V104" s="20" t="str">
        <f>IF(V$8="","",U104)</f>
        <v/>
      </c>
      <c r="W104" s="20" t="str">
        <f>IF(W$8="","",V104)</f>
        <v/>
      </c>
      <c r="X104" s="20" t="str">
        <f t="shared" ref="X104:X105" si="1408">IF(X$8="","",W104)</f>
        <v/>
      </c>
      <c r="Y104" s="20" t="str">
        <f t="shared" ref="Y104:Y105" si="1409">IF(Y$8="","",X104)</f>
        <v/>
      </c>
      <c r="Z104" s="20" t="str">
        <f>IF(Z$8="","",Y104)</f>
        <v/>
      </c>
      <c r="AA104" s="20" t="str">
        <f t="shared" ref="AA104:AA105" si="1410">IF(AA$8="","",Z104)</f>
        <v/>
      </c>
      <c r="AB104" s="20" t="str">
        <f t="shared" ref="AB104:AB105" si="1411">IF(AB$8="","",AA104)</f>
        <v/>
      </c>
      <c r="AC104" s="20" t="str">
        <f t="shared" ref="AC104:AC105" si="1412">IF(AC$8="","",AB104)</f>
        <v/>
      </c>
      <c r="AD104" s="20" t="str">
        <f>IF(AD$8="","",AC104)</f>
        <v/>
      </c>
      <c r="AE104" s="20" t="str">
        <f>IF(AE$8="","",AD104)</f>
        <v/>
      </c>
      <c r="AF104" s="20" t="str">
        <f t="shared" ref="AF104:AF105" si="1413">IF(AF$8="","",AE104)</f>
        <v/>
      </c>
      <c r="AG104" s="20" t="str">
        <f>IF(AG$8="","",AF104)</f>
        <v/>
      </c>
      <c r="AH104" s="20" t="str">
        <f t="shared" ref="AH104:AH105" si="1414">IF(AH$8="","",AG104)</f>
        <v/>
      </c>
      <c r="AI104" s="20" t="str">
        <f t="shared" ref="AI104:AI105" si="1415">IF(AI$8="","",AH104)</f>
        <v/>
      </c>
      <c r="AJ104" s="20" t="str">
        <f>IF(AJ$8="","",AI104)</f>
        <v/>
      </c>
      <c r="AK104" s="20" t="str">
        <f t="shared" ref="AK104:AK105" si="1416">IF(AK$8="","",AJ104)</f>
        <v/>
      </c>
      <c r="AL104" s="20" t="str">
        <f t="shared" ref="AL104:AL105" si="1417">IF(AL$8="","",AK104)</f>
        <v/>
      </c>
      <c r="AM104" s="20" t="str">
        <f t="shared" ref="AM104:AM105" si="1418">IF(AM$8="","",AL104)</f>
        <v/>
      </c>
      <c r="AN104" s="20" t="str">
        <f>IF(AN$8="","",AM104)</f>
        <v/>
      </c>
      <c r="AO104" s="20" t="str">
        <f t="shared" ref="AO104:AS104" si="1419">IF(AO$8="","",AN104)</f>
        <v/>
      </c>
      <c r="AP104" s="20" t="str">
        <f t="shared" si="1419"/>
        <v/>
      </c>
      <c r="AQ104" s="20" t="str">
        <f t="shared" si="1419"/>
        <v/>
      </c>
      <c r="AR104" s="20" t="str">
        <f t="shared" si="1419"/>
        <v/>
      </c>
      <c r="AS104" s="20" t="str">
        <f t="shared" si="1419"/>
        <v/>
      </c>
    </row>
    <row r="105" spans="1:45" s="84" customFormat="1" ht="11.25" x14ac:dyDescent="0.15">
      <c r="A105" s="16" t="s">
        <v>27</v>
      </c>
      <c r="B105" s="9" t="s">
        <v>4</v>
      </c>
      <c r="C105" s="8">
        <v>125</v>
      </c>
      <c r="D105" s="8">
        <v>125</v>
      </c>
      <c r="E105" s="8">
        <v>125</v>
      </c>
      <c r="F105" s="8">
        <v>125</v>
      </c>
      <c r="G105" s="8">
        <v>126</v>
      </c>
      <c r="H105" s="8">
        <v>126</v>
      </c>
      <c r="I105" s="8">
        <v>126</v>
      </c>
      <c r="J105" s="8">
        <v>126</v>
      </c>
      <c r="K105" s="8">
        <v>126</v>
      </c>
      <c r="L105" s="8">
        <f>IF(L$8="","",K105)</f>
        <v>126</v>
      </c>
      <c r="M105" s="8">
        <v>126</v>
      </c>
      <c r="N105" s="8" t="str">
        <f t="shared" si="1403"/>
        <v/>
      </c>
      <c r="O105" s="8" t="str">
        <f>IF(O$8="","",N105)</f>
        <v/>
      </c>
      <c r="P105" s="8" t="str">
        <f t="shared" si="1404"/>
        <v/>
      </c>
      <c r="Q105" s="8" t="str">
        <f t="shared" si="1405"/>
        <v/>
      </c>
      <c r="R105" s="8" t="str">
        <f t="shared" si="1406"/>
        <v/>
      </c>
      <c r="S105" s="8" t="str">
        <f>IF(S$8="","",R105)</f>
        <v/>
      </c>
      <c r="T105" s="8" t="str">
        <f>IF(T$8="","",S105)</f>
        <v/>
      </c>
      <c r="U105" s="8" t="str">
        <f t="shared" si="1407"/>
        <v/>
      </c>
      <c r="V105" s="8" t="str">
        <f>IF(V$8="","",U105)</f>
        <v/>
      </c>
      <c r="W105" s="8" t="str">
        <f>IF(W$8="","",V105)</f>
        <v/>
      </c>
      <c r="X105" s="8" t="str">
        <f t="shared" si="1408"/>
        <v/>
      </c>
      <c r="Y105" s="8" t="str">
        <f t="shared" si="1409"/>
        <v/>
      </c>
      <c r="Z105" s="8" t="str">
        <f t="shared" ref="Z105" si="1420">IF(Z$8="","",Y105)</f>
        <v/>
      </c>
      <c r="AA105" s="8" t="str">
        <f t="shared" si="1410"/>
        <v/>
      </c>
      <c r="AB105" s="8" t="str">
        <f t="shared" si="1411"/>
        <v/>
      </c>
      <c r="AC105" s="8" t="str">
        <f t="shared" si="1412"/>
        <v/>
      </c>
      <c r="AD105" s="8" t="str">
        <f>IF(AD$8="","",AC105)</f>
        <v/>
      </c>
      <c r="AE105" s="8" t="str">
        <f t="shared" ref="AE104:AE105" si="1421">IF(AE$8="","",AD105)</f>
        <v/>
      </c>
      <c r="AF105" s="8" t="str">
        <f t="shared" si="1413"/>
        <v/>
      </c>
      <c r="AG105" s="8" t="str">
        <f>IF(AG$8="","",AF105)</f>
        <v/>
      </c>
      <c r="AH105" s="8" t="str">
        <f t="shared" si="1414"/>
        <v/>
      </c>
      <c r="AI105" s="8" t="str">
        <f t="shared" si="1415"/>
        <v/>
      </c>
      <c r="AJ105" s="8" t="str">
        <f>IF(AJ$8="","",AI105)</f>
        <v/>
      </c>
      <c r="AK105" s="8" t="str">
        <f t="shared" si="1416"/>
        <v/>
      </c>
      <c r="AL105" s="8" t="str">
        <f t="shared" si="1417"/>
        <v/>
      </c>
      <c r="AM105" s="8" t="str">
        <f t="shared" si="1418"/>
        <v/>
      </c>
      <c r="AN105" s="8" t="str">
        <f>IF(AN$8="","",AM105)</f>
        <v/>
      </c>
      <c r="AO105" s="8" t="str">
        <f t="shared" ref="AO105:AS105" si="1422">IF(AO$8="","",AN105)</f>
        <v/>
      </c>
      <c r="AP105" s="8" t="str">
        <f t="shared" si="1422"/>
        <v/>
      </c>
      <c r="AQ105" s="8" t="str">
        <f t="shared" si="1422"/>
        <v/>
      </c>
      <c r="AR105" s="8" t="str">
        <f t="shared" si="1422"/>
        <v/>
      </c>
      <c r="AS105" s="8" t="str">
        <f t="shared" si="1422"/>
        <v/>
      </c>
    </row>
    <row r="106" spans="1:45" s="84" customFormat="1" ht="11.25" x14ac:dyDescent="0.15">
      <c r="A106" s="15">
        <v>1</v>
      </c>
      <c r="B106" s="9" t="s">
        <v>5</v>
      </c>
      <c r="C106" s="8">
        <v>13</v>
      </c>
      <c r="D106" s="8">
        <v>13</v>
      </c>
      <c r="E106" s="8">
        <v>13</v>
      </c>
      <c r="F106" s="8">
        <v>13</v>
      </c>
      <c r="G106" s="8">
        <v>12</v>
      </c>
      <c r="H106" s="8">
        <v>12</v>
      </c>
      <c r="I106" s="8">
        <v>12</v>
      </c>
      <c r="J106" s="8">
        <v>12</v>
      </c>
      <c r="K106" s="8">
        <v>12</v>
      </c>
      <c r="L106" s="8">
        <f>IF(L104="","",(K106+K107))</f>
        <v>12</v>
      </c>
      <c r="M106" s="8">
        <f t="shared" ref="M106" si="1423">IF(M104="","",(L106+L107))</f>
        <v>12</v>
      </c>
      <c r="N106" s="8" t="str">
        <f t="shared" ref="N106" si="1424">IF(N104="","",(M106+M107))</f>
        <v/>
      </c>
      <c r="O106" s="8" t="str">
        <f>IF(O104="","",(N106+N107))</f>
        <v/>
      </c>
      <c r="P106" s="8" t="str">
        <f t="shared" ref="P106" si="1425">IF(P104="","",(O106+O107))</f>
        <v/>
      </c>
      <c r="Q106" s="8" t="str">
        <f t="shared" ref="Q106" si="1426">IF(Q104="","",(P106+P107))</f>
        <v/>
      </c>
      <c r="R106" s="8" t="str">
        <f t="shared" ref="R106" si="1427">IF(R104="","",(Q106+Q107))</f>
        <v/>
      </c>
      <c r="S106" s="8" t="str">
        <f t="shared" ref="S106" si="1428">IF(S104="","",(R106+R107))</f>
        <v/>
      </c>
      <c r="T106" s="8" t="str">
        <f>IF(T104="","",(S106+S107))</f>
        <v/>
      </c>
      <c r="U106" s="8" t="str">
        <f t="shared" ref="U106" si="1429">IF(U104="","",(T106+T107))</f>
        <v/>
      </c>
      <c r="V106" s="8" t="str">
        <f>IF(V104="","",(U106+U107))</f>
        <v/>
      </c>
      <c r="W106" s="8" t="str">
        <f>IF(W104="","",(V106+V107))</f>
        <v/>
      </c>
      <c r="X106" s="8" t="str">
        <f t="shared" ref="X106" si="1430">IF(X104="","",(W106+W107))</f>
        <v/>
      </c>
      <c r="Y106" s="8" t="str">
        <f t="shared" ref="Y106" si="1431">IF(Y104="","",(X106+X107))</f>
        <v/>
      </c>
      <c r="Z106" s="8" t="str">
        <f t="shared" ref="Z106" si="1432">IF(Z104="","",(Y106+Y107))</f>
        <v/>
      </c>
      <c r="AA106" s="8" t="str">
        <f t="shared" ref="AA106" si="1433">IF(AA104="","",(Z106+Z107))</f>
        <v/>
      </c>
      <c r="AB106" s="8" t="str">
        <f t="shared" ref="AB106" si="1434">IF(AB104="","",(AA106+AA107))</f>
        <v/>
      </c>
      <c r="AC106" s="8" t="str">
        <f t="shared" ref="AC106" si="1435">IF(AC104="","",(AB106+AB107))</f>
        <v/>
      </c>
      <c r="AD106" s="8" t="str">
        <f t="shared" ref="AD106" si="1436">IF(AD104="","",(AC106+AC107))</f>
        <v/>
      </c>
      <c r="AE106" s="8" t="str">
        <f t="shared" ref="AE106" si="1437">IF(AE104="","",(AD106+AD107))</f>
        <v/>
      </c>
      <c r="AF106" s="8" t="str">
        <f t="shared" ref="AF106" si="1438">IF(AF104="","",(AE106+AE107))</f>
        <v/>
      </c>
      <c r="AG106" s="8" t="str">
        <f>IF(AG104="","",(AF106+AF107))</f>
        <v/>
      </c>
      <c r="AH106" s="8" t="str">
        <f t="shared" ref="AH106" si="1439">IF(AH104="","",(AG106+AG107))</f>
        <v/>
      </c>
      <c r="AI106" s="8" t="str">
        <f t="shared" ref="AI106" si="1440">IF(AI104="","",(AH106+AH107))</f>
        <v/>
      </c>
      <c r="AJ106" s="8" t="str">
        <f>IF(AJ104="","",(AI106+AI107))</f>
        <v/>
      </c>
      <c r="AK106" s="8" t="str">
        <f t="shared" ref="AK106" si="1441">IF(AK104="","",(AJ106+AJ107))</f>
        <v/>
      </c>
      <c r="AL106" s="8" t="str">
        <f t="shared" ref="AL106" si="1442">IF(AL104="","",(AK106+AK107))</f>
        <v/>
      </c>
      <c r="AM106" s="8" t="str">
        <f t="shared" ref="AM106" si="1443">IF(AM104="","",(AL106+AL107))</f>
        <v/>
      </c>
      <c r="AN106" s="8" t="str">
        <f t="shared" ref="AN106" si="1444">IF(AN104="","",(AM106+AM107))</f>
        <v/>
      </c>
      <c r="AO106" s="8" t="str">
        <f t="shared" ref="AO106:AS106" si="1445">IF(AO104="","",(AN106+AN107))</f>
        <v/>
      </c>
      <c r="AP106" s="8" t="str">
        <f t="shared" si="1445"/>
        <v/>
      </c>
      <c r="AQ106" s="8" t="str">
        <f t="shared" si="1445"/>
        <v/>
      </c>
      <c r="AR106" s="8" t="str">
        <f t="shared" si="1445"/>
        <v/>
      </c>
      <c r="AS106" s="8" t="str">
        <f t="shared" si="1445"/>
        <v/>
      </c>
    </row>
    <row r="107" spans="1:45" s="84" customFormat="1" ht="11.25" x14ac:dyDescent="0.15">
      <c r="A107" s="92" t="s">
        <v>6</v>
      </c>
      <c r="B107" s="9" t="s">
        <v>7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>
        <v>3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</row>
    <row r="108" spans="1:45" s="84" customFormat="1" ht="11.25" x14ac:dyDescent="0.15">
      <c r="A108" s="93">
        <f>+(A111+A123+A135+A147)*100</f>
        <v>54800</v>
      </c>
      <c r="B108" s="9" t="s">
        <v>8</v>
      </c>
      <c r="C108" s="8">
        <v>750</v>
      </c>
      <c r="D108" s="8">
        <v>750</v>
      </c>
      <c r="E108" s="8">
        <v>750</v>
      </c>
      <c r="F108" s="8">
        <v>750</v>
      </c>
      <c r="G108" s="8">
        <v>750</v>
      </c>
      <c r="H108" s="8">
        <v>750</v>
      </c>
      <c r="I108" s="8">
        <v>750</v>
      </c>
      <c r="J108" s="8">
        <v>750</v>
      </c>
      <c r="K108" s="8">
        <v>750</v>
      </c>
      <c r="L108" s="8">
        <f t="shared" ref="L108" si="1446">IF(L104="","",K108)</f>
        <v>750</v>
      </c>
      <c r="M108" s="8">
        <f t="shared" ref="M108" si="1447">IF(M104="","",L108)</f>
        <v>750</v>
      </c>
      <c r="N108" s="8" t="str">
        <f t="shared" ref="N108" si="1448">IF(N104="","",M108)</f>
        <v/>
      </c>
      <c r="O108" s="8" t="str">
        <f t="shared" ref="O108" si="1449">IF(O104="","",N108)</f>
        <v/>
      </c>
      <c r="P108" s="8" t="str">
        <f t="shared" ref="P108" si="1450">IF(P104="","",O108)</f>
        <v/>
      </c>
      <c r="Q108" s="8" t="str">
        <f t="shared" ref="Q108" si="1451">IF(Q104="","",P108)</f>
        <v/>
      </c>
      <c r="R108" s="8" t="str">
        <f t="shared" ref="R108" si="1452">IF(R104="","",Q108)</f>
        <v/>
      </c>
      <c r="S108" s="8" t="str">
        <f t="shared" ref="S108" si="1453">IF(S104="","",R108)</f>
        <v/>
      </c>
      <c r="T108" s="8" t="str">
        <f t="shared" ref="T108" si="1454">IF(T104="","",S108)</f>
        <v/>
      </c>
      <c r="U108" s="8" t="str">
        <f t="shared" ref="U108" si="1455">IF(U104="","",T108)</f>
        <v/>
      </c>
      <c r="V108" s="8" t="str">
        <f t="shared" ref="V108" si="1456">IF(V104="","",U108)</f>
        <v/>
      </c>
      <c r="W108" s="8" t="str">
        <f t="shared" ref="W108" si="1457">IF(W104="","",V108)</f>
        <v/>
      </c>
      <c r="X108" s="8" t="str">
        <f t="shared" ref="X108" si="1458">IF(X104="","",W108)</f>
        <v/>
      </c>
      <c r="Y108" s="8" t="str">
        <f t="shared" ref="Y108" si="1459">IF(Y104="","",X108)</f>
        <v/>
      </c>
      <c r="Z108" s="8" t="str">
        <f t="shared" ref="Z108" si="1460">IF(Z104="","",Y108)</f>
        <v/>
      </c>
      <c r="AA108" s="8" t="str">
        <f t="shared" ref="AA108" si="1461">IF(AA104="","",Z108)</f>
        <v/>
      </c>
      <c r="AB108" s="8" t="str">
        <f t="shared" ref="AB108" si="1462">IF(AB104="","",AA108)</f>
        <v/>
      </c>
      <c r="AC108" s="8" t="str">
        <f t="shared" ref="AC108" si="1463">IF(AC104="","",AB108)</f>
        <v/>
      </c>
      <c r="AD108" s="8" t="str">
        <f t="shared" ref="AD108" si="1464">IF(AD104="","",AC108)</f>
        <v/>
      </c>
      <c r="AE108" s="8" t="str">
        <f t="shared" ref="AE108" si="1465">IF(AE104="","",AD108)</f>
        <v/>
      </c>
      <c r="AF108" s="8" t="str">
        <f t="shared" ref="AF108" si="1466">IF(AF104="","",AE108)</f>
        <v/>
      </c>
      <c r="AG108" s="8" t="str">
        <f t="shared" ref="AG108" si="1467">IF(AG104="","",AF108)</f>
        <v/>
      </c>
      <c r="AH108" s="8" t="str">
        <f t="shared" ref="AH108" si="1468">IF(AH104="","",AG108)</f>
        <v/>
      </c>
      <c r="AI108" s="8" t="str">
        <f t="shared" ref="AI108" si="1469">IF(AI104="","",AH108)</f>
        <v/>
      </c>
      <c r="AJ108" s="8" t="str">
        <f t="shared" ref="AJ108" si="1470">IF(AJ104="","",AI108)</f>
        <v/>
      </c>
      <c r="AK108" s="8" t="str">
        <f t="shared" ref="AK108" si="1471">IF(AK104="","",AJ108)</f>
        <v/>
      </c>
      <c r="AL108" s="8" t="str">
        <f t="shared" ref="AL108" si="1472">IF(AL104="","",AK108)</f>
        <v/>
      </c>
      <c r="AM108" s="8" t="str">
        <f t="shared" ref="AM108" si="1473">IF(AM104="","",AL108)</f>
        <v/>
      </c>
      <c r="AN108" s="8" t="str">
        <f t="shared" ref="AN108" si="1474">IF(AN104="","",AM108)</f>
        <v/>
      </c>
      <c r="AO108" s="8" t="str">
        <f t="shared" ref="AO108:AS108" si="1475">IF(AO104="","",AN108)</f>
        <v/>
      </c>
      <c r="AP108" s="8" t="str">
        <f t="shared" si="1475"/>
        <v/>
      </c>
      <c r="AQ108" s="8" t="str">
        <f t="shared" si="1475"/>
        <v/>
      </c>
      <c r="AR108" s="8" t="str">
        <f t="shared" si="1475"/>
        <v/>
      </c>
      <c r="AS108" s="8" t="str">
        <f t="shared" si="1475"/>
        <v/>
      </c>
    </row>
    <row r="109" spans="1:45" s="85" customFormat="1" ht="11.25" x14ac:dyDescent="0.15">
      <c r="A109" s="14" t="s">
        <v>9</v>
      </c>
      <c r="B109" s="13" t="s">
        <v>10</v>
      </c>
      <c r="C109" s="12" t="s">
        <v>339</v>
      </c>
      <c r="D109" s="12" t="s">
        <v>339</v>
      </c>
      <c r="E109" s="12" t="s">
        <v>339</v>
      </c>
      <c r="F109" s="12" t="s">
        <v>339</v>
      </c>
      <c r="G109" s="12" t="s">
        <v>339</v>
      </c>
      <c r="H109" s="12" t="s">
        <v>339</v>
      </c>
      <c r="I109" s="12" t="s">
        <v>339</v>
      </c>
      <c r="J109" s="12" t="s">
        <v>339</v>
      </c>
      <c r="K109" s="12" t="s">
        <v>339</v>
      </c>
      <c r="L109" s="12" t="str">
        <f t="shared" ref="L109" si="1476">IF(L104="","",K109)</f>
        <v>モンチッチマスコットフルーツ</v>
      </c>
      <c r="M109" s="12" t="str">
        <f t="shared" ref="M109" si="1477">IF(M104="","",L109)</f>
        <v>モンチッチマスコットフルーツ</v>
      </c>
      <c r="N109" s="12" t="str">
        <f t="shared" ref="N109" si="1478">IF(N104="","",M109)</f>
        <v/>
      </c>
      <c r="O109" s="12" t="str">
        <f>IF(O104="","",N109)</f>
        <v/>
      </c>
      <c r="P109" s="12" t="str">
        <f t="shared" ref="P109" si="1479">IF(P104="","",O109)</f>
        <v/>
      </c>
      <c r="Q109" s="12" t="str">
        <f t="shared" ref="Q109" si="1480">IF(Q104="","",P109)</f>
        <v/>
      </c>
      <c r="R109" s="12" t="str">
        <f t="shared" ref="R109" si="1481">IF(R104="","",Q109)</f>
        <v/>
      </c>
      <c r="S109" s="12" t="str">
        <f t="shared" ref="S109" si="1482">IF(S104="","",R109)</f>
        <v/>
      </c>
      <c r="T109" s="12" t="str">
        <f t="shared" ref="T109" si="1483">IF(T104="","",S109)</f>
        <v/>
      </c>
      <c r="U109" s="12" t="str">
        <f t="shared" ref="U109" si="1484">IF(U104="","",T109)</f>
        <v/>
      </c>
      <c r="V109" s="12" t="str">
        <f t="shared" ref="V109" si="1485">IF(V104="","",U109)</f>
        <v/>
      </c>
      <c r="W109" s="12" t="str">
        <f t="shared" ref="W109" si="1486">IF(W104="","",V109)</f>
        <v/>
      </c>
      <c r="X109" s="12" t="str">
        <f t="shared" ref="X109" si="1487">IF(X104="","",W109)</f>
        <v/>
      </c>
      <c r="Y109" s="12" t="str">
        <f t="shared" ref="Y109" si="1488">IF(Y104="","",X109)</f>
        <v/>
      </c>
      <c r="Z109" s="12" t="str">
        <f t="shared" ref="Z109" si="1489">IF(Z104="","",Y109)</f>
        <v/>
      </c>
      <c r="AA109" s="12" t="str">
        <f t="shared" ref="AA109" si="1490">IF(AA104="","",Z109)</f>
        <v/>
      </c>
      <c r="AB109" s="12" t="str">
        <f t="shared" ref="AB109" si="1491">IF(AB104="","",AA109)</f>
        <v/>
      </c>
      <c r="AC109" s="12" t="str">
        <f t="shared" ref="AC109" si="1492">IF(AC104="","",AB109)</f>
        <v/>
      </c>
      <c r="AD109" s="12" t="str">
        <f t="shared" ref="AD109" si="1493">IF(AD104="","",AC109)</f>
        <v/>
      </c>
      <c r="AE109" s="12" t="str">
        <f t="shared" ref="AE109" si="1494">IF(AE104="","",AD109)</f>
        <v/>
      </c>
      <c r="AF109" s="12" t="str">
        <f t="shared" ref="AF109" si="1495">IF(AF104="","",AE109)</f>
        <v/>
      </c>
      <c r="AG109" s="12" t="str">
        <f t="shared" ref="AG109" si="1496">IF(AG104="","",AF109)</f>
        <v/>
      </c>
      <c r="AH109" s="12" t="str">
        <f t="shared" ref="AH109" si="1497">IF(AH104="","",AG109)</f>
        <v/>
      </c>
      <c r="AI109" s="12" t="str">
        <f t="shared" ref="AI109" si="1498">IF(AI104="","",AH109)</f>
        <v/>
      </c>
      <c r="AJ109" s="12" t="str">
        <f t="shared" ref="AJ109" si="1499">IF(AJ104="","",AI109)</f>
        <v/>
      </c>
      <c r="AK109" s="12" t="str">
        <f t="shared" ref="AK109" si="1500">IF(AK104="","",AJ109)</f>
        <v/>
      </c>
      <c r="AL109" s="12" t="str">
        <f t="shared" ref="AL109" si="1501">IF(AL104="","",AK109)</f>
        <v/>
      </c>
      <c r="AM109" s="12" t="str">
        <f t="shared" ref="AM109" si="1502">IF(AM104="","",AL109)</f>
        <v/>
      </c>
      <c r="AN109" s="12" t="str">
        <f t="shared" ref="AN109" si="1503">IF(AN104="","",AM109)</f>
        <v/>
      </c>
      <c r="AO109" s="12" t="str">
        <f t="shared" ref="AO109:AS109" si="1504">IF(AO104="","",AN109)</f>
        <v/>
      </c>
      <c r="AP109" s="12" t="str">
        <f t="shared" si="1504"/>
        <v/>
      </c>
      <c r="AQ109" s="12" t="str">
        <f t="shared" si="1504"/>
        <v/>
      </c>
      <c r="AR109" s="12" t="str">
        <f t="shared" si="1504"/>
        <v/>
      </c>
      <c r="AS109" s="12" t="str">
        <f t="shared" si="1504"/>
        <v/>
      </c>
    </row>
    <row r="110" spans="1:45" s="84" customFormat="1" ht="11.25" x14ac:dyDescent="0.15">
      <c r="A110" s="7">
        <f>AVERAGE(C111:AS111)*30*100</f>
        <v>21272.727272727272</v>
      </c>
      <c r="B110" s="9" t="s">
        <v>12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</row>
    <row r="111" spans="1:45" s="84" customFormat="1" ht="11.25" x14ac:dyDescent="0.15">
      <c r="A111" s="7">
        <f>SUM(C111:AS111)</f>
        <v>78</v>
      </c>
      <c r="B111" s="6" t="s">
        <v>13</v>
      </c>
      <c r="C111" s="5">
        <v>0</v>
      </c>
      <c r="D111" s="5">
        <v>18</v>
      </c>
      <c r="E111" s="5">
        <v>0</v>
      </c>
      <c r="F111" s="5">
        <v>0</v>
      </c>
      <c r="G111" s="5">
        <v>17</v>
      </c>
      <c r="H111" s="5">
        <v>0</v>
      </c>
      <c r="I111" s="5">
        <v>0</v>
      </c>
      <c r="J111" s="5">
        <v>0</v>
      </c>
      <c r="K111" s="5">
        <v>28</v>
      </c>
      <c r="L111" s="5">
        <f t="shared" ref="L111:L112" si="1505">IF(L104="","",L104-K104)</f>
        <v>0</v>
      </c>
      <c r="M111" s="5">
        <f t="shared" ref="M111:M112" si="1506">IF(M104="","",M104-L104)</f>
        <v>15</v>
      </c>
      <c r="N111" s="5" t="str">
        <f t="shared" ref="N111:N112" si="1507">IF(N104="","",N104-M104)</f>
        <v/>
      </c>
      <c r="O111" s="5" t="str">
        <f t="shared" ref="O111:O112" si="1508">IF(O104="","",O104-N104)</f>
        <v/>
      </c>
      <c r="P111" s="5" t="str">
        <f t="shared" ref="P111:P112" si="1509">IF(P104="","",P104-O104)</f>
        <v/>
      </c>
      <c r="Q111" s="5" t="str">
        <f t="shared" ref="Q111:Q112" si="1510">IF(Q104="","",Q104-P104)</f>
        <v/>
      </c>
      <c r="R111" s="5" t="str">
        <f t="shared" ref="R111:R112" si="1511">IF(R104="","",R104-Q104)</f>
        <v/>
      </c>
      <c r="S111" s="5" t="str">
        <f t="shared" ref="S111:S112" si="1512">IF(S104="","",S104-R104)</f>
        <v/>
      </c>
      <c r="T111" s="5" t="str">
        <f t="shared" ref="T111:T112" si="1513">IF(T104="","",T104-S104)</f>
        <v/>
      </c>
      <c r="U111" s="5" t="str">
        <f t="shared" ref="U111:U112" si="1514">IF(U104="","",U104-T104)</f>
        <v/>
      </c>
      <c r="V111" s="5" t="str">
        <f t="shared" ref="V111:V112" si="1515">IF(V104="","",V104-U104)</f>
        <v/>
      </c>
      <c r="W111" s="5" t="str">
        <f t="shared" ref="W111:W112" si="1516">IF(W104="","",W104-V104)</f>
        <v/>
      </c>
      <c r="X111" s="5" t="str">
        <f t="shared" ref="X111:X112" si="1517">IF(X104="","",X104-W104)</f>
        <v/>
      </c>
      <c r="Y111" s="5" t="str">
        <f t="shared" ref="Y111:Y112" si="1518">IF(Y104="","",Y104-X104)</f>
        <v/>
      </c>
      <c r="Z111" s="5" t="str">
        <f t="shared" ref="Z111:Z112" si="1519">IF(Z104="","",Z104-Y104)</f>
        <v/>
      </c>
      <c r="AA111" s="5" t="str">
        <f t="shared" ref="AA111:AA112" si="1520">IF(AA104="","",AA104-Z104)</f>
        <v/>
      </c>
      <c r="AB111" s="5" t="str">
        <f t="shared" ref="AB111:AB112" si="1521">IF(AB104="","",AB104-AA104)</f>
        <v/>
      </c>
      <c r="AC111" s="5" t="str">
        <f t="shared" ref="AC111:AC112" si="1522">IF(AC104="","",AC104-AB104)</f>
        <v/>
      </c>
      <c r="AD111" s="5" t="str">
        <f t="shared" ref="AD111:AD112" si="1523">IF(AD104="","",AD104-AC104)</f>
        <v/>
      </c>
      <c r="AE111" s="5" t="str">
        <f t="shared" ref="AE111:AE112" si="1524">IF(AE104="","",AE104-AD104)</f>
        <v/>
      </c>
      <c r="AF111" s="5" t="str">
        <f t="shared" ref="AF111:AF112" si="1525">IF(AF104="","",AF104-AE104)</f>
        <v/>
      </c>
      <c r="AG111" s="5" t="str">
        <f t="shared" ref="AG111:AG112" si="1526">IF(AG104="","",AG104-AF104)</f>
        <v/>
      </c>
      <c r="AH111" s="5" t="str">
        <f t="shared" ref="AH111:AH112" si="1527">IF(AH104="","",AH104-AG104)</f>
        <v/>
      </c>
      <c r="AI111" s="5" t="str">
        <f t="shared" ref="AI111:AI112" si="1528">IF(AI104="","",AI104-AH104)</f>
        <v/>
      </c>
      <c r="AJ111" s="5" t="str">
        <f t="shared" ref="AJ111:AJ112" si="1529">IF(AJ104="","",AJ104-AI104)</f>
        <v/>
      </c>
      <c r="AK111" s="5" t="str">
        <f t="shared" ref="AK111:AK112" si="1530">IF(AK104="","",AK104-AJ104)</f>
        <v/>
      </c>
      <c r="AL111" s="5" t="str">
        <f t="shared" ref="AL111:AL112" si="1531">IF(AL104="","",AL104-AK104)</f>
        <v/>
      </c>
      <c r="AM111" s="5" t="str">
        <f t="shared" ref="AM111:AM112" si="1532">IF(AM104="","",AM104-AL104)</f>
        <v/>
      </c>
      <c r="AN111" s="5" t="str">
        <f t="shared" ref="AN111" si="1533">IF(AN104="","",AN104-AM104)</f>
        <v/>
      </c>
      <c r="AO111" s="5" t="str">
        <f t="shared" ref="AO111:AS111" si="1534">IF(AO104="","",AO104-AN104)</f>
        <v/>
      </c>
      <c r="AP111" s="5" t="str">
        <f t="shared" si="1534"/>
        <v/>
      </c>
      <c r="AQ111" s="5" t="str">
        <f t="shared" si="1534"/>
        <v/>
      </c>
      <c r="AR111" s="5" t="str">
        <f t="shared" si="1534"/>
        <v/>
      </c>
      <c r="AS111" s="5" t="str">
        <f t="shared" si="1534"/>
        <v/>
      </c>
    </row>
    <row r="112" spans="1:45" s="84" customFormat="1" ht="11.25" x14ac:dyDescent="0.15">
      <c r="A112" s="7">
        <f>SUM(C112:AS112)</f>
        <v>1</v>
      </c>
      <c r="B112" s="6" t="s">
        <v>14</v>
      </c>
      <c r="C112" s="5">
        <v>0</v>
      </c>
      <c r="D112" s="5">
        <v>0</v>
      </c>
      <c r="E112" s="5">
        <v>0</v>
      </c>
      <c r="F112" s="5">
        <v>0</v>
      </c>
      <c r="G112" s="5">
        <v>1</v>
      </c>
      <c r="H112" s="5">
        <v>0</v>
      </c>
      <c r="I112" s="5">
        <v>0</v>
      </c>
      <c r="J112" s="5">
        <v>0</v>
      </c>
      <c r="K112" s="5">
        <v>0</v>
      </c>
      <c r="L112" s="5">
        <f t="shared" si="1505"/>
        <v>0</v>
      </c>
      <c r="M112" s="5">
        <f t="shared" si="1506"/>
        <v>0</v>
      </c>
      <c r="N112" s="5" t="str">
        <f t="shared" si="1507"/>
        <v/>
      </c>
      <c r="O112" s="5" t="str">
        <f t="shared" si="1508"/>
        <v/>
      </c>
      <c r="P112" s="5" t="str">
        <f t="shared" si="1509"/>
        <v/>
      </c>
      <c r="Q112" s="5" t="str">
        <f t="shared" si="1510"/>
        <v/>
      </c>
      <c r="R112" s="5" t="str">
        <f t="shared" si="1511"/>
        <v/>
      </c>
      <c r="S112" s="5" t="str">
        <f t="shared" si="1512"/>
        <v/>
      </c>
      <c r="T112" s="5" t="str">
        <f t="shared" si="1513"/>
        <v/>
      </c>
      <c r="U112" s="5" t="str">
        <f t="shared" si="1514"/>
        <v/>
      </c>
      <c r="V112" s="5" t="str">
        <f t="shared" si="1515"/>
        <v/>
      </c>
      <c r="W112" s="5" t="str">
        <f t="shared" si="1516"/>
        <v/>
      </c>
      <c r="X112" s="5" t="str">
        <f t="shared" si="1517"/>
        <v/>
      </c>
      <c r="Y112" s="5" t="str">
        <f t="shared" si="1518"/>
        <v/>
      </c>
      <c r="Z112" s="5" t="str">
        <f t="shared" si="1519"/>
        <v/>
      </c>
      <c r="AA112" s="5" t="str">
        <f t="shared" si="1520"/>
        <v/>
      </c>
      <c r="AB112" s="5" t="str">
        <f t="shared" si="1521"/>
        <v/>
      </c>
      <c r="AC112" s="5" t="str">
        <f t="shared" si="1522"/>
        <v/>
      </c>
      <c r="AD112" s="5" t="str">
        <f t="shared" si="1523"/>
        <v/>
      </c>
      <c r="AE112" s="5" t="str">
        <f t="shared" si="1524"/>
        <v/>
      </c>
      <c r="AF112" s="5" t="str">
        <f t="shared" si="1525"/>
        <v/>
      </c>
      <c r="AG112" s="5" t="str">
        <f t="shared" si="1526"/>
        <v/>
      </c>
      <c r="AH112" s="5" t="str">
        <f t="shared" si="1527"/>
        <v/>
      </c>
      <c r="AI112" s="5" t="str">
        <f t="shared" si="1528"/>
        <v/>
      </c>
      <c r="AJ112" s="5" t="str">
        <f t="shared" si="1529"/>
        <v/>
      </c>
      <c r="AK112" s="5" t="str">
        <f t="shared" si="1530"/>
        <v/>
      </c>
      <c r="AL112" s="5" t="str">
        <f t="shared" si="1531"/>
        <v/>
      </c>
      <c r="AM112" s="5" t="str">
        <f t="shared" si="1532"/>
        <v/>
      </c>
      <c r="AN112" s="5" t="str">
        <f t="shared" ref="AN112" si="1535">IF(AN105="","",AN105-AM105)</f>
        <v/>
      </c>
      <c r="AO112" s="5" t="str">
        <f t="shared" ref="AO112:AS112" si="1536">IF(AO105="","",AO105-AN105)</f>
        <v/>
      </c>
      <c r="AP112" s="5" t="str">
        <f t="shared" si="1536"/>
        <v/>
      </c>
      <c r="AQ112" s="5" t="str">
        <f t="shared" si="1536"/>
        <v/>
      </c>
      <c r="AR112" s="5" t="str">
        <f t="shared" si="1536"/>
        <v/>
      </c>
      <c r="AS112" s="5" t="str">
        <f t="shared" si="1536"/>
        <v/>
      </c>
    </row>
    <row r="113" spans="1:45" s="84" customFormat="1" ht="11.25" x14ac:dyDescent="0.15">
      <c r="A113" s="7">
        <f>SUM(C113:AS113)</f>
        <v>1</v>
      </c>
      <c r="B113" s="6" t="s">
        <v>15</v>
      </c>
      <c r="C113" s="5">
        <v>0</v>
      </c>
      <c r="D113" s="5">
        <v>0</v>
      </c>
      <c r="E113" s="5">
        <v>0</v>
      </c>
      <c r="F113" s="5">
        <v>0</v>
      </c>
      <c r="G113" s="5">
        <v>1</v>
      </c>
      <c r="H113" s="5">
        <v>0</v>
      </c>
      <c r="I113" s="5">
        <v>0</v>
      </c>
      <c r="J113" s="5">
        <v>0</v>
      </c>
      <c r="K113" s="5">
        <v>0</v>
      </c>
      <c r="L113" s="5">
        <f t="shared" ref="L113" si="1537">IF(L106="","",K106+K107-L106)</f>
        <v>0</v>
      </c>
      <c r="M113" s="5">
        <f t="shared" ref="M113" si="1538">IF(M106="","",L106+L107-M106)</f>
        <v>0</v>
      </c>
      <c r="N113" s="5" t="str">
        <f t="shared" ref="N113" si="1539">IF(N106="","",M106+M107-N106)</f>
        <v/>
      </c>
      <c r="O113" s="5" t="str">
        <f t="shared" ref="O113" si="1540">IF(O106="","",N106+N107-O106)</f>
        <v/>
      </c>
      <c r="P113" s="5" t="str">
        <f t="shared" ref="P113" si="1541">IF(P106="","",O106+O107-P106)</f>
        <v/>
      </c>
      <c r="Q113" s="5" t="str">
        <f t="shared" ref="Q113" si="1542">IF(Q106="","",P106+P107-Q106)</f>
        <v/>
      </c>
      <c r="R113" s="5" t="str">
        <f t="shared" ref="R113" si="1543">IF(R106="","",Q106+Q107-R106)</f>
        <v/>
      </c>
      <c r="S113" s="5" t="str">
        <f t="shared" ref="S113" si="1544">IF(S106="","",R106+R107-S106)</f>
        <v/>
      </c>
      <c r="T113" s="5" t="str">
        <f t="shared" ref="T113" si="1545">IF(T106="","",S106+S107-T106)</f>
        <v/>
      </c>
      <c r="U113" s="5" t="str">
        <f t="shared" ref="U113" si="1546">IF(U106="","",T106+T107-U106)</f>
        <v/>
      </c>
      <c r="V113" s="5" t="str">
        <f t="shared" ref="V113" si="1547">IF(V106="","",U106+U107-V106)</f>
        <v/>
      </c>
      <c r="W113" s="5" t="str">
        <f t="shared" ref="W113" si="1548">IF(W106="","",V106+V107-W106)</f>
        <v/>
      </c>
      <c r="X113" s="5" t="str">
        <f t="shared" ref="X113" si="1549">IF(X106="","",W106+W107-X106)</f>
        <v/>
      </c>
      <c r="Y113" s="5" t="str">
        <f t="shared" ref="Y113" si="1550">IF(Y106="","",X106+X107-Y106)</f>
        <v/>
      </c>
      <c r="Z113" s="5" t="str">
        <f t="shared" ref="Z113" si="1551">IF(Z106="","",Y106+Y107-Z106)</f>
        <v/>
      </c>
      <c r="AA113" s="5" t="str">
        <f t="shared" ref="AA113" si="1552">IF(AA106="","",Z106+Z107-AA106)</f>
        <v/>
      </c>
      <c r="AB113" s="5" t="str">
        <f t="shared" ref="AB113" si="1553">IF(AB106="","",AA106+AA107-AB106)</f>
        <v/>
      </c>
      <c r="AC113" s="5" t="str">
        <f t="shared" ref="AC113" si="1554">IF(AC106="","",AB106+AB107-AC106)</f>
        <v/>
      </c>
      <c r="AD113" s="5" t="str">
        <f t="shared" ref="AD113" si="1555">IF(AD106="","",AC106+AC107-AD106)</f>
        <v/>
      </c>
      <c r="AE113" s="5" t="str">
        <f t="shared" ref="AE113" si="1556">IF(AE106="","",AD106+AD107-AE106)</f>
        <v/>
      </c>
      <c r="AF113" s="5" t="str">
        <f t="shared" ref="AF113" si="1557">IF(AF106="","",AE106+AE107-AF106)</f>
        <v/>
      </c>
      <c r="AG113" s="5" t="str">
        <f t="shared" ref="AG113" si="1558">IF(AG106="","",AF106+AF107-AG106)</f>
        <v/>
      </c>
      <c r="AH113" s="5" t="str">
        <f t="shared" ref="AH113" si="1559">IF(AH106="","",AG106+AG107-AH106)</f>
        <v/>
      </c>
      <c r="AI113" s="5" t="str">
        <f t="shared" ref="AI113" si="1560">IF(AI106="","",AH106+AH107-AI106)</f>
        <v/>
      </c>
      <c r="AJ113" s="5" t="str">
        <f t="shared" ref="AJ113" si="1561">IF(AJ106="","",AI106+AI107-AJ106)</f>
        <v/>
      </c>
      <c r="AK113" s="5" t="str">
        <f t="shared" ref="AK113" si="1562">IF(AK106="","",AJ106+AJ107-AK106)</f>
        <v/>
      </c>
      <c r="AL113" s="5" t="str">
        <f t="shared" ref="AL113" si="1563">IF(AL106="","",AK106+AK107-AL106)</f>
        <v/>
      </c>
      <c r="AM113" s="5" t="str">
        <f t="shared" ref="AM113" si="1564">IF(AM106="","",AL106+AL107-AM106)</f>
        <v/>
      </c>
      <c r="AN113" s="5" t="str">
        <f t="shared" ref="AN113" si="1565">IF(AN106="","",AM106+AM107-AN106)</f>
        <v/>
      </c>
      <c r="AO113" s="5" t="str">
        <f t="shared" ref="AO113:AS113" si="1566">IF(AO106="","",AN106+AN107-AO106)</f>
        <v/>
      </c>
      <c r="AP113" s="5" t="str">
        <f t="shared" si="1566"/>
        <v/>
      </c>
      <c r="AQ113" s="5" t="str">
        <f t="shared" si="1566"/>
        <v/>
      </c>
      <c r="AR113" s="5" t="str">
        <f t="shared" si="1566"/>
        <v/>
      </c>
      <c r="AS113" s="5" t="str">
        <f t="shared" si="1566"/>
        <v/>
      </c>
    </row>
    <row r="114" spans="1:45" s="84" customFormat="1" ht="11.25" x14ac:dyDescent="0.15">
      <c r="A114" s="7">
        <f>SUM(C114:AS114)</f>
        <v>750</v>
      </c>
      <c r="B114" s="6" t="s">
        <v>16</v>
      </c>
      <c r="C114" s="5">
        <v>0</v>
      </c>
      <c r="D114" s="5">
        <v>0</v>
      </c>
      <c r="E114" s="5">
        <v>0</v>
      </c>
      <c r="F114" s="5">
        <v>0</v>
      </c>
      <c r="G114" s="5">
        <v>750</v>
      </c>
      <c r="H114" s="5">
        <v>0</v>
      </c>
      <c r="I114" s="5">
        <v>0</v>
      </c>
      <c r="J114" s="5">
        <v>0</v>
      </c>
      <c r="K114" s="5">
        <v>0</v>
      </c>
      <c r="L114" s="5">
        <f t="shared" ref="J114:AM114" si="1567">IF(L104="","",L113*L108)</f>
        <v>0</v>
      </c>
      <c r="M114" s="5">
        <f t="shared" si="1567"/>
        <v>0</v>
      </c>
      <c r="N114" s="5" t="str">
        <f t="shared" si="1567"/>
        <v/>
      </c>
      <c r="O114" s="5" t="str">
        <f t="shared" si="1567"/>
        <v/>
      </c>
      <c r="P114" s="5" t="str">
        <f t="shared" si="1567"/>
        <v/>
      </c>
      <c r="Q114" s="5" t="str">
        <f t="shared" si="1567"/>
        <v/>
      </c>
      <c r="R114" s="5" t="str">
        <f t="shared" si="1567"/>
        <v/>
      </c>
      <c r="S114" s="5" t="str">
        <f t="shared" si="1567"/>
        <v/>
      </c>
      <c r="T114" s="5" t="str">
        <f t="shared" si="1567"/>
        <v/>
      </c>
      <c r="U114" s="5" t="str">
        <f t="shared" si="1567"/>
        <v/>
      </c>
      <c r="V114" s="5" t="str">
        <f t="shared" si="1567"/>
        <v/>
      </c>
      <c r="W114" s="5" t="str">
        <f t="shared" si="1567"/>
        <v/>
      </c>
      <c r="X114" s="5" t="str">
        <f t="shared" si="1567"/>
        <v/>
      </c>
      <c r="Y114" s="5" t="str">
        <f t="shared" si="1567"/>
        <v/>
      </c>
      <c r="Z114" s="5" t="str">
        <f t="shared" si="1567"/>
        <v/>
      </c>
      <c r="AA114" s="5" t="str">
        <f t="shared" si="1567"/>
        <v/>
      </c>
      <c r="AB114" s="5" t="str">
        <f t="shared" si="1567"/>
        <v/>
      </c>
      <c r="AC114" s="5" t="str">
        <f t="shared" si="1567"/>
        <v/>
      </c>
      <c r="AD114" s="5" t="str">
        <f t="shared" si="1567"/>
        <v/>
      </c>
      <c r="AE114" s="5" t="str">
        <f t="shared" si="1567"/>
        <v/>
      </c>
      <c r="AF114" s="5" t="str">
        <f t="shared" si="1567"/>
        <v/>
      </c>
      <c r="AG114" s="5" t="str">
        <f t="shared" si="1567"/>
        <v/>
      </c>
      <c r="AH114" s="5" t="str">
        <f t="shared" si="1567"/>
        <v/>
      </c>
      <c r="AI114" s="5" t="str">
        <f t="shared" si="1567"/>
        <v/>
      </c>
      <c r="AJ114" s="5" t="str">
        <f t="shared" si="1567"/>
        <v/>
      </c>
      <c r="AK114" s="5" t="str">
        <f t="shared" si="1567"/>
        <v/>
      </c>
      <c r="AL114" s="5" t="str">
        <f t="shared" si="1567"/>
        <v/>
      </c>
      <c r="AM114" s="5" t="str">
        <f t="shared" si="1567"/>
        <v/>
      </c>
      <c r="AN114" s="5" t="str">
        <f t="shared" ref="AN114" si="1568">IF(AN104="","",AN113*AN108)</f>
        <v/>
      </c>
      <c r="AO114" s="5" t="str">
        <f t="shared" ref="AO114:AS114" si="1569">IF(AO104="","",AO113*AO108)</f>
        <v/>
      </c>
      <c r="AP114" s="5" t="str">
        <f t="shared" si="1569"/>
        <v/>
      </c>
      <c r="AQ114" s="5" t="str">
        <f t="shared" si="1569"/>
        <v/>
      </c>
      <c r="AR114" s="5" t="str">
        <f t="shared" si="1569"/>
        <v/>
      </c>
      <c r="AS114" s="5" t="str">
        <f t="shared" si="1569"/>
        <v/>
      </c>
    </row>
    <row r="115" spans="1:45" s="84" customFormat="1" ht="12" thickBot="1" x14ac:dyDescent="0.2">
      <c r="A115" s="4">
        <f>IF(A114="","",A114/(A111*100))</f>
        <v>9.6153846153846159E-2</v>
      </c>
      <c r="B115" s="6" t="s">
        <v>18</v>
      </c>
      <c r="C115" s="18" t="s">
        <v>19</v>
      </c>
      <c r="D115" s="18" t="s">
        <v>19</v>
      </c>
      <c r="E115" s="18" t="s">
        <v>19</v>
      </c>
      <c r="F115" s="18" t="s">
        <v>19</v>
      </c>
      <c r="G115" s="18">
        <v>0.44117647058823528</v>
      </c>
      <c r="H115" s="18" t="s">
        <v>19</v>
      </c>
      <c r="I115" s="18" t="s">
        <v>19</v>
      </c>
      <c r="J115" s="18" t="s">
        <v>19</v>
      </c>
      <c r="K115" s="18" t="s">
        <v>19</v>
      </c>
      <c r="L115" s="18" t="str">
        <f t="shared" ref="J115:AM115" si="1570">IF(L114="","",IF(L114=0,"",L114/(L111*100)))</f>
        <v/>
      </c>
      <c r="M115" s="18" t="str">
        <f t="shared" si="1570"/>
        <v/>
      </c>
      <c r="N115" s="18" t="str">
        <f t="shared" si="1570"/>
        <v/>
      </c>
      <c r="O115" s="18" t="str">
        <f t="shared" si="1570"/>
        <v/>
      </c>
      <c r="P115" s="18" t="str">
        <f t="shared" si="1570"/>
        <v/>
      </c>
      <c r="Q115" s="18" t="str">
        <f t="shared" si="1570"/>
        <v/>
      </c>
      <c r="R115" s="18" t="str">
        <f t="shared" si="1570"/>
        <v/>
      </c>
      <c r="S115" s="18" t="str">
        <f t="shared" si="1570"/>
        <v/>
      </c>
      <c r="T115" s="18" t="str">
        <f>IF(T114="","",IF(T114=0,"",T114/(T111*100)))</f>
        <v/>
      </c>
      <c r="U115" s="18" t="str">
        <f t="shared" si="1570"/>
        <v/>
      </c>
      <c r="V115" s="18" t="str">
        <f t="shared" si="1570"/>
        <v/>
      </c>
      <c r="W115" s="18" t="str">
        <f t="shared" si="1570"/>
        <v/>
      </c>
      <c r="X115" s="18" t="str">
        <f t="shared" si="1570"/>
        <v/>
      </c>
      <c r="Y115" s="18" t="str">
        <f t="shared" si="1570"/>
        <v/>
      </c>
      <c r="Z115" s="18" t="str">
        <f t="shared" si="1570"/>
        <v/>
      </c>
      <c r="AA115" s="18" t="str">
        <f t="shared" si="1570"/>
        <v/>
      </c>
      <c r="AB115" s="18" t="str">
        <f t="shared" si="1570"/>
        <v/>
      </c>
      <c r="AC115" s="18" t="str">
        <f t="shared" si="1570"/>
        <v/>
      </c>
      <c r="AD115" s="18" t="str">
        <f t="shared" si="1570"/>
        <v/>
      </c>
      <c r="AE115" s="18" t="str">
        <f t="shared" si="1570"/>
        <v/>
      </c>
      <c r="AF115" s="18" t="str">
        <f t="shared" si="1570"/>
        <v/>
      </c>
      <c r="AG115" s="18" t="str">
        <f t="shared" si="1570"/>
        <v/>
      </c>
      <c r="AH115" s="18" t="str">
        <f t="shared" si="1570"/>
        <v/>
      </c>
      <c r="AI115" s="18" t="str">
        <f t="shared" si="1570"/>
        <v/>
      </c>
      <c r="AJ115" s="18" t="str">
        <f t="shared" si="1570"/>
        <v/>
      </c>
      <c r="AK115" s="18" t="str">
        <f t="shared" si="1570"/>
        <v/>
      </c>
      <c r="AL115" s="18" t="str">
        <f t="shared" si="1570"/>
        <v/>
      </c>
      <c r="AM115" s="18" t="str">
        <f t="shared" si="1570"/>
        <v/>
      </c>
      <c r="AN115" s="18" t="str">
        <f t="shared" ref="AN115" si="1571">IF(AN114="","",IF(AN114=0,"",AN114/(AN111*100)))</f>
        <v/>
      </c>
      <c r="AO115" s="18" t="str">
        <f t="shared" ref="AO115:AS115" si="1572">IF(AO114="","",IF(AO114=0,"",AO114/(AO111*100)))</f>
        <v/>
      </c>
      <c r="AP115" s="18" t="str">
        <f t="shared" si="1572"/>
        <v/>
      </c>
      <c r="AQ115" s="18" t="str">
        <f t="shared" si="1572"/>
        <v/>
      </c>
      <c r="AR115" s="18" t="str">
        <f t="shared" si="1572"/>
        <v/>
      </c>
      <c r="AS115" s="18" t="str">
        <f t="shared" si="1572"/>
        <v/>
      </c>
    </row>
    <row r="116" spans="1:45" s="84" customFormat="1" ht="11.25" x14ac:dyDescent="0.15">
      <c r="A116" s="17" t="s">
        <v>77</v>
      </c>
      <c r="B116" s="9" t="s">
        <v>2</v>
      </c>
      <c r="C116" s="8">
        <v>1247</v>
      </c>
      <c r="D116" s="8">
        <v>1256</v>
      </c>
      <c r="E116" s="8">
        <v>1256</v>
      </c>
      <c r="F116" s="8">
        <v>1256</v>
      </c>
      <c r="G116" s="8">
        <v>1278</v>
      </c>
      <c r="H116" s="8">
        <v>1278</v>
      </c>
      <c r="I116" s="8">
        <v>1278</v>
      </c>
      <c r="J116" s="8">
        <v>1278</v>
      </c>
      <c r="K116" s="8">
        <v>1373</v>
      </c>
      <c r="L116" s="8">
        <f>IF(L$8="","",K116)</f>
        <v>1373</v>
      </c>
      <c r="M116" s="8">
        <v>1408</v>
      </c>
      <c r="N116" s="8" t="str">
        <f t="shared" ref="N116:N117" si="1573">IF(N$8="","",M116)</f>
        <v/>
      </c>
      <c r="O116" s="8" t="str">
        <f>IF(O$8="","",N116)</f>
        <v/>
      </c>
      <c r="P116" s="8" t="str">
        <f t="shared" ref="P116:P117" si="1574">IF(P$8="","",O116)</f>
        <v/>
      </c>
      <c r="Q116" s="8" t="str">
        <f t="shared" ref="Q116:Q117" si="1575">IF(Q$8="","",P116)</f>
        <v/>
      </c>
      <c r="R116" s="8" t="str">
        <f t="shared" ref="R116:R117" si="1576">IF(R$8="","",Q116)</f>
        <v/>
      </c>
      <c r="S116" s="8" t="str">
        <f>IF(S$8="","",R116)</f>
        <v/>
      </c>
      <c r="T116" s="8" t="str">
        <f>IF(T$8="","",S116)</f>
        <v/>
      </c>
      <c r="U116" s="8" t="str">
        <f t="shared" ref="U116:U117" si="1577">IF(U$8="","",T116)</f>
        <v/>
      </c>
      <c r="V116" s="8" t="str">
        <f>IF(V$8="","",U116)</f>
        <v/>
      </c>
      <c r="W116" s="8" t="str">
        <f>IF(W$8="","",V116)</f>
        <v/>
      </c>
      <c r="X116" s="8" t="str">
        <f t="shared" ref="X116:X117" si="1578">IF(X$8="","",W116)</f>
        <v/>
      </c>
      <c r="Y116" s="8" t="str">
        <f t="shared" ref="Y116:Y117" si="1579">IF(Y$8="","",X116)</f>
        <v/>
      </c>
      <c r="Z116" s="8" t="str">
        <f>IF(Z$8="","",Y116)</f>
        <v/>
      </c>
      <c r="AA116" s="8" t="str">
        <f t="shared" ref="AA116:AA117" si="1580">IF(AA$8="","",Z116)</f>
        <v/>
      </c>
      <c r="AB116" s="8" t="str">
        <f t="shared" ref="AB116:AB117" si="1581">IF(AB$8="","",AA116)</f>
        <v/>
      </c>
      <c r="AC116" s="8" t="str">
        <f t="shared" ref="AC116:AC117" si="1582">IF(AC$8="","",AB116)</f>
        <v/>
      </c>
      <c r="AD116" s="8" t="str">
        <f>IF(AD$8="","",AC116)</f>
        <v/>
      </c>
      <c r="AE116" s="8" t="str">
        <f>IF(AE$8="","",AD116)</f>
        <v/>
      </c>
      <c r="AF116" s="8" t="str">
        <f t="shared" ref="AF116:AF117" si="1583">IF(AF$8="","",AE116)</f>
        <v/>
      </c>
      <c r="AG116" s="8" t="str">
        <f>IF(AG$8="","",AF116)</f>
        <v/>
      </c>
      <c r="AH116" s="8" t="str">
        <f t="shared" ref="AH116:AH117" si="1584">IF(AH$8="","",AG116)</f>
        <v/>
      </c>
      <c r="AI116" s="8" t="str">
        <f t="shared" ref="AI116:AI117" si="1585">IF(AI$8="","",AH116)</f>
        <v/>
      </c>
      <c r="AJ116" s="8" t="str">
        <f>IF(AJ$8="","",AI116)</f>
        <v/>
      </c>
      <c r="AK116" s="8" t="str">
        <f t="shared" ref="AK116:AK117" si="1586">IF(AK$8="","",AJ116)</f>
        <v/>
      </c>
      <c r="AL116" s="8" t="str">
        <f t="shared" ref="AL116:AL117" si="1587">IF(AL$8="","",AK116)</f>
        <v/>
      </c>
      <c r="AM116" s="8" t="str">
        <f t="shared" ref="AM116:AM117" si="1588">IF(AM$8="","",AL116)</f>
        <v/>
      </c>
      <c r="AN116" s="8" t="str">
        <f>IF(AN$8="","",AM116)</f>
        <v/>
      </c>
      <c r="AO116" s="8" t="str">
        <f t="shared" ref="AO116:AS116" si="1589">IF(AO$8="","",AN116)</f>
        <v/>
      </c>
      <c r="AP116" s="8" t="str">
        <f t="shared" si="1589"/>
        <v/>
      </c>
      <c r="AQ116" s="8" t="str">
        <f t="shared" si="1589"/>
        <v/>
      </c>
      <c r="AR116" s="8" t="str">
        <f t="shared" si="1589"/>
        <v/>
      </c>
      <c r="AS116" s="8" t="str">
        <f t="shared" si="1589"/>
        <v/>
      </c>
    </row>
    <row r="117" spans="1:45" s="84" customFormat="1" ht="11.25" x14ac:dyDescent="0.15">
      <c r="A117" s="16" t="s">
        <v>29</v>
      </c>
      <c r="B117" s="9" t="s">
        <v>4</v>
      </c>
      <c r="C117" s="8">
        <v>157</v>
      </c>
      <c r="D117" s="8">
        <v>158</v>
      </c>
      <c r="E117" s="8">
        <v>158</v>
      </c>
      <c r="F117" s="8">
        <v>158</v>
      </c>
      <c r="G117" s="8">
        <v>158</v>
      </c>
      <c r="H117" s="8">
        <v>158</v>
      </c>
      <c r="I117" s="8">
        <v>158</v>
      </c>
      <c r="J117" s="8">
        <v>158</v>
      </c>
      <c r="K117" s="8">
        <v>161</v>
      </c>
      <c r="L117" s="8">
        <f>IF(L$8="","",K117)</f>
        <v>161</v>
      </c>
      <c r="M117" s="8">
        <v>162</v>
      </c>
      <c r="N117" s="8" t="str">
        <f t="shared" si="1573"/>
        <v/>
      </c>
      <c r="O117" s="8" t="str">
        <f t="shared" ref="O117" si="1590">IF(O$8="","",N117)</f>
        <v/>
      </c>
      <c r="P117" s="8" t="str">
        <f t="shared" si="1574"/>
        <v/>
      </c>
      <c r="Q117" s="8" t="str">
        <f t="shared" si="1575"/>
        <v/>
      </c>
      <c r="R117" s="8" t="str">
        <f t="shared" si="1576"/>
        <v/>
      </c>
      <c r="S117" s="8" t="str">
        <f>IF(S$8="","",R117)</f>
        <v/>
      </c>
      <c r="T117" s="8" t="str">
        <f>IF(T$8="","",S117)</f>
        <v/>
      </c>
      <c r="U117" s="8" t="str">
        <f t="shared" si="1577"/>
        <v/>
      </c>
      <c r="V117" s="8" t="str">
        <f>IF(V$8="","",U117)</f>
        <v/>
      </c>
      <c r="W117" s="8" t="str">
        <f t="shared" ref="W117" si="1591">IF(W$8="","",V117)</f>
        <v/>
      </c>
      <c r="X117" s="8" t="str">
        <f t="shared" si="1578"/>
        <v/>
      </c>
      <c r="Y117" s="8" t="str">
        <f t="shared" si="1579"/>
        <v/>
      </c>
      <c r="Z117" s="8" t="str">
        <f>IF(Z$8="","",Y117)</f>
        <v/>
      </c>
      <c r="AA117" s="8" t="str">
        <f t="shared" si="1580"/>
        <v/>
      </c>
      <c r="AB117" s="8" t="str">
        <f t="shared" si="1581"/>
        <v/>
      </c>
      <c r="AC117" s="8" t="str">
        <f t="shared" si="1582"/>
        <v/>
      </c>
      <c r="AD117" s="8" t="str">
        <f t="shared" ref="AD117" si="1592">IF(AD$8="","",AC117)</f>
        <v/>
      </c>
      <c r="AE117" s="8" t="str">
        <f t="shared" ref="AE116:AE117" si="1593">IF(AE$8="","",AD117)</f>
        <v/>
      </c>
      <c r="AF117" s="8" t="str">
        <f t="shared" si="1583"/>
        <v/>
      </c>
      <c r="AG117" s="8" t="str">
        <f>IF(AG$8="","",AF117)</f>
        <v/>
      </c>
      <c r="AH117" s="8" t="str">
        <f t="shared" si="1584"/>
        <v/>
      </c>
      <c r="AI117" s="8" t="str">
        <f t="shared" si="1585"/>
        <v/>
      </c>
      <c r="AJ117" s="8" t="str">
        <f t="shared" ref="AJ116:AJ117" si="1594">IF(AJ$8="","",AI117)</f>
        <v/>
      </c>
      <c r="AK117" s="8" t="str">
        <f t="shared" si="1586"/>
        <v/>
      </c>
      <c r="AL117" s="8" t="str">
        <f t="shared" si="1587"/>
        <v/>
      </c>
      <c r="AM117" s="8" t="str">
        <f t="shared" si="1588"/>
        <v/>
      </c>
      <c r="AN117" s="8" t="str">
        <f>IF(AN$8="","",AM117)</f>
        <v/>
      </c>
      <c r="AO117" s="8" t="str">
        <f t="shared" ref="AO117:AS117" si="1595">IF(AO$8="","",AN117)</f>
        <v/>
      </c>
      <c r="AP117" s="8" t="str">
        <f t="shared" si="1595"/>
        <v/>
      </c>
      <c r="AQ117" s="8" t="str">
        <f t="shared" si="1595"/>
        <v/>
      </c>
      <c r="AR117" s="8" t="str">
        <f t="shared" si="1595"/>
        <v/>
      </c>
      <c r="AS117" s="8" t="str">
        <f t="shared" si="1595"/>
        <v/>
      </c>
    </row>
    <row r="118" spans="1:45" s="84" customFormat="1" ht="11.25" x14ac:dyDescent="0.15">
      <c r="A118" s="15">
        <v>2</v>
      </c>
      <c r="B118" s="9" t="s">
        <v>5</v>
      </c>
      <c r="C118" s="8">
        <v>38</v>
      </c>
      <c r="D118" s="8">
        <v>37</v>
      </c>
      <c r="E118" s="8">
        <v>37</v>
      </c>
      <c r="F118" s="8">
        <v>37</v>
      </c>
      <c r="G118" s="8">
        <v>37</v>
      </c>
      <c r="H118" s="8">
        <v>37</v>
      </c>
      <c r="I118" s="8">
        <v>37</v>
      </c>
      <c r="J118" s="8">
        <v>37</v>
      </c>
      <c r="K118" s="8">
        <v>34</v>
      </c>
      <c r="L118" s="8">
        <f>IF(L116="","",(K118+K119))</f>
        <v>34</v>
      </c>
      <c r="M118" s="8">
        <v>33</v>
      </c>
      <c r="N118" s="8" t="str">
        <f t="shared" ref="N118" si="1596">IF(N116="","",(M118+M119))</f>
        <v/>
      </c>
      <c r="O118" s="8" t="str">
        <f t="shared" ref="O118" si="1597">IF(O116="","",(N118+N119))</f>
        <v/>
      </c>
      <c r="P118" s="8" t="str">
        <f t="shared" ref="P118" si="1598">IF(P116="","",(O118+O119))</f>
        <v/>
      </c>
      <c r="Q118" s="8" t="str">
        <f t="shared" ref="Q118" si="1599">IF(Q116="","",(P118+P119))</f>
        <v/>
      </c>
      <c r="R118" s="8" t="str">
        <f t="shared" ref="R118" si="1600">IF(R116="","",(Q118+Q119))</f>
        <v/>
      </c>
      <c r="S118" s="8" t="str">
        <f>IF(S116="","",(R118+R119))</f>
        <v/>
      </c>
      <c r="T118" s="8" t="str">
        <f>IF(T116="","",(S118+S119))</f>
        <v/>
      </c>
      <c r="U118" s="8" t="str">
        <f t="shared" ref="U118" si="1601">IF(U116="","",(T118+T119))</f>
        <v/>
      </c>
      <c r="V118" s="8" t="str">
        <f>IF(V116="","",(U118+U119))</f>
        <v/>
      </c>
      <c r="W118" s="8" t="str">
        <f t="shared" ref="W118" si="1602">IF(W116="","",(V118+V119))</f>
        <v/>
      </c>
      <c r="X118" s="8" t="str">
        <f t="shared" ref="X118" si="1603">IF(X116="","",(W118+W119))</f>
        <v/>
      </c>
      <c r="Y118" s="8" t="str">
        <f t="shared" ref="Y118" si="1604">IF(Y116="","",(X118+X119))</f>
        <v/>
      </c>
      <c r="Z118" s="8" t="str">
        <f>IF(Z116="","",(Y118+Y119))</f>
        <v/>
      </c>
      <c r="AA118" s="8" t="str">
        <f t="shared" ref="AA118" si="1605">IF(AA116="","",(Z118+Z119))</f>
        <v/>
      </c>
      <c r="AB118" s="8" t="str">
        <f t="shared" ref="AB118" si="1606">IF(AB116="","",(AA118+AA119))</f>
        <v/>
      </c>
      <c r="AC118" s="8" t="str">
        <f t="shared" ref="AC118" si="1607">IF(AC116="","",(AB118+AB119))</f>
        <v/>
      </c>
      <c r="AD118" s="8" t="str">
        <f t="shared" ref="AD118" si="1608">IF(AD116="","",(AC118+AC119))</f>
        <v/>
      </c>
      <c r="AE118" s="8" t="str">
        <f t="shared" ref="AE118" si="1609">IF(AE116="","",(AD118+AD119))</f>
        <v/>
      </c>
      <c r="AF118" s="8" t="str">
        <f t="shared" ref="AF118" si="1610">IF(AF116="","",(AE118+AE119))</f>
        <v/>
      </c>
      <c r="AG118" s="8" t="str">
        <f>IF(AG116="","",(AF118+AF119))</f>
        <v/>
      </c>
      <c r="AH118" s="8" t="str">
        <f t="shared" ref="AH118" si="1611">IF(AH116="","",(AG118+AG119))</f>
        <v/>
      </c>
      <c r="AI118" s="8" t="str">
        <f t="shared" ref="AI118" si="1612">IF(AI116="","",(AH118+AH119))</f>
        <v/>
      </c>
      <c r="AJ118" s="8" t="str">
        <f t="shared" ref="AJ118" si="1613">IF(AJ116="","",(AI118+AI119))</f>
        <v/>
      </c>
      <c r="AK118" s="8" t="str">
        <f t="shared" ref="AK118" si="1614">IF(AK116="","",(AJ118+AJ119))</f>
        <v/>
      </c>
      <c r="AL118" s="8" t="str">
        <f t="shared" ref="AL118" si="1615">IF(AL116="","",(AK118+AK119))</f>
        <v/>
      </c>
      <c r="AM118" s="8" t="str">
        <f t="shared" ref="AM118" si="1616">IF(AM116="","",(AL118+AL119))</f>
        <v/>
      </c>
      <c r="AN118" s="8" t="str">
        <f>IF(AN116="","",(AM118+AM119))</f>
        <v/>
      </c>
      <c r="AO118" s="8" t="str">
        <f t="shared" ref="AO118:AS118" si="1617">IF(AO116="","",(AN118+AN119))</f>
        <v/>
      </c>
      <c r="AP118" s="8" t="str">
        <f t="shared" si="1617"/>
        <v/>
      </c>
      <c r="AQ118" s="8" t="str">
        <f t="shared" si="1617"/>
        <v/>
      </c>
      <c r="AR118" s="8" t="str">
        <f t="shared" si="1617"/>
        <v/>
      </c>
      <c r="AS118" s="8" t="str">
        <f t="shared" si="1617"/>
        <v/>
      </c>
    </row>
    <row r="119" spans="1:45" s="84" customFormat="1" ht="11.25" x14ac:dyDescent="0.15">
      <c r="A119" s="14"/>
      <c r="B119" s="9" t="s">
        <v>7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</row>
    <row r="120" spans="1:45" s="84" customFormat="1" ht="11.25" x14ac:dyDescent="0.15">
      <c r="A120" s="7"/>
      <c r="B120" s="9" t="s">
        <v>8</v>
      </c>
      <c r="C120" s="8">
        <v>250</v>
      </c>
      <c r="D120" s="8">
        <v>250</v>
      </c>
      <c r="E120" s="8">
        <v>250</v>
      </c>
      <c r="F120" s="8">
        <v>250</v>
      </c>
      <c r="G120" s="8">
        <v>250</v>
      </c>
      <c r="H120" s="8">
        <v>250</v>
      </c>
      <c r="I120" s="8">
        <v>250</v>
      </c>
      <c r="J120" s="8">
        <v>250</v>
      </c>
      <c r="K120" s="8">
        <v>250</v>
      </c>
      <c r="L120" s="8">
        <f t="shared" ref="L120" si="1618">IF(L116="","",K120)</f>
        <v>250</v>
      </c>
      <c r="M120" s="8">
        <f t="shared" ref="M120" si="1619">IF(M116="","",L120)</f>
        <v>250</v>
      </c>
      <c r="N120" s="8" t="str">
        <f t="shared" ref="N120" si="1620">IF(N116="","",M120)</f>
        <v/>
      </c>
      <c r="O120" s="8" t="str">
        <f t="shared" ref="O120" si="1621">IF(O116="","",N120)</f>
        <v/>
      </c>
      <c r="P120" s="8" t="str">
        <f t="shared" ref="P120" si="1622">IF(P116="","",O120)</f>
        <v/>
      </c>
      <c r="Q120" s="8" t="str">
        <f t="shared" ref="Q120" si="1623">IF(Q116="","",P120)</f>
        <v/>
      </c>
      <c r="R120" s="8" t="str">
        <f t="shared" ref="R120" si="1624">IF(R116="","",Q120)</f>
        <v/>
      </c>
      <c r="S120" s="8" t="str">
        <f t="shared" ref="S120" si="1625">IF(S116="","",R120)</f>
        <v/>
      </c>
      <c r="T120" s="8" t="str">
        <f t="shared" ref="T120" si="1626">IF(T116="","",S120)</f>
        <v/>
      </c>
      <c r="U120" s="8" t="str">
        <f t="shared" ref="U120" si="1627">IF(U116="","",T120)</f>
        <v/>
      </c>
      <c r="V120" s="8" t="str">
        <f t="shared" ref="V120" si="1628">IF(V116="","",U120)</f>
        <v/>
      </c>
      <c r="W120" s="8" t="str">
        <f t="shared" ref="W120" si="1629">IF(W116="","",V120)</f>
        <v/>
      </c>
      <c r="X120" s="8" t="str">
        <f t="shared" ref="X120" si="1630">IF(X116="","",W120)</f>
        <v/>
      </c>
      <c r="Y120" s="8" t="str">
        <f t="shared" ref="Y120" si="1631">IF(Y116="","",X120)</f>
        <v/>
      </c>
      <c r="Z120" s="8" t="str">
        <f t="shared" ref="Z120" si="1632">IF(Z116="","",Y120)</f>
        <v/>
      </c>
      <c r="AA120" s="8" t="str">
        <f t="shared" ref="AA120" si="1633">IF(AA116="","",Z120)</f>
        <v/>
      </c>
      <c r="AB120" s="8" t="str">
        <f t="shared" ref="AB120" si="1634">IF(AB116="","",AA120)</f>
        <v/>
      </c>
      <c r="AC120" s="8" t="str">
        <f t="shared" ref="AC120" si="1635">IF(AC116="","",AB120)</f>
        <v/>
      </c>
      <c r="AD120" s="8" t="str">
        <f t="shared" ref="AD120" si="1636">IF(AD116="","",AC120)</f>
        <v/>
      </c>
      <c r="AE120" s="8" t="str">
        <f t="shared" ref="AE120" si="1637">IF(AE116="","",AD120)</f>
        <v/>
      </c>
      <c r="AF120" s="8" t="str">
        <f t="shared" ref="AF120" si="1638">IF(AF116="","",AE120)</f>
        <v/>
      </c>
      <c r="AG120" s="8" t="str">
        <f t="shared" ref="AG120" si="1639">IF(AG116="","",AF120)</f>
        <v/>
      </c>
      <c r="AH120" s="8" t="str">
        <f t="shared" ref="AH120" si="1640">IF(AH116="","",AG120)</f>
        <v/>
      </c>
      <c r="AI120" s="8" t="str">
        <f t="shared" ref="AI120" si="1641">IF(AI116="","",AH120)</f>
        <v/>
      </c>
      <c r="AJ120" s="8" t="str">
        <f t="shared" ref="AJ120" si="1642">IF(AJ116="","",AI120)</f>
        <v/>
      </c>
      <c r="AK120" s="8" t="str">
        <f t="shared" ref="AK120" si="1643">IF(AK116="","",AJ120)</f>
        <v/>
      </c>
      <c r="AL120" s="8" t="str">
        <f t="shared" ref="AL120" si="1644">IF(AL116="","",AK120)</f>
        <v/>
      </c>
      <c r="AM120" s="8" t="str">
        <f t="shared" ref="AM120" si="1645">IF(AM116="","",AL120)</f>
        <v/>
      </c>
      <c r="AN120" s="8" t="str">
        <f t="shared" ref="AN120" si="1646">IF(AN116="","",AM120)</f>
        <v/>
      </c>
      <c r="AO120" s="8" t="str">
        <f t="shared" ref="AO120:AS120" si="1647">IF(AO116="","",AN120)</f>
        <v/>
      </c>
      <c r="AP120" s="8" t="str">
        <f t="shared" si="1647"/>
        <v/>
      </c>
      <c r="AQ120" s="8" t="str">
        <f t="shared" si="1647"/>
        <v/>
      </c>
      <c r="AR120" s="8" t="str">
        <f t="shared" si="1647"/>
        <v/>
      </c>
      <c r="AS120" s="8" t="str">
        <f t="shared" si="1647"/>
        <v/>
      </c>
    </row>
    <row r="121" spans="1:45" s="85" customFormat="1" ht="11.25" x14ac:dyDescent="0.15">
      <c r="A121" s="14" t="s">
        <v>9</v>
      </c>
      <c r="B121" s="13" t="s">
        <v>10</v>
      </c>
      <c r="C121" s="12" t="s">
        <v>11</v>
      </c>
      <c r="D121" s="12" t="s">
        <v>11</v>
      </c>
      <c r="E121" s="12" t="s">
        <v>11</v>
      </c>
      <c r="F121" s="12" t="s">
        <v>11</v>
      </c>
      <c r="G121" s="12" t="s">
        <v>11</v>
      </c>
      <c r="H121" s="12" t="s">
        <v>11</v>
      </c>
      <c r="I121" s="12" t="s">
        <v>11</v>
      </c>
      <c r="J121" s="12" t="s">
        <v>11</v>
      </c>
      <c r="K121" s="12" t="s">
        <v>11</v>
      </c>
      <c r="L121" s="12" t="str">
        <f t="shared" ref="L121" si="1648">IF(L116="","",K121)</f>
        <v>電ブル</v>
      </c>
      <c r="M121" s="12" t="str">
        <f t="shared" ref="M121" si="1649">IF(M116="","",L121)</f>
        <v>電ブル</v>
      </c>
      <c r="N121" s="12" t="str">
        <f t="shared" ref="N121" si="1650">IF(N116="","",M121)</f>
        <v/>
      </c>
      <c r="O121" s="12" t="str">
        <f t="shared" ref="O121" si="1651">IF(O116="","",N121)</f>
        <v/>
      </c>
      <c r="P121" s="12" t="str">
        <f t="shared" ref="P121" si="1652">IF(P116="","",O121)</f>
        <v/>
      </c>
      <c r="Q121" s="12" t="str">
        <f t="shared" ref="Q121" si="1653">IF(Q116="","",P121)</f>
        <v/>
      </c>
      <c r="R121" s="12" t="str">
        <f t="shared" ref="R121" si="1654">IF(R116="","",Q121)</f>
        <v/>
      </c>
      <c r="S121" s="12" t="str">
        <f t="shared" ref="S121" si="1655">IF(S116="","",R121)</f>
        <v/>
      </c>
      <c r="T121" s="12" t="str">
        <f t="shared" ref="T121" si="1656">IF(T116="","",S121)</f>
        <v/>
      </c>
      <c r="U121" s="12" t="str">
        <f t="shared" ref="U121" si="1657">IF(U116="","",T121)</f>
        <v/>
      </c>
      <c r="V121" s="12" t="str">
        <f t="shared" ref="V121" si="1658">IF(V116="","",U121)</f>
        <v/>
      </c>
      <c r="W121" s="12" t="str">
        <f t="shared" ref="W121" si="1659">IF(W116="","",V121)</f>
        <v/>
      </c>
      <c r="X121" s="12" t="str">
        <f t="shared" ref="X121" si="1660">IF(X116="","",W121)</f>
        <v/>
      </c>
      <c r="Y121" s="12" t="str">
        <f t="shared" ref="Y121" si="1661">IF(Y116="","",X121)</f>
        <v/>
      </c>
      <c r="Z121" s="12" t="str">
        <f t="shared" ref="Z121" si="1662">IF(Z116="","",Y121)</f>
        <v/>
      </c>
      <c r="AA121" s="12" t="str">
        <f t="shared" ref="AA121" si="1663">IF(AA116="","",Z121)</f>
        <v/>
      </c>
      <c r="AB121" s="12" t="str">
        <f t="shared" ref="AB121" si="1664">IF(AB116="","",AA121)</f>
        <v/>
      </c>
      <c r="AC121" s="12" t="str">
        <f t="shared" ref="AC121" si="1665">IF(AC116="","",AB121)</f>
        <v/>
      </c>
      <c r="AD121" s="12" t="str">
        <f t="shared" ref="AD121" si="1666">IF(AD116="","",AC121)</f>
        <v/>
      </c>
      <c r="AE121" s="12" t="str">
        <f t="shared" ref="AE121" si="1667">IF(AE116="","",AD121)</f>
        <v/>
      </c>
      <c r="AF121" s="12" t="str">
        <f t="shared" ref="AF121" si="1668">IF(AF116="","",AE121)</f>
        <v/>
      </c>
      <c r="AG121" s="12" t="str">
        <f t="shared" ref="AG121" si="1669">IF(AG116="","",AF121)</f>
        <v/>
      </c>
      <c r="AH121" s="12" t="str">
        <f t="shared" ref="AH121" si="1670">IF(AH116="","",AG121)</f>
        <v/>
      </c>
      <c r="AI121" s="12" t="str">
        <f t="shared" ref="AI121" si="1671">IF(AI116="","",AH121)</f>
        <v/>
      </c>
      <c r="AJ121" s="12" t="str">
        <f t="shared" ref="AJ121" si="1672">IF(AJ116="","",AI121)</f>
        <v/>
      </c>
      <c r="AK121" s="12" t="str">
        <f t="shared" ref="AK121" si="1673">IF(AK116="","",AJ121)</f>
        <v/>
      </c>
      <c r="AL121" s="12" t="str">
        <f t="shared" ref="AL121" si="1674">IF(AL116="","",AK121)</f>
        <v/>
      </c>
      <c r="AM121" s="12" t="str">
        <f t="shared" ref="AM121" si="1675">IF(AM116="","",AL121)</f>
        <v/>
      </c>
      <c r="AN121" s="12" t="str">
        <f t="shared" ref="AN121" si="1676">IF(AN116="","",AM121)</f>
        <v/>
      </c>
      <c r="AO121" s="12" t="str">
        <f t="shared" ref="AO121:AS121" si="1677">IF(AO116="","",AN121)</f>
        <v/>
      </c>
      <c r="AP121" s="12" t="str">
        <f t="shared" si="1677"/>
        <v/>
      </c>
      <c r="AQ121" s="12" t="str">
        <f t="shared" si="1677"/>
        <v/>
      </c>
      <c r="AR121" s="12" t="str">
        <f t="shared" si="1677"/>
        <v/>
      </c>
      <c r="AS121" s="12" t="str">
        <f t="shared" si="1677"/>
        <v/>
      </c>
    </row>
    <row r="122" spans="1:45" s="84" customFormat="1" ht="11.25" x14ac:dyDescent="0.15">
      <c r="A122" s="7">
        <f>AVERAGE(C123:AS123)*30*100</f>
        <v>43909.090909090912</v>
      </c>
      <c r="B122" s="9" t="s">
        <v>12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</row>
    <row r="123" spans="1:45" s="84" customFormat="1" ht="11.25" x14ac:dyDescent="0.15">
      <c r="A123" s="7">
        <f>SUM(C123:AS123)</f>
        <v>161</v>
      </c>
      <c r="B123" s="6" t="s">
        <v>13</v>
      </c>
      <c r="C123" s="5">
        <v>0</v>
      </c>
      <c r="D123" s="5">
        <v>9</v>
      </c>
      <c r="E123" s="5">
        <v>0</v>
      </c>
      <c r="F123" s="5">
        <v>0</v>
      </c>
      <c r="G123" s="5">
        <v>22</v>
      </c>
      <c r="H123" s="5">
        <v>0</v>
      </c>
      <c r="I123" s="5">
        <v>0</v>
      </c>
      <c r="J123" s="5">
        <v>0</v>
      </c>
      <c r="K123" s="5">
        <v>95</v>
      </c>
      <c r="L123" s="5">
        <f t="shared" ref="L123:L124" si="1678">IF(L116="","",L116-K116)</f>
        <v>0</v>
      </c>
      <c r="M123" s="5">
        <f t="shared" ref="M123:M124" si="1679">IF(M116="","",M116-L116)</f>
        <v>35</v>
      </c>
      <c r="N123" s="5" t="str">
        <f t="shared" ref="N123:N124" si="1680">IF(N116="","",N116-M116)</f>
        <v/>
      </c>
      <c r="O123" s="5" t="str">
        <f t="shared" ref="O123:O124" si="1681">IF(O116="","",O116-N116)</f>
        <v/>
      </c>
      <c r="P123" s="5" t="str">
        <f t="shared" ref="P123:P124" si="1682">IF(P116="","",P116-O116)</f>
        <v/>
      </c>
      <c r="Q123" s="5" t="str">
        <f t="shared" ref="Q123:Q124" si="1683">IF(Q116="","",Q116-P116)</f>
        <v/>
      </c>
      <c r="R123" s="5" t="str">
        <f t="shared" ref="R123:R124" si="1684">IF(R116="","",R116-Q116)</f>
        <v/>
      </c>
      <c r="S123" s="5" t="str">
        <f t="shared" ref="S123:S124" si="1685">IF(S116="","",S116-R116)</f>
        <v/>
      </c>
      <c r="T123" s="5" t="str">
        <f t="shared" ref="T123:T124" si="1686">IF(T116="","",T116-S116)</f>
        <v/>
      </c>
      <c r="U123" s="5" t="str">
        <f t="shared" ref="U123:U124" si="1687">IF(U116="","",U116-T116)</f>
        <v/>
      </c>
      <c r="V123" s="5" t="str">
        <f t="shared" ref="V123:V124" si="1688">IF(V116="","",V116-U116)</f>
        <v/>
      </c>
      <c r="W123" s="5" t="str">
        <f t="shared" ref="W123:W124" si="1689">IF(W116="","",W116-V116)</f>
        <v/>
      </c>
      <c r="X123" s="5" t="str">
        <f t="shared" ref="X123:X124" si="1690">IF(X116="","",X116-W116)</f>
        <v/>
      </c>
      <c r="Y123" s="5" t="str">
        <f t="shared" ref="Y123:Y124" si="1691">IF(Y116="","",Y116-X116)</f>
        <v/>
      </c>
      <c r="Z123" s="5" t="str">
        <f t="shared" ref="Z123:Z124" si="1692">IF(Z116="","",Z116-Y116)</f>
        <v/>
      </c>
      <c r="AA123" s="5" t="str">
        <f t="shared" ref="AA123:AA124" si="1693">IF(AA116="","",AA116-Z116)</f>
        <v/>
      </c>
      <c r="AB123" s="5" t="str">
        <f t="shared" ref="AB123:AB124" si="1694">IF(AB116="","",AB116-AA116)</f>
        <v/>
      </c>
      <c r="AC123" s="5" t="str">
        <f t="shared" ref="AC123:AC124" si="1695">IF(AC116="","",AC116-AB116)</f>
        <v/>
      </c>
      <c r="AD123" s="5" t="str">
        <f t="shared" ref="AD123:AD124" si="1696">IF(AD116="","",AD116-AC116)</f>
        <v/>
      </c>
      <c r="AE123" s="5" t="str">
        <f t="shared" ref="AE123:AE124" si="1697">IF(AE116="","",AE116-AD116)</f>
        <v/>
      </c>
      <c r="AF123" s="5" t="str">
        <f t="shared" ref="AF123:AF124" si="1698">IF(AF116="","",AF116-AE116)</f>
        <v/>
      </c>
      <c r="AG123" s="5" t="str">
        <f t="shared" ref="AG123:AG124" si="1699">IF(AG116="","",AG116-AF116)</f>
        <v/>
      </c>
      <c r="AH123" s="5" t="str">
        <f t="shared" ref="AH123:AH124" si="1700">IF(AH116="","",AH116-AG116)</f>
        <v/>
      </c>
      <c r="AI123" s="5" t="str">
        <f t="shared" ref="AI123:AI124" si="1701">IF(AI116="","",AI116-AH116)</f>
        <v/>
      </c>
      <c r="AJ123" s="5" t="str">
        <f t="shared" ref="AJ123:AJ124" si="1702">IF(AJ116="","",AJ116-AI116)</f>
        <v/>
      </c>
      <c r="AK123" s="5" t="str">
        <f t="shared" ref="AK123:AK124" si="1703">IF(AK116="","",AK116-AJ116)</f>
        <v/>
      </c>
      <c r="AL123" s="5" t="str">
        <f t="shared" ref="AL123:AL124" si="1704">IF(AL116="","",AL116-AK116)</f>
        <v/>
      </c>
      <c r="AM123" s="5" t="str">
        <f t="shared" ref="AM123:AM124" si="1705">IF(AM116="","",AM116-AL116)</f>
        <v/>
      </c>
      <c r="AN123" s="5" t="str">
        <f t="shared" ref="AN123" si="1706">IF(AN116="","",AN116-AM116)</f>
        <v/>
      </c>
      <c r="AO123" s="5" t="str">
        <f t="shared" ref="AO123:AS123" si="1707">IF(AO116="","",AO116-AN116)</f>
        <v/>
      </c>
      <c r="AP123" s="5" t="str">
        <f t="shared" si="1707"/>
        <v/>
      </c>
      <c r="AQ123" s="5" t="str">
        <f t="shared" si="1707"/>
        <v/>
      </c>
      <c r="AR123" s="5" t="str">
        <f t="shared" si="1707"/>
        <v/>
      </c>
      <c r="AS123" s="5" t="str">
        <f t="shared" si="1707"/>
        <v/>
      </c>
    </row>
    <row r="124" spans="1:45" s="84" customFormat="1" ht="11.25" x14ac:dyDescent="0.15">
      <c r="A124" s="7">
        <f>SUM(C124:AS124)</f>
        <v>5</v>
      </c>
      <c r="B124" s="6" t="s">
        <v>14</v>
      </c>
      <c r="C124" s="5">
        <v>0</v>
      </c>
      <c r="D124" s="5">
        <v>1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3</v>
      </c>
      <c r="L124" s="5">
        <f t="shared" si="1678"/>
        <v>0</v>
      </c>
      <c r="M124" s="5">
        <f t="shared" si="1679"/>
        <v>1</v>
      </c>
      <c r="N124" s="5" t="str">
        <f t="shared" si="1680"/>
        <v/>
      </c>
      <c r="O124" s="5" t="str">
        <f t="shared" si="1681"/>
        <v/>
      </c>
      <c r="P124" s="5" t="str">
        <f t="shared" si="1682"/>
        <v/>
      </c>
      <c r="Q124" s="5" t="str">
        <f t="shared" si="1683"/>
        <v/>
      </c>
      <c r="R124" s="5" t="str">
        <f t="shared" si="1684"/>
        <v/>
      </c>
      <c r="S124" s="5" t="str">
        <f t="shared" si="1685"/>
        <v/>
      </c>
      <c r="T124" s="5" t="str">
        <f t="shared" si="1686"/>
        <v/>
      </c>
      <c r="U124" s="5" t="str">
        <f t="shared" si="1687"/>
        <v/>
      </c>
      <c r="V124" s="5" t="str">
        <f t="shared" si="1688"/>
        <v/>
      </c>
      <c r="W124" s="5" t="str">
        <f t="shared" si="1689"/>
        <v/>
      </c>
      <c r="X124" s="5" t="str">
        <f t="shared" si="1690"/>
        <v/>
      </c>
      <c r="Y124" s="5" t="str">
        <f t="shared" si="1691"/>
        <v/>
      </c>
      <c r="Z124" s="5" t="str">
        <f t="shared" si="1692"/>
        <v/>
      </c>
      <c r="AA124" s="5" t="str">
        <f t="shared" si="1693"/>
        <v/>
      </c>
      <c r="AB124" s="5" t="str">
        <f t="shared" si="1694"/>
        <v/>
      </c>
      <c r="AC124" s="5" t="str">
        <f t="shared" si="1695"/>
        <v/>
      </c>
      <c r="AD124" s="5" t="str">
        <f t="shared" si="1696"/>
        <v/>
      </c>
      <c r="AE124" s="5" t="str">
        <f t="shared" si="1697"/>
        <v/>
      </c>
      <c r="AF124" s="5" t="str">
        <f t="shared" si="1698"/>
        <v/>
      </c>
      <c r="AG124" s="5" t="str">
        <f t="shared" si="1699"/>
        <v/>
      </c>
      <c r="AH124" s="5" t="str">
        <f t="shared" si="1700"/>
        <v/>
      </c>
      <c r="AI124" s="5" t="str">
        <f t="shared" si="1701"/>
        <v/>
      </c>
      <c r="AJ124" s="5" t="str">
        <f t="shared" si="1702"/>
        <v/>
      </c>
      <c r="AK124" s="5" t="str">
        <f t="shared" si="1703"/>
        <v/>
      </c>
      <c r="AL124" s="5" t="str">
        <f t="shared" si="1704"/>
        <v/>
      </c>
      <c r="AM124" s="5" t="str">
        <f t="shared" si="1705"/>
        <v/>
      </c>
      <c r="AN124" s="5" t="str">
        <f t="shared" ref="AN124" si="1708">IF(AN117="","",AN117-AM117)</f>
        <v/>
      </c>
      <c r="AO124" s="5" t="str">
        <f t="shared" ref="AO124:AS124" si="1709">IF(AO117="","",AO117-AN117)</f>
        <v/>
      </c>
      <c r="AP124" s="5" t="str">
        <f t="shared" si="1709"/>
        <v/>
      </c>
      <c r="AQ124" s="5" t="str">
        <f t="shared" si="1709"/>
        <v/>
      </c>
      <c r="AR124" s="5" t="str">
        <f t="shared" si="1709"/>
        <v/>
      </c>
      <c r="AS124" s="5" t="str">
        <f t="shared" si="1709"/>
        <v/>
      </c>
    </row>
    <row r="125" spans="1:45" s="84" customFormat="1" ht="11.25" x14ac:dyDescent="0.15">
      <c r="A125" s="7">
        <f>SUM(C125:AS125)</f>
        <v>5</v>
      </c>
      <c r="B125" s="6" t="s">
        <v>15</v>
      </c>
      <c r="C125" s="5">
        <v>0</v>
      </c>
      <c r="D125" s="5">
        <v>1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3</v>
      </c>
      <c r="L125" s="5">
        <f t="shared" ref="L125" si="1710">IF(L118="","",K118+K119-L118)</f>
        <v>0</v>
      </c>
      <c r="M125" s="5">
        <f t="shared" ref="M125" si="1711">IF(M118="","",L118+L119-M118)</f>
        <v>1</v>
      </c>
      <c r="N125" s="5" t="str">
        <f t="shared" ref="N125" si="1712">IF(N118="","",M118+M119-N118)</f>
        <v/>
      </c>
      <c r="O125" s="5" t="str">
        <f t="shared" ref="O125" si="1713">IF(O118="","",N118+N119-O118)</f>
        <v/>
      </c>
      <c r="P125" s="5" t="str">
        <f t="shared" ref="P125" si="1714">IF(P118="","",O118+O119-P118)</f>
        <v/>
      </c>
      <c r="Q125" s="5" t="str">
        <f t="shared" ref="Q125" si="1715">IF(Q118="","",P118+P119-Q118)</f>
        <v/>
      </c>
      <c r="R125" s="5" t="str">
        <f t="shared" ref="R125" si="1716">IF(R118="","",Q118+Q119-R118)</f>
        <v/>
      </c>
      <c r="S125" s="5" t="str">
        <f t="shared" ref="S125" si="1717">IF(S118="","",R118+R119-S118)</f>
        <v/>
      </c>
      <c r="T125" s="5" t="str">
        <f t="shared" ref="T125" si="1718">IF(T118="","",S118+S119-T118)</f>
        <v/>
      </c>
      <c r="U125" s="5" t="str">
        <f t="shared" ref="U125" si="1719">IF(U118="","",T118+T119-U118)</f>
        <v/>
      </c>
      <c r="V125" s="5" t="str">
        <f t="shared" ref="V125" si="1720">IF(V118="","",U118+U119-V118)</f>
        <v/>
      </c>
      <c r="W125" s="5" t="str">
        <f t="shared" ref="W125" si="1721">IF(W118="","",V118+V119-W118)</f>
        <v/>
      </c>
      <c r="X125" s="5" t="str">
        <f t="shared" ref="X125" si="1722">IF(X118="","",W118+W119-X118)</f>
        <v/>
      </c>
      <c r="Y125" s="5" t="str">
        <f t="shared" ref="Y125" si="1723">IF(Y118="","",X118+X119-Y118)</f>
        <v/>
      </c>
      <c r="Z125" s="5" t="str">
        <f t="shared" ref="Z125" si="1724">IF(Z118="","",Y118+Y119-Z118)</f>
        <v/>
      </c>
      <c r="AA125" s="5" t="str">
        <f t="shared" ref="AA125" si="1725">IF(AA118="","",Z118+Z119-AA118)</f>
        <v/>
      </c>
      <c r="AB125" s="5" t="str">
        <f t="shared" ref="AB125" si="1726">IF(AB118="","",AA118+AA119-AB118)</f>
        <v/>
      </c>
      <c r="AC125" s="5" t="str">
        <f t="shared" ref="AC125" si="1727">IF(AC118="","",AB118+AB119-AC118)</f>
        <v/>
      </c>
      <c r="AD125" s="5" t="str">
        <f t="shared" ref="AD125" si="1728">IF(AD118="","",AC118+AC119-AD118)</f>
        <v/>
      </c>
      <c r="AE125" s="5" t="str">
        <f t="shared" ref="AE125" si="1729">IF(AE118="","",AD118+AD119-AE118)</f>
        <v/>
      </c>
      <c r="AF125" s="5" t="str">
        <f t="shared" ref="AF125" si="1730">IF(AF118="","",AE118+AE119-AF118)</f>
        <v/>
      </c>
      <c r="AG125" s="5" t="str">
        <f t="shared" ref="AG125" si="1731">IF(AG118="","",AF118+AF119-AG118)</f>
        <v/>
      </c>
      <c r="AH125" s="5" t="str">
        <f t="shared" ref="AH125" si="1732">IF(AH118="","",AG118+AG119-AH118)</f>
        <v/>
      </c>
      <c r="AI125" s="5" t="str">
        <f t="shared" ref="AI125" si="1733">IF(AI118="","",AH118+AH119-AI118)</f>
        <v/>
      </c>
      <c r="AJ125" s="5" t="str">
        <f t="shared" ref="AJ125" si="1734">IF(AJ118="","",AI118+AI119-AJ118)</f>
        <v/>
      </c>
      <c r="AK125" s="5" t="str">
        <f t="shared" ref="AK125" si="1735">IF(AK118="","",AJ118+AJ119-AK118)</f>
        <v/>
      </c>
      <c r="AL125" s="5" t="str">
        <f t="shared" ref="AL125" si="1736">IF(AL118="","",AK118+AK119-AL118)</f>
        <v/>
      </c>
      <c r="AM125" s="5" t="str">
        <f t="shared" ref="AM125" si="1737">IF(AM118="","",AL118+AL119-AM118)</f>
        <v/>
      </c>
      <c r="AN125" s="5" t="str">
        <f t="shared" ref="AN125" si="1738">IF(AN118="","",AM118+AM119-AN118)</f>
        <v/>
      </c>
      <c r="AO125" s="5" t="str">
        <f t="shared" ref="AO125:AS125" si="1739">IF(AO118="","",AN118+AN119-AO118)</f>
        <v/>
      </c>
      <c r="AP125" s="5" t="str">
        <f t="shared" si="1739"/>
        <v/>
      </c>
      <c r="AQ125" s="5" t="str">
        <f t="shared" si="1739"/>
        <v/>
      </c>
      <c r="AR125" s="5" t="str">
        <f t="shared" si="1739"/>
        <v/>
      </c>
      <c r="AS125" s="5" t="str">
        <f t="shared" si="1739"/>
        <v/>
      </c>
    </row>
    <row r="126" spans="1:45" s="84" customFormat="1" ht="11.25" x14ac:dyDescent="0.15">
      <c r="A126" s="7">
        <f>SUM(C126:AS126)</f>
        <v>1250</v>
      </c>
      <c r="B126" s="6" t="s">
        <v>16</v>
      </c>
      <c r="C126" s="5">
        <v>0</v>
      </c>
      <c r="D126" s="5">
        <v>250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750</v>
      </c>
      <c r="L126" s="5">
        <f t="shared" ref="J126:AM126" si="1740">IF(L116="","",L125*L120)</f>
        <v>0</v>
      </c>
      <c r="M126" s="5">
        <f t="shared" si="1740"/>
        <v>250</v>
      </c>
      <c r="N126" s="5" t="str">
        <f t="shared" si="1740"/>
        <v/>
      </c>
      <c r="O126" s="5" t="str">
        <f t="shared" si="1740"/>
        <v/>
      </c>
      <c r="P126" s="5" t="str">
        <f t="shared" si="1740"/>
        <v/>
      </c>
      <c r="Q126" s="5" t="str">
        <f t="shared" si="1740"/>
        <v/>
      </c>
      <c r="R126" s="5" t="str">
        <f t="shared" si="1740"/>
        <v/>
      </c>
      <c r="S126" s="5" t="str">
        <f t="shared" si="1740"/>
        <v/>
      </c>
      <c r="T126" s="5" t="str">
        <f t="shared" si="1740"/>
        <v/>
      </c>
      <c r="U126" s="5" t="str">
        <f t="shared" si="1740"/>
        <v/>
      </c>
      <c r="V126" s="5" t="str">
        <f t="shared" si="1740"/>
        <v/>
      </c>
      <c r="W126" s="5" t="str">
        <f t="shared" si="1740"/>
        <v/>
      </c>
      <c r="X126" s="5" t="str">
        <f t="shared" si="1740"/>
        <v/>
      </c>
      <c r="Y126" s="5" t="str">
        <f t="shared" si="1740"/>
        <v/>
      </c>
      <c r="Z126" s="5" t="str">
        <f t="shared" si="1740"/>
        <v/>
      </c>
      <c r="AA126" s="5" t="str">
        <f t="shared" si="1740"/>
        <v/>
      </c>
      <c r="AB126" s="5" t="str">
        <f t="shared" si="1740"/>
        <v/>
      </c>
      <c r="AC126" s="5" t="str">
        <f t="shared" si="1740"/>
        <v/>
      </c>
      <c r="AD126" s="5" t="str">
        <f t="shared" si="1740"/>
        <v/>
      </c>
      <c r="AE126" s="5" t="str">
        <f t="shared" si="1740"/>
        <v/>
      </c>
      <c r="AF126" s="5" t="str">
        <f t="shared" si="1740"/>
        <v/>
      </c>
      <c r="AG126" s="5" t="str">
        <f t="shared" si="1740"/>
        <v/>
      </c>
      <c r="AH126" s="5" t="str">
        <f t="shared" si="1740"/>
        <v/>
      </c>
      <c r="AI126" s="5" t="str">
        <f t="shared" si="1740"/>
        <v/>
      </c>
      <c r="AJ126" s="5" t="str">
        <f t="shared" si="1740"/>
        <v/>
      </c>
      <c r="AK126" s="5" t="str">
        <f t="shared" si="1740"/>
        <v/>
      </c>
      <c r="AL126" s="5" t="str">
        <f t="shared" si="1740"/>
        <v/>
      </c>
      <c r="AM126" s="5" t="str">
        <f t="shared" si="1740"/>
        <v/>
      </c>
      <c r="AN126" s="5" t="str">
        <f t="shared" ref="AN126" si="1741">IF(AN116="","",AN125*AN120)</f>
        <v/>
      </c>
      <c r="AO126" s="5" t="str">
        <f t="shared" ref="AO126:AS126" si="1742">IF(AO116="","",AO125*AO120)</f>
        <v/>
      </c>
      <c r="AP126" s="5" t="str">
        <f t="shared" si="1742"/>
        <v/>
      </c>
      <c r="AQ126" s="5" t="str">
        <f t="shared" si="1742"/>
        <v/>
      </c>
      <c r="AR126" s="5" t="str">
        <f t="shared" si="1742"/>
        <v/>
      </c>
      <c r="AS126" s="5" t="str">
        <f t="shared" si="1742"/>
        <v/>
      </c>
    </row>
    <row r="127" spans="1:45" s="84" customFormat="1" ht="12" thickBot="1" x14ac:dyDescent="0.2">
      <c r="A127" s="4">
        <f>IF(A126="","",A126/(A123*100))</f>
        <v>7.7639751552795025E-2</v>
      </c>
      <c r="B127" s="6" t="s">
        <v>18</v>
      </c>
      <c r="C127" s="18" t="s">
        <v>19</v>
      </c>
      <c r="D127" s="18">
        <v>0.27777777777777779</v>
      </c>
      <c r="E127" s="18" t="s">
        <v>19</v>
      </c>
      <c r="F127" s="18" t="s">
        <v>19</v>
      </c>
      <c r="G127" s="18" t="s">
        <v>19</v>
      </c>
      <c r="H127" s="18" t="s">
        <v>19</v>
      </c>
      <c r="I127" s="18" t="s">
        <v>19</v>
      </c>
      <c r="J127" s="18" t="s">
        <v>19</v>
      </c>
      <c r="K127" s="18">
        <v>7.8947368421052627E-2</v>
      </c>
      <c r="L127" s="18" t="str">
        <f t="shared" ref="J127:AM127" si="1743">IF(L126="","",IF(L126=0,"",L126/(L123*100)))</f>
        <v/>
      </c>
      <c r="M127" s="18">
        <f t="shared" si="1743"/>
        <v>7.1428571428571425E-2</v>
      </c>
      <c r="N127" s="18" t="str">
        <f t="shared" si="1743"/>
        <v/>
      </c>
      <c r="O127" s="18" t="str">
        <f t="shared" si="1743"/>
        <v/>
      </c>
      <c r="P127" s="18" t="str">
        <f t="shared" si="1743"/>
        <v/>
      </c>
      <c r="Q127" s="18" t="str">
        <f t="shared" si="1743"/>
        <v/>
      </c>
      <c r="R127" s="18" t="str">
        <f t="shared" si="1743"/>
        <v/>
      </c>
      <c r="S127" s="18" t="str">
        <f t="shared" si="1743"/>
        <v/>
      </c>
      <c r="T127" s="18" t="str">
        <f t="shared" si="1743"/>
        <v/>
      </c>
      <c r="U127" s="18" t="str">
        <f t="shared" si="1743"/>
        <v/>
      </c>
      <c r="V127" s="18" t="str">
        <f t="shared" si="1743"/>
        <v/>
      </c>
      <c r="W127" s="18" t="str">
        <f t="shared" si="1743"/>
        <v/>
      </c>
      <c r="X127" s="18" t="str">
        <f t="shared" si="1743"/>
        <v/>
      </c>
      <c r="Y127" s="18" t="str">
        <f t="shared" si="1743"/>
        <v/>
      </c>
      <c r="Z127" s="18" t="str">
        <f t="shared" si="1743"/>
        <v/>
      </c>
      <c r="AA127" s="18" t="str">
        <f t="shared" si="1743"/>
        <v/>
      </c>
      <c r="AB127" s="18" t="str">
        <f t="shared" si="1743"/>
        <v/>
      </c>
      <c r="AC127" s="18" t="str">
        <f t="shared" si="1743"/>
        <v/>
      </c>
      <c r="AD127" s="18" t="str">
        <f t="shared" si="1743"/>
        <v/>
      </c>
      <c r="AE127" s="18" t="str">
        <f t="shared" si="1743"/>
        <v/>
      </c>
      <c r="AF127" s="18" t="str">
        <f t="shared" si="1743"/>
        <v/>
      </c>
      <c r="AG127" s="18" t="str">
        <f t="shared" si="1743"/>
        <v/>
      </c>
      <c r="AH127" s="18" t="str">
        <f t="shared" si="1743"/>
        <v/>
      </c>
      <c r="AI127" s="18" t="str">
        <f t="shared" si="1743"/>
        <v/>
      </c>
      <c r="AJ127" s="18" t="str">
        <f t="shared" si="1743"/>
        <v/>
      </c>
      <c r="AK127" s="18" t="str">
        <f t="shared" si="1743"/>
        <v/>
      </c>
      <c r="AL127" s="18" t="str">
        <f t="shared" si="1743"/>
        <v/>
      </c>
      <c r="AM127" s="18" t="str">
        <f t="shared" si="1743"/>
        <v/>
      </c>
      <c r="AN127" s="18" t="str">
        <f t="shared" ref="AN127" si="1744">IF(AN126="","",IF(AN126=0,"",AN126/(AN123*100)))</f>
        <v/>
      </c>
      <c r="AO127" s="18" t="str">
        <f t="shared" ref="AO127:AS127" si="1745">IF(AO126="","",IF(AO126=0,"",AO126/(AO123*100)))</f>
        <v/>
      </c>
      <c r="AP127" s="18" t="str">
        <f t="shared" si="1745"/>
        <v/>
      </c>
      <c r="AQ127" s="18" t="str">
        <f t="shared" si="1745"/>
        <v/>
      </c>
      <c r="AR127" s="18" t="str">
        <f t="shared" si="1745"/>
        <v/>
      </c>
      <c r="AS127" s="18" t="str">
        <f t="shared" si="1745"/>
        <v/>
      </c>
    </row>
    <row r="128" spans="1:45" s="84" customFormat="1" ht="11.25" x14ac:dyDescent="0.15">
      <c r="A128" s="17" t="s">
        <v>77</v>
      </c>
      <c r="B128" s="9" t="s">
        <v>2</v>
      </c>
      <c r="C128" s="8">
        <v>10987</v>
      </c>
      <c r="D128" s="8">
        <v>11002</v>
      </c>
      <c r="E128" s="8">
        <v>11002</v>
      </c>
      <c r="F128" s="8">
        <v>11002</v>
      </c>
      <c r="G128" s="8">
        <v>11013</v>
      </c>
      <c r="H128" s="8">
        <v>11013</v>
      </c>
      <c r="I128" s="8">
        <v>11013</v>
      </c>
      <c r="J128" s="8">
        <v>11013</v>
      </c>
      <c r="K128" s="8">
        <v>11024</v>
      </c>
      <c r="L128" s="8">
        <f>IF(L$8="","",K128)</f>
        <v>11024</v>
      </c>
      <c r="M128" s="8">
        <v>11037</v>
      </c>
      <c r="N128" s="8" t="str">
        <f t="shared" ref="N128:N129" si="1746">IF(N$8="","",M128)</f>
        <v/>
      </c>
      <c r="O128" s="8" t="str">
        <f>IF(O$8="","",N128)</f>
        <v/>
      </c>
      <c r="P128" s="8" t="str">
        <f t="shared" ref="P128:P129" si="1747">IF(P$8="","",O128)</f>
        <v/>
      </c>
      <c r="Q128" s="8" t="str">
        <f t="shared" ref="Q128:Q129" si="1748">IF(Q$8="","",P128)</f>
        <v/>
      </c>
      <c r="R128" s="8" t="str">
        <f t="shared" ref="R128:R129" si="1749">IF(R$8="","",Q128)</f>
        <v/>
      </c>
      <c r="S128" s="8" t="str">
        <f>IF(S$8="","",R128)</f>
        <v/>
      </c>
      <c r="T128" s="8" t="str">
        <f>IF(T$8="","",S128)</f>
        <v/>
      </c>
      <c r="U128" s="8" t="str">
        <f t="shared" ref="U128:U129" si="1750">IF(U$8="","",T128)</f>
        <v/>
      </c>
      <c r="V128" s="8" t="str">
        <f>IF(V$8="","",U128)</f>
        <v/>
      </c>
      <c r="W128" s="8" t="str">
        <f>IF(W$8="","",V128)</f>
        <v/>
      </c>
      <c r="X128" s="8" t="str">
        <f t="shared" ref="X128:X129" si="1751">IF(X$8="","",W128)</f>
        <v/>
      </c>
      <c r="Y128" s="8" t="str">
        <f t="shared" ref="Y128:Y129" si="1752">IF(Y$8="","",X128)</f>
        <v/>
      </c>
      <c r="Z128" s="8" t="str">
        <f>IF(Z$8="","",Y128)</f>
        <v/>
      </c>
      <c r="AA128" s="8" t="str">
        <f t="shared" ref="AA128:AA129" si="1753">IF(AA$8="","",Z128)</f>
        <v/>
      </c>
      <c r="AB128" s="8" t="str">
        <f t="shared" ref="AB128:AB129" si="1754">IF(AB$8="","",AA128)</f>
        <v/>
      </c>
      <c r="AC128" s="8" t="str">
        <f t="shared" ref="AC128:AC129" si="1755">IF(AC$8="","",AB128)</f>
        <v/>
      </c>
      <c r="AD128" s="8" t="str">
        <f>IF(AD$8="","",AC128)</f>
        <v/>
      </c>
      <c r="AE128" s="8" t="str">
        <f>IF(AE$8="","",AD128)</f>
        <v/>
      </c>
      <c r="AF128" s="8" t="str">
        <f t="shared" ref="AF128:AF129" si="1756">IF(AF$8="","",AE128)</f>
        <v/>
      </c>
      <c r="AG128" s="8" t="str">
        <f>IF(AG$8="","",AF128)</f>
        <v/>
      </c>
      <c r="AH128" s="8" t="str">
        <f t="shared" ref="AH128:AH129" si="1757">IF(AH$8="","",AG128)</f>
        <v/>
      </c>
      <c r="AI128" s="8" t="str">
        <f t="shared" ref="AI128:AI129" si="1758">IF(AI$8="","",AH128)</f>
        <v/>
      </c>
      <c r="AJ128" s="8" t="str">
        <f>IF(AJ$8="","",AI128)</f>
        <v/>
      </c>
      <c r="AK128" s="8" t="str">
        <f t="shared" ref="AK128:AK129" si="1759">IF(AK$8="","",AJ128)</f>
        <v/>
      </c>
      <c r="AL128" s="8" t="str">
        <f t="shared" ref="AL128:AL129" si="1760">IF(AL$8="","",AK128)</f>
        <v/>
      </c>
      <c r="AM128" s="8" t="str">
        <f t="shared" ref="AM128:AM129" si="1761">IF(AM$8="","",AL128)</f>
        <v/>
      </c>
      <c r="AN128" s="8" t="str">
        <f>IF(AN$8="","",AM128)</f>
        <v/>
      </c>
      <c r="AO128" s="8" t="str">
        <f t="shared" ref="AO128:AS128" si="1762">IF(AO$8="","",AN128)</f>
        <v/>
      </c>
      <c r="AP128" s="8" t="str">
        <f t="shared" si="1762"/>
        <v/>
      </c>
      <c r="AQ128" s="8" t="str">
        <f t="shared" si="1762"/>
        <v/>
      </c>
      <c r="AR128" s="8" t="str">
        <f t="shared" si="1762"/>
        <v/>
      </c>
      <c r="AS128" s="8" t="str">
        <f t="shared" si="1762"/>
        <v/>
      </c>
    </row>
    <row r="129" spans="1:45" s="84" customFormat="1" ht="11.25" x14ac:dyDescent="0.15">
      <c r="A129" s="16" t="s">
        <v>29</v>
      </c>
      <c r="B129" s="9" t="s">
        <v>4</v>
      </c>
      <c r="C129" s="8">
        <v>155</v>
      </c>
      <c r="D129" s="8">
        <v>155</v>
      </c>
      <c r="E129" s="8">
        <v>155</v>
      </c>
      <c r="F129" s="8">
        <v>155</v>
      </c>
      <c r="G129" s="8">
        <v>156</v>
      </c>
      <c r="H129" s="8">
        <v>156</v>
      </c>
      <c r="I129" s="8">
        <v>156</v>
      </c>
      <c r="J129" s="8">
        <v>156</v>
      </c>
      <c r="K129" s="8">
        <v>156</v>
      </c>
      <c r="L129" s="8">
        <f>IF(L$8="","",K129)</f>
        <v>156</v>
      </c>
      <c r="M129" s="8">
        <f t="shared" ref="M128:M129" si="1763">IF(M$8="","",L129)</f>
        <v>156</v>
      </c>
      <c r="N129" s="8" t="str">
        <f t="shared" si="1746"/>
        <v/>
      </c>
      <c r="O129" s="8" t="str">
        <f>IF(O$8="","",N129)</f>
        <v/>
      </c>
      <c r="P129" s="8" t="str">
        <f t="shared" si="1747"/>
        <v/>
      </c>
      <c r="Q129" s="8" t="str">
        <f t="shared" si="1748"/>
        <v/>
      </c>
      <c r="R129" s="8" t="str">
        <f t="shared" si="1749"/>
        <v/>
      </c>
      <c r="S129" s="8" t="str">
        <f>IF(S$8="","",R129)</f>
        <v/>
      </c>
      <c r="T129" s="8" t="str">
        <f>IF(T$8="","",S129)</f>
        <v/>
      </c>
      <c r="U129" s="8" t="str">
        <f t="shared" si="1750"/>
        <v/>
      </c>
      <c r="V129" s="8" t="str">
        <f>IF(V$8="","",U129)</f>
        <v/>
      </c>
      <c r="W129" s="8" t="str">
        <f>IF(W$8="","",V129)</f>
        <v/>
      </c>
      <c r="X129" s="8" t="str">
        <f t="shared" si="1751"/>
        <v/>
      </c>
      <c r="Y129" s="8" t="str">
        <f t="shared" si="1752"/>
        <v/>
      </c>
      <c r="Z129" s="8" t="str">
        <f t="shared" ref="Z129" si="1764">IF(Z$8="","",Y129)</f>
        <v/>
      </c>
      <c r="AA129" s="8" t="str">
        <f t="shared" si="1753"/>
        <v/>
      </c>
      <c r="AB129" s="8" t="str">
        <f t="shared" si="1754"/>
        <v/>
      </c>
      <c r="AC129" s="8" t="str">
        <f t="shared" si="1755"/>
        <v/>
      </c>
      <c r="AD129" s="8" t="str">
        <f t="shared" ref="AD129" si="1765">IF(AD$8="","",AC129)</f>
        <v/>
      </c>
      <c r="AE129" s="8" t="str">
        <f>IF(AE$8="","",AD129)</f>
        <v/>
      </c>
      <c r="AF129" s="8" t="str">
        <f t="shared" si="1756"/>
        <v/>
      </c>
      <c r="AG129" s="8" t="str">
        <f>IF(AG$8="","",AF129)</f>
        <v/>
      </c>
      <c r="AH129" s="8" t="str">
        <f t="shared" si="1757"/>
        <v/>
      </c>
      <c r="AI129" s="8" t="str">
        <f t="shared" si="1758"/>
        <v/>
      </c>
      <c r="AJ129" s="8" t="str">
        <f>IF(AJ$8="","",AI129)</f>
        <v/>
      </c>
      <c r="AK129" s="8" t="str">
        <f t="shared" si="1759"/>
        <v/>
      </c>
      <c r="AL129" s="8" t="str">
        <f t="shared" si="1760"/>
        <v/>
      </c>
      <c r="AM129" s="8" t="str">
        <f t="shared" si="1761"/>
        <v/>
      </c>
      <c r="AN129" s="8" t="str">
        <f>IF(AN$8="","",AM129)</f>
        <v/>
      </c>
      <c r="AO129" s="8" t="str">
        <f t="shared" ref="AO129:AS129" si="1766">IF(AO$8="","",AN129)</f>
        <v/>
      </c>
      <c r="AP129" s="8" t="str">
        <f t="shared" si="1766"/>
        <v/>
      </c>
      <c r="AQ129" s="8" t="str">
        <f t="shared" si="1766"/>
        <v/>
      </c>
      <c r="AR129" s="8" t="str">
        <f t="shared" si="1766"/>
        <v/>
      </c>
      <c r="AS129" s="8" t="str">
        <f t="shared" si="1766"/>
        <v/>
      </c>
    </row>
    <row r="130" spans="1:45" s="84" customFormat="1" ht="11.25" x14ac:dyDescent="0.15">
      <c r="A130" s="15">
        <v>3</v>
      </c>
      <c r="B130" s="9" t="s">
        <v>5</v>
      </c>
      <c r="C130" s="8">
        <v>9</v>
      </c>
      <c r="D130" s="8">
        <v>9</v>
      </c>
      <c r="E130" s="8">
        <v>9</v>
      </c>
      <c r="F130" s="8">
        <v>9</v>
      </c>
      <c r="G130" s="8">
        <v>7</v>
      </c>
      <c r="H130" s="8">
        <v>13</v>
      </c>
      <c r="I130" s="8">
        <v>13</v>
      </c>
      <c r="J130" s="8">
        <v>13</v>
      </c>
      <c r="K130" s="8">
        <v>13</v>
      </c>
      <c r="L130" s="8">
        <f>IF(L128="","",(K130+K131))</f>
        <v>13</v>
      </c>
      <c r="M130" s="8">
        <v>14</v>
      </c>
      <c r="N130" s="8" t="str">
        <f t="shared" ref="N130" si="1767">IF(N128="","",(M130+M131))</f>
        <v/>
      </c>
      <c r="O130" s="8" t="str">
        <f>IF(O128="","",(N130+N131))</f>
        <v/>
      </c>
      <c r="P130" s="8" t="str">
        <f t="shared" ref="P130" si="1768">IF(P128="","",(O130+O131))</f>
        <v/>
      </c>
      <c r="Q130" s="8" t="str">
        <f t="shared" ref="Q130" si="1769">IF(Q128="","",(P130+P131))</f>
        <v/>
      </c>
      <c r="R130" s="8" t="str">
        <f t="shared" ref="R130" si="1770">IF(R128="","",(Q130+Q131))</f>
        <v/>
      </c>
      <c r="S130" s="8" t="str">
        <f t="shared" ref="S130" si="1771">IF(S128="","",(R130+R131))</f>
        <v/>
      </c>
      <c r="T130" s="8" t="str">
        <f>IF(T128="","",(S130+S131))</f>
        <v/>
      </c>
      <c r="U130" s="8" t="str">
        <f t="shared" ref="U130" si="1772">IF(U128="","",(T130+T131))</f>
        <v/>
      </c>
      <c r="V130" s="8" t="str">
        <f>IF(V128="","",(U130+U131))</f>
        <v/>
      </c>
      <c r="W130" s="8" t="str">
        <f>IF(W128="","",(V130+V131))</f>
        <v/>
      </c>
      <c r="X130" s="8" t="str">
        <f t="shared" ref="X130" si="1773">IF(X128="","",(W130+W131))</f>
        <v/>
      </c>
      <c r="Y130" s="8" t="str">
        <f t="shared" ref="Y130" si="1774">IF(Y128="","",(X130+X131))</f>
        <v/>
      </c>
      <c r="Z130" s="8" t="str">
        <f t="shared" ref="Z130" si="1775">IF(Z128="","",(Y130+Y131))</f>
        <v/>
      </c>
      <c r="AA130" s="8" t="str">
        <f t="shared" ref="AA130" si="1776">IF(AA128="","",(Z130+Z131))</f>
        <v/>
      </c>
      <c r="AB130" s="8" t="str">
        <f t="shared" ref="AB130" si="1777">IF(AB128="","",(AA130+AA131))</f>
        <v/>
      </c>
      <c r="AC130" s="8" t="str">
        <f t="shared" ref="AC130" si="1778">IF(AC128="","",(AB130+AB131))</f>
        <v/>
      </c>
      <c r="AD130" s="8" t="str">
        <f t="shared" ref="AD130" si="1779">IF(AD128="","",(AC130+AC131))</f>
        <v/>
      </c>
      <c r="AE130" s="8" t="str">
        <f>IF(AE128="","",(AD130+AD131))</f>
        <v/>
      </c>
      <c r="AF130" s="8" t="str">
        <f t="shared" ref="AF130" si="1780">IF(AF128="","",(AE130+AE131))</f>
        <v/>
      </c>
      <c r="AG130" s="8" t="str">
        <f t="shared" ref="AG130" si="1781">IF(AG128="","",(AF130+AF131))</f>
        <v/>
      </c>
      <c r="AH130" s="8" t="str">
        <f t="shared" ref="AH130" si="1782">IF(AH128="","",(AG130+AG131))</f>
        <v/>
      </c>
      <c r="AI130" s="8" t="str">
        <f t="shared" ref="AI130" si="1783">IF(AI128="","",(AH130+AH131))</f>
        <v/>
      </c>
      <c r="AJ130" s="8" t="str">
        <f>IF(AJ128="","",(AI130+AI131))</f>
        <v/>
      </c>
      <c r="AK130" s="8" t="str">
        <f t="shared" ref="AK130" si="1784">IF(AK128="","",(AJ130+AJ131))</f>
        <v/>
      </c>
      <c r="AL130" s="8" t="str">
        <f t="shared" ref="AL130" si="1785">IF(AL128="","",(AK130+AK131))</f>
        <v/>
      </c>
      <c r="AM130" s="8" t="str">
        <f t="shared" ref="AM130" si="1786">IF(AM128="","",(AL130+AL131))</f>
        <v/>
      </c>
      <c r="AN130" s="8" t="str">
        <f t="shared" ref="AN130" si="1787">IF(AN128="","",(AM130+AM131))</f>
        <v/>
      </c>
      <c r="AO130" s="8" t="str">
        <f t="shared" ref="AO130:AS130" si="1788">IF(AO128="","",(AN130+AN131))</f>
        <v/>
      </c>
      <c r="AP130" s="8" t="str">
        <f t="shared" si="1788"/>
        <v/>
      </c>
      <c r="AQ130" s="8" t="str">
        <f t="shared" si="1788"/>
        <v/>
      </c>
      <c r="AR130" s="8" t="str">
        <f t="shared" si="1788"/>
        <v/>
      </c>
      <c r="AS130" s="8" t="str">
        <f t="shared" si="1788"/>
        <v/>
      </c>
    </row>
    <row r="131" spans="1:45" s="84" customFormat="1" ht="11.25" x14ac:dyDescent="0.15">
      <c r="A131" s="14"/>
      <c r="B131" s="9" t="s">
        <v>7</v>
      </c>
      <c r="C131" s="8"/>
      <c r="D131" s="8"/>
      <c r="E131" s="8"/>
      <c r="F131" s="8"/>
      <c r="G131" s="8">
        <v>6</v>
      </c>
      <c r="H131" s="8"/>
      <c r="I131" s="8"/>
      <c r="J131" s="8"/>
      <c r="K131" s="8"/>
      <c r="L131" s="8">
        <v>1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</row>
    <row r="132" spans="1:45" s="84" customFormat="1" ht="11.25" x14ac:dyDescent="0.15">
      <c r="A132" s="7"/>
      <c r="B132" s="9" t="s">
        <v>8</v>
      </c>
      <c r="C132" s="8">
        <v>280</v>
      </c>
      <c r="D132" s="8">
        <v>280</v>
      </c>
      <c r="E132" s="8">
        <v>280</v>
      </c>
      <c r="F132" s="8">
        <v>280</v>
      </c>
      <c r="G132" s="8">
        <v>280</v>
      </c>
      <c r="H132" s="8">
        <v>280</v>
      </c>
      <c r="I132" s="8">
        <v>280</v>
      </c>
      <c r="J132" s="8">
        <v>280</v>
      </c>
      <c r="K132" s="8">
        <v>280</v>
      </c>
      <c r="L132" s="8">
        <f t="shared" ref="L132" si="1789">IF(L128="","",K132)</f>
        <v>280</v>
      </c>
      <c r="M132" s="8">
        <f t="shared" ref="M132" si="1790">IF(M128="","",L132)</f>
        <v>280</v>
      </c>
      <c r="N132" s="8" t="str">
        <f t="shared" ref="N132" si="1791">IF(N128="","",M132)</f>
        <v/>
      </c>
      <c r="O132" s="8" t="str">
        <f t="shared" ref="O132" si="1792">IF(O128="","",N132)</f>
        <v/>
      </c>
      <c r="P132" s="8" t="str">
        <f t="shared" ref="P132" si="1793">IF(P128="","",O132)</f>
        <v/>
      </c>
      <c r="Q132" s="8" t="str">
        <f t="shared" ref="Q132" si="1794">IF(Q128="","",P132)</f>
        <v/>
      </c>
      <c r="R132" s="8" t="str">
        <f t="shared" ref="R132" si="1795">IF(R128="","",Q132)</f>
        <v/>
      </c>
      <c r="S132" s="8" t="str">
        <f t="shared" ref="S132" si="1796">IF(S128="","",R132)</f>
        <v/>
      </c>
      <c r="T132" s="8" t="str">
        <f t="shared" ref="T132" si="1797">IF(T128="","",S132)</f>
        <v/>
      </c>
      <c r="U132" s="8" t="str">
        <f t="shared" ref="U132" si="1798">IF(U128="","",T132)</f>
        <v/>
      </c>
      <c r="V132" s="8" t="str">
        <f t="shared" ref="V132" si="1799">IF(V128="","",U132)</f>
        <v/>
      </c>
      <c r="W132" s="8" t="str">
        <f t="shared" ref="W132" si="1800">IF(W128="","",V132)</f>
        <v/>
      </c>
      <c r="X132" s="8" t="str">
        <f t="shared" ref="X132" si="1801">IF(X128="","",W132)</f>
        <v/>
      </c>
      <c r="Y132" s="8" t="str">
        <f t="shared" ref="Y132" si="1802">IF(Y128="","",X132)</f>
        <v/>
      </c>
      <c r="Z132" s="8" t="str">
        <f t="shared" ref="Z132" si="1803">IF(Z128="","",Y132)</f>
        <v/>
      </c>
      <c r="AA132" s="8" t="str">
        <f t="shared" ref="AA132" si="1804">IF(AA128="","",Z132)</f>
        <v/>
      </c>
      <c r="AB132" s="8" t="str">
        <f t="shared" ref="AB132" si="1805">IF(AB128="","",AA132)</f>
        <v/>
      </c>
      <c r="AC132" s="8" t="str">
        <f t="shared" ref="AC132" si="1806">IF(AC128="","",AB132)</f>
        <v/>
      </c>
      <c r="AD132" s="8" t="str">
        <f t="shared" ref="AD132" si="1807">IF(AD128="","",AC132)</f>
        <v/>
      </c>
      <c r="AE132" s="8" t="str">
        <f t="shared" ref="AE132" si="1808">IF(AE128="","",AD132)</f>
        <v/>
      </c>
      <c r="AF132" s="8" t="str">
        <f t="shared" ref="AF132" si="1809">IF(AF128="","",AE132)</f>
        <v/>
      </c>
      <c r="AG132" s="8" t="str">
        <f t="shared" ref="AG132" si="1810">IF(AG128="","",AF132)</f>
        <v/>
      </c>
      <c r="AH132" s="8" t="str">
        <f t="shared" ref="AH132" si="1811">IF(AH128="","",AG132)</f>
        <v/>
      </c>
      <c r="AI132" s="8" t="str">
        <f t="shared" ref="AI132" si="1812">IF(AI128="","",AH132)</f>
        <v/>
      </c>
      <c r="AJ132" s="8" t="str">
        <f t="shared" ref="AJ132" si="1813">IF(AJ128="","",AI132)</f>
        <v/>
      </c>
      <c r="AK132" s="8" t="str">
        <f t="shared" ref="AK132" si="1814">IF(AK128="","",AJ132)</f>
        <v/>
      </c>
      <c r="AL132" s="8" t="str">
        <f t="shared" ref="AL132" si="1815">IF(AL128="","",AK132)</f>
        <v/>
      </c>
      <c r="AM132" s="8" t="str">
        <f t="shared" ref="AM132" si="1816">IF(AM128="","",AL132)</f>
        <v/>
      </c>
      <c r="AN132" s="8" t="str">
        <f t="shared" ref="AN132" si="1817">IF(AN128="","",AM132)</f>
        <v/>
      </c>
      <c r="AO132" s="8" t="str">
        <f t="shared" ref="AO132:AS132" si="1818">IF(AO128="","",AN132)</f>
        <v/>
      </c>
      <c r="AP132" s="8" t="str">
        <f t="shared" si="1818"/>
        <v/>
      </c>
      <c r="AQ132" s="8" t="str">
        <f t="shared" si="1818"/>
        <v/>
      </c>
      <c r="AR132" s="8" t="str">
        <f t="shared" si="1818"/>
        <v/>
      </c>
      <c r="AS132" s="8" t="str">
        <f t="shared" si="1818"/>
        <v/>
      </c>
    </row>
    <row r="133" spans="1:45" s="85" customFormat="1" ht="11.25" x14ac:dyDescent="0.15">
      <c r="A133" s="14" t="s">
        <v>9</v>
      </c>
      <c r="B133" s="13" t="s">
        <v>10</v>
      </c>
      <c r="C133" s="12" t="s">
        <v>41</v>
      </c>
      <c r="D133" s="12" t="s">
        <v>41</v>
      </c>
      <c r="E133" s="12" t="s">
        <v>41</v>
      </c>
      <c r="F133" s="12" t="s">
        <v>41</v>
      </c>
      <c r="G133" s="12" t="s">
        <v>41</v>
      </c>
      <c r="H133" s="12" t="s">
        <v>41</v>
      </c>
      <c r="I133" s="12" t="s">
        <v>41</v>
      </c>
      <c r="J133" s="12" t="s">
        <v>41</v>
      </c>
      <c r="K133" s="12" t="s">
        <v>41</v>
      </c>
      <c r="L133" s="12" t="str">
        <f t="shared" ref="L133" si="1819">IF(L128="","",K133)</f>
        <v>ゲームスティック</v>
      </c>
      <c r="M133" s="12" t="s">
        <v>371</v>
      </c>
      <c r="N133" s="12" t="str">
        <f t="shared" ref="N133" si="1820">IF(N128="","",M133)</f>
        <v/>
      </c>
      <c r="O133" s="12" t="str">
        <f t="shared" ref="O133" si="1821">IF(O128="","",N133)</f>
        <v/>
      </c>
      <c r="P133" s="12" t="str">
        <f t="shared" ref="P133" si="1822">IF(P128="","",O133)</f>
        <v/>
      </c>
      <c r="Q133" s="12" t="str">
        <f t="shared" ref="Q133" si="1823">IF(Q128="","",P133)</f>
        <v/>
      </c>
      <c r="R133" s="12" t="str">
        <f t="shared" ref="R133" si="1824">IF(R128="","",Q133)</f>
        <v/>
      </c>
      <c r="S133" s="12" t="str">
        <f t="shared" ref="S133" si="1825">IF(S128="","",R133)</f>
        <v/>
      </c>
      <c r="T133" s="12" t="str">
        <f t="shared" ref="T133" si="1826">IF(T128="","",S133)</f>
        <v/>
      </c>
      <c r="U133" s="12" t="str">
        <f t="shared" ref="U133" si="1827">IF(U128="","",T133)</f>
        <v/>
      </c>
      <c r="V133" s="12" t="str">
        <f t="shared" ref="V133" si="1828">IF(V128="","",U133)</f>
        <v/>
      </c>
      <c r="W133" s="12" t="str">
        <f t="shared" ref="W133" si="1829">IF(W128="","",V133)</f>
        <v/>
      </c>
      <c r="X133" s="12" t="str">
        <f t="shared" ref="X133" si="1830">IF(X128="","",W133)</f>
        <v/>
      </c>
      <c r="Y133" s="12" t="str">
        <f t="shared" ref="Y133" si="1831">IF(Y128="","",X133)</f>
        <v/>
      </c>
      <c r="Z133" s="12" t="str">
        <f t="shared" ref="Z133" si="1832">IF(Z128="","",Y133)</f>
        <v/>
      </c>
      <c r="AA133" s="12" t="str">
        <f t="shared" ref="AA133" si="1833">IF(AA128="","",Z133)</f>
        <v/>
      </c>
      <c r="AB133" s="12" t="str">
        <f t="shared" ref="AB133" si="1834">IF(AB128="","",AA133)</f>
        <v/>
      </c>
      <c r="AC133" s="12" t="str">
        <f t="shared" ref="AC133" si="1835">IF(AC128="","",AB133)</f>
        <v/>
      </c>
      <c r="AD133" s="12" t="str">
        <f t="shared" ref="AD133" si="1836">IF(AD128="","",AC133)</f>
        <v/>
      </c>
      <c r="AE133" s="12" t="str">
        <f t="shared" ref="AE133" si="1837">IF(AE128="","",AD133)</f>
        <v/>
      </c>
      <c r="AF133" s="12" t="str">
        <f t="shared" ref="AF133" si="1838">IF(AF128="","",AE133)</f>
        <v/>
      </c>
      <c r="AG133" s="12" t="str">
        <f t="shared" ref="AG133" si="1839">IF(AG128="","",AF133)</f>
        <v/>
      </c>
      <c r="AH133" s="12" t="str">
        <f t="shared" ref="AH133" si="1840">IF(AH128="","",AG133)</f>
        <v/>
      </c>
      <c r="AI133" s="12" t="str">
        <f t="shared" ref="AI133" si="1841">IF(AI128="","",AH133)</f>
        <v/>
      </c>
      <c r="AJ133" s="12" t="str">
        <f t="shared" ref="AJ133" si="1842">IF(AJ128="","",AI133)</f>
        <v/>
      </c>
      <c r="AK133" s="12" t="str">
        <f t="shared" ref="AK133" si="1843">IF(AK128="","",AJ133)</f>
        <v/>
      </c>
      <c r="AL133" s="12" t="str">
        <f t="shared" ref="AL133" si="1844">IF(AL128="","",AK133)</f>
        <v/>
      </c>
      <c r="AM133" s="12" t="str">
        <f t="shared" ref="AM133" si="1845">IF(AM128="","",AL133)</f>
        <v/>
      </c>
      <c r="AN133" s="12" t="str">
        <f t="shared" ref="AN133" si="1846">IF(AN128="","",AM133)</f>
        <v/>
      </c>
      <c r="AO133" s="12" t="str">
        <f t="shared" ref="AO133:AS133" si="1847">IF(AO128="","",AN133)</f>
        <v/>
      </c>
      <c r="AP133" s="12" t="str">
        <f t="shared" si="1847"/>
        <v/>
      </c>
      <c r="AQ133" s="12" t="str">
        <f t="shared" si="1847"/>
        <v/>
      </c>
      <c r="AR133" s="12" t="str">
        <f t="shared" si="1847"/>
        <v/>
      </c>
      <c r="AS133" s="12" t="str">
        <f t="shared" si="1847"/>
        <v/>
      </c>
    </row>
    <row r="134" spans="1:45" s="84" customFormat="1" ht="11.25" x14ac:dyDescent="0.15">
      <c r="A134" s="7">
        <f>AVERAGE(C135:AS135)*30*100</f>
        <v>13636.363636363638</v>
      </c>
      <c r="B134" s="9" t="s">
        <v>12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</row>
    <row r="135" spans="1:45" s="84" customFormat="1" ht="11.25" x14ac:dyDescent="0.15">
      <c r="A135" s="7">
        <f>SUM(C135:AS135)</f>
        <v>50</v>
      </c>
      <c r="B135" s="6" t="s">
        <v>13</v>
      </c>
      <c r="C135" s="5">
        <v>0</v>
      </c>
      <c r="D135" s="5">
        <v>15</v>
      </c>
      <c r="E135" s="5">
        <v>0</v>
      </c>
      <c r="F135" s="5">
        <v>0</v>
      </c>
      <c r="G135" s="5">
        <v>11</v>
      </c>
      <c r="H135" s="5">
        <v>0</v>
      </c>
      <c r="I135" s="5">
        <v>0</v>
      </c>
      <c r="J135" s="5">
        <v>0</v>
      </c>
      <c r="K135" s="5">
        <v>11</v>
      </c>
      <c r="L135" s="5">
        <f t="shared" ref="L135:L136" si="1848">IF(L128="","",L128-K128)</f>
        <v>0</v>
      </c>
      <c r="M135" s="5">
        <f t="shared" ref="M135:M136" si="1849">IF(M128="","",M128-L128)</f>
        <v>13</v>
      </c>
      <c r="N135" s="5" t="str">
        <f t="shared" ref="N135:N136" si="1850">IF(N128="","",N128-M128)</f>
        <v/>
      </c>
      <c r="O135" s="5" t="str">
        <f t="shared" ref="O135:O136" si="1851">IF(O128="","",O128-N128)</f>
        <v/>
      </c>
      <c r="P135" s="5" t="str">
        <f t="shared" ref="P135:P136" si="1852">IF(P128="","",P128-O128)</f>
        <v/>
      </c>
      <c r="Q135" s="5" t="str">
        <f t="shared" ref="Q135:Q136" si="1853">IF(Q128="","",Q128-P128)</f>
        <v/>
      </c>
      <c r="R135" s="5" t="str">
        <f t="shared" ref="R135:R136" si="1854">IF(R128="","",R128-Q128)</f>
        <v/>
      </c>
      <c r="S135" s="5" t="str">
        <f t="shared" ref="S135:S136" si="1855">IF(S128="","",S128-R128)</f>
        <v/>
      </c>
      <c r="T135" s="5" t="str">
        <f t="shared" ref="T135:T136" si="1856">IF(T128="","",T128-S128)</f>
        <v/>
      </c>
      <c r="U135" s="5" t="str">
        <f t="shared" ref="U135:U136" si="1857">IF(U128="","",U128-T128)</f>
        <v/>
      </c>
      <c r="V135" s="5" t="str">
        <f t="shared" ref="V135:V136" si="1858">IF(V128="","",V128-U128)</f>
        <v/>
      </c>
      <c r="W135" s="5" t="str">
        <f t="shared" ref="W135:W136" si="1859">IF(W128="","",W128-V128)</f>
        <v/>
      </c>
      <c r="X135" s="5" t="str">
        <f t="shared" ref="X135:X136" si="1860">IF(X128="","",X128-W128)</f>
        <v/>
      </c>
      <c r="Y135" s="5" t="str">
        <f t="shared" ref="Y135:Y136" si="1861">IF(Y128="","",Y128-X128)</f>
        <v/>
      </c>
      <c r="Z135" s="5" t="str">
        <f t="shared" ref="Z135:Z136" si="1862">IF(Z128="","",Z128-Y128)</f>
        <v/>
      </c>
      <c r="AA135" s="5" t="str">
        <f t="shared" ref="AA135:AA136" si="1863">IF(AA128="","",AA128-Z128)</f>
        <v/>
      </c>
      <c r="AB135" s="5" t="str">
        <f t="shared" ref="AB135:AB136" si="1864">IF(AB128="","",AB128-AA128)</f>
        <v/>
      </c>
      <c r="AC135" s="5" t="str">
        <f t="shared" ref="AC135:AC136" si="1865">IF(AC128="","",AC128-AB128)</f>
        <v/>
      </c>
      <c r="AD135" s="5" t="str">
        <f t="shared" ref="AD135:AD136" si="1866">IF(AD128="","",AD128-AC128)</f>
        <v/>
      </c>
      <c r="AE135" s="5" t="str">
        <f t="shared" ref="AE135:AE136" si="1867">IF(AE128="","",AE128-AD128)</f>
        <v/>
      </c>
      <c r="AF135" s="5" t="str">
        <f t="shared" ref="AF135:AF136" si="1868">IF(AF128="","",AF128-AE128)</f>
        <v/>
      </c>
      <c r="AG135" s="5" t="str">
        <f t="shared" ref="AG135:AG136" si="1869">IF(AG128="","",AG128-AF128)</f>
        <v/>
      </c>
      <c r="AH135" s="5" t="str">
        <f t="shared" ref="AH135:AH136" si="1870">IF(AH128="","",AH128-AG128)</f>
        <v/>
      </c>
      <c r="AI135" s="5" t="str">
        <f t="shared" ref="AI135:AI136" si="1871">IF(AI128="","",AI128-AH128)</f>
        <v/>
      </c>
      <c r="AJ135" s="5" t="str">
        <f t="shared" ref="AJ135:AJ136" si="1872">IF(AJ128="","",AJ128-AI128)</f>
        <v/>
      </c>
      <c r="AK135" s="5" t="str">
        <f t="shared" ref="AK135:AK136" si="1873">IF(AK128="","",AK128-AJ128)</f>
        <v/>
      </c>
      <c r="AL135" s="5" t="str">
        <f t="shared" ref="AL135:AL136" si="1874">IF(AL128="","",AL128-AK128)</f>
        <v/>
      </c>
      <c r="AM135" s="5" t="str">
        <f t="shared" ref="AM135:AM136" si="1875">IF(AM128="","",AM128-AL128)</f>
        <v/>
      </c>
      <c r="AN135" s="5" t="str">
        <f t="shared" ref="AN135" si="1876">IF(AN128="","",AN128-AM128)</f>
        <v/>
      </c>
      <c r="AO135" s="5" t="str">
        <f t="shared" ref="AO135:AS135" si="1877">IF(AO128="","",AO128-AN128)</f>
        <v/>
      </c>
      <c r="AP135" s="5" t="str">
        <f t="shared" si="1877"/>
        <v/>
      </c>
      <c r="AQ135" s="5" t="str">
        <f t="shared" si="1877"/>
        <v/>
      </c>
      <c r="AR135" s="5" t="str">
        <f t="shared" si="1877"/>
        <v/>
      </c>
      <c r="AS135" s="5" t="str">
        <f t="shared" si="1877"/>
        <v/>
      </c>
    </row>
    <row r="136" spans="1:45" s="84" customFormat="1" ht="11.25" x14ac:dyDescent="0.15">
      <c r="A136" s="7">
        <f>SUM(C136:AS136)</f>
        <v>1</v>
      </c>
      <c r="B136" s="6" t="s">
        <v>14</v>
      </c>
      <c r="C136" s="5">
        <v>0</v>
      </c>
      <c r="D136" s="5">
        <v>0</v>
      </c>
      <c r="E136" s="5">
        <v>0</v>
      </c>
      <c r="F136" s="5">
        <v>0</v>
      </c>
      <c r="G136" s="5">
        <v>1</v>
      </c>
      <c r="H136" s="5">
        <v>0</v>
      </c>
      <c r="I136" s="5">
        <v>0</v>
      </c>
      <c r="J136" s="5">
        <v>0</v>
      </c>
      <c r="K136" s="5">
        <v>0</v>
      </c>
      <c r="L136" s="5">
        <f t="shared" si="1848"/>
        <v>0</v>
      </c>
      <c r="M136" s="5">
        <f t="shared" si="1849"/>
        <v>0</v>
      </c>
      <c r="N136" s="5" t="str">
        <f t="shared" si="1850"/>
        <v/>
      </c>
      <c r="O136" s="5" t="str">
        <f t="shared" si="1851"/>
        <v/>
      </c>
      <c r="P136" s="5" t="str">
        <f t="shared" si="1852"/>
        <v/>
      </c>
      <c r="Q136" s="5" t="str">
        <f t="shared" si="1853"/>
        <v/>
      </c>
      <c r="R136" s="5" t="str">
        <f t="shared" si="1854"/>
        <v/>
      </c>
      <c r="S136" s="5" t="str">
        <f t="shared" si="1855"/>
        <v/>
      </c>
      <c r="T136" s="5" t="str">
        <f t="shared" si="1856"/>
        <v/>
      </c>
      <c r="U136" s="5" t="str">
        <f t="shared" si="1857"/>
        <v/>
      </c>
      <c r="V136" s="5" t="str">
        <f t="shared" si="1858"/>
        <v/>
      </c>
      <c r="W136" s="5" t="str">
        <f t="shared" si="1859"/>
        <v/>
      </c>
      <c r="X136" s="5" t="str">
        <f t="shared" si="1860"/>
        <v/>
      </c>
      <c r="Y136" s="5" t="str">
        <f t="shared" si="1861"/>
        <v/>
      </c>
      <c r="Z136" s="5" t="str">
        <f t="shared" si="1862"/>
        <v/>
      </c>
      <c r="AA136" s="5" t="str">
        <f t="shared" si="1863"/>
        <v/>
      </c>
      <c r="AB136" s="5" t="str">
        <f t="shared" si="1864"/>
        <v/>
      </c>
      <c r="AC136" s="5" t="str">
        <f t="shared" si="1865"/>
        <v/>
      </c>
      <c r="AD136" s="5" t="str">
        <f t="shared" si="1866"/>
        <v/>
      </c>
      <c r="AE136" s="5" t="str">
        <f t="shared" si="1867"/>
        <v/>
      </c>
      <c r="AF136" s="5" t="str">
        <f t="shared" si="1868"/>
        <v/>
      </c>
      <c r="AG136" s="5" t="str">
        <f t="shared" si="1869"/>
        <v/>
      </c>
      <c r="AH136" s="5" t="str">
        <f t="shared" si="1870"/>
        <v/>
      </c>
      <c r="AI136" s="5" t="str">
        <f t="shared" si="1871"/>
        <v/>
      </c>
      <c r="AJ136" s="5" t="str">
        <f t="shared" si="1872"/>
        <v/>
      </c>
      <c r="AK136" s="5" t="str">
        <f t="shared" si="1873"/>
        <v/>
      </c>
      <c r="AL136" s="5" t="str">
        <f t="shared" si="1874"/>
        <v/>
      </c>
      <c r="AM136" s="5" t="str">
        <f t="shared" si="1875"/>
        <v/>
      </c>
      <c r="AN136" s="5" t="str">
        <f t="shared" ref="AN136" si="1878">IF(AN129="","",AN129-AM129)</f>
        <v/>
      </c>
      <c r="AO136" s="5" t="str">
        <f t="shared" ref="AO136:AS136" si="1879">IF(AO129="","",AO129-AN129)</f>
        <v/>
      </c>
      <c r="AP136" s="5" t="str">
        <f t="shared" si="1879"/>
        <v/>
      </c>
      <c r="AQ136" s="5" t="str">
        <f t="shared" si="1879"/>
        <v/>
      </c>
      <c r="AR136" s="5" t="str">
        <f t="shared" si="1879"/>
        <v/>
      </c>
      <c r="AS136" s="5" t="str">
        <f t="shared" si="1879"/>
        <v/>
      </c>
    </row>
    <row r="137" spans="1:45" s="84" customFormat="1" ht="11.25" x14ac:dyDescent="0.15">
      <c r="A137" s="7">
        <f>SUM(C137:AS137)</f>
        <v>2</v>
      </c>
      <c r="B137" s="6" t="s">
        <v>15</v>
      </c>
      <c r="C137" s="5">
        <v>0</v>
      </c>
      <c r="D137" s="5">
        <v>0</v>
      </c>
      <c r="E137" s="5">
        <v>0</v>
      </c>
      <c r="F137" s="5">
        <v>0</v>
      </c>
      <c r="G137" s="5">
        <v>2</v>
      </c>
      <c r="H137" s="5">
        <v>0</v>
      </c>
      <c r="I137" s="5">
        <v>0</v>
      </c>
      <c r="J137" s="5">
        <v>0</v>
      </c>
      <c r="K137" s="5">
        <v>0</v>
      </c>
      <c r="L137" s="5">
        <f t="shared" ref="L137" si="1880">IF(L130="","",K130+K131-L130)</f>
        <v>0</v>
      </c>
      <c r="M137" s="5">
        <f t="shared" ref="M137" si="1881">IF(M130="","",L130+L131-M130)</f>
        <v>0</v>
      </c>
      <c r="N137" s="5" t="str">
        <f t="shared" ref="N137" si="1882">IF(N130="","",M130+M131-N130)</f>
        <v/>
      </c>
      <c r="O137" s="5" t="str">
        <f t="shared" ref="O137" si="1883">IF(O130="","",N130+N131-O130)</f>
        <v/>
      </c>
      <c r="P137" s="5" t="str">
        <f t="shared" ref="P137" si="1884">IF(P130="","",O130+O131-P130)</f>
        <v/>
      </c>
      <c r="Q137" s="5" t="str">
        <f t="shared" ref="Q137" si="1885">IF(Q130="","",P130+P131-Q130)</f>
        <v/>
      </c>
      <c r="R137" s="5" t="str">
        <f t="shared" ref="R137" si="1886">IF(R130="","",Q130+Q131-R130)</f>
        <v/>
      </c>
      <c r="S137" s="5" t="str">
        <f t="shared" ref="S137" si="1887">IF(S130="","",R130+R131-S130)</f>
        <v/>
      </c>
      <c r="T137" s="5" t="str">
        <f t="shared" ref="T137" si="1888">IF(T130="","",S130+S131-T130)</f>
        <v/>
      </c>
      <c r="U137" s="5" t="str">
        <f t="shared" ref="U137" si="1889">IF(U130="","",T130+T131-U130)</f>
        <v/>
      </c>
      <c r="V137" s="5" t="str">
        <f t="shared" ref="V137" si="1890">IF(V130="","",U130+U131-V130)</f>
        <v/>
      </c>
      <c r="W137" s="5" t="str">
        <f t="shared" ref="W137" si="1891">IF(W130="","",V130+V131-W130)</f>
        <v/>
      </c>
      <c r="X137" s="5" t="str">
        <f t="shared" ref="X137" si="1892">IF(X130="","",W130+W131-X130)</f>
        <v/>
      </c>
      <c r="Y137" s="5" t="str">
        <f t="shared" ref="Y137" si="1893">IF(Y130="","",X130+X131-Y130)</f>
        <v/>
      </c>
      <c r="Z137" s="5" t="str">
        <f t="shared" ref="Z137" si="1894">IF(Z130="","",Y130+Y131-Z130)</f>
        <v/>
      </c>
      <c r="AA137" s="5" t="str">
        <f t="shared" ref="AA137" si="1895">IF(AA130="","",Z130+Z131-AA130)</f>
        <v/>
      </c>
      <c r="AB137" s="5" t="str">
        <f t="shared" ref="AB137" si="1896">IF(AB130="","",AA130+AA131-AB130)</f>
        <v/>
      </c>
      <c r="AC137" s="5" t="str">
        <f t="shared" ref="AC137" si="1897">IF(AC130="","",AB130+AB131-AC130)</f>
        <v/>
      </c>
      <c r="AD137" s="5" t="str">
        <f t="shared" ref="AD137" si="1898">IF(AD130="","",AC130+AC131-AD130)</f>
        <v/>
      </c>
      <c r="AE137" s="5" t="str">
        <f t="shared" ref="AE137" si="1899">IF(AE130="","",AD130+AD131-AE130)</f>
        <v/>
      </c>
      <c r="AF137" s="5" t="str">
        <f t="shared" ref="AF137" si="1900">IF(AF130="","",AE130+AE131-AF130)</f>
        <v/>
      </c>
      <c r="AG137" s="5" t="str">
        <f t="shared" ref="AG137" si="1901">IF(AG130="","",AF130+AF131-AG130)</f>
        <v/>
      </c>
      <c r="AH137" s="5" t="str">
        <f t="shared" ref="AH137" si="1902">IF(AH130="","",AG130+AG131-AH130)</f>
        <v/>
      </c>
      <c r="AI137" s="5" t="str">
        <f t="shared" ref="AI137" si="1903">IF(AI130="","",AH130+AH131-AI130)</f>
        <v/>
      </c>
      <c r="AJ137" s="5" t="str">
        <f t="shared" ref="AJ137" si="1904">IF(AJ130="","",AI130+AI131-AJ130)</f>
        <v/>
      </c>
      <c r="AK137" s="5" t="str">
        <f t="shared" ref="AK137" si="1905">IF(AK130="","",AJ130+AJ131-AK130)</f>
        <v/>
      </c>
      <c r="AL137" s="5" t="str">
        <f t="shared" ref="AL137" si="1906">IF(AL130="","",AK130+AK131-AL130)</f>
        <v/>
      </c>
      <c r="AM137" s="5" t="str">
        <f t="shared" ref="AM137" si="1907">IF(AM130="","",AL130+AL131-AM130)</f>
        <v/>
      </c>
      <c r="AN137" s="5" t="str">
        <f t="shared" ref="AN137" si="1908">IF(AN130="","",AM130+AM131-AN130)</f>
        <v/>
      </c>
      <c r="AO137" s="5" t="str">
        <f t="shared" ref="AO137:AS137" si="1909">IF(AO130="","",AN130+AN131-AO130)</f>
        <v/>
      </c>
      <c r="AP137" s="5" t="str">
        <f t="shared" si="1909"/>
        <v/>
      </c>
      <c r="AQ137" s="5" t="str">
        <f t="shared" si="1909"/>
        <v/>
      </c>
      <c r="AR137" s="5" t="str">
        <f t="shared" si="1909"/>
        <v/>
      </c>
      <c r="AS137" s="5" t="str">
        <f t="shared" si="1909"/>
        <v/>
      </c>
    </row>
    <row r="138" spans="1:45" s="84" customFormat="1" ht="11.25" x14ac:dyDescent="0.15">
      <c r="A138" s="7">
        <f>SUM(C138:AS138)</f>
        <v>560</v>
      </c>
      <c r="B138" s="6" t="s">
        <v>16</v>
      </c>
      <c r="C138" s="5">
        <v>0</v>
      </c>
      <c r="D138" s="5">
        <v>0</v>
      </c>
      <c r="E138" s="5">
        <v>0</v>
      </c>
      <c r="F138" s="5">
        <v>0</v>
      </c>
      <c r="G138" s="5">
        <v>560</v>
      </c>
      <c r="H138" s="5">
        <v>0</v>
      </c>
      <c r="I138" s="5">
        <v>0</v>
      </c>
      <c r="J138" s="5">
        <v>0</v>
      </c>
      <c r="K138" s="5">
        <v>0</v>
      </c>
      <c r="L138" s="5">
        <f t="shared" ref="J138:AM138" si="1910">IF(L128="","",L137*L132)</f>
        <v>0</v>
      </c>
      <c r="M138" s="5">
        <f t="shared" si="1910"/>
        <v>0</v>
      </c>
      <c r="N138" s="5" t="str">
        <f t="shared" si="1910"/>
        <v/>
      </c>
      <c r="O138" s="5" t="str">
        <f t="shared" si="1910"/>
        <v/>
      </c>
      <c r="P138" s="5" t="str">
        <f t="shared" si="1910"/>
        <v/>
      </c>
      <c r="Q138" s="5" t="str">
        <f t="shared" si="1910"/>
        <v/>
      </c>
      <c r="R138" s="5" t="str">
        <f t="shared" si="1910"/>
        <v/>
      </c>
      <c r="S138" s="5" t="str">
        <f t="shared" si="1910"/>
        <v/>
      </c>
      <c r="T138" s="5" t="str">
        <f t="shared" si="1910"/>
        <v/>
      </c>
      <c r="U138" s="5" t="str">
        <f t="shared" si="1910"/>
        <v/>
      </c>
      <c r="V138" s="5" t="str">
        <f t="shared" si="1910"/>
        <v/>
      </c>
      <c r="W138" s="5" t="str">
        <f t="shared" si="1910"/>
        <v/>
      </c>
      <c r="X138" s="5" t="str">
        <f t="shared" si="1910"/>
        <v/>
      </c>
      <c r="Y138" s="5" t="str">
        <f t="shared" si="1910"/>
        <v/>
      </c>
      <c r="Z138" s="5" t="str">
        <f t="shared" si="1910"/>
        <v/>
      </c>
      <c r="AA138" s="5" t="str">
        <f t="shared" si="1910"/>
        <v/>
      </c>
      <c r="AB138" s="5" t="str">
        <f t="shared" si="1910"/>
        <v/>
      </c>
      <c r="AC138" s="5" t="str">
        <f t="shared" si="1910"/>
        <v/>
      </c>
      <c r="AD138" s="5" t="str">
        <f t="shared" si="1910"/>
        <v/>
      </c>
      <c r="AE138" s="5" t="str">
        <f t="shared" si="1910"/>
        <v/>
      </c>
      <c r="AF138" s="5" t="str">
        <f t="shared" si="1910"/>
        <v/>
      </c>
      <c r="AG138" s="5" t="str">
        <f t="shared" si="1910"/>
        <v/>
      </c>
      <c r="AH138" s="5" t="str">
        <f t="shared" si="1910"/>
        <v/>
      </c>
      <c r="AI138" s="5" t="str">
        <f t="shared" si="1910"/>
        <v/>
      </c>
      <c r="AJ138" s="5" t="str">
        <f t="shared" si="1910"/>
        <v/>
      </c>
      <c r="AK138" s="5" t="str">
        <f t="shared" si="1910"/>
        <v/>
      </c>
      <c r="AL138" s="5" t="str">
        <f t="shared" si="1910"/>
        <v/>
      </c>
      <c r="AM138" s="5" t="str">
        <f t="shared" si="1910"/>
        <v/>
      </c>
      <c r="AN138" s="5" t="str">
        <f t="shared" ref="AN138" si="1911">IF(AN128="","",AN137*AN132)</f>
        <v/>
      </c>
      <c r="AO138" s="5" t="str">
        <f t="shared" ref="AO138:AS138" si="1912">IF(AO128="","",AO137*AO132)</f>
        <v/>
      </c>
      <c r="AP138" s="5" t="str">
        <f t="shared" si="1912"/>
        <v/>
      </c>
      <c r="AQ138" s="5" t="str">
        <f t="shared" si="1912"/>
        <v/>
      </c>
      <c r="AR138" s="5" t="str">
        <f t="shared" si="1912"/>
        <v/>
      </c>
      <c r="AS138" s="5" t="str">
        <f t="shared" si="1912"/>
        <v/>
      </c>
    </row>
    <row r="139" spans="1:45" s="84" customFormat="1" ht="12" thickBot="1" x14ac:dyDescent="0.2">
      <c r="A139" s="4">
        <f>IF(A138="","",A138/(A135*100))</f>
        <v>0.112</v>
      </c>
      <c r="B139" s="6" t="s">
        <v>18</v>
      </c>
      <c r="C139" s="18" t="s">
        <v>19</v>
      </c>
      <c r="D139" s="18" t="s">
        <v>19</v>
      </c>
      <c r="E139" s="18" t="s">
        <v>19</v>
      </c>
      <c r="F139" s="18" t="s">
        <v>19</v>
      </c>
      <c r="G139" s="18">
        <v>0.50909090909090904</v>
      </c>
      <c r="H139" s="18" t="s">
        <v>19</v>
      </c>
      <c r="I139" s="18" t="s">
        <v>19</v>
      </c>
      <c r="J139" s="18" t="s">
        <v>19</v>
      </c>
      <c r="K139" s="18" t="s">
        <v>19</v>
      </c>
      <c r="L139" s="18" t="str">
        <f t="shared" ref="J139:AM139" si="1913">IF(L138="","",IF(L138=0,"",L138/(L135*100)))</f>
        <v/>
      </c>
      <c r="M139" s="18" t="str">
        <f t="shared" si="1913"/>
        <v/>
      </c>
      <c r="N139" s="18" t="str">
        <f t="shared" si="1913"/>
        <v/>
      </c>
      <c r="O139" s="18" t="str">
        <f t="shared" si="1913"/>
        <v/>
      </c>
      <c r="P139" s="18" t="str">
        <f t="shared" si="1913"/>
        <v/>
      </c>
      <c r="Q139" s="18" t="str">
        <f t="shared" si="1913"/>
        <v/>
      </c>
      <c r="R139" s="18" t="str">
        <f t="shared" si="1913"/>
        <v/>
      </c>
      <c r="S139" s="18" t="str">
        <f t="shared" si="1913"/>
        <v/>
      </c>
      <c r="T139" s="18" t="str">
        <f t="shared" si="1913"/>
        <v/>
      </c>
      <c r="U139" s="18" t="str">
        <f t="shared" si="1913"/>
        <v/>
      </c>
      <c r="V139" s="18" t="str">
        <f t="shared" si="1913"/>
        <v/>
      </c>
      <c r="W139" s="18" t="str">
        <f t="shared" si="1913"/>
        <v/>
      </c>
      <c r="X139" s="18" t="str">
        <f t="shared" si="1913"/>
        <v/>
      </c>
      <c r="Y139" s="18" t="str">
        <f t="shared" si="1913"/>
        <v/>
      </c>
      <c r="Z139" s="18" t="str">
        <f t="shared" si="1913"/>
        <v/>
      </c>
      <c r="AA139" s="18" t="str">
        <f t="shared" si="1913"/>
        <v/>
      </c>
      <c r="AB139" s="18" t="str">
        <f t="shared" si="1913"/>
        <v/>
      </c>
      <c r="AC139" s="18" t="str">
        <f t="shared" si="1913"/>
        <v/>
      </c>
      <c r="AD139" s="18" t="str">
        <f t="shared" si="1913"/>
        <v/>
      </c>
      <c r="AE139" s="18" t="str">
        <f t="shared" si="1913"/>
        <v/>
      </c>
      <c r="AF139" s="18" t="str">
        <f t="shared" si="1913"/>
        <v/>
      </c>
      <c r="AG139" s="18" t="str">
        <f t="shared" si="1913"/>
        <v/>
      </c>
      <c r="AH139" s="18" t="str">
        <f t="shared" si="1913"/>
        <v/>
      </c>
      <c r="AI139" s="18" t="str">
        <f t="shared" si="1913"/>
        <v/>
      </c>
      <c r="AJ139" s="18" t="str">
        <f t="shared" si="1913"/>
        <v/>
      </c>
      <c r="AK139" s="18" t="str">
        <f t="shared" si="1913"/>
        <v/>
      </c>
      <c r="AL139" s="18" t="str">
        <f t="shared" si="1913"/>
        <v/>
      </c>
      <c r="AM139" s="18" t="str">
        <f t="shared" si="1913"/>
        <v/>
      </c>
      <c r="AN139" s="18" t="str">
        <f t="shared" ref="AN139" si="1914">IF(AN138="","",IF(AN138=0,"",AN138/(AN135*100)))</f>
        <v/>
      </c>
      <c r="AO139" s="18" t="str">
        <f t="shared" ref="AO139:AS139" si="1915">IF(AO138="","",IF(AO138=0,"",AO138/(AO135*100)))</f>
        <v/>
      </c>
      <c r="AP139" s="18" t="str">
        <f t="shared" si="1915"/>
        <v/>
      </c>
      <c r="AQ139" s="18" t="str">
        <f t="shared" si="1915"/>
        <v/>
      </c>
      <c r="AR139" s="18" t="str">
        <f t="shared" si="1915"/>
        <v/>
      </c>
      <c r="AS139" s="18" t="str">
        <f t="shared" si="1915"/>
        <v/>
      </c>
    </row>
    <row r="140" spans="1:45" s="84" customFormat="1" ht="11.25" x14ac:dyDescent="0.15">
      <c r="A140" s="17" t="s">
        <v>77</v>
      </c>
      <c r="B140" s="9" t="s">
        <v>2</v>
      </c>
      <c r="C140" s="8">
        <v>8700</v>
      </c>
      <c r="D140" s="8">
        <v>8746</v>
      </c>
      <c r="E140" s="8">
        <v>8746</v>
      </c>
      <c r="F140" s="8">
        <v>8746</v>
      </c>
      <c r="G140" s="8">
        <v>8860</v>
      </c>
      <c r="H140" s="8">
        <v>8860</v>
      </c>
      <c r="I140" s="8">
        <v>8860</v>
      </c>
      <c r="J140" s="8">
        <v>8860</v>
      </c>
      <c r="K140" s="8">
        <v>8900</v>
      </c>
      <c r="L140" s="8">
        <f>IF(L$8="","",K140)</f>
        <v>8900</v>
      </c>
      <c r="M140" s="8">
        <v>8959</v>
      </c>
      <c r="N140" s="8" t="str">
        <f t="shared" ref="N140:N141" si="1916">IF(N$8="","",M140)</f>
        <v/>
      </c>
      <c r="O140" s="8" t="str">
        <f>IF(O$8="","",N140)</f>
        <v/>
      </c>
      <c r="P140" s="8" t="str">
        <f t="shared" ref="P140:P141" si="1917">IF(P$8="","",O140)</f>
        <v/>
      </c>
      <c r="Q140" s="8" t="str">
        <f t="shared" ref="Q140:Q141" si="1918">IF(Q$8="","",P140)</f>
        <v/>
      </c>
      <c r="R140" s="8" t="str">
        <f t="shared" ref="R140:R141" si="1919">IF(R$8="","",Q140)</f>
        <v/>
      </c>
      <c r="S140" s="8" t="str">
        <f>IF(S$8="","",R140)</f>
        <v/>
      </c>
      <c r="T140" s="8" t="str">
        <f>IF(T$8="","",S140)</f>
        <v/>
      </c>
      <c r="U140" s="8" t="str">
        <f t="shared" ref="U140:U141" si="1920">IF(U$8="","",T140)</f>
        <v/>
      </c>
      <c r="V140" s="8" t="str">
        <f>IF(V$8="","",U140)</f>
        <v/>
      </c>
      <c r="W140" s="8" t="str">
        <f>IF(W$8="","",V140)</f>
        <v/>
      </c>
      <c r="X140" s="8" t="str">
        <f t="shared" ref="X140:X141" si="1921">IF(X$8="","",W140)</f>
        <v/>
      </c>
      <c r="Y140" s="8" t="str">
        <f t="shared" ref="Y140:Y141" si="1922">IF(Y$8="","",X140)</f>
        <v/>
      </c>
      <c r="Z140" s="8" t="str">
        <f>IF(Z$8="","",Y140)</f>
        <v/>
      </c>
      <c r="AA140" s="8" t="str">
        <f t="shared" ref="AA140:AA141" si="1923">IF(AA$8="","",Z140)</f>
        <v/>
      </c>
      <c r="AB140" s="8" t="str">
        <f t="shared" ref="AB140:AB141" si="1924">IF(AB$8="","",AA140)</f>
        <v/>
      </c>
      <c r="AC140" s="8" t="str">
        <f t="shared" ref="AC140:AC141" si="1925">IF(AC$8="","",AB140)</f>
        <v/>
      </c>
      <c r="AD140" s="8" t="str">
        <f>IF(AD$8="","",AC140)</f>
        <v/>
      </c>
      <c r="AE140" s="8" t="str">
        <f>IF(AE$8="","",AD140)</f>
        <v/>
      </c>
      <c r="AF140" s="8" t="str">
        <f t="shared" ref="AF140:AF141" si="1926">IF(AF$8="","",AE140)</f>
        <v/>
      </c>
      <c r="AG140" s="8" t="str">
        <f>IF(AG$8="","",AF140)</f>
        <v/>
      </c>
      <c r="AH140" s="8" t="str">
        <f t="shared" ref="AH140:AH141" si="1927">IF(AH$8="","",AG140)</f>
        <v/>
      </c>
      <c r="AI140" s="8" t="str">
        <f t="shared" ref="AI140:AI141" si="1928">IF(AI$8="","",AH140)</f>
        <v/>
      </c>
      <c r="AJ140" s="8" t="str">
        <f>IF(AJ$8="","",AI140)</f>
        <v/>
      </c>
      <c r="AK140" s="8" t="str">
        <f t="shared" ref="AK140:AK141" si="1929">IF(AK$8="","",AJ140)</f>
        <v/>
      </c>
      <c r="AL140" s="8" t="str">
        <f t="shared" ref="AL140:AL141" si="1930">IF(AL$8="","",AK140)</f>
        <v/>
      </c>
      <c r="AM140" s="8" t="str">
        <f t="shared" ref="AM140:AM141" si="1931">IF(AM$8="","",AL140)</f>
        <v/>
      </c>
      <c r="AN140" s="8" t="str">
        <f>IF(AN$8="","",AM140)</f>
        <v/>
      </c>
      <c r="AO140" s="8" t="str">
        <f t="shared" ref="AO140:AS140" si="1932">IF(AO$8="","",AN140)</f>
        <v/>
      </c>
      <c r="AP140" s="8" t="str">
        <f t="shared" si="1932"/>
        <v/>
      </c>
      <c r="AQ140" s="8" t="str">
        <f t="shared" si="1932"/>
        <v/>
      </c>
      <c r="AR140" s="8" t="str">
        <f t="shared" si="1932"/>
        <v/>
      </c>
      <c r="AS140" s="8" t="str">
        <f t="shared" si="1932"/>
        <v/>
      </c>
    </row>
    <row r="141" spans="1:45" s="84" customFormat="1" ht="11.25" x14ac:dyDescent="0.15">
      <c r="A141" s="16" t="s">
        <v>29</v>
      </c>
      <c r="B141" s="9" t="s">
        <v>4</v>
      </c>
      <c r="C141" s="8">
        <v>291</v>
      </c>
      <c r="D141" s="8">
        <v>292</v>
      </c>
      <c r="E141" s="8">
        <v>292</v>
      </c>
      <c r="F141" s="8">
        <v>292</v>
      </c>
      <c r="G141" s="8">
        <v>298</v>
      </c>
      <c r="H141" s="8">
        <v>298</v>
      </c>
      <c r="I141" s="8">
        <v>298</v>
      </c>
      <c r="J141" s="8">
        <v>298</v>
      </c>
      <c r="K141" s="8">
        <v>301</v>
      </c>
      <c r="L141" s="8">
        <f>IF(L$8="","",K141)</f>
        <v>301</v>
      </c>
      <c r="M141" s="8">
        <f t="shared" ref="M140:M141" si="1933">IF(M$8="","",L141)</f>
        <v>301</v>
      </c>
      <c r="N141" s="8" t="str">
        <f t="shared" si="1916"/>
        <v/>
      </c>
      <c r="O141" s="8" t="str">
        <f>IF(O$8="","",N141)</f>
        <v/>
      </c>
      <c r="P141" s="8" t="str">
        <f t="shared" si="1917"/>
        <v/>
      </c>
      <c r="Q141" s="8" t="str">
        <f t="shared" si="1918"/>
        <v/>
      </c>
      <c r="R141" s="8" t="str">
        <f t="shared" si="1919"/>
        <v/>
      </c>
      <c r="S141" s="8" t="str">
        <f>IF(S$8="","",R141)</f>
        <v/>
      </c>
      <c r="T141" s="8" t="str">
        <f>IF(T$8="","",S141)</f>
        <v/>
      </c>
      <c r="U141" s="8" t="str">
        <f t="shared" si="1920"/>
        <v/>
      </c>
      <c r="V141" s="8" t="str">
        <f>IF(V$8="","",U141)</f>
        <v/>
      </c>
      <c r="W141" s="8" t="str">
        <f>IF(W$8="","",V141)</f>
        <v/>
      </c>
      <c r="X141" s="8" t="str">
        <f t="shared" si="1921"/>
        <v/>
      </c>
      <c r="Y141" s="8" t="str">
        <f t="shared" si="1922"/>
        <v/>
      </c>
      <c r="Z141" s="8" t="str">
        <f>IF(Z$8="","",Y141)</f>
        <v/>
      </c>
      <c r="AA141" s="8" t="str">
        <f t="shared" si="1923"/>
        <v/>
      </c>
      <c r="AB141" s="8" t="str">
        <f t="shared" si="1924"/>
        <v/>
      </c>
      <c r="AC141" s="8" t="str">
        <f t="shared" si="1925"/>
        <v/>
      </c>
      <c r="AD141" s="8" t="str">
        <f t="shared" ref="AD141" si="1934">IF(AD$8="","",AC141)</f>
        <v/>
      </c>
      <c r="AE141" s="8" t="str">
        <f>IF(AE$8="","",AD141)</f>
        <v/>
      </c>
      <c r="AF141" s="8" t="str">
        <f t="shared" si="1926"/>
        <v/>
      </c>
      <c r="AG141" s="8" t="str">
        <f>IF(AG$8="","",AF141)</f>
        <v/>
      </c>
      <c r="AH141" s="8" t="str">
        <f t="shared" si="1927"/>
        <v/>
      </c>
      <c r="AI141" s="8" t="str">
        <f t="shared" si="1928"/>
        <v/>
      </c>
      <c r="AJ141" s="8" t="str">
        <f>IF(AJ$8="","",AI141)</f>
        <v/>
      </c>
      <c r="AK141" s="8" t="str">
        <f t="shared" si="1929"/>
        <v/>
      </c>
      <c r="AL141" s="8" t="str">
        <f t="shared" si="1930"/>
        <v/>
      </c>
      <c r="AM141" s="8" t="str">
        <f t="shared" si="1931"/>
        <v/>
      </c>
      <c r="AN141" s="8" t="str">
        <f>IF(AN$8="","",AM141)</f>
        <v/>
      </c>
      <c r="AO141" s="8" t="str">
        <f t="shared" ref="AO141:AS141" si="1935">IF(AO$8="","",AN141)</f>
        <v/>
      </c>
      <c r="AP141" s="8" t="str">
        <f t="shared" si="1935"/>
        <v/>
      </c>
      <c r="AQ141" s="8" t="str">
        <f t="shared" si="1935"/>
        <v/>
      </c>
      <c r="AR141" s="8" t="str">
        <f t="shared" si="1935"/>
        <v/>
      </c>
      <c r="AS141" s="8" t="str">
        <f t="shared" si="1935"/>
        <v/>
      </c>
    </row>
    <row r="142" spans="1:45" s="84" customFormat="1" ht="11.25" x14ac:dyDescent="0.15">
      <c r="A142" s="15">
        <v>4</v>
      </c>
      <c r="B142" s="9" t="s">
        <v>5</v>
      </c>
      <c r="C142" s="8">
        <v>12</v>
      </c>
      <c r="D142" s="8">
        <v>11</v>
      </c>
      <c r="E142" s="8">
        <v>11</v>
      </c>
      <c r="F142" s="8">
        <v>11</v>
      </c>
      <c r="G142" s="8">
        <v>4</v>
      </c>
      <c r="H142" s="8">
        <v>9</v>
      </c>
      <c r="I142" s="8">
        <v>9</v>
      </c>
      <c r="J142" s="8">
        <v>9</v>
      </c>
      <c r="K142" s="8">
        <v>6</v>
      </c>
      <c r="L142" s="8">
        <f>IF(L140="","",(K142+K143))</f>
        <v>6</v>
      </c>
      <c r="M142" s="8">
        <f t="shared" ref="M142" si="1936">IF(M140="","",(L142+L143))</f>
        <v>6</v>
      </c>
      <c r="N142" s="8" t="str">
        <f t="shared" ref="N142" si="1937">IF(N140="","",(M142+M143))</f>
        <v/>
      </c>
      <c r="O142" s="8" t="str">
        <f>IF(O140="","",(N142+N143))</f>
        <v/>
      </c>
      <c r="P142" s="8" t="str">
        <f t="shared" ref="P142" si="1938">IF(P140="","",(O142+O143))</f>
        <v/>
      </c>
      <c r="Q142" s="8" t="str">
        <f t="shared" ref="Q142" si="1939">IF(Q140="","",(P142+P143))</f>
        <v/>
      </c>
      <c r="R142" s="8" t="str">
        <f t="shared" ref="R142" si="1940">IF(R140="","",(Q142+Q143))</f>
        <v/>
      </c>
      <c r="S142" s="8" t="str">
        <f>IF(S140="","",(R142+R143))</f>
        <v/>
      </c>
      <c r="T142" s="8" t="str">
        <f>IF(T140="","",(S142+S143))</f>
        <v/>
      </c>
      <c r="U142" s="8" t="str">
        <f t="shared" ref="U142" si="1941">IF(U140="","",(T142+T143))</f>
        <v/>
      </c>
      <c r="V142" s="8" t="str">
        <f>IF(V140="","",(U142+U143))</f>
        <v/>
      </c>
      <c r="W142" s="8" t="str">
        <f>IF(W140="","",(V142+V143))</f>
        <v/>
      </c>
      <c r="X142" s="8" t="str">
        <f t="shared" ref="X142" si="1942">IF(X140="","",(W142+W143))</f>
        <v/>
      </c>
      <c r="Y142" s="8" t="str">
        <f t="shared" ref="Y142" si="1943">IF(Y140="","",(X142+X143))</f>
        <v/>
      </c>
      <c r="Z142" s="8" t="str">
        <f>IF(Z140="","",(Y142+Y143))</f>
        <v/>
      </c>
      <c r="AA142" s="8" t="str">
        <f t="shared" ref="AA142" si="1944">IF(AA140="","",(Z142+Z143))</f>
        <v/>
      </c>
      <c r="AB142" s="8" t="str">
        <f t="shared" ref="AB142" si="1945">IF(AB140="","",(AA142+AA143))</f>
        <v/>
      </c>
      <c r="AC142" s="8" t="str">
        <f t="shared" ref="AC142" si="1946">IF(AC140="","",(AB142+AB143))</f>
        <v/>
      </c>
      <c r="AD142" s="8" t="str">
        <f t="shared" ref="AD142" si="1947">IF(AD140="","",(AC142+AC143))</f>
        <v/>
      </c>
      <c r="AE142" s="8" t="str">
        <f>IF(AE140="","",(AD142+AD143))</f>
        <v/>
      </c>
      <c r="AF142" s="8" t="str">
        <f t="shared" ref="AF142" si="1948">IF(AF140="","",(AE142+AE143))</f>
        <v/>
      </c>
      <c r="AG142" s="8" t="str">
        <f>IF(AG140="","",(AF142+AF143))</f>
        <v/>
      </c>
      <c r="AH142" s="8" t="str">
        <f t="shared" ref="AH142" si="1949">IF(AH140="","",(AG142+AG143))</f>
        <v/>
      </c>
      <c r="AI142" s="8" t="str">
        <f t="shared" ref="AI142" si="1950">IF(AI140="","",(AH142+AH143))</f>
        <v/>
      </c>
      <c r="AJ142" s="8" t="str">
        <f>IF(AJ140="","",(AI142+AI143))</f>
        <v/>
      </c>
      <c r="AK142" s="8" t="str">
        <f t="shared" ref="AK142" si="1951">IF(AK140="","",(AJ142+AJ143))</f>
        <v/>
      </c>
      <c r="AL142" s="8" t="str">
        <f t="shared" ref="AL142" si="1952">IF(AL140="","",(AK142+AK143))</f>
        <v/>
      </c>
      <c r="AM142" s="8" t="str">
        <f t="shared" ref="AM142" si="1953">IF(AM140="","",(AL142+AL143))</f>
        <v/>
      </c>
      <c r="AN142" s="8" t="str">
        <f>IF(AN140="","",(AM142+AM143))</f>
        <v/>
      </c>
      <c r="AO142" s="8" t="str">
        <f t="shared" ref="AO142:AS142" si="1954">IF(AO140="","",(AN142+AN143))</f>
        <v/>
      </c>
      <c r="AP142" s="8" t="str">
        <f t="shared" si="1954"/>
        <v/>
      </c>
      <c r="AQ142" s="8" t="str">
        <f t="shared" si="1954"/>
        <v/>
      </c>
      <c r="AR142" s="8" t="str">
        <f t="shared" si="1954"/>
        <v/>
      </c>
      <c r="AS142" s="8" t="str">
        <f t="shared" si="1954"/>
        <v/>
      </c>
    </row>
    <row r="143" spans="1:45" s="84" customFormat="1" ht="11.25" x14ac:dyDescent="0.15">
      <c r="A143" s="14"/>
      <c r="B143" s="9" t="s">
        <v>7</v>
      </c>
      <c r="C143" s="8"/>
      <c r="D143" s="8"/>
      <c r="E143" s="8"/>
      <c r="F143" s="8"/>
      <c r="G143" s="8">
        <v>5</v>
      </c>
      <c r="H143" s="8"/>
      <c r="I143" s="8"/>
      <c r="J143" s="8"/>
      <c r="K143" s="8"/>
      <c r="L143" s="8"/>
      <c r="M143" s="8">
        <v>4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</row>
    <row r="144" spans="1:45" s="84" customFormat="1" ht="11.25" x14ac:dyDescent="0.15">
      <c r="A144" s="7"/>
      <c r="B144" s="9" t="s">
        <v>8</v>
      </c>
      <c r="C144" s="8">
        <v>300</v>
      </c>
      <c r="D144" s="8">
        <v>300</v>
      </c>
      <c r="E144" s="8">
        <v>300</v>
      </c>
      <c r="F144" s="8">
        <v>300</v>
      </c>
      <c r="G144" s="8">
        <v>300</v>
      </c>
      <c r="H144" s="8">
        <v>300</v>
      </c>
      <c r="I144" s="8">
        <v>300</v>
      </c>
      <c r="J144" s="8">
        <v>300</v>
      </c>
      <c r="K144" s="8">
        <v>300</v>
      </c>
      <c r="L144" s="8">
        <f t="shared" ref="L144" si="1955">IF(L140="","",K144)</f>
        <v>300</v>
      </c>
      <c r="M144" s="8">
        <f t="shared" ref="M144" si="1956">IF(M140="","",L144)</f>
        <v>300</v>
      </c>
      <c r="N144" s="8" t="str">
        <f t="shared" ref="N144" si="1957">IF(N140="","",M144)</f>
        <v/>
      </c>
      <c r="O144" s="8" t="str">
        <f t="shared" ref="O144" si="1958">IF(O140="","",N144)</f>
        <v/>
      </c>
      <c r="P144" s="8" t="str">
        <f t="shared" ref="P144" si="1959">IF(P140="","",O144)</f>
        <v/>
      </c>
      <c r="Q144" s="8" t="str">
        <f t="shared" ref="Q144" si="1960">IF(Q140="","",P144)</f>
        <v/>
      </c>
      <c r="R144" s="8" t="str">
        <f t="shared" ref="R144" si="1961">IF(R140="","",Q144)</f>
        <v/>
      </c>
      <c r="S144" s="8" t="str">
        <f t="shared" ref="S144" si="1962">IF(S140="","",R144)</f>
        <v/>
      </c>
      <c r="T144" s="8" t="str">
        <f t="shared" ref="T144" si="1963">IF(T140="","",S144)</f>
        <v/>
      </c>
      <c r="U144" s="8" t="str">
        <f t="shared" ref="U144" si="1964">IF(U140="","",T144)</f>
        <v/>
      </c>
      <c r="V144" s="8" t="str">
        <f t="shared" ref="V144" si="1965">IF(V140="","",U144)</f>
        <v/>
      </c>
      <c r="W144" s="8" t="str">
        <f t="shared" ref="W144" si="1966">IF(W140="","",V144)</f>
        <v/>
      </c>
      <c r="X144" s="8" t="str">
        <f t="shared" ref="X144" si="1967">IF(X140="","",W144)</f>
        <v/>
      </c>
      <c r="Y144" s="8" t="str">
        <f t="shared" ref="Y144" si="1968">IF(Y140="","",X144)</f>
        <v/>
      </c>
      <c r="Z144" s="8" t="str">
        <f t="shared" ref="Z144" si="1969">IF(Z140="","",Y144)</f>
        <v/>
      </c>
      <c r="AA144" s="8" t="str">
        <f t="shared" ref="AA144" si="1970">IF(AA140="","",Z144)</f>
        <v/>
      </c>
      <c r="AB144" s="8" t="str">
        <f t="shared" ref="AB144" si="1971">IF(AB140="","",AA144)</f>
        <v/>
      </c>
      <c r="AC144" s="8" t="str">
        <f t="shared" ref="AC144" si="1972">IF(AC140="","",AB144)</f>
        <v/>
      </c>
      <c r="AD144" s="8" t="str">
        <f t="shared" ref="AD144" si="1973">IF(AD140="","",AC144)</f>
        <v/>
      </c>
      <c r="AE144" s="8" t="str">
        <f t="shared" ref="AE144" si="1974">IF(AE140="","",AD144)</f>
        <v/>
      </c>
      <c r="AF144" s="8" t="str">
        <f t="shared" ref="AF144" si="1975">IF(AF140="","",AE144)</f>
        <v/>
      </c>
      <c r="AG144" s="8" t="str">
        <f t="shared" ref="AG144" si="1976">IF(AG140="","",AF144)</f>
        <v/>
      </c>
      <c r="AH144" s="8" t="str">
        <f t="shared" ref="AH144" si="1977">IF(AH140="","",AG144)</f>
        <v/>
      </c>
      <c r="AI144" s="8" t="str">
        <f t="shared" ref="AI144" si="1978">IF(AI140="","",AH144)</f>
        <v/>
      </c>
      <c r="AJ144" s="8" t="str">
        <f t="shared" ref="AJ144" si="1979">IF(AJ140="","",AI144)</f>
        <v/>
      </c>
      <c r="AK144" s="8" t="str">
        <f t="shared" ref="AK144" si="1980">IF(AK140="","",AJ144)</f>
        <v/>
      </c>
      <c r="AL144" s="8" t="str">
        <f t="shared" ref="AL144" si="1981">IF(AL140="","",AK144)</f>
        <v/>
      </c>
      <c r="AM144" s="8" t="str">
        <f t="shared" ref="AM144" si="1982">IF(AM140="","",AL144)</f>
        <v/>
      </c>
      <c r="AN144" s="8" t="str">
        <f t="shared" ref="AN144" si="1983">IF(AN140="","",AM144)</f>
        <v/>
      </c>
      <c r="AO144" s="8" t="str">
        <f t="shared" ref="AO144:AS144" si="1984">IF(AO140="","",AN144)</f>
        <v/>
      </c>
      <c r="AP144" s="8" t="str">
        <f t="shared" si="1984"/>
        <v/>
      </c>
      <c r="AQ144" s="8" t="str">
        <f t="shared" si="1984"/>
        <v/>
      </c>
      <c r="AR144" s="8" t="str">
        <f t="shared" si="1984"/>
        <v/>
      </c>
      <c r="AS144" s="8" t="str">
        <f t="shared" si="1984"/>
        <v/>
      </c>
    </row>
    <row r="145" spans="1:45" s="85" customFormat="1" ht="11.25" x14ac:dyDescent="0.15">
      <c r="A145" s="14" t="s">
        <v>9</v>
      </c>
      <c r="B145" s="13" t="s">
        <v>10</v>
      </c>
      <c r="C145" s="12" t="s">
        <v>360</v>
      </c>
      <c r="D145" s="12" t="s">
        <v>360</v>
      </c>
      <c r="E145" s="12" t="s">
        <v>360</v>
      </c>
      <c r="F145" s="12" t="s">
        <v>360</v>
      </c>
      <c r="G145" s="12" t="s">
        <v>360</v>
      </c>
      <c r="H145" s="12" t="s">
        <v>360</v>
      </c>
      <c r="I145" s="12" t="s">
        <v>360</v>
      </c>
      <c r="J145" s="12" t="s">
        <v>360</v>
      </c>
      <c r="K145" s="12" t="s">
        <v>360</v>
      </c>
      <c r="L145" s="12" t="str">
        <f t="shared" ref="L145" si="1985">IF(L140="","",K145)</f>
        <v>パンケーキスクイーズ</v>
      </c>
      <c r="M145" s="12" t="str">
        <f t="shared" ref="M145" si="1986">IF(M140="","",L145)</f>
        <v>パンケーキスクイーズ</v>
      </c>
      <c r="N145" s="12" t="str">
        <f t="shared" ref="N145" si="1987">IF(N140="","",M145)</f>
        <v/>
      </c>
      <c r="O145" s="12" t="str">
        <f t="shared" ref="O145" si="1988">IF(O140="","",N145)</f>
        <v/>
      </c>
      <c r="P145" s="12" t="str">
        <f t="shared" ref="P145" si="1989">IF(P140="","",O145)</f>
        <v/>
      </c>
      <c r="Q145" s="12" t="str">
        <f t="shared" ref="Q145" si="1990">IF(Q140="","",P145)</f>
        <v/>
      </c>
      <c r="R145" s="12" t="str">
        <f t="shared" ref="R145" si="1991">IF(R140="","",Q145)</f>
        <v/>
      </c>
      <c r="S145" s="12" t="str">
        <f t="shared" ref="S145" si="1992">IF(S140="","",R145)</f>
        <v/>
      </c>
      <c r="T145" s="12" t="str">
        <f t="shared" ref="T145" si="1993">IF(T140="","",S145)</f>
        <v/>
      </c>
      <c r="U145" s="12" t="str">
        <f t="shared" ref="U145" si="1994">IF(U140="","",T145)</f>
        <v/>
      </c>
      <c r="V145" s="12" t="str">
        <f t="shared" ref="V145" si="1995">IF(V140="","",U145)</f>
        <v/>
      </c>
      <c r="W145" s="12" t="str">
        <f t="shared" ref="W145" si="1996">IF(W140="","",V145)</f>
        <v/>
      </c>
      <c r="X145" s="12" t="str">
        <f t="shared" ref="X145" si="1997">IF(X140="","",W145)</f>
        <v/>
      </c>
      <c r="Y145" s="12" t="str">
        <f t="shared" ref="Y145" si="1998">IF(Y140="","",X145)</f>
        <v/>
      </c>
      <c r="Z145" s="12" t="str">
        <f>IF(Z140="","",Y145)</f>
        <v/>
      </c>
      <c r="AA145" s="12" t="str">
        <f t="shared" ref="AA145" si="1999">IF(AA140="","",Z145)</f>
        <v/>
      </c>
      <c r="AB145" s="12" t="str">
        <f t="shared" ref="AB145" si="2000">IF(AB140="","",AA145)</f>
        <v/>
      </c>
      <c r="AC145" s="12" t="str">
        <f t="shared" ref="AC145" si="2001">IF(AC140="","",AB145)</f>
        <v/>
      </c>
      <c r="AD145" s="12" t="str">
        <f>IF(AD140="","",AC145)</f>
        <v/>
      </c>
      <c r="AE145" s="12" t="str">
        <f t="shared" ref="AE145" si="2002">IF(AE140="","",AD145)</f>
        <v/>
      </c>
      <c r="AF145" s="12" t="str">
        <f t="shared" ref="AF145" si="2003">IF(AF140="","",AE145)</f>
        <v/>
      </c>
      <c r="AG145" s="12" t="str">
        <f t="shared" ref="AG145" si="2004">IF(AG140="","",AF145)</f>
        <v/>
      </c>
      <c r="AH145" s="12" t="str">
        <f t="shared" ref="AH145" si="2005">IF(AH140="","",AG145)</f>
        <v/>
      </c>
      <c r="AI145" s="12" t="str">
        <f t="shared" ref="AI145" si="2006">IF(AI140="","",AH145)</f>
        <v/>
      </c>
      <c r="AJ145" s="12" t="str">
        <f t="shared" ref="AJ145" si="2007">IF(AJ140="","",AI145)</f>
        <v/>
      </c>
      <c r="AK145" s="12" t="str">
        <f t="shared" ref="AK145" si="2008">IF(AK140="","",AJ145)</f>
        <v/>
      </c>
      <c r="AL145" s="12" t="str">
        <f t="shared" ref="AL145" si="2009">IF(AL140="","",AK145)</f>
        <v/>
      </c>
      <c r="AM145" s="12" t="str">
        <f t="shared" ref="AM145" si="2010">IF(AM140="","",AL145)</f>
        <v/>
      </c>
      <c r="AN145" s="12" t="str">
        <f t="shared" ref="AN145" si="2011">IF(AN140="","",AM145)</f>
        <v/>
      </c>
      <c r="AO145" s="12" t="str">
        <f t="shared" ref="AO145:AS145" si="2012">IF(AO140="","",AN145)</f>
        <v/>
      </c>
      <c r="AP145" s="12" t="str">
        <f t="shared" si="2012"/>
        <v/>
      </c>
      <c r="AQ145" s="12" t="str">
        <f t="shared" si="2012"/>
        <v/>
      </c>
      <c r="AR145" s="12" t="str">
        <f t="shared" si="2012"/>
        <v/>
      </c>
      <c r="AS145" s="12" t="str">
        <f t="shared" si="2012"/>
        <v/>
      </c>
    </row>
    <row r="146" spans="1:45" s="84" customFormat="1" ht="11.25" x14ac:dyDescent="0.15">
      <c r="A146" s="7">
        <f>AVERAGE(C147:AS147)*30*100</f>
        <v>70636.363636363632</v>
      </c>
      <c r="B146" s="9" t="s">
        <v>12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</row>
    <row r="147" spans="1:45" s="84" customFormat="1" ht="11.25" x14ac:dyDescent="0.15">
      <c r="A147" s="7">
        <f>SUM(C147:AS147)</f>
        <v>259</v>
      </c>
      <c r="B147" s="6" t="s">
        <v>13</v>
      </c>
      <c r="C147" s="5">
        <v>0</v>
      </c>
      <c r="D147" s="5">
        <v>46</v>
      </c>
      <c r="E147" s="5">
        <v>0</v>
      </c>
      <c r="F147" s="5">
        <v>0</v>
      </c>
      <c r="G147" s="5">
        <v>114</v>
      </c>
      <c r="H147" s="5">
        <v>0</v>
      </c>
      <c r="I147" s="5">
        <v>0</v>
      </c>
      <c r="J147" s="5">
        <v>0</v>
      </c>
      <c r="K147" s="5">
        <v>40</v>
      </c>
      <c r="L147" s="5">
        <f t="shared" ref="L147:L148" si="2013">IF(L140="","",L140-K140)</f>
        <v>0</v>
      </c>
      <c r="M147" s="5">
        <f t="shared" ref="M147:M148" si="2014">IF(M140="","",M140-L140)</f>
        <v>59</v>
      </c>
      <c r="N147" s="5" t="str">
        <f t="shared" ref="N147:N148" si="2015">IF(N140="","",N140-M140)</f>
        <v/>
      </c>
      <c r="O147" s="5" t="str">
        <f t="shared" ref="O147:O148" si="2016">IF(O140="","",O140-N140)</f>
        <v/>
      </c>
      <c r="P147" s="5" t="str">
        <f t="shared" ref="P147:P148" si="2017">IF(P140="","",P140-O140)</f>
        <v/>
      </c>
      <c r="Q147" s="5" t="str">
        <f t="shared" ref="Q147:Q148" si="2018">IF(Q140="","",Q140-P140)</f>
        <v/>
      </c>
      <c r="R147" s="5" t="str">
        <f t="shared" ref="R147:R148" si="2019">IF(R140="","",R140-Q140)</f>
        <v/>
      </c>
      <c r="S147" s="5" t="str">
        <f t="shared" ref="S147:S148" si="2020">IF(S140="","",S140-R140)</f>
        <v/>
      </c>
      <c r="T147" s="5" t="str">
        <f t="shared" ref="T147:T148" si="2021">IF(T140="","",T140-S140)</f>
        <v/>
      </c>
      <c r="U147" s="5" t="str">
        <f t="shared" ref="U147:U148" si="2022">IF(U140="","",U140-T140)</f>
        <v/>
      </c>
      <c r="V147" s="5" t="str">
        <f t="shared" ref="V147:V148" si="2023">IF(V140="","",V140-U140)</f>
        <v/>
      </c>
      <c r="W147" s="5" t="str">
        <f t="shared" ref="W147:W148" si="2024">IF(W140="","",W140-V140)</f>
        <v/>
      </c>
      <c r="X147" s="5" t="str">
        <f t="shared" ref="X147:X148" si="2025">IF(X140="","",X140-W140)</f>
        <v/>
      </c>
      <c r="Y147" s="5" t="str">
        <f t="shared" ref="Y147:Y148" si="2026">IF(Y140="","",Y140-X140)</f>
        <v/>
      </c>
      <c r="Z147" s="5" t="str">
        <f t="shared" ref="Z147:Z148" si="2027">IF(Z140="","",Z140-Y140)</f>
        <v/>
      </c>
      <c r="AA147" s="5" t="str">
        <f t="shared" ref="AA147:AA148" si="2028">IF(AA140="","",AA140-Z140)</f>
        <v/>
      </c>
      <c r="AB147" s="5" t="str">
        <f t="shared" ref="AB147:AB148" si="2029">IF(AB140="","",AB140-AA140)</f>
        <v/>
      </c>
      <c r="AC147" s="5" t="str">
        <f t="shared" ref="AC147:AC148" si="2030">IF(AC140="","",AC140-AB140)</f>
        <v/>
      </c>
      <c r="AD147" s="5" t="str">
        <f t="shared" ref="AD147:AD148" si="2031">IF(AD140="","",AD140-AC140)</f>
        <v/>
      </c>
      <c r="AE147" s="5" t="str">
        <f t="shared" ref="AE147:AE148" si="2032">IF(AE140="","",AE140-AD140)</f>
        <v/>
      </c>
      <c r="AF147" s="5" t="str">
        <f t="shared" ref="AF147:AF148" si="2033">IF(AF140="","",AF140-AE140)</f>
        <v/>
      </c>
      <c r="AG147" s="5" t="str">
        <f t="shared" ref="AG147:AG148" si="2034">IF(AG140="","",AG140-AF140)</f>
        <v/>
      </c>
      <c r="AH147" s="5" t="str">
        <f t="shared" ref="AH147:AH148" si="2035">IF(AH140="","",AH140-AG140)</f>
        <v/>
      </c>
      <c r="AI147" s="5" t="str">
        <f t="shared" ref="AI147:AI148" si="2036">IF(AI140="","",AI140-AH140)</f>
        <v/>
      </c>
      <c r="AJ147" s="5" t="str">
        <f t="shared" ref="AJ147:AJ148" si="2037">IF(AJ140="","",AJ140-AI140)</f>
        <v/>
      </c>
      <c r="AK147" s="5" t="str">
        <f t="shared" ref="AK147:AK148" si="2038">IF(AK140="","",AK140-AJ140)</f>
        <v/>
      </c>
      <c r="AL147" s="5" t="str">
        <f t="shared" ref="AL147:AL148" si="2039">IF(AL140="","",AL140-AK140)</f>
        <v/>
      </c>
      <c r="AM147" s="5" t="str">
        <f t="shared" ref="AM147:AM148" si="2040">IF(AM140="","",AM140-AL140)</f>
        <v/>
      </c>
      <c r="AN147" s="5" t="str">
        <f t="shared" ref="AN147" si="2041">IF(AN140="","",AN140-AM140)</f>
        <v/>
      </c>
      <c r="AO147" s="5" t="str">
        <f t="shared" ref="AO147:AS147" si="2042">IF(AO140="","",AO140-AN140)</f>
        <v/>
      </c>
      <c r="AP147" s="5" t="str">
        <f t="shared" si="2042"/>
        <v/>
      </c>
      <c r="AQ147" s="5" t="str">
        <f t="shared" si="2042"/>
        <v/>
      </c>
      <c r="AR147" s="5" t="str">
        <f t="shared" si="2042"/>
        <v/>
      </c>
      <c r="AS147" s="5" t="str">
        <f t="shared" si="2042"/>
        <v/>
      </c>
    </row>
    <row r="148" spans="1:45" s="84" customFormat="1" ht="11.25" x14ac:dyDescent="0.15">
      <c r="A148" s="7">
        <f>SUM(C148:AS148)</f>
        <v>10</v>
      </c>
      <c r="B148" s="6" t="s">
        <v>14</v>
      </c>
      <c r="C148" s="5">
        <v>0</v>
      </c>
      <c r="D148" s="5">
        <v>1</v>
      </c>
      <c r="E148" s="5">
        <v>0</v>
      </c>
      <c r="F148" s="5">
        <v>0</v>
      </c>
      <c r="G148" s="5">
        <v>6</v>
      </c>
      <c r="H148" s="5">
        <v>0</v>
      </c>
      <c r="I148" s="5">
        <v>0</v>
      </c>
      <c r="J148" s="5">
        <v>0</v>
      </c>
      <c r="K148" s="5">
        <v>3</v>
      </c>
      <c r="L148" s="5">
        <f t="shared" si="2013"/>
        <v>0</v>
      </c>
      <c r="M148" s="5">
        <f t="shared" si="2014"/>
        <v>0</v>
      </c>
      <c r="N148" s="5" t="str">
        <f t="shared" si="2015"/>
        <v/>
      </c>
      <c r="O148" s="5" t="str">
        <f t="shared" si="2016"/>
        <v/>
      </c>
      <c r="P148" s="5" t="str">
        <f t="shared" si="2017"/>
        <v/>
      </c>
      <c r="Q148" s="5" t="str">
        <f t="shared" si="2018"/>
        <v/>
      </c>
      <c r="R148" s="5" t="str">
        <f t="shared" si="2019"/>
        <v/>
      </c>
      <c r="S148" s="5" t="str">
        <f t="shared" si="2020"/>
        <v/>
      </c>
      <c r="T148" s="5" t="str">
        <f t="shared" si="2021"/>
        <v/>
      </c>
      <c r="U148" s="5" t="str">
        <f t="shared" si="2022"/>
        <v/>
      </c>
      <c r="V148" s="5" t="str">
        <f t="shared" si="2023"/>
        <v/>
      </c>
      <c r="W148" s="5" t="str">
        <f t="shared" si="2024"/>
        <v/>
      </c>
      <c r="X148" s="5" t="str">
        <f t="shared" si="2025"/>
        <v/>
      </c>
      <c r="Y148" s="5" t="str">
        <f t="shared" si="2026"/>
        <v/>
      </c>
      <c r="Z148" s="5" t="str">
        <f t="shared" si="2027"/>
        <v/>
      </c>
      <c r="AA148" s="5" t="str">
        <f t="shared" si="2028"/>
        <v/>
      </c>
      <c r="AB148" s="5" t="str">
        <f t="shared" si="2029"/>
        <v/>
      </c>
      <c r="AC148" s="5" t="str">
        <f t="shared" si="2030"/>
        <v/>
      </c>
      <c r="AD148" s="5" t="str">
        <f t="shared" si="2031"/>
        <v/>
      </c>
      <c r="AE148" s="5" t="str">
        <f t="shared" si="2032"/>
        <v/>
      </c>
      <c r="AF148" s="5" t="str">
        <f t="shared" si="2033"/>
        <v/>
      </c>
      <c r="AG148" s="5" t="str">
        <f t="shared" si="2034"/>
        <v/>
      </c>
      <c r="AH148" s="5" t="str">
        <f t="shared" si="2035"/>
        <v/>
      </c>
      <c r="AI148" s="5" t="str">
        <f t="shared" si="2036"/>
        <v/>
      </c>
      <c r="AJ148" s="5" t="str">
        <f t="shared" si="2037"/>
        <v/>
      </c>
      <c r="AK148" s="5" t="str">
        <f t="shared" si="2038"/>
        <v/>
      </c>
      <c r="AL148" s="5" t="str">
        <f t="shared" si="2039"/>
        <v/>
      </c>
      <c r="AM148" s="5" t="str">
        <f t="shared" si="2040"/>
        <v/>
      </c>
      <c r="AN148" s="5" t="str">
        <f t="shared" ref="AN148" si="2043">IF(AN141="","",AN141-AM141)</f>
        <v/>
      </c>
      <c r="AO148" s="5" t="str">
        <f t="shared" ref="AO148:AS148" si="2044">IF(AO141="","",AO141-AN141)</f>
        <v/>
      </c>
      <c r="AP148" s="5" t="str">
        <f t="shared" si="2044"/>
        <v/>
      </c>
      <c r="AQ148" s="5" t="str">
        <f t="shared" si="2044"/>
        <v/>
      </c>
      <c r="AR148" s="5" t="str">
        <f t="shared" si="2044"/>
        <v/>
      </c>
      <c r="AS148" s="5" t="str">
        <f t="shared" si="2044"/>
        <v/>
      </c>
    </row>
    <row r="149" spans="1:45" s="84" customFormat="1" ht="11.25" x14ac:dyDescent="0.15">
      <c r="A149" s="7">
        <f>SUM(C149:AS149)</f>
        <v>11</v>
      </c>
      <c r="B149" s="6" t="s">
        <v>15</v>
      </c>
      <c r="C149" s="5">
        <v>0</v>
      </c>
      <c r="D149" s="5">
        <v>1</v>
      </c>
      <c r="E149" s="5">
        <v>0</v>
      </c>
      <c r="F149" s="5">
        <v>0</v>
      </c>
      <c r="G149" s="5">
        <v>7</v>
      </c>
      <c r="H149" s="5">
        <v>0</v>
      </c>
      <c r="I149" s="5">
        <v>0</v>
      </c>
      <c r="J149" s="5">
        <v>0</v>
      </c>
      <c r="K149" s="5">
        <v>3</v>
      </c>
      <c r="L149" s="5">
        <f t="shared" ref="L149" si="2045">IF(L142="","",K142+K143-L142)</f>
        <v>0</v>
      </c>
      <c r="M149" s="5">
        <f t="shared" ref="M149" si="2046">IF(M142="","",L142+L143-M142)</f>
        <v>0</v>
      </c>
      <c r="N149" s="5" t="str">
        <f t="shared" ref="N149" si="2047">IF(N142="","",M142+M143-N142)</f>
        <v/>
      </c>
      <c r="O149" s="5" t="str">
        <f t="shared" ref="O149" si="2048">IF(O142="","",N142+N143-O142)</f>
        <v/>
      </c>
      <c r="P149" s="5" t="str">
        <f t="shared" ref="P149" si="2049">IF(P142="","",O142+O143-P142)</f>
        <v/>
      </c>
      <c r="Q149" s="5" t="str">
        <f t="shared" ref="Q149" si="2050">IF(Q142="","",P142+P143-Q142)</f>
        <v/>
      </c>
      <c r="R149" s="5" t="str">
        <f t="shared" ref="R149" si="2051">IF(R142="","",Q142+Q143-R142)</f>
        <v/>
      </c>
      <c r="S149" s="5" t="str">
        <f t="shared" ref="S149" si="2052">IF(S142="","",R142+R143-S142)</f>
        <v/>
      </c>
      <c r="T149" s="5" t="str">
        <f t="shared" ref="T149" si="2053">IF(T142="","",S142+S143-T142)</f>
        <v/>
      </c>
      <c r="U149" s="5" t="str">
        <f t="shared" ref="U149" si="2054">IF(U142="","",T142+T143-U142)</f>
        <v/>
      </c>
      <c r="V149" s="5" t="str">
        <f t="shared" ref="V149" si="2055">IF(V142="","",U142+U143-V142)</f>
        <v/>
      </c>
      <c r="W149" s="5" t="str">
        <f t="shared" ref="W149" si="2056">IF(W142="","",V142+V143-W142)</f>
        <v/>
      </c>
      <c r="X149" s="5" t="str">
        <f t="shared" ref="X149" si="2057">IF(X142="","",W142+W143-X142)</f>
        <v/>
      </c>
      <c r="Y149" s="5" t="str">
        <f t="shared" ref="Y149" si="2058">IF(Y142="","",X142+X143-Y142)</f>
        <v/>
      </c>
      <c r="Z149" s="5" t="str">
        <f t="shared" ref="Z149" si="2059">IF(Z142="","",Y142+Y143-Z142)</f>
        <v/>
      </c>
      <c r="AA149" s="5" t="str">
        <f t="shared" ref="AA149" si="2060">IF(AA142="","",Z142+Z143-AA142)</f>
        <v/>
      </c>
      <c r="AB149" s="5" t="str">
        <f t="shared" ref="AB149" si="2061">IF(AB142="","",AA142+AA143-AB142)</f>
        <v/>
      </c>
      <c r="AC149" s="5" t="str">
        <f t="shared" ref="AC149" si="2062">IF(AC142="","",AB142+AB143-AC142)</f>
        <v/>
      </c>
      <c r="AD149" s="5" t="str">
        <f t="shared" ref="AD149" si="2063">IF(AD142="","",AC142+AC143-AD142)</f>
        <v/>
      </c>
      <c r="AE149" s="5" t="str">
        <f t="shared" ref="AE149" si="2064">IF(AE142="","",AD142+AD143-AE142)</f>
        <v/>
      </c>
      <c r="AF149" s="5" t="str">
        <f t="shared" ref="AF149" si="2065">IF(AF142="","",AE142+AE143-AF142)</f>
        <v/>
      </c>
      <c r="AG149" s="5" t="str">
        <f t="shared" ref="AG149" si="2066">IF(AG142="","",AF142+AF143-AG142)</f>
        <v/>
      </c>
      <c r="AH149" s="5" t="str">
        <f t="shared" ref="AH149" si="2067">IF(AH142="","",AG142+AG143-AH142)</f>
        <v/>
      </c>
      <c r="AI149" s="5" t="str">
        <f t="shared" ref="AI149" si="2068">IF(AI142="","",AH142+AH143-AI142)</f>
        <v/>
      </c>
      <c r="AJ149" s="5" t="str">
        <f t="shared" ref="AJ149" si="2069">IF(AJ142="","",AI142+AI143-AJ142)</f>
        <v/>
      </c>
      <c r="AK149" s="5" t="str">
        <f t="shared" ref="AK149" si="2070">IF(AK142="","",AJ142+AJ143-AK142)</f>
        <v/>
      </c>
      <c r="AL149" s="5" t="str">
        <f t="shared" ref="AL149" si="2071">IF(AL142="","",AK142+AK143-AL142)</f>
        <v/>
      </c>
      <c r="AM149" s="5" t="str">
        <f t="shared" ref="AM149" si="2072">IF(AM142="","",AL142+AL143-AM142)</f>
        <v/>
      </c>
      <c r="AN149" s="5" t="str">
        <f t="shared" ref="AN149" si="2073">IF(AN142="","",AM142+AM143-AN142)</f>
        <v/>
      </c>
      <c r="AO149" s="5" t="str">
        <f t="shared" ref="AO149:AS149" si="2074">IF(AO142="","",AN142+AN143-AO142)</f>
        <v/>
      </c>
      <c r="AP149" s="5" t="str">
        <f t="shared" si="2074"/>
        <v/>
      </c>
      <c r="AQ149" s="5" t="str">
        <f t="shared" si="2074"/>
        <v/>
      </c>
      <c r="AR149" s="5" t="str">
        <f t="shared" si="2074"/>
        <v/>
      </c>
      <c r="AS149" s="5" t="str">
        <f t="shared" si="2074"/>
        <v/>
      </c>
    </row>
    <row r="150" spans="1:45" s="84" customFormat="1" ht="11.25" x14ac:dyDescent="0.15">
      <c r="A150" s="7">
        <f>SUM(C150:AS150)</f>
        <v>3300</v>
      </c>
      <c r="B150" s="6" t="s">
        <v>16</v>
      </c>
      <c r="C150" s="5">
        <v>0</v>
      </c>
      <c r="D150" s="5">
        <v>300</v>
      </c>
      <c r="E150" s="5">
        <v>0</v>
      </c>
      <c r="F150" s="5">
        <v>0</v>
      </c>
      <c r="G150" s="5">
        <v>2100</v>
      </c>
      <c r="H150" s="5">
        <v>0</v>
      </c>
      <c r="I150" s="5">
        <v>0</v>
      </c>
      <c r="J150" s="5">
        <v>0</v>
      </c>
      <c r="K150" s="5">
        <v>900</v>
      </c>
      <c r="L150" s="5">
        <f t="shared" ref="J150:AM150" si="2075">IF(L140="","",L149*L144)</f>
        <v>0</v>
      </c>
      <c r="M150" s="5">
        <f t="shared" si="2075"/>
        <v>0</v>
      </c>
      <c r="N150" s="5" t="str">
        <f t="shared" si="2075"/>
        <v/>
      </c>
      <c r="O150" s="5" t="str">
        <f t="shared" si="2075"/>
        <v/>
      </c>
      <c r="P150" s="5" t="str">
        <f t="shared" si="2075"/>
        <v/>
      </c>
      <c r="Q150" s="5" t="str">
        <f t="shared" si="2075"/>
        <v/>
      </c>
      <c r="R150" s="5" t="str">
        <f t="shared" si="2075"/>
        <v/>
      </c>
      <c r="S150" s="5" t="str">
        <f t="shared" si="2075"/>
        <v/>
      </c>
      <c r="T150" s="5" t="str">
        <f t="shared" si="2075"/>
        <v/>
      </c>
      <c r="U150" s="5" t="str">
        <f t="shared" si="2075"/>
        <v/>
      </c>
      <c r="V150" s="5" t="str">
        <f t="shared" si="2075"/>
        <v/>
      </c>
      <c r="W150" s="5" t="str">
        <f t="shared" si="2075"/>
        <v/>
      </c>
      <c r="X150" s="5" t="str">
        <f t="shared" si="2075"/>
        <v/>
      </c>
      <c r="Y150" s="5" t="str">
        <f t="shared" si="2075"/>
        <v/>
      </c>
      <c r="Z150" s="5" t="str">
        <f t="shared" si="2075"/>
        <v/>
      </c>
      <c r="AA150" s="5" t="str">
        <f t="shared" si="2075"/>
        <v/>
      </c>
      <c r="AB150" s="5" t="str">
        <f t="shared" si="2075"/>
        <v/>
      </c>
      <c r="AC150" s="5" t="str">
        <f t="shared" si="2075"/>
        <v/>
      </c>
      <c r="AD150" s="5" t="str">
        <f t="shared" si="2075"/>
        <v/>
      </c>
      <c r="AE150" s="5" t="str">
        <f t="shared" si="2075"/>
        <v/>
      </c>
      <c r="AF150" s="5" t="str">
        <f t="shared" si="2075"/>
        <v/>
      </c>
      <c r="AG150" s="5" t="str">
        <f t="shared" si="2075"/>
        <v/>
      </c>
      <c r="AH150" s="5" t="str">
        <f t="shared" si="2075"/>
        <v/>
      </c>
      <c r="AI150" s="5" t="str">
        <f t="shared" si="2075"/>
        <v/>
      </c>
      <c r="AJ150" s="5" t="str">
        <f t="shared" si="2075"/>
        <v/>
      </c>
      <c r="AK150" s="5" t="str">
        <f t="shared" si="2075"/>
        <v/>
      </c>
      <c r="AL150" s="5" t="str">
        <f t="shared" si="2075"/>
        <v/>
      </c>
      <c r="AM150" s="5" t="str">
        <f t="shared" si="2075"/>
        <v/>
      </c>
      <c r="AN150" s="5" t="str">
        <f t="shared" ref="AN150" si="2076">IF(AN140="","",AN149*AN144)</f>
        <v/>
      </c>
      <c r="AO150" s="5" t="str">
        <f t="shared" ref="AO150:AS150" si="2077">IF(AO140="","",AO149*AO144)</f>
        <v/>
      </c>
      <c r="AP150" s="5" t="str">
        <f t="shared" si="2077"/>
        <v/>
      </c>
      <c r="AQ150" s="5" t="str">
        <f t="shared" si="2077"/>
        <v/>
      </c>
      <c r="AR150" s="5" t="str">
        <f t="shared" si="2077"/>
        <v/>
      </c>
      <c r="AS150" s="5" t="str">
        <f t="shared" si="2077"/>
        <v/>
      </c>
    </row>
    <row r="151" spans="1:45" s="84" customFormat="1" ht="12" thickBot="1" x14ac:dyDescent="0.2">
      <c r="A151" s="4">
        <f>IF(A150="","",A150/(A147*100))</f>
        <v>0.12741312741312741</v>
      </c>
      <c r="B151" s="3" t="s">
        <v>18</v>
      </c>
      <c r="C151" s="2" t="s">
        <v>19</v>
      </c>
      <c r="D151" s="2">
        <v>6.5217391304347824E-2</v>
      </c>
      <c r="E151" s="2" t="s">
        <v>19</v>
      </c>
      <c r="F151" s="2" t="s">
        <v>19</v>
      </c>
      <c r="G151" s="2">
        <v>0.18421052631578946</v>
      </c>
      <c r="H151" s="2" t="s">
        <v>19</v>
      </c>
      <c r="I151" s="2" t="s">
        <v>19</v>
      </c>
      <c r="J151" s="2" t="s">
        <v>19</v>
      </c>
      <c r="K151" s="2">
        <v>0.22500000000000001</v>
      </c>
      <c r="L151" s="2" t="str">
        <f t="shared" ref="J151:AM151" si="2078">IF(L150="","",IF(L150=0,"",L150/(L147*100)))</f>
        <v/>
      </c>
      <c r="M151" s="2" t="str">
        <f t="shared" si="2078"/>
        <v/>
      </c>
      <c r="N151" s="2" t="str">
        <f t="shared" si="2078"/>
        <v/>
      </c>
      <c r="O151" s="2" t="str">
        <f t="shared" si="2078"/>
        <v/>
      </c>
      <c r="P151" s="2" t="str">
        <f t="shared" si="2078"/>
        <v/>
      </c>
      <c r="Q151" s="2" t="str">
        <f t="shared" si="2078"/>
        <v/>
      </c>
      <c r="R151" s="2" t="str">
        <f t="shared" si="2078"/>
        <v/>
      </c>
      <c r="S151" s="2" t="str">
        <f t="shared" si="2078"/>
        <v/>
      </c>
      <c r="T151" s="2" t="str">
        <f t="shared" si="2078"/>
        <v/>
      </c>
      <c r="U151" s="2" t="str">
        <f t="shared" si="2078"/>
        <v/>
      </c>
      <c r="V151" s="2" t="str">
        <f t="shared" si="2078"/>
        <v/>
      </c>
      <c r="W151" s="2" t="str">
        <f t="shared" si="2078"/>
        <v/>
      </c>
      <c r="X151" s="2" t="str">
        <f t="shared" si="2078"/>
        <v/>
      </c>
      <c r="Y151" s="2" t="str">
        <f t="shared" si="2078"/>
        <v/>
      </c>
      <c r="Z151" s="2" t="str">
        <f t="shared" si="2078"/>
        <v/>
      </c>
      <c r="AA151" s="2" t="str">
        <f t="shared" si="2078"/>
        <v/>
      </c>
      <c r="AB151" s="2" t="str">
        <f t="shared" si="2078"/>
        <v/>
      </c>
      <c r="AC151" s="2" t="str">
        <f t="shared" si="2078"/>
        <v/>
      </c>
      <c r="AD151" s="2" t="str">
        <f t="shared" si="2078"/>
        <v/>
      </c>
      <c r="AE151" s="2" t="str">
        <f t="shared" si="2078"/>
        <v/>
      </c>
      <c r="AF151" s="2" t="str">
        <f t="shared" si="2078"/>
        <v/>
      </c>
      <c r="AG151" s="2" t="str">
        <f t="shared" si="2078"/>
        <v/>
      </c>
      <c r="AH151" s="2" t="str">
        <f t="shared" si="2078"/>
        <v/>
      </c>
      <c r="AI151" s="2" t="str">
        <f t="shared" si="2078"/>
        <v/>
      </c>
      <c r="AJ151" s="2" t="str">
        <f t="shared" si="2078"/>
        <v/>
      </c>
      <c r="AK151" s="2" t="str">
        <f t="shared" si="2078"/>
        <v/>
      </c>
      <c r="AL151" s="2" t="str">
        <f t="shared" si="2078"/>
        <v/>
      </c>
      <c r="AM151" s="2" t="str">
        <f t="shared" si="2078"/>
        <v/>
      </c>
      <c r="AN151" s="2" t="str">
        <f t="shared" ref="AN151" si="2079">IF(AN150="","",IF(AN150=0,"",AN150/(AN147*100)))</f>
        <v/>
      </c>
      <c r="AO151" s="2" t="str">
        <f t="shared" ref="AO151:AS151" si="2080">IF(AO150="","",IF(AO150=0,"",AO150/(AO147*100)))</f>
        <v/>
      </c>
      <c r="AP151" s="2" t="str">
        <f t="shared" si="2080"/>
        <v/>
      </c>
      <c r="AQ151" s="2" t="str">
        <f t="shared" si="2080"/>
        <v/>
      </c>
      <c r="AR151" s="2" t="str">
        <f t="shared" si="2080"/>
        <v/>
      </c>
      <c r="AS151" s="2" t="str">
        <f t="shared" si="2080"/>
        <v/>
      </c>
    </row>
    <row r="152" spans="1:45" s="84" customFormat="1" ht="11.25" x14ac:dyDescent="0.15">
      <c r="A152" s="40" t="s">
        <v>77</v>
      </c>
      <c r="B152" s="39" t="s">
        <v>2</v>
      </c>
      <c r="C152" s="38">
        <v>14856</v>
      </c>
      <c r="D152" s="38">
        <v>14887</v>
      </c>
      <c r="E152" s="38">
        <v>14887</v>
      </c>
      <c r="F152" s="38">
        <v>14887</v>
      </c>
      <c r="G152" s="38">
        <v>14911</v>
      </c>
      <c r="H152" s="38">
        <v>14911</v>
      </c>
      <c r="I152" s="38">
        <v>14911</v>
      </c>
      <c r="J152" s="38">
        <v>14911</v>
      </c>
      <c r="K152" s="38">
        <v>14945</v>
      </c>
      <c r="L152" s="38">
        <f>IF(L$8="","",K152)</f>
        <v>14945</v>
      </c>
      <c r="M152" s="38">
        <v>14975</v>
      </c>
      <c r="N152" s="38" t="str">
        <f t="shared" ref="N152:N153" si="2081">IF(N$8="","",M152)</f>
        <v/>
      </c>
      <c r="O152" s="38" t="str">
        <f>IF(O$8="","",N152)</f>
        <v/>
      </c>
      <c r="P152" s="38" t="str">
        <f t="shared" ref="P152:P153" si="2082">IF(P$8="","",O152)</f>
        <v/>
      </c>
      <c r="Q152" s="38" t="str">
        <f t="shared" ref="Q152:Q153" si="2083">IF(Q$8="","",P152)</f>
        <v/>
      </c>
      <c r="R152" s="38" t="str">
        <f t="shared" ref="R152:R153" si="2084">IF(R$8="","",Q152)</f>
        <v/>
      </c>
      <c r="S152" s="38" t="str">
        <f>IF(S$8="","",R152)</f>
        <v/>
      </c>
      <c r="T152" s="38" t="str">
        <f>IF(T$8="","",S152)</f>
        <v/>
      </c>
      <c r="U152" s="38" t="str">
        <f t="shared" ref="U152:U153" si="2085">IF(U$8="","",T152)</f>
        <v/>
      </c>
      <c r="V152" s="38" t="str">
        <f>IF(V$8="","",U152)</f>
        <v/>
      </c>
      <c r="W152" s="38" t="str">
        <f>IF(W$8="","",V152)</f>
        <v/>
      </c>
      <c r="X152" s="38" t="str">
        <f t="shared" ref="X152:X153" si="2086">IF(X$8="","",W152)</f>
        <v/>
      </c>
      <c r="Y152" s="38" t="str">
        <f t="shared" ref="Y152:Y153" si="2087">IF(Y$8="","",X152)</f>
        <v/>
      </c>
      <c r="Z152" s="38" t="str">
        <f>IF(Z$8="","",Y152)</f>
        <v/>
      </c>
      <c r="AA152" s="38" t="str">
        <f t="shared" ref="AA152:AA153" si="2088">IF(AA$8="","",Z152)</f>
        <v/>
      </c>
      <c r="AB152" s="38" t="str">
        <f t="shared" ref="AB152:AB153" si="2089">IF(AB$8="","",AA152)</f>
        <v/>
      </c>
      <c r="AC152" s="38" t="str">
        <f t="shared" ref="AC152:AC153" si="2090">IF(AC$8="","",AB152)</f>
        <v/>
      </c>
      <c r="AD152" s="38" t="str">
        <f>IF(AD$8="","",AC152)</f>
        <v/>
      </c>
      <c r="AE152" s="38" t="str">
        <f>IF(AE$8="","",AD152)</f>
        <v/>
      </c>
      <c r="AF152" s="38" t="str">
        <f t="shared" ref="AF152:AF153" si="2091">IF(AF$8="","",AE152)</f>
        <v/>
      </c>
      <c r="AG152" s="38" t="str">
        <f>IF(AG$8="","",AF152)</f>
        <v/>
      </c>
      <c r="AH152" s="38" t="str">
        <f t="shared" ref="AH152:AH153" si="2092">IF(AH$8="","",AG152)</f>
        <v/>
      </c>
      <c r="AI152" s="38" t="str">
        <f t="shared" ref="AI152:AI153" si="2093">IF(AI$8="","",AH152)</f>
        <v/>
      </c>
      <c r="AJ152" s="38" t="str">
        <f>IF(AJ$8="","",AI152)</f>
        <v/>
      </c>
      <c r="AK152" s="38" t="str">
        <f t="shared" ref="AK152:AK153" si="2094">IF(AK$8="","",AJ152)</f>
        <v/>
      </c>
      <c r="AL152" s="38" t="str">
        <f t="shared" ref="AL152:AL153" si="2095">IF(AL$8="","",AK152)</f>
        <v/>
      </c>
      <c r="AM152" s="38" t="str">
        <f t="shared" ref="AM152:AM153" si="2096">IF(AM$8="","",AL152)</f>
        <v/>
      </c>
      <c r="AN152" s="38" t="str">
        <f>IF(AN$8="","",AM152)</f>
        <v/>
      </c>
      <c r="AO152" s="38" t="str">
        <f t="shared" ref="AN152:AS152" si="2097">IF(AO$8="","",AN152)</f>
        <v/>
      </c>
      <c r="AP152" s="38" t="str">
        <f t="shared" si="2097"/>
        <v/>
      </c>
      <c r="AQ152" s="38" t="str">
        <f t="shared" si="2097"/>
        <v/>
      </c>
      <c r="AR152" s="38" t="str">
        <f t="shared" si="2097"/>
        <v/>
      </c>
      <c r="AS152" s="38" t="str">
        <f t="shared" si="2097"/>
        <v/>
      </c>
    </row>
    <row r="153" spans="1:45" s="84" customFormat="1" ht="11.25" x14ac:dyDescent="0.15">
      <c r="A153" s="37" t="s">
        <v>64</v>
      </c>
      <c r="B153" s="30" t="s">
        <v>4</v>
      </c>
      <c r="C153" s="29">
        <v>464</v>
      </c>
      <c r="D153" s="29">
        <v>465</v>
      </c>
      <c r="E153" s="29">
        <v>465</v>
      </c>
      <c r="F153" s="29">
        <v>465</v>
      </c>
      <c r="G153" s="29">
        <v>468</v>
      </c>
      <c r="H153" s="29">
        <v>468</v>
      </c>
      <c r="I153" s="29">
        <v>468</v>
      </c>
      <c r="J153" s="29">
        <v>468</v>
      </c>
      <c r="K153" s="29">
        <v>471</v>
      </c>
      <c r="L153" s="29">
        <f>IF(L$8="","",K153)</f>
        <v>471</v>
      </c>
      <c r="M153" s="29">
        <v>471</v>
      </c>
      <c r="N153" s="29" t="str">
        <f t="shared" si="2081"/>
        <v/>
      </c>
      <c r="O153" s="29" t="str">
        <f>IF(O$8="","",N153)</f>
        <v/>
      </c>
      <c r="P153" s="29" t="str">
        <f t="shared" si="2082"/>
        <v/>
      </c>
      <c r="Q153" s="29" t="str">
        <f t="shared" si="2083"/>
        <v/>
      </c>
      <c r="R153" s="29" t="str">
        <f t="shared" si="2084"/>
        <v/>
      </c>
      <c r="S153" s="29" t="str">
        <f>IF(S$8="","",R153)</f>
        <v/>
      </c>
      <c r="T153" s="29" t="str">
        <f>IF(T$8="","",S153)</f>
        <v/>
      </c>
      <c r="U153" s="29" t="str">
        <f t="shared" si="2085"/>
        <v/>
      </c>
      <c r="V153" s="29" t="str">
        <f>IF(V$8="","",U153)</f>
        <v/>
      </c>
      <c r="W153" s="29" t="str">
        <f>IF(W$8="","",V153)</f>
        <v/>
      </c>
      <c r="X153" s="29" t="str">
        <f t="shared" si="2086"/>
        <v/>
      </c>
      <c r="Y153" s="29" t="str">
        <f t="shared" si="2087"/>
        <v/>
      </c>
      <c r="Z153" s="29" t="str">
        <f>IF(Z$8="","",Y153)</f>
        <v/>
      </c>
      <c r="AA153" s="29" t="str">
        <f t="shared" si="2088"/>
        <v/>
      </c>
      <c r="AB153" s="29" t="str">
        <f t="shared" si="2089"/>
        <v/>
      </c>
      <c r="AC153" s="29" t="str">
        <f t="shared" si="2090"/>
        <v/>
      </c>
      <c r="AD153" s="29" t="str">
        <f>IF(AD$8="","",AC153)</f>
        <v/>
      </c>
      <c r="AE153" s="29" t="str">
        <f>IF(AE$8="","",AD153)</f>
        <v/>
      </c>
      <c r="AF153" s="29" t="str">
        <f t="shared" si="2091"/>
        <v/>
      </c>
      <c r="AG153" s="29" t="str">
        <f>IF(AG$8="","",AF153)</f>
        <v/>
      </c>
      <c r="AH153" s="29" t="str">
        <f t="shared" si="2092"/>
        <v/>
      </c>
      <c r="AI153" s="29" t="str">
        <f t="shared" si="2093"/>
        <v/>
      </c>
      <c r="AJ153" s="29" t="str">
        <f>IF(AJ$8="","",AI153)</f>
        <v/>
      </c>
      <c r="AK153" s="29" t="str">
        <f t="shared" si="2094"/>
        <v/>
      </c>
      <c r="AL153" s="29" t="str">
        <f t="shared" si="2095"/>
        <v/>
      </c>
      <c r="AM153" s="29" t="str">
        <f t="shared" si="2096"/>
        <v/>
      </c>
      <c r="AN153" s="29" t="str">
        <f>IF(AN$8="","",AM153)</f>
        <v/>
      </c>
      <c r="AO153" s="29" t="str">
        <f t="shared" ref="AN153:AS153" si="2098">IF(AO$8="","",AN153)</f>
        <v/>
      </c>
      <c r="AP153" s="29" t="str">
        <f t="shared" si="2098"/>
        <v/>
      </c>
      <c r="AQ153" s="29" t="str">
        <f t="shared" si="2098"/>
        <v/>
      </c>
      <c r="AR153" s="29" t="str">
        <f t="shared" si="2098"/>
        <v/>
      </c>
      <c r="AS153" s="29" t="str">
        <f t="shared" si="2098"/>
        <v/>
      </c>
    </row>
    <row r="154" spans="1:45" s="84" customFormat="1" ht="11.25" x14ac:dyDescent="0.15">
      <c r="A154" s="34"/>
      <c r="B154" s="30" t="s">
        <v>5</v>
      </c>
      <c r="C154" s="29">
        <v>23</v>
      </c>
      <c r="D154" s="29">
        <v>22</v>
      </c>
      <c r="E154" s="29">
        <v>22</v>
      </c>
      <c r="F154" s="29">
        <v>22</v>
      </c>
      <c r="G154" s="29">
        <v>19</v>
      </c>
      <c r="H154" s="29">
        <v>19</v>
      </c>
      <c r="I154" s="29">
        <v>19</v>
      </c>
      <c r="J154" s="29">
        <v>19</v>
      </c>
      <c r="K154" s="29">
        <v>16</v>
      </c>
      <c r="L154" s="29">
        <f t="shared" ref="L154" si="2099">IF(L152="","",(K154+K155))</f>
        <v>16</v>
      </c>
      <c r="M154" s="29">
        <f t="shared" ref="M154" si="2100">IF(M152="","",(L154+L155))</f>
        <v>16</v>
      </c>
      <c r="N154" s="29" t="str">
        <f t="shared" ref="N154" si="2101">IF(N152="","",(M154+M155))</f>
        <v/>
      </c>
      <c r="O154" s="29" t="str">
        <f>IF(O152="","",(N154+N155))</f>
        <v/>
      </c>
      <c r="P154" s="29" t="str">
        <f t="shared" ref="P154" si="2102">IF(P152="","",(O154+O155))</f>
        <v/>
      </c>
      <c r="Q154" s="29" t="str">
        <f t="shared" ref="Q154" si="2103">IF(Q152="","",(P154+P155))</f>
        <v/>
      </c>
      <c r="R154" s="29" t="str">
        <f t="shared" ref="R154" si="2104">IF(R152="","",(Q154+Q155))</f>
        <v/>
      </c>
      <c r="S154" s="29" t="str">
        <f t="shared" ref="S154" si="2105">IF(S152="","",(R154+R155))</f>
        <v/>
      </c>
      <c r="T154" s="29" t="str">
        <f t="shared" ref="T154" si="2106">IF(T152="","",(S154+S155))</f>
        <v/>
      </c>
      <c r="U154" s="29" t="str">
        <f t="shared" ref="U154" si="2107">IF(U152="","",(T154+T155))</f>
        <v/>
      </c>
      <c r="V154" s="29" t="str">
        <f>IF(V152="","",(U154+U155))</f>
        <v/>
      </c>
      <c r="W154" s="29" t="str">
        <f>IF(W152="","",(V154+V155))</f>
        <v/>
      </c>
      <c r="X154" s="29" t="str">
        <f t="shared" ref="X154" si="2108">IF(X152="","",(W154+W155))</f>
        <v/>
      </c>
      <c r="Y154" s="29" t="str">
        <f t="shared" ref="Y154" si="2109">IF(Y152="","",(X154+X155))</f>
        <v/>
      </c>
      <c r="Z154" s="29" t="str">
        <f>IF(Z152="","",(Y154+Y155))</f>
        <v/>
      </c>
      <c r="AA154" s="29" t="str">
        <f t="shared" ref="AA154" si="2110">IF(AA152="","",(Z154+Z155))</f>
        <v/>
      </c>
      <c r="AB154" s="29" t="str">
        <f t="shared" ref="AB154" si="2111">IF(AB152="","",(AA154+AA155))</f>
        <v/>
      </c>
      <c r="AC154" s="29" t="str">
        <f t="shared" ref="AC154" si="2112">IF(AC152="","",(AB154+AB155))</f>
        <v/>
      </c>
      <c r="AD154" s="29" t="str">
        <f>IF(AD152="","",(AC154+AC155))</f>
        <v/>
      </c>
      <c r="AE154" s="29" t="str">
        <f>IF(AE152="","",(AD154+AD155))</f>
        <v/>
      </c>
      <c r="AF154" s="29" t="str">
        <f t="shared" ref="AF154" si="2113">IF(AF152="","",(AE154+AE155))</f>
        <v/>
      </c>
      <c r="AG154" s="29" t="str">
        <f>IF(AG152="","",(AF154+AF155))</f>
        <v/>
      </c>
      <c r="AH154" s="29" t="str">
        <f t="shared" ref="AH154" si="2114">IF(AH152="","",(AG154+AG155))</f>
        <v/>
      </c>
      <c r="AI154" s="29" t="str">
        <f t="shared" ref="AI154" si="2115">IF(AI152="","",(AH154+AH155))</f>
        <v/>
      </c>
      <c r="AJ154" s="29" t="str">
        <f>IF(AJ152="","",(AI154+AI155))</f>
        <v/>
      </c>
      <c r="AK154" s="29" t="str">
        <f t="shared" ref="AK154" si="2116">IF(AK152="","",(AJ154+AJ155))</f>
        <v/>
      </c>
      <c r="AL154" s="29" t="str">
        <f t="shared" ref="AL154" si="2117">IF(AL152="","",(AK154+AK155))</f>
        <v/>
      </c>
      <c r="AM154" s="29" t="str">
        <f t="shared" ref="AM154" si="2118">IF(AM152="","",(AL154+AL155))</f>
        <v/>
      </c>
      <c r="AN154" s="29" t="str">
        <f>IF(AN152="","",(AM154+AM155))</f>
        <v/>
      </c>
      <c r="AO154" s="29" t="str">
        <f t="shared" ref="AN154:AS154" si="2119">IF(AO152="","",(AN154+AN155))</f>
        <v/>
      </c>
      <c r="AP154" s="29" t="str">
        <f t="shared" si="2119"/>
        <v/>
      </c>
      <c r="AQ154" s="29" t="str">
        <f t="shared" si="2119"/>
        <v/>
      </c>
      <c r="AR154" s="29" t="str">
        <f t="shared" si="2119"/>
        <v/>
      </c>
      <c r="AS154" s="29" t="str">
        <f t="shared" si="2119"/>
        <v/>
      </c>
    </row>
    <row r="155" spans="1:45" s="84" customFormat="1" ht="11.25" x14ac:dyDescent="0.15">
      <c r="A155" s="14"/>
      <c r="B155" s="30" t="s">
        <v>7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</row>
    <row r="156" spans="1:45" s="84" customFormat="1" ht="11.25" x14ac:dyDescent="0.15">
      <c r="A156" s="7"/>
      <c r="B156" s="30" t="s">
        <v>8</v>
      </c>
      <c r="C156" s="35">
        <v>350</v>
      </c>
      <c r="D156" s="35">
        <v>350</v>
      </c>
      <c r="E156" s="35">
        <v>350</v>
      </c>
      <c r="F156" s="35">
        <v>350</v>
      </c>
      <c r="G156" s="35">
        <v>350</v>
      </c>
      <c r="H156" s="35">
        <v>350</v>
      </c>
      <c r="I156" s="35">
        <v>350</v>
      </c>
      <c r="J156" s="35">
        <v>350</v>
      </c>
      <c r="K156" s="35">
        <v>350</v>
      </c>
      <c r="L156" s="35">
        <f t="shared" ref="L156" si="2120">IF(L152="","",K156)</f>
        <v>350</v>
      </c>
      <c r="M156" s="35">
        <f t="shared" ref="M156" si="2121">IF(M152="","",L156)</f>
        <v>350</v>
      </c>
      <c r="N156" s="35" t="str">
        <f t="shared" ref="N156" si="2122">IF(N152="","",M156)</f>
        <v/>
      </c>
      <c r="O156" s="35" t="str">
        <f t="shared" ref="O156" si="2123">IF(O152="","",N156)</f>
        <v/>
      </c>
      <c r="P156" s="35" t="str">
        <f t="shared" ref="P156" si="2124">IF(P152="","",O156)</f>
        <v/>
      </c>
      <c r="Q156" s="35" t="str">
        <f t="shared" ref="Q156" si="2125">IF(Q152="","",P156)</f>
        <v/>
      </c>
      <c r="R156" s="35" t="str">
        <f t="shared" ref="R156" si="2126">IF(R152="","",Q156)</f>
        <v/>
      </c>
      <c r="S156" s="35" t="str">
        <f t="shared" ref="S156" si="2127">IF(S152="","",R156)</f>
        <v/>
      </c>
      <c r="T156" s="35" t="str">
        <f t="shared" ref="T156" si="2128">IF(T152="","",S156)</f>
        <v/>
      </c>
      <c r="U156" s="35" t="str">
        <f t="shared" ref="U156" si="2129">IF(U152="","",T156)</f>
        <v/>
      </c>
      <c r="V156" s="35" t="str">
        <f t="shared" ref="V156" si="2130">IF(V152="","",U156)</f>
        <v/>
      </c>
      <c r="W156" s="35" t="str">
        <f t="shared" ref="W156" si="2131">IF(W152="","",V156)</f>
        <v/>
      </c>
      <c r="X156" s="35" t="str">
        <f t="shared" ref="X156" si="2132">IF(X152="","",W156)</f>
        <v/>
      </c>
      <c r="Y156" s="35" t="str">
        <f t="shared" ref="Y156" si="2133">IF(Y152="","",X156)</f>
        <v/>
      </c>
      <c r="Z156" s="35" t="str">
        <f t="shared" ref="Z156" si="2134">IF(Z152="","",Y156)</f>
        <v/>
      </c>
      <c r="AA156" s="35" t="str">
        <f t="shared" ref="AA156" si="2135">IF(AA152="","",Z156)</f>
        <v/>
      </c>
      <c r="AB156" s="35" t="str">
        <f t="shared" ref="AB156" si="2136">IF(AB152="","",AA156)</f>
        <v/>
      </c>
      <c r="AC156" s="35" t="str">
        <f t="shared" ref="AC156" si="2137">IF(AC152="","",AB156)</f>
        <v/>
      </c>
      <c r="AD156" s="35" t="str">
        <f t="shared" ref="AD156" si="2138">IF(AD152="","",AC156)</f>
        <v/>
      </c>
      <c r="AE156" s="35" t="str">
        <f t="shared" ref="AE156" si="2139">IF(AE152="","",AD156)</f>
        <v/>
      </c>
      <c r="AF156" s="35" t="str">
        <f t="shared" ref="AF156" si="2140">IF(AF152="","",AE156)</f>
        <v/>
      </c>
      <c r="AG156" s="35" t="str">
        <f t="shared" ref="AG156" si="2141">IF(AG152="","",AF156)</f>
        <v/>
      </c>
      <c r="AH156" s="35" t="str">
        <f t="shared" ref="AH156" si="2142">IF(AH152="","",AG156)</f>
        <v/>
      </c>
      <c r="AI156" s="35" t="str">
        <f t="shared" ref="AI156" si="2143">IF(AI152="","",AH156)</f>
        <v/>
      </c>
      <c r="AJ156" s="35" t="str">
        <f t="shared" ref="AJ156" si="2144">IF(AJ152="","",AI156)</f>
        <v/>
      </c>
      <c r="AK156" s="35" t="str">
        <f t="shared" ref="AK156" si="2145">IF(AK152="","",AJ156)</f>
        <v/>
      </c>
      <c r="AL156" s="35" t="str">
        <f t="shared" ref="AL156" si="2146">IF(AL152="","",AK156)</f>
        <v/>
      </c>
      <c r="AM156" s="35" t="str">
        <f t="shared" ref="AM156" si="2147">IF(AM152="","",AL156)</f>
        <v/>
      </c>
      <c r="AN156" s="35" t="str">
        <f t="shared" ref="AN156:AS156" si="2148">IF(AN152="","",AM156)</f>
        <v/>
      </c>
      <c r="AO156" s="35" t="str">
        <f t="shared" si="2148"/>
        <v/>
      </c>
      <c r="AP156" s="35" t="str">
        <f t="shared" si="2148"/>
        <v/>
      </c>
      <c r="AQ156" s="35" t="str">
        <f t="shared" si="2148"/>
        <v/>
      </c>
      <c r="AR156" s="35" t="str">
        <f t="shared" si="2148"/>
        <v/>
      </c>
      <c r="AS156" s="35" t="str">
        <f t="shared" si="2148"/>
        <v/>
      </c>
    </row>
    <row r="157" spans="1:45" s="85" customFormat="1" ht="11.25" x14ac:dyDescent="0.15">
      <c r="A157" s="14" t="s">
        <v>9</v>
      </c>
      <c r="B157" s="33" t="s">
        <v>10</v>
      </c>
      <c r="C157" s="32" t="s">
        <v>63</v>
      </c>
      <c r="D157" s="32" t="s">
        <v>63</v>
      </c>
      <c r="E157" s="32" t="s">
        <v>63</v>
      </c>
      <c r="F157" s="32" t="s">
        <v>63</v>
      </c>
      <c r="G157" s="32" t="s">
        <v>63</v>
      </c>
      <c r="H157" s="32" t="s">
        <v>63</v>
      </c>
      <c r="I157" s="32" t="s">
        <v>63</v>
      </c>
      <c r="J157" s="32" t="s">
        <v>63</v>
      </c>
      <c r="K157" s="32" t="s">
        <v>63</v>
      </c>
      <c r="L157" s="32" t="str">
        <f t="shared" ref="L157" si="2149">IF(L152="","",K157)</f>
        <v>サンリオマスコット</v>
      </c>
      <c r="M157" s="32" t="str">
        <f t="shared" ref="M157" si="2150">IF(M152="","",L157)</f>
        <v>サンリオマスコット</v>
      </c>
      <c r="N157" s="32" t="str">
        <f t="shared" ref="N157" si="2151">IF(N152="","",M157)</f>
        <v/>
      </c>
      <c r="O157" s="32" t="str">
        <f t="shared" ref="O157" si="2152">IF(O152="","",N157)</f>
        <v/>
      </c>
      <c r="P157" s="32" t="str">
        <f t="shared" ref="P157" si="2153">IF(P152="","",O157)</f>
        <v/>
      </c>
      <c r="Q157" s="32" t="str">
        <f t="shared" ref="Q157" si="2154">IF(Q152="","",P157)</f>
        <v/>
      </c>
      <c r="R157" s="32" t="str">
        <f t="shared" ref="R157" si="2155">IF(R152="","",Q157)</f>
        <v/>
      </c>
      <c r="S157" s="32" t="str">
        <f t="shared" ref="S157" si="2156">IF(S152="","",R157)</f>
        <v/>
      </c>
      <c r="T157" s="32" t="str">
        <f t="shared" ref="T157" si="2157">IF(T152="","",S157)</f>
        <v/>
      </c>
      <c r="U157" s="32" t="str">
        <f t="shared" ref="U157" si="2158">IF(U152="","",T157)</f>
        <v/>
      </c>
      <c r="V157" s="32" t="str">
        <f t="shared" ref="V157" si="2159">IF(V152="","",U157)</f>
        <v/>
      </c>
      <c r="W157" s="32" t="str">
        <f t="shared" ref="W157" si="2160">IF(W152="","",V157)</f>
        <v/>
      </c>
      <c r="X157" s="32" t="str">
        <f t="shared" ref="X157" si="2161">IF(X152="","",W157)</f>
        <v/>
      </c>
      <c r="Y157" s="32" t="str">
        <f t="shared" ref="Y157" si="2162">IF(Y152="","",X157)</f>
        <v/>
      </c>
      <c r="Z157" s="32" t="str">
        <f t="shared" ref="Z157" si="2163">IF(Z152="","",Y157)</f>
        <v/>
      </c>
      <c r="AA157" s="32" t="str">
        <f t="shared" ref="AA157" si="2164">IF(AA152="","",Z157)</f>
        <v/>
      </c>
      <c r="AB157" s="32" t="str">
        <f t="shared" ref="AB157" si="2165">IF(AB152="","",AA157)</f>
        <v/>
      </c>
      <c r="AC157" s="32" t="str">
        <f t="shared" ref="AC157" si="2166">IF(AC152="","",AB157)</f>
        <v/>
      </c>
      <c r="AD157" s="32" t="str">
        <f t="shared" ref="AD157" si="2167">IF(AD152="","",AC157)</f>
        <v/>
      </c>
      <c r="AE157" s="32" t="str">
        <f t="shared" ref="AE157" si="2168">IF(AE152="","",AD157)</f>
        <v/>
      </c>
      <c r="AF157" s="32" t="str">
        <f t="shared" ref="AF157" si="2169">IF(AF152="","",AE157)</f>
        <v/>
      </c>
      <c r="AG157" s="32" t="str">
        <f t="shared" ref="AG157" si="2170">IF(AG152="","",AF157)</f>
        <v/>
      </c>
      <c r="AH157" s="32" t="str">
        <f t="shared" ref="AH157" si="2171">IF(AH152="","",AG157)</f>
        <v/>
      </c>
      <c r="AI157" s="32" t="str">
        <f t="shared" ref="AI157" si="2172">IF(AI152="","",AH157)</f>
        <v/>
      </c>
      <c r="AJ157" s="32" t="str">
        <f t="shared" ref="AJ157" si="2173">IF(AJ152="","",AI157)</f>
        <v/>
      </c>
      <c r="AK157" s="32" t="str">
        <f t="shared" ref="AK157" si="2174">IF(AK152="","",AJ157)</f>
        <v/>
      </c>
      <c r="AL157" s="32" t="str">
        <f t="shared" ref="AL157" si="2175">IF(AL152="","",AK157)</f>
        <v/>
      </c>
      <c r="AM157" s="32" t="str">
        <f t="shared" ref="AM157" si="2176">IF(AM152="","",AL157)</f>
        <v/>
      </c>
      <c r="AN157" s="32" t="str">
        <f t="shared" ref="AN157:AS157" si="2177">IF(AN152="","",AM157)</f>
        <v/>
      </c>
      <c r="AO157" s="32" t="str">
        <f t="shared" si="2177"/>
        <v/>
      </c>
      <c r="AP157" s="32" t="str">
        <f t="shared" si="2177"/>
        <v/>
      </c>
      <c r="AQ157" s="32" t="str">
        <f t="shared" si="2177"/>
        <v/>
      </c>
      <c r="AR157" s="32" t="str">
        <f t="shared" si="2177"/>
        <v/>
      </c>
      <c r="AS157" s="32" t="str">
        <f t="shared" si="2177"/>
        <v/>
      </c>
    </row>
    <row r="158" spans="1:45" s="84" customFormat="1" ht="11.25" x14ac:dyDescent="0.15">
      <c r="A158" s="7">
        <f>AVERAGE(C159:AS159)*30*100</f>
        <v>32454.545454545456</v>
      </c>
      <c r="B158" s="30" t="s">
        <v>12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</row>
    <row r="159" spans="1:45" s="84" customFormat="1" ht="11.25" x14ac:dyDescent="0.15">
      <c r="A159" s="7">
        <f>SUM(C159:AS159)</f>
        <v>119</v>
      </c>
      <c r="B159" s="27" t="s">
        <v>13</v>
      </c>
      <c r="C159" s="26">
        <v>0</v>
      </c>
      <c r="D159" s="26">
        <v>31</v>
      </c>
      <c r="E159" s="26">
        <v>0</v>
      </c>
      <c r="F159" s="26">
        <v>0</v>
      </c>
      <c r="G159" s="26">
        <v>24</v>
      </c>
      <c r="H159" s="26">
        <v>0</v>
      </c>
      <c r="I159" s="26">
        <v>0</v>
      </c>
      <c r="J159" s="26">
        <v>0</v>
      </c>
      <c r="K159" s="26">
        <v>34</v>
      </c>
      <c r="L159" s="26">
        <f t="shared" ref="L159:L160" si="2178">IF(L152="","",L152-K152)</f>
        <v>0</v>
      </c>
      <c r="M159" s="26">
        <f t="shared" ref="M159:M160" si="2179">IF(M152="","",M152-L152)</f>
        <v>30</v>
      </c>
      <c r="N159" s="26" t="str">
        <f t="shared" ref="N159:N160" si="2180">IF(N152="","",N152-M152)</f>
        <v/>
      </c>
      <c r="O159" s="26" t="str">
        <f t="shared" ref="O159:O160" si="2181">IF(O152="","",O152-N152)</f>
        <v/>
      </c>
      <c r="P159" s="26" t="str">
        <f t="shared" ref="P159:P160" si="2182">IF(P152="","",P152-O152)</f>
        <v/>
      </c>
      <c r="Q159" s="26" t="str">
        <f t="shared" ref="Q159:Q160" si="2183">IF(Q152="","",Q152-P152)</f>
        <v/>
      </c>
      <c r="R159" s="26" t="str">
        <f t="shared" ref="R159:R160" si="2184">IF(R152="","",R152-Q152)</f>
        <v/>
      </c>
      <c r="S159" s="26" t="str">
        <f t="shared" ref="S159:S160" si="2185">IF(S152="","",S152-R152)</f>
        <v/>
      </c>
      <c r="T159" s="26" t="str">
        <f t="shared" ref="T159:T160" si="2186">IF(T152="","",T152-S152)</f>
        <v/>
      </c>
      <c r="U159" s="26" t="str">
        <f t="shared" ref="U159:U160" si="2187">IF(U152="","",U152-T152)</f>
        <v/>
      </c>
      <c r="V159" s="26" t="str">
        <f t="shared" ref="V159:V160" si="2188">IF(V152="","",V152-U152)</f>
        <v/>
      </c>
      <c r="W159" s="26" t="str">
        <f t="shared" ref="W159:W160" si="2189">IF(W152="","",W152-V152)</f>
        <v/>
      </c>
      <c r="X159" s="26" t="str">
        <f t="shared" ref="X159:X160" si="2190">IF(X152="","",X152-W152)</f>
        <v/>
      </c>
      <c r="Y159" s="26" t="str">
        <f t="shared" ref="Y159:Y160" si="2191">IF(Y152="","",Y152-X152)</f>
        <v/>
      </c>
      <c r="Z159" s="26" t="str">
        <f t="shared" ref="Z159:Z160" si="2192">IF(Z152="","",Z152-Y152)</f>
        <v/>
      </c>
      <c r="AA159" s="26" t="str">
        <f t="shared" ref="AA159:AA160" si="2193">IF(AA152="","",AA152-Z152)</f>
        <v/>
      </c>
      <c r="AB159" s="26" t="str">
        <f t="shared" ref="AB159:AB160" si="2194">IF(AB152="","",AB152-AA152)</f>
        <v/>
      </c>
      <c r="AC159" s="26" t="str">
        <f t="shared" ref="AC159:AC160" si="2195">IF(AC152="","",AC152-AB152)</f>
        <v/>
      </c>
      <c r="AD159" s="26" t="str">
        <f t="shared" ref="AD159:AD160" si="2196">IF(AD152="","",AD152-AC152)</f>
        <v/>
      </c>
      <c r="AE159" s="26" t="str">
        <f t="shared" ref="AE159:AE160" si="2197">IF(AE152="","",AE152-AD152)</f>
        <v/>
      </c>
      <c r="AF159" s="26" t="str">
        <f t="shared" ref="AF159:AF160" si="2198">IF(AF152="","",AF152-AE152)</f>
        <v/>
      </c>
      <c r="AG159" s="26" t="str">
        <f t="shared" ref="AG159:AG160" si="2199">IF(AG152="","",AG152-AF152)</f>
        <v/>
      </c>
      <c r="AH159" s="26" t="str">
        <f t="shared" ref="AH159:AH160" si="2200">IF(AH152="","",AH152-AG152)</f>
        <v/>
      </c>
      <c r="AI159" s="26" t="str">
        <f t="shared" ref="AI159:AI160" si="2201">IF(AI152="","",AI152-AH152)</f>
        <v/>
      </c>
      <c r="AJ159" s="26" t="str">
        <f t="shared" ref="AJ159:AJ160" si="2202">IF(AJ152="","",AJ152-AI152)</f>
        <v/>
      </c>
      <c r="AK159" s="26" t="str">
        <f t="shared" ref="AK159:AK160" si="2203">IF(AK152="","",AK152-AJ152)</f>
        <v/>
      </c>
      <c r="AL159" s="26" t="str">
        <f t="shared" ref="AL159:AL160" si="2204">IF(AL152="","",AL152-AK152)</f>
        <v/>
      </c>
      <c r="AM159" s="26" t="str">
        <f t="shared" ref="AM159:AM160" si="2205">IF(AM152="","",AM152-AL152)</f>
        <v/>
      </c>
      <c r="AN159" s="26" t="str">
        <f t="shared" ref="AN159:AS159" si="2206">IF(AN152="","",AN152-AM152)</f>
        <v/>
      </c>
      <c r="AO159" s="26" t="str">
        <f t="shared" si="2206"/>
        <v/>
      </c>
      <c r="AP159" s="26" t="str">
        <f t="shared" si="2206"/>
        <v/>
      </c>
      <c r="AQ159" s="26" t="str">
        <f t="shared" si="2206"/>
        <v/>
      </c>
      <c r="AR159" s="26" t="str">
        <f t="shared" si="2206"/>
        <v/>
      </c>
      <c r="AS159" s="26" t="str">
        <f t="shared" si="2206"/>
        <v/>
      </c>
    </row>
    <row r="160" spans="1:45" s="84" customFormat="1" ht="11.25" x14ac:dyDescent="0.15">
      <c r="A160" s="7">
        <f>SUM(C160:AS160)</f>
        <v>7</v>
      </c>
      <c r="B160" s="27" t="s">
        <v>14</v>
      </c>
      <c r="C160" s="26">
        <v>0</v>
      </c>
      <c r="D160" s="26">
        <v>1</v>
      </c>
      <c r="E160" s="26">
        <v>0</v>
      </c>
      <c r="F160" s="26">
        <v>0</v>
      </c>
      <c r="G160" s="26">
        <v>3</v>
      </c>
      <c r="H160" s="26">
        <v>0</v>
      </c>
      <c r="I160" s="26">
        <v>0</v>
      </c>
      <c r="J160" s="26">
        <v>0</v>
      </c>
      <c r="K160" s="26">
        <v>3</v>
      </c>
      <c r="L160" s="26">
        <f t="shared" si="2178"/>
        <v>0</v>
      </c>
      <c r="M160" s="26">
        <f t="shared" si="2179"/>
        <v>0</v>
      </c>
      <c r="N160" s="26" t="str">
        <f t="shared" si="2180"/>
        <v/>
      </c>
      <c r="O160" s="26" t="str">
        <f t="shared" si="2181"/>
        <v/>
      </c>
      <c r="P160" s="26" t="str">
        <f t="shared" si="2182"/>
        <v/>
      </c>
      <c r="Q160" s="26" t="str">
        <f t="shared" si="2183"/>
        <v/>
      </c>
      <c r="R160" s="26" t="str">
        <f t="shared" si="2184"/>
        <v/>
      </c>
      <c r="S160" s="26" t="str">
        <f t="shared" si="2185"/>
        <v/>
      </c>
      <c r="T160" s="26" t="str">
        <f t="shared" si="2186"/>
        <v/>
      </c>
      <c r="U160" s="26" t="str">
        <f t="shared" si="2187"/>
        <v/>
      </c>
      <c r="V160" s="26" t="str">
        <f t="shared" si="2188"/>
        <v/>
      </c>
      <c r="W160" s="26" t="str">
        <f t="shared" si="2189"/>
        <v/>
      </c>
      <c r="X160" s="26" t="str">
        <f t="shared" si="2190"/>
        <v/>
      </c>
      <c r="Y160" s="26" t="str">
        <f t="shared" si="2191"/>
        <v/>
      </c>
      <c r="Z160" s="26" t="str">
        <f t="shared" si="2192"/>
        <v/>
      </c>
      <c r="AA160" s="26" t="str">
        <f t="shared" si="2193"/>
        <v/>
      </c>
      <c r="AB160" s="26" t="str">
        <f t="shared" si="2194"/>
        <v/>
      </c>
      <c r="AC160" s="26" t="str">
        <f t="shared" si="2195"/>
        <v/>
      </c>
      <c r="AD160" s="26" t="str">
        <f t="shared" si="2196"/>
        <v/>
      </c>
      <c r="AE160" s="26" t="str">
        <f t="shared" si="2197"/>
        <v/>
      </c>
      <c r="AF160" s="26" t="str">
        <f t="shared" si="2198"/>
        <v/>
      </c>
      <c r="AG160" s="26" t="str">
        <f t="shared" si="2199"/>
        <v/>
      </c>
      <c r="AH160" s="26" t="str">
        <f t="shared" si="2200"/>
        <v/>
      </c>
      <c r="AI160" s="26" t="str">
        <f t="shared" si="2201"/>
        <v/>
      </c>
      <c r="AJ160" s="26" t="str">
        <f t="shared" si="2202"/>
        <v/>
      </c>
      <c r="AK160" s="26" t="str">
        <f t="shared" si="2203"/>
        <v/>
      </c>
      <c r="AL160" s="26" t="str">
        <f t="shared" si="2204"/>
        <v/>
      </c>
      <c r="AM160" s="26" t="str">
        <f t="shared" si="2205"/>
        <v/>
      </c>
      <c r="AN160" s="26" t="str">
        <f t="shared" ref="AN160:AS160" si="2207">IF(AN153="","",AN153-AM153)</f>
        <v/>
      </c>
      <c r="AO160" s="26" t="str">
        <f t="shared" si="2207"/>
        <v/>
      </c>
      <c r="AP160" s="26" t="str">
        <f t="shared" si="2207"/>
        <v/>
      </c>
      <c r="AQ160" s="26" t="str">
        <f t="shared" si="2207"/>
        <v/>
      </c>
      <c r="AR160" s="26" t="str">
        <f t="shared" si="2207"/>
        <v/>
      </c>
      <c r="AS160" s="26" t="str">
        <f t="shared" si="2207"/>
        <v/>
      </c>
    </row>
    <row r="161" spans="1:45" s="84" customFormat="1" ht="11.25" x14ac:dyDescent="0.15">
      <c r="A161" s="7">
        <f>SUM(C161:AS161)</f>
        <v>7</v>
      </c>
      <c r="B161" s="27" t="s">
        <v>15</v>
      </c>
      <c r="C161" s="26">
        <v>0</v>
      </c>
      <c r="D161" s="26">
        <v>1</v>
      </c>
      <c r="E161" s="26">
        <v>0</v>
      </c>
      <c r="F161" s="26">
        <v>0</v>
      </c>
      <c r="G161" s="26">
        <v>3</v>
      </c>
      <c r="H161" s="26">
        <v>0</v>
      </c>
      <c r="I161" s="26">
        <v>0</v>
      </c>
      <c r="J161" s="26">
        <v>0</v>
      </c>
      <c r="K161" s="26">
        <v>3</v>
      </c>
      <c r="L161" s="26">
        <f t="shared" ref="L161" si="2208">IF(L154="","",K154+K155-L154)</f>
        <v>0</v>
      </c>
      <c r="M161" s="26">
        <f t="shared" ref="M161" si="2209">IF(M154="","",L154+L155-M154)</f>
        <v>0</v>
      </c>
      <c r="N161" s="26" t="str">
        <f t="shared" ref="N161" si="2210">IF(N154="","",M154+M155-N154)</f>
        <v/>
      </c>
      <c r="O161" s="26" t="str">
        <f t="shared" ref="O161" si="2211">IF(O154="","",N154+N155-O154)</f>
        <v/>
      </c>
      <c r="P161" s="26" t="str">
        <f t="shared" ref="P161" si="2212">IF(P154="","",O154+O155-P154)</f>
        <v/>
      </c>
      <c r="Q161" s="26" t="str">
        <f t="shared" ref="Q161" si="2213">IF(Q154="","",P154+P155-Q154)</f>
        <v/>
      </c>
      <c r="R161" s="26" t="str">
        <f t="shared" ref="R161" si="2214">IF(R154="","",Q154+Q155-R154)</f>
        <v/>
      </c>
      <c r="S161" s="26" t="str">
        <f t="shared" ref="S161" si="2215">IF(S154="","",R154+R155-S154)</f>
        <v/>
      </c>
      <c r="T161" s="26" t="str">
        <f t="shared" ref="T161" si="2216">IF(T154="","",S154+S155-T154)</f>
        <v/>
      </c>
      <c r="U161" s="26" t="str">
        <f t="shared" ref="U161" si="2217">IF(U154="","",T154+T155-U154)</f>
        <v/>
      </c>
      <c r="V161" s="26" t="str">
        <f t="shared" ref="V161" si="2218">IF(V154="","",U154+U155-V154)</f>
        <v/>
      </c>
      <c r="W161" s="26" t="str">
        <f t="shared" ref="W161" si="2219">IF(W154="","",V154+V155-W154)</f>
        <v/>
      </c>
      <c r="X161" s="26" t="str">
        <f t="shared" ref="X161" si="2220">IF(X154="","",W154+W155-X154)</f>
        <v/>
      </c>
      <c r="Y161" s="26" t="str">
        <f t="shared" ref="Y161" si="2221">IF(Y154="","",X154+X155-Y154)</f>
        <v/>
      </c>
      <c r="Z161" s="26" t="str">
        <f t="shared" ref="Z161" si="2222">IF(Z154="","",Y154+Y155-Z154)</f>
        <v/>
      </c>
      <c r="AA161" s="26" t="str">
        <f t="shared" ref="AA161" si="2223">IF(AA154="","",Z154+Z155-AA154)</f>
        <v/>
      </c>
      <c r="AB161" s="26" t="str">
        <f t="shared" ref="AB161" si="2224">IF(AB154="","",AA154+AA155-AB154)</f>
        <v/>
      </c>
      <c r="AC161" s="26" t="str">
        <f t="shared" ref="AC161" si="2225">IF(AC154="","",AB154+AB155-AC154)</f>
        <v/>
      </c>
      <c r="AD161" s="26" t="str">
        <f t="shared" ref="AD161" si="2226">IF(AD154="","",AC154+AC155-AD154)</f>
        <v/>
      </c>
      <c r="AE161" s="26" t="str">
        <f t="shared" ref="AE161" si="2227">IF(AE154="","",AD154+AD155-AE154)</f>
        <v/>
      </c>
      <c r="AF161" s="26" t="str">
        <f t="shared" ref="AF161" si="2228">IF(AF154="","",AE154+AE155-AF154)</f>
        <v/>
      </c>
      <c r="AG161" s="26" t="str">
        <f t="shared" ref="AG161" si="2229">IF(AG154="","",AF154+AF155-AG154)</f>
        <v/>
      </c>
      <c r="AH161" s="26" t="str">
        <f t="shared" ref="AH161" si="2230">IF(AH154="","",AG154+AG155-AH154)</f>
        <v/>
      </c>
      <c r="AI161" s="26" t="str">
        <f t="shared" ref="AI161" si="2231">IF(AI154="","",AH154+AH155-AI154)</f>
        <v/>
      </c>
      <c r="AJ161" s="26" t="str">
        <f t="shared" ref="AJ161" si="2232">IF(AJ154="","",AI154+AI155-AJ154)</f>
        <v/>
      </c>
      <c r="AK161" s="26" t="str">
        <f t="shared" ref="AK161" si="2233">IF(AK154="","",AJ154+AJ155-AK154)</f>
        <v/>
      </c>
      <c r="AL161" s="26" t="str">
        <f t="shared" ref="AL161" si="2234">IF(AL154="","",AK154+AK155-AL154)</f>
        <v/>
      </c>
      <c r="AM161" s="26" t="str">
        <f t="shared" ref="AM161" si="2235">IF(AM154="","",AL154+AL155-AM154)</f>
        <v/>
      </c>
      <c r="AN161" s="26" t="str">
        <f t="shared" ref="AN161:AS161" si="2236">IF(AN154="","",AM154+AM155-AN154)</f>
        <v/>
      </c>
      <c r="AO161" s="26" t="str">
        <f t="shared" si="2236"/>
        <v/>
      </c>
      <c r="AP161" s="26" t="str">
        <f t="shared" si="2236"/>
        <v/>
      </c>
      <c r="AQ161" s="26" t="str">
        <f t="shared" si="2236"/>
        <v/>
      </c>
      <c r="AR161" s="26" t="str">
        <f t="shared" si="2236"/>
        <v/>
      </c>
      <c r="AS161" s="26" t="str">
        <f t="shared" si="2236"/>
        <v/>
      </c>
    </row>
    <row r="162" spans="1:45" s="84" customFormat="1" ht="11.25" x14ac:dyDescent="0.15">
      <c r="A162" s="7">
        <f>SUM(C162:AS162)</f>
        <v>2450</v>
      </c>
      <c r="B162" s="27" t="s">
        <v>16</v>
      </c>
      <c r="C162" s="26">
        <v>0</v>
      </c>
      <c r="D162" s="26">
        <v>350</v>
      </c>
      <c r="E162" s="26">
        <v>0</v>
      </c>
      <c r="F162" s="26">
        <v>0</v>
      </c>
      <c r="G162" s="26">
        <v>1050</v>
      </c>
      <c r="H162" s="26">
        <v>0</v>
      </c>
      <c r="I162" s="26">
        <v>0</v>
      </c>
      <c r="J162" s="26">
        <v>0</v>
      </c>
      <c r="K162" s="26">
        <v>1050</v>
      </c>
      <c r="L162" s="26">
        <f t="shared" ref="J162:AM162" si="2237">IF(L152="","",L161*L156)</f>
        <v>0</v>
      </c>
      <c r="M162" s="26">
        <f t="shared" si="2237"/>
        <v>0</v>
      </c>
      <c r="N162" s="26" t="str">
        <f t="shared" si="2237"/>
        <v/>
      </c>
      <c r="O162" s="26" t="str">
        <f t="shared" si="2237"/>
        <v/>
      </c>
      <c r="P162" s="26" t="str">
        <f t="shared" si="2237"/>
        <v/>
      </c>
      <c r="Q162" s="26" t="str">
        <f t="shared" si="2237"/>
        <v/>
      </c>
      <c r="R162" s="26" t="str">
        <f t="shared" si="2237"/>
        <v/>
      </c>
      <c r="S162" s="26" t="str">
        <f t="shared" si="2237"/>
        <v/>
      </c>
      <c r="T162" s="26" t="str">
        <f t="shared" si="2237"/>
        <v/>
      </c>
      <c r="U162" s="26" t="str">
        <f t="shared" si="2237"/>
        <v/>
      </c>
      <c r="V162" s="26" t="str">
        <f t="shared" si="2237"/>
        <v/>
      </c>
      <c r="W162" s="26" t="str">
        <f t="shared" si="2237"/>
        <v/>
      </c>
      <c r="X162" s="26" t="str">
        <f t="shared" si="2237"/>
        <v/>
      </c>
      <c r="Y162" s="26" t="str">
        <f t="shared" si="2237"/>
        <v/>
      </c>
      <c r="Z162" s="26" t="str">
        <f t="shared" si="2237"/>
        <v/>
      </c>
      <c r="AA162" s="26" t="str">
        <f t="shared" si="2237"/>
        <v/>
      </c>
      <c r="AB162" s="26" t="str">
        <f t="shared" si="2237"/>
        <v/>
      </c>
      <c r="AC162" s="26" t="str">
        <f t="shared" si="2237"/>
        <v/>
      </c>
      <c r="AD162" s="26" t="str">
        <f t="shared" si="2237"/>
        <v/>
      </c>
      <c r="AE162" s="26" t="str">
        <f t="shared" si="2237"/>
        <v/>
      </c>
      <c r="AF162" s="26" t="str">
        <f t="shared" si="2237"/>
        <v/>
      </c>
      <c r="AG162" s="26" t="str">
        <f t="shared" si="2237"/>
        <v/>
      </c>
      <c r="AH162" s="26" t="str">
        <f t="shared" si="2237"/>
        <v/>
      </c>
      <c r="AI162" s="26" t="str">
        <f t="shared" si="2237"/>
        <v/>
      </c>
      <c r="AJ162" s="26" t="str">
        <f t="shared" si="2237"/>
        <v/>
      </c>
      <c r="AK162" s="26" t="str">
        <f t="shared" si="2237"/>
        <v/>
      </c>
      <c r="AL162" s="26" t="str">
        <f t="shared" si="2237"/>
        <v/>
      </c>
      <c r="AM162" s="26" t="str">
        <f t="shared" si="2237"/>
        <v/>
      </c>
      <c r="AN162" s="26" t="str">
        <f t="shared" ref="AN162:AS162" si="2238">IF(AN152="","",AN161*AN156)</f>
        <v/>
      </c>
      <c r="AO162" s="26" t="str">
        <f t="shared" si="2238"/>
        <v/>
      </c>
      <c r="AP162" s="26" t="str">
        <f t="shared" si="2238"/>
        <v/>
      </c>
      <c r="AQ162" s="26" t="str">
        <f t="shared" si="2238"/>
        <v/>
      </c>
      <c r="AR162" s="26" t="str">
        <f t="shared" si="2238"/>
        <v/>
      </c>
      <c r="AS162" s="26" t="str">
        <f t="shared" si="2238"/>
        <v/>
      </c>
    </row>
    <row r="163" spans="1:45" s="84" customFormat="1" ht="12" thickBot="1" x14ac:dyDescent="0.2">
      <c r="A163" s="4">
        <f>IF(A162="","",A162/(A159*100))</f>
        <v>0.20588235294117646</v>
      </c>
      <c r="B163" s="24" t="s">
        <v>18</v>
      </c>
      <c r="C163" s="23" t="s">
        <v>19</v>
      </c>
      <c r="D163" s="23">
        <v>0.11290322580645161</v>
      </c>
      <c r="E163" s="23" t="s">
        <v>19</v>
      </c>
      <c r="F163" s="23" t="s">
        <v>19</v>
      </c>
      <c r="G163" s="23">
        <v>0.4375</v>
      </c>
      <c r="H163" s="23" t="s">
        <v>19</v>
      </c>
      <c r="I163" s="23" t="s">
        <v>19</v>
      </c>
      <c r="J163" s="23" t="s">
        <v>19</v>
      </c>
      <c r="K163" s="23">
        <v>0.30882352941176472</v>
      </c>
      <c r="L163" s="23" t="str">
        <f t="shared" ref="J163:AM163" si="2239">IF(L162="","",IF(L162=0,"",L162/(L159*100)))</f>
        <v/>
      </c>
      <c r="M163" s="23" t="str">
        <f t="shared" si="2239"/>
        <v/>
      </c>
      <c r="N163" s="23" t="str">
        <f t="shared" si="2239"/>
        <v/>
      </c>
      <c r="O163" s="23" t="str">
        <f t="shared" si="2239"/>
        <v/>
      </c>
      <c r="P163" s="23" t="str">
        <f t="shared" si="2239"/>
        <v/>
      </c>
      <c r="Q163" s="23" t="str">
        <f t="shared" si="2239"/>
        <v/>
      </c>
      <c r="R163" s="23" t="str">
        <f t="shared" si="2239"/>
        <v/>
      </c>
      <c r="S163" s="23" t="str">
        <f t="shared" si="2239"/>
        <v/>
      </c>
      <c r="T163" s="23" t="str">
        <f t="shared" si="2239"/>
        <v/>
      </c>
      <c r="U163" s="23" t="str">
        <f t="shared" si="2239"/>
        <v/>
      </c>
      <c r="V163" s="23" t="str">
        <f t="shared" si="2239"/>
        <v/>
      </c>
      <c r="W163" s="23" t="str">
        <f t="shared" si="2239"/>
        <v/>
      </c>
      <c r="X163" s="23" t="str">
        <f t="shared" si="2239"/>
        <v/>
      </c>
      <c r="Y163" s="23" t="str">
        <f t="shared" si="2239"/>
        <v/>
      </c>
      <c r="Z163" s="23" t="str">
        <f t="shared" si="2239"/>
        <v/>
      </c>
      <c r="AA163" s="23" t="str">
        <f t="shared" si="2239"/>
        <v/>
      </c>
      <c r="AB163" s="23" t="str">
        <f t="shared" si="2239"/>
        <v/>
      </c>
      <c r="AC163" s="23" t="str">
        <f t="shared" si="2239"/>
        <v/>
      </c>
      <c r="AD163" s="23" t="str">
        <f t="shared" si="2239"/>
        <v/>
      </c>
      <c r="AE163" s="23" t="str">
        <f t="shared" si="2239"/>
        <v/>
      </c>
      <c r="AF163" s="23" t="str">
        <f t="shared" si="2239"/>
        <v/>
      </c>
      <c r="AG163" s="23" t="str">
        <f t="shared" si="2239"/>
        <v/>
      </c>
      <c r="AH163" s="23" t="str">
        <f t="shared" si="2239"/>
        <v/>
      </c>
      <c r="AI163" s="23" t="str">
        <f t="shared" si="2239"/>
        <v/>
      </c>
      <c r="AJ163" s="23" t="str">
        <f t="shared" si="2239"/>
        <v/>
      </c>
      <c r="AK163" s="23" t="str">
        <f t="shared" si="2239"/>
        <v/>
      </c>
      <c r="AL163" s="23" t="str">
        <f t="shared" si="2239"/>
        <v/>
      </c>
      <c r="AM163" s="23" t="str">
        <f t="shared" si="2239"/>
        <v/>
      </c>
      <c r="AN163" s="23" t="str">
        <f t="shared" ref="AN163:AS163" si="2240">IF(AN162="","",IF(AN162=0,"",AN162/(AN159*100)))</f>
        <v/>
      </c>
      <c r="AO163" s="23" t="str">
        <f t="shared" si="2240"/>
        <v/>
      </c>
      <c r="AP163" s="23" t="str">
        <f t="shared" si="2240"/>
        <v/>
      </c>
      <c r="AQ163" s="23" t="str">
        <f t="shared" si="2240"/>
        <v/>
      </c>
      <c r="AR163" s="23" t="str">
        <f t="shared" si="2240"/>
        <v/>
      </c>
      <c r="AS163" s="23" t="str">
        <f t="shared" si="2240"/>
        <v/>
      </c>
    </row>
    <row r="164" spans="1:45" s="84" customFormat="1" ht="11.25" x14ac:dyDescent="0.15">
      <c r="A164" s="40" t="s">
        <v>77</v>
      </c>
      <c r="B164" s="39" t="s">
        <v>2</v>
      </c>
      <c r="C164" s="38">
        <v>23996</v>
      </c>
      <c r="D164" s="38">
        <v>24187</v>
      </c>
      <c r="E164" s="38">
        <v>24187</v>
      </c>
      <c r="F164" s="38">
        <v>24187</v>
      </c>
      <c r="G164" s="38">
        <v>24405</v>
      </c>
      <c r="H164" s="38">
        <v>24405</v>
      </c>
      <c r="I164" s="38">
        <v>24405</v>
      </c>
      <c r="J164" s="38">
        <v>24405</v>
      </c>
      <c r="K164" s="38">
        <v>24652</v>
      </c>
      <c r="L164" s="38">
        <f>IF(L$8="","",K164)</f>
        <v>24652</v>
      </c>
      <c r="M164" s="38">
        <v>24765</v>
      </c>
      <c r="N164" s="38" t="str">
        <f t="shared" ref="N164:N165" si="2241">IF(N$8="","",M164)</f>
        <v/>
      </c>
      <c r="O164" s="38" t="str">
        <f>IF(O$8="","",N164)</f>
        <v/>
      </c>
      <c r="P164" s="38" t="str">
        <f t="shared" ref="P164:P165" si="2242">IF(P$8="","",O164)</f>
        <v/>
      </c>
      <c r="Q164" s="38" t="str">
        <f t="shared" ref="Q164:Q165" si="2243">IF(Q$8="","",P164)</f>
        <v/>
      </c>
      <c r="R164" s="38" t="str">
        <f t="shared" ref="R164:R165" si="2244">IF(R$8="","",Q164)</f>
        <v/>
      </c>
      <c r="S164" s="38" t="str">
        <f>IF(S$8="","",R164)</f>
        <v/>
      </c>
      <c r="T164" s="38" t="str">
        <f>IF(T$8="","",S164)</f>
        <v/>
      </c>
      <c r="U164" s="38" t="str">
        <f t="shared" ref="U164:U165" si="2245">IF(U$8="","",T164)</f>
        <v/>
      </c>
      <c r="V164" s="38" t="str">
        <f>IF(V$8="","",U164)</f>
        <v/>
      </c>
      <c r="W164" s="38" t="str">
        <f>IF(W$8="","",V164)</f>
        <v/>
      </c>
      <c r="X164" s="38" t="str">
        <f t="shared" ref="X164:X165" si="2246">IF(X$8="","",W164)</f>
        <v/>
      </c>
      <c r="Y164" s="38" t="str">
        <f t="shared" ref="Y164:Y165" si="2247">IF(Y$8="","",X164)</f>
        <v/>
      </c>
      <c r="Z164" s="38" t="str">
        <f>IF(Z$8="","",Y164)</f>
        <v/>
      </c>
      <c r="AA164" s="38" t="str">
        <f t="shared" ref="AA164:AA165" si="2248">IF(AA$8="","",Z164)</f>
        <v/>
      </c>
      <c r="AB164" s="38" t="str">
        <f t="shared" ref="AB164:AB165" si="2249">IF(AB$8="","",AA164)</f>
        <v/>
      </c>
      <c r="AC164" s="38" t="str">
        <f t="shared" ref="AC164:AC165" si="2250">IF(AC$8="","",AB164)</f>
        <v/>
      </c>
      <c r="AD164" s="38" t="str">
        <f>IF(AD$8="","",AC164)</f>
        <v/>
      </c>
      <c r="AE164" s="38" t="str">
        <f>IF(AE$8="","",AD164)</f>
        <v/>
      </c>
      <c r="AF164" s="38" t="str">
        <f t="shared" ref="AF164:AF165" si="2251">IF(AF$8="","",AE164)</f>
        <v/>
      </c>
      <c r="AG164" s="38" t="str">
        <f>IF(AG$8="","",AF164)</f>
        <v/>
      </c>
      <c r="AH164" s="38" t="str">
        <f t="shared" ref="AH164:AH165" si="2252">IF(AH$8="","",AG164)</f>
        <v/>
      </c>
      <c r="AI164" s="38" t="str">
        <f t="shared" ref="AI164:AI165" si="2253">IF(AI$8="","",AH164)</f>
        <v/>
      </c>
      <c r="AJ164" s="38" t="str">
        <f>IF(AJ$8="","",AI164)</f>
        <v/>
      </c>
      <c r="AK164" s="38" t="str">
        <f t="shared" ref="AK164:AK165" si="2254">IF(AK$8="","",AJ164)</f>
        <v/>
      </c>
      <c r="AL164" s="38" t="str">
        <f t="shared" ref="AL164:AL165" si="2255">IF(AL$8="","",AK164)</f>
        <v/>
      </c>
      <c r="AM164" s="38" t="str">
        <f t="shared" ref="AM164:AM165" si="2256">IF(AM$8="","",AL164)</f>
        <v/>
      </c>
      <c r="AN164" s="38" t="str">
        <f>IF(AN$8="","",AM164)</f>
        <v/>
      </c>
      <c r="AO164" s="38" t="str">
        <f t="shared" ref="AO164:AS164" si="2257">IF(AO$8="","",AN164)</f>
        <v/>
      </c>
      <c r="AP164" s="38" t="str">
        <f t="shared" si="2257"/>
        <v/>
      </c>
      <c r="AQ164" s="38" t="str">
        <f t="shared" si="2257"/>
        <v/>
      </c>
      <c r="AR164" s="38" t="str">
        <f t="shared" si="2257"/>
        <v/>
      </c>
      <c r="AS164" s="38" t="str">
        <f t="shared" si="2257"/>
        <v/>
      </c>
    </row>
    <row r="165" spans="1:45" s="84" customFormat="1" ht="11.25" x14ac:dyDescent="0.15">
      <c r="A165" s="37" t="s">
        <v>79</v>
      </c>
      <c r="B165" s="30" t="s">
        <v>4</v>
      </c>
      <c r="C165" s="29">
        <v>326</v>
      </c>
      <c r="D165" s="29">
        <v>326</v>
      </c>
      <c r="E165" s="29">
        <v>326</v>
      </c>
      <c r="F165" s="29">
        <v>326</v>
      </c>
      <c r="G165" s="29">
        <v>326</v>
      </c>
      <c r="H165" s="29">
        <v>326</v>
      </c>
      <c r="I165" s="29">
        <v>326</v>
      </c>
      <c r="J165" s="29">
        <v>326</v>
      </c>
      <c r="K165" s="29">
        <v>328</v>
      </c>
      <c r="L165" s="29">
        <f>IF(L$8="","",K165)</f>
        <v>328</v>
      </c>
      <c r="M165" s="29">
        <v>329</v>
      </c>
      <c r="N165" s="29" t="str">
        <f t="shared" si="2241"/>
        <v/>
      </c>
      <c r="O165" s="29" t="str">
        <f>IF(O$8="","",N165)</f>
        <v/>
      </c>
      <c r="P165" s="29" t="str">
        <f t="shared" si="2242"/>
        <v/>
      </c>
      <c r="Q165" s="29" t="str">
        <f t="shared" si="2243"/>
        <v/>
      </c>
      <c r="R165" s="29" t="str">
        <f t="shared" si="2244"/>
        <v/>
      </c>
      <c r="S165" s="29" t="str">
        <f>IF(S$8="","",R165)</f>
        <v/>
      </c>
      <c r="T165" s="29" t="str">
        <f>IF(T$8="","",S165)</f>
        <v/>
      </c>
      <c r="U165" s="29" t="str">
        <f t="shared" si="2245"/>
        <v/>
      </c>
      <c r="V165" s="29" t="str">
        <f>IF(V$8="","",U165)</f>
        <v/>
      </c>
      <c r="W165" s="29" t="str">
        <f>IF(W$8="","",V165)</f>
        <v/>
      </c>
      <c r="X165" s="29" t="str">
        <f t="shared" si="2246"/>
        <v/>
      </c>
      <c r="Y165" s="29" t="str">
        <f t="shared" si="2247"/>
        <v/>
      </c>
      <c r="Z165" s="29" t="str">
        <f>IF(Z$8="","",Y165)</f>
        <v/>
      </c>
      <c r="AA165" s="29" t="str">
        <f t="shared" si="2248"/>
        <v/>
      </c>
      <c r="AB165" s="29" t="str">
        <f t="shared" si="2249"/>
        <v/>
      </c>
      <c r="AC165" s="29" t="str">
        <f t="shared" si="2250"/>
        <v/>
      </c>
      <c r="AD165" s="29" t="str">
        <f>IF(AD$8="","",AC165)</f>
        <v/>
      </c>
      <c r="AE165" s="29" t="str">
        <f>IF(AE$8="","",AD165)</f>
        <v/>
      </c>
      <c r="AF165" s="29" t="str">
        <f t="shared" si="2251"/>
        <v/>
      </c>
      <c r="AG165" s="29" t="str">
        <f>IF(AG$8="","",AF165)</f>
        <v/>
      </c>
      <c r="AH165" s="29" t="str">
        <f t="shared" si="2252"/>
        <v/>
      </c>
      <c r="AI165" s="29" t="str">
        <f t="shared" si="2253"/>
        <v/>
      </c>
      <c r="AJ165" s="29" t="str">
        <f t="shared" ref="AJ164:AJ165" si="2258">IF(AJ$8="","",AI165)</f>
        <v/>
      </c>
      <c r="AK165" s="29" t="str">
        <f t="shared" si="2254"/>
        <v/>
      </c>
      <c r="AL165" s="29" t="str">
        <f t="shared" si="2255"/>
        <v/>
      </c>
      <c r="AM165" s="29" t="str">
        <f t="shared" si="2256"/>
        <v/>
      </c>
      <c r="AN165" s="29" t="str">
        <f>IF(AN$8="","",AM165)</f>
        <v/>
      </c>
      <c r="AO165" s="29" t="str">
        <f t="shared" ref="AO165:AS165" si="2259">IF(AO$8="","",AN165)</f>
        <v/>
      </c>
      <c r="AP165" s="29" t="str">
        <f t="shared" si="2259"/>
        <v/>
      </c>
      <c r="AQ165" s="29" t="str">
        <f t="shared" si="2259"/>
        <v/>
      </c>
      <c r="AR165" s="29" t="str">
        <f t="shared" si="2259"/>
        <v/>
      </c>
      <c r="AS165" s="29" t="str">
        <f t="shared" si="2259"/>
        <v/>
      </c>
    </row>
    <row r="166" spans="1:45" s="84" customFormat="1" ht="11.25" x14ac:dyDescent="0.15">
      <c r="A166" s="34"/>
      <c r="B166" s="30" t="s">
        <v>5</v>
      </c>
      <c r="C166" s="29">
        <v>5</v>
      </c>
      <c r="D166" s="29">
        <v>5</v>
      </c>
      <c r="E166" s="29">
        <v>5</v>
      </c>
      <c r="F166" s="29">
        <v>5</v>
      </c>
      <c r="G166" s="29">
        <v>5</v>
      </c>
      <c r="H166" s="29">
        <v>7</v>
      </c>
      <c r="I166" s="29">
        <v>7</v>
      </c>
      <c r="J166" s="29">
        <v>7</v>
      </c>
      <c r="K166" s="29">
        <v>5</v>
      </c>
      <c r="L166" s="29">
        <f>IF(L164="","",(K166+K167))</f>
        <v>5</v>
      </c>
      <c r="M166" s="29">
        <v>4</v>
      </c>
      <c r="N166" s="29" t="str">
        <f t="shared" ref="N166" si="2260">IF(N164="","",(M166+M167))</f>
        <v/>
      </c>
      <c r="O166" s="29" t="str">
        <f>IF(O164="","",(N166+N167))</f>
        <v/>
      </c>
      <c r="P166" s="29" t="str">
        <f t="shared" ref="P166" si="2261">IF(P164="","",(O166+O167))</f>
        <v/>
      </c>
      <c r="Q166" s="29" t="str">
        <f t="shared" ref="Q166" si="2262">IF(Q164="","",(P166+P167))</f>
        <v/>
      </c>
      <c r="R166" s="29" t="str">
        <f t="shared" ref="R166" si="2263">IF(R164="","",(Q166+Q167))</f>
        <v/>
      </c>
      <c r="S166" s="29" t="str">
        <f>IF(S164="","",(R166+R167))</f>
        <v/>
      </c>
      <c r="T166" s="29" t="str">
        <f>IF(T164="","",(S166+S167))</f>
        <v/>
      </c>
      <c r="U166" s="29" t="str">
        <f t="shared" ref="U166" si="2264">IF(U164="","",(T166+T167))</f>
        <v/>
      </c>
      <c r="V166" s="29" t="str">
        <f>IF(V164="","",(U166+U167))</f>
        <v/>
      </c>
      <c r="W166" s="29" t="str">
        <f>IF(W164="","",(V166+V167))</f>
        <v/>
      </c>
      <c r="X166" s="29" t="str">
        <f t="shared" ref="X166" si="2265">IF(X164="","",(W166+W167))</f>
        <v/>
      </c>
      <c r="Y166" s="29" t="str">
        <f t="shared" ref="Y166" si="2266">IF(Y164="","",(X166+X167))</f>
        <v/>
      </c>
      <c r="Z166" s="29" t="str">
        <f>IF(Z164="","",(Y166+Y167))</f>
        <v/>
      </c>
      <c r="AA166" s="29" t="str">
        <f t="shared" ref="AA166" si="2267">IF(AA164="","",(Z166+Z167))</f>
        <v/>
      </c>
      <c r="AB166" s="29" t="str">
        <f t="shared" ref="AB166" si="2268">IF(AB164="","",(AA166+AA167))</f>
        <v/>
      </c>
      <c r="AC166" s="29" t="str">
        <f t="shared" ref="AC166" si="2269">IF(AC164="","",(AB166+AB167))</f>
        <v/>
      </c>
      <c r="AD166" s="29" t="str">
        <f>IF(AD164="","",(AC166+AC167))</f>
        <v/>
      </c>
      <c r="AE166" s="29" t="str">
        <f>IF(AE164="","",(AD166+AD167))</f>
        <v/>
      </c>
      <c r="AF166" s="29" t="str">
        <f t="shared" ref="AF166" si="2270">IF(AF164="","",(AE166+AE167))</f>
        <v/>
      </c>
      <c r="AG166" s="29" t="str">
        <f>IF(AG164="","",(AF166+AF167))</f>
        <v/>
      </c>
      <c r="AH166" s="29" t="str">
        <f t="shared" ref="AH166" si="2271">IF(AH164="","",(AG166+AG167))</f>
        <v/>
      </c>
      <c r="AI166" s="29" t="str">
        <f t="shared" ref="AI166" si="2272">IF(AI164="","",(AH166+AH167))</f>
        <v/>
      </c>
      <c r="AJ166" s="29" t="str">
        <f t="shared" ref="AJ166" si="2273">IF(AJ164="","",(AI166+AI167))</f>
        <v/>
      </c>
      <c r="AK166" s="29" t="str">
        <f t="shared" ref="AK166" si="2274">IF(AK164="","",(AJ166+AJ167))</f>
        <v/>
      </c>
      <c r="AL166" s="29" t="str">
        <f t="shared" ref="AL166" si="2275">IF(AL164="","",(AK166+AK167))</f>
        <v/>
      </c>
      <c r="AM166" s="29" t="str">
        <f t="shared" ref="AM166" si="2276">IF(AM164="","",(AL166+AL167))</f>
        <v/>
      </c>
      <c r="AN166" s="29" t="str">
        <f>IF(AN164="","",(AM166+AM167))</f>
        <v/>
      </c>
      <c r="AO166" s="29" t="str">
        <f t="shared" ref="AO166:AS166" si="2277">IF(AO164="","",(AN166+AN167))</f>
        <v/>
      </c>
      <c r="AP166" s="29" t="str">
        <f t="shared" si="2277"/>
        <v/>
      </c>
      <c r="AQ166" s="29" t="str">
        <f t="shared" si="2277"/>
        <v/>
      </c>
      <c r="AR166" s="29" t="str">
        <f t="shared" si="2277"/>
        <v/>
      </c>
      <c r="AS166" s="29" t="str">
        <f t="shared" si="2277"/>
        <v/>
      </c>
    </row>
    <row r="167" spans="1:45" s="84" customFormat="1" ht="11.25" x14ac:dyDescent="0.15">
      <c r="A167" s="14"/>
      <c r="B167" s="30" t="s">
        <v>7</v>
      </c>
      <c r="C167" s="29"/>
      <c r="D167" s="29"/>
      <c r="E167" s="29"/>
      <c r="F167" s="29"/>
      <c r="G167" s="29">
        <v>2</v>
      </c>
      <c r="H167" s="29"/>
      <c r="I167" s="29"/>
      <c r="J167" s="29"/>
      <c r="K167" s="29"/>
      <c r="L167" s="29"/>
      <c r="M167" s="29">
        <v>3</v>
      </c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</row>
    <row r="168" spans="1:45" s="84" customFormat="1" ht="11.25" x14ac:dyDescent="0.15">
      <c r="A168" s="7"/>
      <c r="B168" s="30" t="s">
        <v>8</v>
      </c>
      <c r="C168" s="35">
        <v>715</v>
      </c>
      <c r="D168" s="35">
        <v>715</v>
      </c>
      <c r="E168" s="35">
        <v>715</v>
      </c>
      <c r="F168" s="35">
        <v>715</v>
      </c>
      <c r="G168" s="35">
        <v>715</v>
      </c>
      <c r="H168" s="35">
        <v>715</v>
      </c>
      <c r="I168" s="35">
        <v>715</v>
      </c>
      <c r="J168" s="35">
        <v>715</v>
      </c>
      <c r="K168" s="35">
        <v>715</v>
      </c>
      <c r="L168" s="35">
        <f t="shared" ref="L168" si="2278">IF(L164="","",K168)</f>
        <v>715</v>
      </c>
      <c r="M168" s="35">
        <f t="shared" ref="M168" si="2279">IF(M164="","",L168)</f>
        <v>715</v>
      </c>
      <c r="N168" s="35" t="str">
        <f t="shared" ref="N168" si="2280">IF(N164="","",M168)</f>
        <v/>
      </c>
      <c r="O168" s="35" t="str">
        <f t="shared" ref="O168" si="2281">IF(O164="","",N168)</f>
        <v/>
      </c>
      <c r="P168" s="35" t="str">
        <f t="shared" ref="P168" si="2282">IF(P164="","",O168)</f>
        <v/>
      </c>
      <c r="Q168" s="35" t="str">
        <f t="shared" ref="Q168" si="2283">IF(Q164="","",P168)</f>
        <v/>
      </c>
      <c r="R168" s="35" t="str">
        <f t="shared" ref="R168" si="2284">IF(R164="","",Q168)</f>
        <v/>
      </c>
      <c r="S168" s="35" t="str">
        <f t="shared" ref="S168" si="2285">IF(S164="","",R168)</f>
        <v/>
      </c>
      <c r="T168" s="35" t="str">
        <f t="shared" ref="T168" si="2286">IF(T164="","",S168)</f>
        <v/>
      </c>
      <c r="U168" s="35" t="str">
        <f t="shared" ref="U168" si="2287">IF(U164="","",T168)</f>
        <v/>
      </c>
      <c r="V168" s="35" t="str">
        <f t="shared" ref="V168" si="2288">IF(V164="","",U168)</f>
        <v/>
      </c>
      <c r="W168" s="35" t="str">
        <f t="shared" ref="W168" si="2289">IF(W164="","",V168)</f>
        <v/>
      </c>
      <c r="X168" s="35" t="str">
        <f t="shared" ref="X168" si="2290">IF(X164="","",W168)</f>
        <v/>
      </c>
      <c r="Y168" s="35" t="str">
        <f t="shared" ref="Y168" si="2291">IF(Y164="","",X168)</f>
        <v/>
      </c>
      <c r="Z168" s="35" t="str">
        <f t="shared" ref="Z168" si="2292">IF(Z164="","",Y168)</f>
        <v/>
      </c>
      <c r="AA168" s="35" t="str">
        <f t="shared" ref="AA168" si="2293">IF(AA164="","",Z168)</f>
        <v/>
      </c>
      <c r="AB168" s="35" t="str">
        <f t="shared" ref="AB168" si="2294">IF(AB164="","",AA168)</f>
        <v/>
      </c>
      <c r="AC168" s="35" t="str">
        <f t="shared" ref="AC168" si="2295">IF(AC164="","",AB168)</f>
        <v/>
      </c>
      <c r="AD168" s="35" t="str">
        <f t="shared" ref="AD168" si="2296">IF(AD164="","",AC168)</f>
        <v/>
      </c>
      <c r="AE168" s="35" t="str">
        <f t="shared" ref="AE168" si="2297">IF(AE164="","",AD168)</f>
        <v/>
      </c>
      <c r="AF168" s="35" t="str">
        <f t="shared" ref="AF168" si="2298">IF(AF164="","",AE168)</f>
        <v/>
      </c>
      <c r="AG168" s="35" t="str">
        <f t="shared" ref="AG168" si="2299">IF(AG164="","",AF168)</f>
        <v/>
      </c>
      <c r="AH168" s="35" t="str">
        <f t="shared" ref="AH168" si="2300">IF(AH164="","",AG168)</f>
        <v/>
      </c>
      <c r="AI168" s="35" t="str">
        <f t="shared" ref="AI168" si="2301">IF(AI164="","",AH168)</f>
        <v/>
      </c>
      <c r="AJ168" s="35" t="str">
        <f t="shared" ref="AJ168" si="2302">IF(AJ164="","",AI168)</f>
        <v/>
      </c>
      <c r="AK168" s="35" t="str">
        <f t="shared" ref="AK168" si="2303">IF(AK164="","",AJ168)</f>
        <v/>
      </c>
      <c r="AL168" s="35" t="str">
        <f t="shared" ref="AL168" si="2304">IF(AL164="","",AK168)</f>
        <v/>
      </c>
      <c r="AM168" s="35" t="str">
        <f t="shared" ref="AM168" si="2305">IF(AM164="","",AL168)</f>
        <v/>
      </c>
      <c r="AN168" s="35" t="str">
        <f t="shared" ref="AN168" si="2306">IF(AN164="","",AM168)</f>
        <v/>
      </c>
      <c r="AO168" s="35" t="str">
        <f t="shared" ref="AO168:AS168" si="2307">IF(AO164="","",AN168)</f>
        <v/>
      </c>
      <c r="AP168" s="35" t="str">
        <f t="shared" si="2307"/>
        <v/>
      </c>
      <c r="AQ168" s="35" t="str">
        <f t="shared" si="2307"/>
        <v/>
      </c>
      <c r="AR168" s="35" t="str">
        <f t="shared" si="2307"/>
        <v/>
      </c>
      <c r="AS168" s="35" t="str">
        <f t="shared" si="2307"/>
        <v/>
      </c>
    </row>
    <row r="169" spans="1:45" s="85" customFormat="1" ht="11.25" x14ac:dyDescent="0.15">
      <c r="A169" s="14" t="s">
        <v>9</v>
      </c>
      <c r="B169" s="33" t="s">
        <v>10</v>
      </c>
      <c r="C169" s="32" t="s">
        <v>75</v>
      </c>
      <c r="D169" s="32" t="s">
        <v>75</v>
      </c>
      <c r="E169" s="32" t="s">
        <v>75</v>
      </c>
      <c r="F169" s="32" t="s">
        <v>75</v>
      </c>
      <c r="G169" s="32" t="s">
        <v>75</v>
      </c>
      <c r="H169" s="32" t="s">
        <v>75</v>
      </c>
      <c r="I169" s="32" t="s">
        <v>75</v>
      </c>
      <c r="J169" s="32" t="s">
        <v>75</v>
      </c>
      <c r="K169" s="32" t="s">
        <v>75</v>
      </c>
      <c r="L169" s="32" t="str">
        <f t="shared" ref="L169" si="2308">IF(L164="","",K169)</f>
        <v>ボンボンドロップシール</v>
      </c>
      <c r="M169" s="32" t="str">
        <f t="shared" ref="M169" si="2309">IF(M164="","",L169)</f>
        <v>ボンボンドロップシール</v>
      </c>
      <c r="N169" s="32" t="str">
        <f t="shared" ref="N169" si="2310">IF(N164="","",M169)</f>
        <v/>
      </c>
      <c r="O169" s="32" t="str">
        <f t="shared" ref="O169" si="2311">IF(O164="","",N169)</f>
        <v/>
      </c>
      <c r="P169" s="32" t="str">
        <f t="shared" ref="P169" si="2312">IF(P164="","",O169)</f>
        <v/>
      </c>
      <c r="Q169" s="32" t="str">
        <f t="shared" ref="Q169" si="2313">IF(Q164="","",P169)</f>
        <v/>
      </c>
      <c r="R169" s="32" t="str">
        <f t="shared" ref="R169" si="2314">IF(R164="","",Q169)</f>
        <v/>
      </c>
      <c r="S169" s="32" t="str">
        <f t="shared" ref="S169" si="2315">IF(S164="","",R169)</f>
        <v/>
      </c>
      <c r="T169" s="32" t="str">
        <f t="shared" ref="T169" si="2316">IF(T164="","",S169)</f>
        <v/>
      </c>
      <c r="U169" s="32" t="str">
        <f t="shared" ref="U169" si="2317">IF(U164="","",T169)</f>
        <v/>
      </c>
      <c r="V169" s="32" t="str">
        <f t="shared" ref="V169" si="2318">IF(V164="","",U169)</f>
        <v/>
      </c>
      <c r="W169" s="32" t="str">
        <f t="shared" ref="W169" si="2319">IF(W164="","",V169)</f>
        <v/>
      </c>
      <c r="X169" s="32" t="str">
        <f t="shared" ref="X169" si="2320">IF(X164="","",W169)</f>
        <v/>
      </c>
      <c r="Y169" s="32" t="str">
        <f t="shared" ref="Y169" si="2321">IF(Y164="","",X169)</f>
        <v/>
      </c>
      <c r="Z169" s="32" t="str">
        <f t="shared" ref="Z169" si="2322">IF(Z164="","",Y169)</f>
        <v/>
      </c>
      <c r="AA169" s="32" t="str">
        <f t="shared" ref="AA169" si="2323">IF(AA164="","",Z169)</f>
        <v/>
      </c>
      <c r="AB169" s="32" t="str">
        <f t="shared" ref="AB169" si="2324">IF(AB164="","",AA169)</f>
        <v/>
      </c>
      <c r="AC169" s="32" t="str">
        <f t="shared" ref="AC169" si="2325">IF(AC164="","",AB169)</f>
        <v/>
      </c>
      <c r="AD169" s="32" t="str">
        <f t="shared" ref="AD169" si="2326">IF(AD164="","",AC169)</f>
        <v/>
      </c>
      <c r="AE169" s="32" t="str">
        <f t="shared" ref="AE169" si="2327">IF(AE164="","",AD169)</f>
        <v/>
      </c>
      <c r="AF169" s="32" t="str">
        <f t="shared" ref="AF169" si="2328">IF(AF164="","",AE169)</f>
        <v/>
      </c>
      <c r="AG169" s="32" t="str">
        <f t="shared" ref="AG169" si="2329">IF(AG164="","",AF169)</f>
        <v/>
      </c>
      <c r="AH169" s="32" t="str">
        <f t="shared" ref="AH169" si="2330">IF(AH164="","",AG169)</f>
        <v/>
      </c>
      <c r="AI169" s="32" t="str">
        <f t="shared" ref="AI169" si="2331">IF(AI164="","",AH169)</f>
        <v/>
      </c>
      <c r="AJ169" s="32" t="str">
        <f t="shared" ref="AJ169" si="2332">IF(AJ164="","",AI169)</f>
        <v/>
      </c>
      <c r="AK169" s="32" t="str">
        <f t="shared" ref="AK169" si="2333">IF(AK164="","",AJ169)</f>
        <v/>
      </c>
      <c r="AL169" s="32" t="str">
        <f t="shared" ref="AL169" si="2334">IF(AL164="","",AK169)</f>
        <v/>
      </c>
      <c r="AM169" s="32" t="str">
        <f t="shared" ref="AM169" si="2335">IF(AM164="","",AL169)</f>
        <v/>
      </c>
      <c r="AN169" s="32" t="str">
        <f t="shared" ref="AN169" si="2336">IF(AN164="","",AM169)</f>
        <v/>
      </c>
      <c r="AO169" s="32" t="str">
        <f t="shared" ref="AO169:AS169" si="2337">IF(AO164="","",AN169)</f>
        <v/>
      </c>
      <c r="AP169" s="32" t="str">
        <f t="shared" si="2337"/>
        <v/>
      </c>
      <c r="AQ169" s="32" t="str">
        <f t="shared" si="2337"/>
        <v/>
      </c>
      <c r="AR169" s="32" t="str">
        <f t="shared" si="2337"/>
        <v/>
      </c>
      <c r="AS169" s="32" t="str">
        <f t="shared" si="2337"/>
        <v/>
      </c>
    </row>
    <row r="170" spans="1:45" s="84" customFormat="1" ht="11.25" x14ac:dyDescent="0.15">
      <c r="A170" s="7">
        <f>AVERAGE(C171:AS171)*30*100</f>
        <v>209727.27272727271</v>
      </c>
      <c r="B170" s="30" t="s">
        <v>12</v>
      </c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</row>
    <row r="171" spans="1:45" s="84" customFormat="1" ht="11.25" x14ac:dyDescent="0.15">
      <c r="A171" s="7">
        <f>SUM(C171:AS171)</f>
        <v>769</v>
      </c>
      <c r="B171" s="27" t="s">
        <v>13</v>
      </c>
      <c r="C171" s="26">
        <v>0</v>
      </c>
      <c r="D171" s="26">
        <v>191</v>
      </c>
      <c r="E171" s="26">
        <v>0</v>
      </c>
      <c r="F171" s="26">
        <v>0</v>
      </c>
      <c r="G171" s="26">
        <v>218</v>
      </c>
      <c r="H171" s="26">
        <v>0</v>
      </c>
      <c r="I171" s="26">
        <v>0</v>
      </c>
      <c r="J171" s="26">
        <v>0</v>
      </c>
      <c r="K171" s="26">
        <v>247</v>
      </c>
      <c r="L171" s="26">
        <f t="shared" ref="L171:L172" si="2338">IF(L164="","",L164-K164)</f>
        <v>0</v>
      </c>
      <c r="M171" s="26">
        <f t="shared" ref="M171:M172" si="2339">IF(M164="","",M164-L164)</f>
        <v>113</v>
      </c>
      <c r="N171" s="26" t="str">
        <f t="shared" ref="N171:N172" si="2340">IF(N164="","",N164-M164)</f>
        <v/>
      </c>
      <c r="O171" s="26" t="str">
        <f t="shared" ref="O171:O172" si="2341">IF(O164="","",O164-N164)</f>
        <v/>
      </c>
      <c r="P171" s="26" t="str">
        <f t="shared" ref="P171:P172" si="2342">IF(P164="","",P164-O164)</f>
        <v/>
      </c>
      <c r="Q171" s="26" t="str">
        <f t="shared" ref="Q171:Q172" si="2343">IF(Q164="","",Q164-P164)</f>
        <v/>
      </c>
      <c r="R171" s="26" t="str">
        <f t="shared" ref="R171:R172" si="2344">IF(R164="","",R164-Q164)</f>
        <v/>
      </c>
      <c r="S171" s="26" t="str">
        <f t="shared" ref="S171:S172" si="2345">IF(S164="","",S164-R164)</f>
        <v/>
      </c>
      <c r="T171" s="26" t="str">
        <f t="shared" ref="T171:T172" si="2346">IF(T164="","",T164-S164)</f>
        <v/>
      </c>
      <c r="U171" s="26" t="str">
        <f t="shared" ref="U171:U172" si="2347">IF(U164="","",U164-T164)</f>
        <v/>
      </c>
      <c r="V171" s="26" t="str">
        <f t="shared" ref="V171:V172" si="2348">IF(V164="","",V164-U164)</f>
        <v/>
      </c>
      <c r="W171" s="26" t="str">
        <f t="shared" ref="W171:W172" si="2349">IF(W164="","",W164-V164)</f>
        <v/>
      </c>
      <c r="X171" s="26" t="str">
        <f t="shared" ref="X171:X172" si="2350">IF(X164="","",X164-W164)</f>
        <v/>
      </c>
      <c r="Y171" s="26" t="str">
        <f t="shared" ref="Y171:Y172" si="2351">IF(Y164="","",Y164-X164)</f>
        <v/>
      </c>
      <c r="Z171" s="26" t="str">
        <f t="shared" ref="Z171:Z172" si="2352">IF(Z164="","",Z164-Y164)</f>
        <v/>
      </c>
      <c r="AA171" s="26" t="str">
        <f t="shared" ref="AA171:AA172" si="2353">IF(AA164="","",AA164-Z164)</f>
        <v/>
      </c>
      <c r="AB171" s="26" t="str">
        <f t="shared" ref="AB171:AB172" si="2354">IF(AB164="","",AB164-AA164)</f>
        <v/>
      </c>
      <c r="AC171" s="26" t="str">
        <f t="shared" ref="AC171:AC172" si="2355">IF(AC164="","",AC164-AB164)</f>
        <v/>
      </c>
      <c r="AD171" s="26" t="str">
        <f t="shared" ref="AD171:AD172" si="2356">IF(AD164="","",AD164-AC164)</f>
        <v/>
      </c>
      <c r="AE171" s="26" t="str">
        <f t="shared" ref="AE171:AE172" si="2357">IF(AE164="","",AE164-AD164)</f>
        <v/>
      </c>
      <c r="AF171" s="26" t="str">
        <f t="shared" ref="AF171:AF172" si="2358">IF(AF164="","",AF164-AE164)</f>
        <v/>
      </c>
      <c r="AG171" s="26" t="str">
        <f t="shared" ref="AG171:AG172" si="2359">IF(AG164="","",AG164-AF164)</f>
        <v/>
      </c>
      <c r="AH171" s="26" t="str">
        <f t="shared" ref="AH171:AH172" si="2360">IF(AH164="","",AH164-AG164)</f>
        <v/>
      </c>
      <c r="AI171" s="26" t="str">
        <f t="shared" ref="AI171:AI172" si="2361">IF(AI164="","",AI164-AH164)</f>
        <v/>
      </c>
      <c r="AJ171" s="26" t="str">
        <f t="shared" ref="AJ171:AJ172" si="2362">IF(AJ164="","",AJ164-AI164)</f>
        <v/>
      </c>
      <c r="AK171" s="26" t="str">
        <f t="shared" ref="AK171:AK172" si="2363">IF(AK164="","",AK164-AJ164)</f>
        <v/>
      </c>
      <c r="AL171" s="26" t="str">
        <f t="shared" ref="AL171:AL172" si="2364">IF(AL164="","",AL164-AK164)</f>
        <v/>
      </c>
      <c r="AM171" s="26" t="str">
        <f t="shared" ref="AM171:AM172" si="2365">IF(AM164="","",AM164-AL164)</f>
        <v/>
      </c>
      <c r="AN171" s="26" t="str">
        <f t="shared" ref="AN171" si="2366">IF(AN164="","",AN164-AM164)</f>
        <v/>
      </c>
      <c r="AO171" s="26" t="str">
        <f t="shared" ref="AO171:AS171" si="2367">IF(AO164="","",AO164-AN164)</f>
        <v/>
      </c>
      <c r="AP171" s="26" t="str">
        <f t="shared" si="2367"/>
        <v/>
      </c>
      <c r="AQ171" s="26" t="str">
        <f t="shared" si="2367"/>
        <v/>
      </c>
      <c r="AR171" s="26" t="str">
        <f t="shared" si="2367"/>
        <v/>
      </c>
      <c r="AS171" s="26" t="str">
        <f t="shared" si="2367"/>
        <v/>
      </c>
    </row>
    <row r="172" spans="1:45" s="84" customFormat="1" ht="11.25" x14ac:dyDescent="0.15">
      <c r="A172" s="7">
        <f>SUM(C172:AS172)</f>
        <v>3</v>
      </c>
      <c r="B172" s="27" t="s">
        <v>14</v>
      </c>
      <c r="C172" s="26">
        <v>0</v>
      </c>
      <c r="D172" s="26">
        <v>0</v>
      </c>
      <c r="E172" s="26">
        <v>0</v>
      </c>
      <c r="F172" s="26">
        <v>0</v>
      </c>
      <c r="G172" s="26">
        <v>0</v>
      </c>
      <c r="H172" s="26">
        <v>0</v>
      </c>
      <c r="I172" s="26">
        <v>0</v>
      </c>
      <c r="J172" s="26">
        <v>0</v>
      </c>
      <c r="K172" s="26">
        <v>2</v>
      </c>
      <c r="L172" s="26">
        <f t="shared" si="2338"/>
        <v>0</v>
      </c>
      <c r="M172" s="26">
        <f t="shared" si="2339"/>
        <v>1</v>
      </c>
      <c r="N172" s="26" t="str">
        <f t="shared" si="2340"/>
        <v/>
      </c>
      <c r="O172" s="26" t="str">
        <f t="shared" si="2341"/>
        <v/>
      </c>
      <c r="P172" s="26" t="str">
        <f t="shared" si="2342"/>
        <v/>
      </c>
      <c r="Q172" s="26" t="str">
        <f t="shared" si="2343"/>
        <v/>
      </c>
      <c r="R172" s="26" t="str">
        <f t="shared" si="2344"/>
        <v/>
      </c>
      <c r="S172" s="26" t="str">
        <f t="shared" si="2345"/>
        <v/>
      </c>
      <c r="T172" s="26" t="str">
        <f t="shared" si="2346"/>
        <v/>
      </c>
      <c r="U172" s="26" t="str">
        <f t="shared" si="2347"/>
        <v/>
      </c>
      <c r="V172" s="26" t="str">
        <f t="shared" si="2348"/>
        <v/>
      </c>
      <c r="W172" s="26" t="str">
        <f t="shared" si="2349"/>
        <v/>
      </c>
      <c r="X172" s="26" t="str">
        <f t="shared" si="2350"/>
        <v/>
      </c>
      <c r="Y172" s="26" t="str">
        <f t="shared" si="2351"/>
        <v/>
      </c>
      <c r="Z172" s="26" t="str">
        <f t="shared" si="2352"/>
        <v/>
      </c>
      <c r="AA172" s="26" t="str">
        <f t="shared" si="2353"/>
        <v/>
      </c>
      <c r="AB172" s="26" t="str">
        <f t="shared" si="2354"/>
        <v/>
      </c>
      <c r="AC172" s="26" t="str">
        <f t="shared" si="2355"/>
        <v/>
      </c>
      <c r="AD172" s="26" t="str">
        <f t="shared" si="2356"/>
        <v/>
      </c>
      <c r="AE172" s="26" t="str">
        <f t="shared" si="2357"/>
        <v/>
      </c>
      <c r="AF172" s="26" t="str">
        <f t="shared" si="2358"/>
        <v/>
      </c>
      <c r="AG172" s="26" t="str">
        <f t="shared" si="2359"/>
        <v/>
      </c>
      <c r="AH172" s="26" t="str">
        <f t="shared" si="2360"/>
        <v/>
      </c>
      <c r="AI172" s="26" t="str">
        <f t="shared" si="2361"/>
        <v/>
      </c>
      <c r="AJ172" s="26" t="str">
        <f t="shared" si="2362"/>
        <v/>
      </c>
      <c r="AK172" s="26" t="str">
        <f t="shared" si="2363"/>
        <v/>
      </c>
      <c r="AL172" s="26" t="str">
        <f t="shared" si="2364"/>
        <v/>
      </c>
      <c r="AM172" s="26" t="str">
        <f t="shared" si="2365"/>
        <v/>
      </c>
      <c r="AN172" s="26" t="str">
        <f t="shared" ref="AN172" si="2368">IF(AN165="","",AN165-AM165)</f>
        <v/>
      </c>
      <c r="AO172" s="26" t="str">
        <f t="shared" ref="AO172:AS172" si="2369">IF(AO165="","",AO165-AN165)</f>
        <v/>
      </c>
      <c r="AP172" s="26" t="str">
        <f t="shared" si="2369"/>
        <v/>
      </c>
      <c r="AQ172" s="26" t="str">
        <f t="shared" si="2369"/>
        <v/>
      </c>
      <c r="AR172" s="26" t="str">
        <f t="shared" si="2369"/>
        <v/>
      </c>
      <c r="AS172" s="26" t="str">
        <f t="shared" si="2369"/>
        <v/>
      </c>
    </row>
    <row r="173" spans="1:45" s="84" customFormat="1" ht="11.25" x14ac:dyDescent="0.15">
      <c r="A173" s="7">
        <f>SUM(C173:AS173)</f>
        <v>3</v>
      </c>
      <c r="B173" s="27" t="s">
        <v>15</v>
      </c>
      <c r="C173" s="26">
        <v>0</v>
      </c>
      <c r="D173" s="26">
        <v>0</v>
      </c>
      <c r="E173" s="26">
        <v>0</v>
      </c>
      <c r="F173" s="26">
        <v>0</v>
      </c>
      <c r="G173" s="26">
        <v>0</v>
      </c>
      <c r="H173" s="26">
        <v>0</v>
      </c>
      <c r="I173" s="26">
        <v>0</v>
      </c>
      <c r="J173" s="26">
        <v>0</v>
      </c>
      <c r="K173" s="26">
        <v>2</v>
      </c>
      <c r="L173" s="26">
        <f t="shared" ref="L173" si="2370">IF(L166="","",K166+K167-L166)</f>
        <v>0</v>
      </c>
      <c r="M173" s="26">
        <f t="shared" ref="M173" si="2371">IF(M166="","",L166+L167-M166)</f>
        <v>1</v>
      </c>
      <c r="N173" s="26" t="str">
        <f t="shared" ref="N173" si="2372">IF(N166="","",M166+M167-N166)</f>
        <v/>
      </c>
      <c r="O173" s="26" t="str">
        <f t="shared" ref="O173" si="2373">IF(O166="","",N166+N167-O166)</f>
        <v/>
      </c>
      <c r="P173" s="26" t="str">
        <f t="shared" ref="P173" si="2374">IF(P166="","",O166+O167-P166)</f>
        <v/>
      </c>
      <c r="Q173" s="26" t="str">
        <f t="shared" ref="Q173" si="2375">IF(Q166="","",P166+P167-Q166)</f>
        <v/>
      </c>
      <c r="R173" s="26" t="str">
        <f t="shared" ref="R173" si="2376">IF(R166="","",Q166+Q167-R166)</f>
        <v/>
      </c>
      <c r="S173" s="26" t="str">
        <f t="shared" ref="S173" si="2377">IF(S166="","",R166+R167-S166)</f>
        <v/>
      </c>
      <c r="T173" s="26" t="str">
        <f t="shared" ref="T173" si="2378">IF(T166="","",S166+S167-T166)</f>
        <v/>
      </c>
      <c r="U173" s="26" t="str">
        <f t="shared" ref="U173" si="2379">IF(U166="","",T166+T167-U166)</f>
        <v/>
      </c>
      <c r="V173" s="26" t="str">
        <f t="shared" ref="V173" si="2380">IF(V166="","",U166+U167-V166)</f>
        <v/>
      </c>
      <c r="W173" s="26" t="str">
        <f t="shared" ref="W173" si="2381">IF(W166="","",V166+V167-W166)</f>
        <v/>
      </c>
      <c r="X173" s="26" t="str">
        <f t="shared" ref="X173" si="2382">IF(X166="","",W166+W167-X166)</f>
        <v/>
      </c>
      <c r="Y173" s="26" t="str">
        <f t="shared" ref="Y173" si="2383">IF(Y166="","",X166+X167-Y166)</f>
        <v/>
      </c>
      <c r="Z173" s="26" t="str">
        <f t="shared" ref="Z173" si="2384">IF(Z166="","",Y166+Y167-Z166)</f>
        <v/>
      </c>
      <c r="AA173" s="26" t="str">
        <f t="shared" ref="AA173" si="2385">IF(AA166="","",Z166+Z167-AA166)</f>
        <v/>
      </c>
      <c r="AB173" s="26" t="str">
        <f t="shared" ref="AB173" si="2386">IF(AB166="","",AA166+AA167-AB166)</f>
        <v/>
      </c>
      <c r="AC173" s="26" t="str">
        <f t="shared" ref="AC173" si="2387">IF(AC166="","",AB166+AB167-AC166)</f>
        <v/>
      </c>
      <c r="AD173" s="26" t="str">
        <f t="shared" ref="AD173" si="2388">IF(AD166="","",AC166+AC167-AD166)</f>
        <v/>
      </c>
      <c r="AE173" s="26" t="str">
        <f t="shared" ref="AE173" si="2389">IF(AE166="","",AD166+AD167-AE166)</f>
        <v/>
      </c>
      <c r="AF173" s="26" t="str">
        <f t="shared" ref="AF173" si="2390">IF(AF166="","",AE166+AE167-AF166)</f>
        <v/>
      </c>
      <c r="AG173" s="26" t="str">
        <f t="shared" ref="AG173" si="2391">IF(AG166="","",AF166+AF167-AG166)</f>
        <v/>
      </c>
      <c r="AH173" s="26" t="str">
        <f t="shared" ref="AH173" si="2392">IF(AH166="","",AG166+AG167-AH166)</f>
        <v/>
      </c>
      <c r="AI173" s="26" t="str">
        <f t="shared" ref="AI173" si="2393">IF(AI166="","",AH166+AH167-AI166)</f>
        <v/>
      </c>
      <c r="AJ173" s="26" t="str">
        <f t="shared" ref="AJ173" si="2394">IF(AJ166="","",AI166+AI167-AJ166)</f>
        <v/>
      </c>
      <c r="AK173" s="26" t="str">
        <f t="shared" ref="AK173" si="2395">IF(AK166="","",AJ166+AJ167-AK166)</f>
        <v/>
      </c>
      <c r="AL173" s="26" t="str">
        <f t="shared" ref="AL173" si="2396">IF(AL166="","",AK166+AK167-AL166)</f>
        <v/>
      </c>
      <c r="AM173" s="26" t="str">
        <f t="shared" ref="AM173" si="2397">IF(AM166="","",AL166+AL167-AM166)</f>
        <v/>
      </c>
      <c r="AN173" s="26" t="str">
        <f t="shared" ref="AN173" si="2398">IF(AN166="","",AM166+AM167-AN166)</f>
        <v/>
      </c>
      <c r="AO173" s="26" t="str">
        <f t="shared" ref="AO173:AS173" si="2399">IF(AO166="","",AN166+AN167-AO166)</f>
        <v/>
      </c>
      <c r="AP173" s="26" t="str">
        <f t="shared" si="2399"/>
        <v/>
      </c>
      <c r="AQ173" s="26" t="str">
        <f t="shared" si="2399"/>
        <v/>
      </c>
      <c r="AR173" s="26" t="str">
        <f t="shared" si="2399"/>
        <v/>
      </c>
      <c r="AS173" s="26" t="str">
        <f t="shared" si="2399"/>
        <v/>
      </c>
    </row>
    <row r="174" spans="1:45" s="84" customFormat="1" ht="11.25" x14ac:dyDescent="0.15">
      <c r="A174" s="7">
        <f>SUM(C174:AS174)</f>
        <v>2145</v>
      </c>
      <c r="B174" s="27" t="s">
        <v>16</v>
      </c>
      <c r="C174" s="26">
        <v>0</v>
      </c>
      <c r="D174" s="26">
        <v>0</v>
      </c>
      <c r="E174" s="26">
        <v>0</v>
      </c>
      <c r="F174" s="26">
        <v>0</v>
      </c>
      <c r="G174" s="26">
        <v>0</v>
      </c>
      <c r="H174" s="26">
        <v>0</v>
      </c>
      <c r="I174" s="26">
        <v>0</v>
      </c>
      <c r="J174" s="26">
        <v>0</v>
      </c>
      <c r="K174" s="26">
        <v>1430</v>
      </c>
      <c r="L174" s="26">
        <f t="shared" ref="J174:AM174" si="2400">IF(L164="","",L173*L168)</f>
        <v>0</v>
      </c>
      <c r="M174" s="26">
        <f t="shared" si="2400"/>
        <v>715</v>
      </c>
      <c r="N174" s="26" t="str">
        <f t="shared" si="2400"/>
        <v/>
      </c>
      <c r="O174" s="26" t="str">
        <f t="shared" si="2400"/>
        <v/>
      </c>
      <c r="P174" s="26" t="str">
        <f t="shared" si="2400"/>
        <v/>
      </c>
      <c r="Q174" s="26" t="str">
        <f t="shared" si="2400"/>
        <v/>
      </c>
      <c r="R174" s="26" t="str">
        <f t="shared" si="2400"/>
        <v/>
      </c>
      <c r="S174" s="26" t="str">
        <f t="shared" si="2400"/>
        <v/>
      </c>
      <c r="T174" s="26" t="str">
        <f t="shared" si="2400"/>
        <v/>
      </c>
      <c r="U174" s="26" t="str">
        <f t="shared" si="2400"/>
        <v/>
      </c>
      <c r="V174" s="26" t="str">
        <f t="shared" si="2400"/>
        <v/>
      </c>
      <c r="W174" s="26" t="str">
        <f t="shared" si="2400"/>
        <v/>
      </c>
      <c r="X174" s="26" t="str">
        <f t="shared" si="2400"/>
        <v/>
      </c>
      <c r="Y174" s="26" t="str">
        <f t="shared" si="2400"/>
        <v/>
      </c>
      <c r="Z174" s="26" t="str">
        <f t="shared" si="2400"/>
        <v/>
      </c>
      <c r="AA174" s="26" t="str">
        <f t="shared" si="2400"/>
        <v/>
      </c>
      <c r="AB174" s="26" t="str">
        <f t="shared" si="2400"/>
        <v/>
      </c>
      <c r="AC174" s="26" t="str">
        <f t="shared" si="2400"/>
        <v/>
      </c>
      <c r="AD174" s="26" t="str">
        <f t="shared" si="2400"/>
        <v/>
      </c>
      <c r="AE174" s="26" t="str">
        <f t="shared" si="2400"/>
        <v/>
      </c>
      <c r="AF174" s="26" t="str">
        <f t="shared" si="2400"/>
        <v/>
      </c>
      <c r="AG174" s="26" t="str">
        <f t="shared" si="2400"/>
        <v/>
      </c>
      <c r="AH174" s="26" t="str">
        <f t="shared" si="2400"/>
        <v/>
      </c>
      <c r="AI174" s="26" t="str">
        <f t="shared" si="2400"/>
        <v/>
      </c>
      <c r="AJ174" s="26" t="str">
        <f t="shared" si="2400"/>
        <v/>
      </c>
      <c r="AK174" s="26" t="str">
        <f t="shared" si="2400"/>
        <v/>
      </c>
      <c r="AL174" s="26" t="str">
        <f t="shared" si="2400"/>
        <v/>
      </c>
      <c r="AM174" s="26" t="str">
        <f t="shared" si="2400"/>
        <v/>
      </c>
      <c r="AN174" s="26" t="str">
        <f t="shared" ref="AN174" si="2401">IF(AN164="","",AN173*AN168)</f>
        <v/>
      </c>
      <c r="AO174" s="26" t="str">
        <f t="shared" ref="AO174:AS174" si="2402">IF(AO164="","",AO173*AO168)</f>
        <v/>
      </c>
      <c r="AP174" s="26" t="str">
        <f t="shared" si="2402"/>
        <v/>
      </c>
      <c r="AQ174" s="26" t="str">
        <f t="shared" si="2402"/>
        <v/>
      </c>
      <c r="AR174" s="26" t="str">
        <f t="shared" si="2402"/>
        <v/>
      </c>
      <c r="AS174" s="26" t="str">
        <f t="shared" si="2402"/>
        <v/>
      </c>
    </row>
    <row r="175" spans="1:45" s="84" customFormat="1" ht="12" thickBot="1" x14ac:dyDescent="0.2">
      <c r="A175" s="4">
        <f>IF(A174="","",A174/(A171*100))</f>
        <v>2.7893368010403121E-2</v>
      </c>
      <c r="B175" s="24" t="s">
        <v>18</v>
      </c>
      <c r="C175" s="23" t="s">
        <v>19</v>
      </c>
      <c r="D175" s="23" t="s">
        <v>19</v>
      </c>
      <c r="E175" s="23" t="s">
        <v>19</v>
      </c>
      <c r="F175" s="23" t="s">
        <v>19</v>
      </c>
      <c r="G175" s="23" t="s">
        <v>19</v>
      </c>
      <c r="H175" s="23" t="s">
        <v>19</v>
      </c>
      <c r="I175" s="23" t="s">
        <v>19</v>
      </c>
      <c r="J175" s="23" t="s">
        <v>19</v>
      </c>
      <c r="K175" s="23">
        <v>5.7894736842105263E-2</v>
      </c>
      <c r="L175" s="23" t="str">
        <f t="shared" ref="J175:AM175" si="2403">IF(L174="","",IF(L174=0,"",L174/(L171*100)))</f>
        <v/>
      </c>
      <c r="M175" s="23">
        <f t="shared" si="2403"/>
        <v>6.3274336283185836E-2</v>
      </c>
      <c r="N175" s="23" t="str">
        <f t="shared" si="2403"/>
        <v/>
      </c>
      <c r="O175" s="23" t="str">
        <f t="shared" si="2403"/>
        <v/>
      </c>
      <c r="P175" s="23" t="str">
        <f t="shared" si="2403"/>
        <v/>
      </c>
      <c r="Q175" s="23" t="str">
        <f t="shared" si="2403"/>
        <v/>
      </c>
      <c r="R175" s="23" t="str">
        <f t="shared" si="2403"/>
        <v/>
      </c>
      <c r="S175" s="23" t="str">
        <f t="shared" si="2403"/>
        <v/>
      </c>
      <c r="T175" s="23" t="str">
        <f t="shared" si="2403"/>
        <v/>
      </c>
      <c r="U175" s="23" t="str">
        <f t="shared" si="2403"/>
        <v/>
      </c>
      <c r="V175" s="23" t="str">
        <f t="shared" si="2403"/>
        <v/>
      </c>
      <c r="W175" s="23" t="str">
        <f t="shared" si="2403"/>
        <v/>
      </c>
      <c r="X175" s="23" t="str">
        <f t="shared" si="2403"/>
        <v/>
      </c>
      <c r="Y175" s="23" t="str">
        <f t="shared" si="2403"/>
        <v/>
      </c>
      <c r="Z175" s="23" t="str">
        <f t="shared" si="2403"/>
        <v/>
      </c>
      <c r="AA175" s="23" t="str">
        <f t="shared" si="2403"/>
        <v/>
      </c>
      <c r="AB175" s="23" t="str">
        <f t="shared" si="2403"/>
        <v/>
      </c>
      <c r="AC175" s="23" t="str">
        <f t="shared" si="2403"/>
        <v/>
      </c>
      <c r="AD175" s="23" t="str">
        <f t="shared" si="2403"/>
        <v/>
      </c>
      <c r="AE175" s="23" t="str">
        <f t="shared" si="2403"/>
        <v/>
      </c>
      <c r="AF175" s="23" t="str">
        <f t="shared" si="2403"/>
        <v/>
      </c>
      <c r="AG175" s="23" t="str">
        <f t="shared" si="2403"/>
        <v/>
      </c>
      <c r="AH175" s="23" t="str">
        <f t="shared" si="2403"/>
        <v/>
      </c>
      <c r="AI175" s="23" t="str">
        <f t="shared" si="2403"/>
        <v/>
      </c>
      <c r="AJ175" s="23" t="str">
        <f t="shared" si="2403"/>
        <v/>
      </c>
      <c r="AK175" s="23" t="str">
        <f t="shared" si="2403"/>
        <v/>
      </c>
      <c r="AL175" s="23" t="str">
        <f t="shared" si="2403"/>
        <v/>
      </c>
      <c r="AM175" s="23" t="str">
        <f t="shared" si="2403"/>
        <v/>
      </c>
      <c r="AN175" s="23" t="str">
        <f t="shared" ref="AN175" si="2404">IF(AN174="","",IF(AN174=0,"",AN174/(AN171*100)))</f>
        <v/>
      </c>
      <c r="AO175" s="23" t="str">
        <f t="shared" ref="AO175:AS175" si="2405">IF(AO174="","",IF(AO174=0,"",AO174/(AO171*100)))</f>
        <v/>
      </c>
      <c r="AP175" s="23" t="str">
        <f t="shared" si="2405"/>
        <v/>
      </c>
      <c r="AQ175" s="23" t="str">
        <f t="shared" si="2405"/>
        <v/>
      </c>
      <c r="AR175" s="23" t="str">
        <f t="shared" si="2405"/>
        <v/>
      </c>
      <c r="AS175" s="23" t="str">
        <f t="shared" si="2405"/>
        <v/>
      </c>
    </row>
    <row r="176" spans="1:45" s="84" customFormat="1" ht="11.25" x14ac:dyDescent="0.15">
      <c r="A176" s="22" t="s">
        <v>77</v>
      </c>
      <c r="B176" s="21" t="s">
        <v>2</v>
      </c>
      <c r="C176" s="20">
        <v>10465</v>
      </c>
      <c r="D176" s="20">
        <v>10474</v>
      </c>
      <c r="E176" s="20">
        <v>10474</v>
      </c>
      <c r="F176" s="20">
        <v>10474</v>
      </c>
      <c r="G176" s="20">
        <v>10519</v>
      </c>
      <c r="H176" s="20">
        <v>10519</v>
      </c>
      <c r="I176" s="20">
        <v>10519</v>
      </c>
      <c r="J176" s="20">
        <v>10519</v>
      </c>
      <c r="K176" s="20">
        <v>10548</v>
      </c>
      <c r="L176" s="20">
        <f>IF(L$8="","",K176)</f>
        <v>10548</v>
      </c>
      <c r="M176" s="20">
        <v>10571</v>
      </c>
      <c r="N176" s="20" t="str">
        <f t="shared" ref="N176:N177" si="2406">IF(N$8="","",M176)</f>
        <v/>
      </c>
      <c r="O176" s="20" t="str">
        <f>IF(O$8="","",N176)</f>
        <v/>
      </c>
      <c r="P176" s="20" t="str">
        <f t="shared" ref="P176:P177" si="2407">IF(P$8="","",O176)</f>
        <v/>
      </c>
      <c r="Q176" s="20" t="str">
        <f t="shared" ref="Q176:Q177" si="2408">IF(Q$8="","",P176)</f>
        <v/>
      </c>
      <c r="R176" s="20" t="str">
        <f t="shared" ref="R176:R177" si="2409">IF(R$8="","",Q176)</f>
        <v/>
      </c>
      <c r="S176" s="20" t="str">
        <f>IF(S$8="","",R176)</f>
        <v/>
      </c>
      <c r="T176" s="20" t="str">
        <f>IF(T$8="","",S176)</f>
        <v/>
      </c>
      <c r="U176" s="20" t="str">
        <f t="shared" ref="U176:U177" si="2410">IF(U$8="","",T176)</f>
        <v/>
      </c>
      <c r="V176" s="20" t="str">
        <f>IF(V$8="","",U176)</f>
        <v/>
      </c>
      <c r="W176" s="20" t="str">
        <f>IF(W$8="","",V176)</f>
        <v/>
      </c>
      <c r="X176" s="20" t="str">
        <f t="shared" ref="X176:X177" si="2411">IF(X$8="","",W176)</f>
        <v/>
      </c>
      <c r="Y176" s="20" t="str">
        <f t="shared" ref="Y176:Y177" si="2412">IF(Y$8="","",X176)</f>
        <v/>
      </c>
      <c r="Z176" s="20" t="str">
        <f>IF(Z$8="","",Y176)</f>
        <v/>
      </c>
      <c r="AA176" s="20" t="str">
        <f t="shared" ref="AA176:AA177" si="2413">IF(AA$8="","",Z176)</f>
        <v/>
      </c>
      <c r="AB176" s="20" t="str">
        <f t="shared" ref="AB176:AB177" si="2414">IF(AB$8="","",AA176)</f>
        <v/>
      </c>
      <c r="AC176" s="20" t="str">
        <f t="shared" ref="AC176:AC177" si="2415">IF(AC$8="","",AB176)</f>
        <v/>
      </c>
      <c r="AD176" s="20" t="str">
        <f>IF(AD$8="","",AC176)</f>
        <v/>
      </c>
      <c r="AE176" s="20" t="str">
        <f>IF(AE$8="","",AD176)</f>
        <v/>
      </c>
      <c r="AF176" s="20" t="str">
        <f t="shared" ref="AF176:AF177" si="2416">IF(AF$8="","",AE176)</f>
        <v/>
      </c>
      <c r="AG176" s="20" t="str">
        <f>IF(AG$8="","",AF176)</f>
        <v/>
      </c>
      <c r="AH176" s="20" t="str">
        <f t="shared" ref="AH176:AH177" si="2417">IF(AH$8="","",AG176)</f>
        <v/>
      </c>
      <c r="AI176" s="20" t="str">
        <f t="shared" ref="AI176:AI177" si="2418">IF(AI$8="","",AH176)</f>
        <v/>
      </c>
      <c r="AJ176" s="20" t="str">
        <f>IF(AJ$8="","",AI176)</f>
        <v/>
      </c>
      <c r="AK176" s="20" t="str">
        <f t="shared" ref="AK176:AK177" si="2419">IF(AK$8="","",AJ176)</f>
        <v/>
      </c>
      <c r="AL176" s="20" t="str">
        <f t="shared" ref="AL176:AL177" si="2420">IF(AL$8="","",AK176)</f>
        <v/>
      </c>
      <c r="AM176" s="20" t="str">
        <f t="shared" ref="AM176:AM177" si="2421">IF(AM$8="","",AL176)</f>
        <v/>
      </c>
      <c r="AN176" s="20" t="str">
        <f>IF(AN$8="","",AM176)</f>
        <v/>
      </c>
      <c r="AO176" s="20" t="str">
        <f t="shared" ref="AO176:AS176" si="2422">IF(AO$8="","",AN176)</f>
        <v/>
      </c>
      <c r="AP176" s="20" t="str">
        <f t="shared" si="2422"/>
        <v/>
      </c>
      <c r="AQ176" s="20" t="str">
        <f t="shared" si="2422"/>
        <v/>
      </c>
      <c r="AR176" s="20" t="str">
        <f t="shared" si="2422"/>
        <v/>
      </c>
      <c r="AS176" s="20" t="str">
        <f t="shared" si="2422"/>
        <v/>
      </c>
    </row>
    <row r="177" spans="1:45" s="84" customFormat="1" ht="11.25" x14ac:dyDescent="0.15">
      <c r="A177" s="16" t="s">
        <v>34</v>
      </c>
      <c r="B177" s="9" t="s">
        <v>4</v>
      </c>
      <c r="C177" s="8">
        <v>500</v>
      </c>
      <c r="D177" s="8">
        <v>501</v>
      </c>
      <c r="E177" s="8">
        <v>501</v>
      </c>
      <c r="F177" s="8">
        <v>501</v>
      </c>
      <c r="G177" s="8">
        <v>502</v>
      </c>
      <c r="H177" s="8">
        <v>502</v>
      </c>
      <c r="I177" s="8">
        <v>502</v>
      </c>
      <c r="J177" s="8">
        <v>502</v>
      </c>
      <c r="K177" s="8">
        <v>502</v>
      </c>
      <c r="L177" s="8">
        <f>IF(L$8="","",K177)</f>
        <v>502</v>
      </c>
      <c r="M177" s="8">
        <v>503</v>
      </c>
      <c r="N177" s="8" t="str">
        <f t="shared" si="2406"/>
        <v/>
      </c>
      <c r="O177" s="8" t="str">
        <f>IF(O$8="","",N177)</f>
        <v/>
      </c>
      <c r="P177" s="8" t="str">
        <f t="shared" si="2407"/>
        <v/>
      </c>
      <c r="Q177" s="8" t="str">
        <f t="shared" si="2408"/>
        <v/>
      </c>
      <c r="R177" s="8" t="str">
        <f t="shared" si="2409"/>
        <v/>
      </c>
      <c r="S177" s="8" t="str">
        <f t="shared" ref="S176:S177" si="2423">IF(S$8="","",R177)</f>
        <v/>
      </c>
      <c r="T177" s="8" t="str">
        <f>IF(T$8="","",S177)</f>
        <v/>
      </c>
      <c r="U177" s="8" t="str">
        <f t="shared" si="2410"/>
        <v/>
      </c>
      <c r="V177" s="8" t="str">
        <f t="shared" ref="V176:V177" si="2424">IF(V$8="","",U177)</f>
        <v/>
      </c>
      <c r="W177" s="8" t="str">
        <f>IF(W$8="","",V177)</f>
        <v/>
      </c>
      <c r="X177" s="8" t="str">
        <f t="shared" si="2411"/>
        <v/>
      </c>
      <c r="Y177" s="8" t="str">
        <f t="shared" si="2412"/>
        <v/>
      </c>
      <c r="Z177" s="8" t="str">
        <f>IF(Z$8="","",Y177)</f>
        <v/>
      </c>
      <c r="AA177" s="8" t="str">
        <f t="shared" si="2413"/>
        <v/>
      </c>
      <c r="AB177" s="8" t="str">
        <f t="shared" si="2414"/>
        <v/>
      </c>
      <c r="AC177" s="8" t="str">
        <f t="shared" si="2415"/>
        <v/>
      </c>
      <c r="AD177" s="8" t="str">
        <f>IF(AD$8="","",AC177)</f>
        <v/>
      </c>
      <c r="AE177" s="8" t="str">
        <f>IF(AE$8="","",AD177)</f>
        <v/>
      </c>
      <c r="AF177" s="8" t="str">
        <f t="shared" si="2416"/>
        <v/>
      </c>
      <c r="AG177" s="8" t="str">
        <f>IF(AG$8="","",AF177)</f>
        <v/>
      </c>
      <c r="AH177" s="8" t="str">
        <f t="shared" si="2417"/>
        <v/>
      </c>
      <c r="AI177" s="8" t="str">
        <f t="shared" si="2418"/>
        <v/>
      </c>
      <c r="AJ177" s="8" t="str">
        <f>IF(AJ$8="","",AI177)</f>
        <v/>
      </c>
      <c r="AK177" s="8" t="str">
        <f t="shared" si="2419"/>
        <v/>
      </c>
      <c r="AL177" s="8" t="str">
        <f t="shared" si="2420"/>
        <v/>
      </c>
      <c r="AM177" s="8" t="str">
        <f t="shared" si="2421"/>
        <v/>
      </c>
      <c r="AN177" s="8" t="str">
        <f t="shared" ref="AN177" si="2425">IF(AN$8="","",AM177)</f>
        <v/>
      </c>
      <c r="AO177" s="8" t="str">
        <f t="shared" ref="AO177:AS177" si="2426">IF(AO$8="","",AN177)</f>
        <v/>
      </c>
      <c r="AP177" s="8" t="str">
        <f t="shared" si="2426"/>
        <v/>
      </c>
      <c r="AQ177" s="8" t="str">
        <f t="shared" si="2426"/>
        <v/>
      </c>
      <c r="AR177" s="8" t="str">
        <f t="shared" si="2426"/>
        <v/>
      </c>
      <c r="AS177" s="8" t="str">
        <f t="shared" si="2426"/>
        <v/>
      </c>
    </row>
    <row r="178" spans="1:45" s="84" customFormat="1" ht="11.25" x14ac:dyDescent="0.15">
      <c r="A178" s="15">
        <v>1</v>
      </c>
      <c r="B178" s="9" t="s">
        <v>5</v>
      </c>
      <c r="C178" s="8">
        <v>13</v>
      </c>
      <c r="D178" s="8">
        <v>12</v>
      </c>
      <c r="E178" s="8">
        <v>12</v>
      </c>
      <c r="F178" s="8">
        <v>12</v>
      </c>
      <c r="G178" s="8">
        <v>11</v>
      </c>
      <c r="H178" s="8">
        <v>18</v>
      </c>
      <c r="I178" s="8">
        <v>18</v>
      </c>
      <c r="J178" s="8">
        <v>18</v>
      </c>
      <c r="K178" s="8">
        <v>18</v>
      </c>
      <c r="L178" s="8">
        <f>IF(L176="","",(K178+K179))</f>
        <v>18</v>
      </c>
      <c r="M178" s="8">
        <v>17</v>
      </c>
      <c r="N178" s="8" t="str">
        <f t="shared" ref="N178" si="2427">IF(N176="","",(M178+M179))</f>
        <v/>
      </c>
      <c r="O178" s="8" t="str">
        <f>IF(O176="","",(N178+N179))</f>
        <v/>
      </c>
      <c r="P178" s="8" t="str">
        <f t="shared" ref="P178" si="2428">IF(P176="","",(O178+O179))</f>
        <v/>
      </c>
      <c r="Q178" s="8" t="str">
        <f t="shared" ref="Q178" si="2429">IF(Q176="","",(P178+P179))</f>
        <v/>
      </c>
      <c r="R178" s="8" t="str">
        <f t="shared" ref="R178" si="2430">IF(R176="","",(Q178+Q179))</f>
        <v/>
      </c>
      <c r="S178" s="8" t="str">
        <f>IF(S176="","",(R178+R179))</f>
        <v/>
      </c>
      <c r="T178" s="8" t="str">
        <f>IF(T176="","",(S178+S179))</f>
        <v/>
      </c>
      <c r="U178" s="8" t="str">
        <f t="shared" ref="U178" si="2431">IF(U176="","",(T178+T179))</f>
        <v/>
      </c>
      <c r="V178" s="8" t="str">
        <f t="shared" ref="V178" si="2432">IF(V176="","",(U178+U179))</f>
        <v/>
      </c>
      <c r="W178" s="8" t="str">
        <f>IF(W176="","",(V178+V179))</f>
        <v/>
      </c>
      <c r="X178" s="8" t="str">
        <f t="shared" ref="X178" si="2433">IF(X176="","",(W178+W179))</f>
        <v/>
      </c>
      <c r="Y178" s="8" t="str">
        <f t="shared" ref="Y178" si="2434">IF(Y176="","",(X178+X179))</f>
        <v/>
      </c>
      <c r="Z178" s="8" t="str">
        <f>IF(Z176="","",(Y178+Y179))</f>
        <v/>
      </c>
      <c r="AA178" s="8" t="str">
        <f t="shared" ref="AA178" si="2435">IF(AA176="","",(Z178+Z179))</f>
        <v/>
      </c>
      <c r="AB178" s="8" t="str">
        <f t="shared" ref="AB178" si="2436">IF(AB176="","",(AA178+AA179))</f>
        <v/>
      </c>
      <c r="AC178" s="8" t="str">
        <f t="shared" ref="AC178" si="2437">IF(AC176="","",(AB178+AB179))</f>
        <v/>
      </c>
      <c r="AD178" s="8" t="str">
        <f>IF(AD176="","",(AC178+AC179))</f>
        <v/>
      </c>
      <c r="AE178" s="8" t="str">
        <f>IF(AE176="","",(AD178+AD179))</f>
        <v/>
      </c>
      <c r="AF178" s="8" t="str">
        <f t="shared" ref="AF178" si="2438">IF(AF176="","",(AE178+AE179))</f>
        <v/>
      </c>
      <c r="AG178" s="8" t="str">
        <f>IF(AG176="","",(AF178+AF179))</f>
        <v/>
      </c>
      <c r="AH178" s="8" t="str">
        <f t="shared" ref="AH178" si="2439">IF(AH176="","",(AG178+AG179))</f>
        <v/>
      </c>
      <c r="AI178" s="8" t="str">
        <f t="shared" ref="AI178" si="2440">IF(AI176="","",(AH178+AH179))</f>
        <v/>
      </c>
      <c r="AJ178" s="8" t="str">
        <f>IF(AJ176="","",(AI178+AI179))</f>
        <v/>
      </c>
      <c r="AK178" s="8" t="str">
        <f t="shared" ref="AK178" si="2441">IF(AK176="","",(AJ178+AJ179))</f>
        <v/>
      </c>
      <c r="AL178" s="8" t="str">
        <f t="shared" ref="AL178" si="2442">IF(AL176="","",(AK178+AK179))</f>
        <v/>
      </c>
      <c r="AM178" s="8" t="str">
        <f t="shared" ref="AM178" si="2443">IF(AM176="","",(AL178+AL179))</f>
        <v/>
      </c>
      <c r="AN178" s="8" t="str">
        <f t="shared" ref="AN178" si="2444">IF(AN176="","",(AM178+AM179))</f>
        <v/>
      </c>
      <c r="AO178" s="8" t="str">
        <f t="shared" ref="AO178:AS178" si="2445">IF(AO176="","",(AN178+AN179))</f>
        <v/>
      </c>
      <c r="AP178" s="8" t="str">
        <f t="shared" si="2445"/>
        <v/>
      </c>
      <c r="AQ178" s="8" t="str">
        <f t="shared" si="2445"/>
        <v/>
      </c>
      <c r="AR178" s="8" t="str">
        <f t="shared" si="2445"/>
        <v/>
      </c>
      <c r="AS178" s="8" t="str">
        <f t="shared" si="2445"/>
        <v/>
      </c>
    </row>
    <row r="179" spans="1:45" s="84" customFormat="1" ht="11.25" x14ac:dyDescent="0.15">
      <c r="A179" s="92" t="s">
        <v>6</v>
      </c>
      <c r="B179" s="9" t="s">
        <v>7</v>
      </c>
      <c r="C179" s="8"/>
      <c r="D179" s="8"/>
      <c r="E179" s="8"/>
      <c r="F179" s="8"/>
      <c r="G179" s="8">
        <v>7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</row>
    <row r="180" spans="1:45" s="84" customFormat="1" ht="11.25" x14ac:dyDescent="0.15">
      <c r="A180" s="93">
        <f>+(A183+A195+A207+A219)*100</f>
        <v>61800</v>
      </c>
      <c r="B180" s="9" t="s">
        <v>8</v>
      </c>
      <c r="C180" s="8">
        <v>750</v>
      </c>
      <c r="D180" s="8">
        <v>750</v>
      </c>
      <c r="E180" s="8">
        <v>750</v>
      </c>
      <c r="F180" s="8">
        <v>750</v>
      </c>
      <c r="G180" s="8">
        <v>750</v>
      </c>
      <c r="H180" s="8">
        <v>750</v>
      </c>
      <c r="I180" s="8">
        <v>750</v>
      </c>
      <c r="J180" s="8">
        <v>750</v>
      </c>
      <c r="K180" s="8">
        <v>750</v>
      </c>
      <c r="L180" s="8">
        <f t="shared" ref="L180" si="2446">IF(L176="","",K180)</f>
        <v>750</v>
      </c>
      <c r="M180" s="8">
        <f t="shared" ref="M180" si="2447">IF(M176="","",L180)</f>
        <v>750</v>
      </c>
      <c r="N180" s="8" t="str">
        <f t="shared" ref="N180" si="2448">IF(N176="","",M180)</f>
        <v/>
      </c>
      <c r="O180" s="8" t="str">
        <f t="shared" ref="O180" si="2449">IF(O176="","",N180)</f>
        <v/>
      </c>
      <c r="P180" s="8" t="str">
        <f t="shared" ref="P180" si="2450">IF(P176="","",O180)</f>
        <v/>
      </c>
      <c r="Q180" s="8" t="str">
        <f t="shared" ref="Q180" si="2451">IF(Q176="","",P180)</f>
        <v/>
      </c>
      <c r="R180" s="8" t="str">
        <f t="shared" ref="R180" si="2452">IF(R176="","",Q180)</f>
        <v/>
      </c>
      <c r="S180" s="8" t="str">
        <f t="shared" ref="S180" si="2453">IF(S176="","",R180)</f>
        <v/>
      </c>
      <c r="T180" s="8" t="str">
        <f t="shared" ref="T180" si="2454">IF(T176="","",S180)</f>
        <v/>
      </c>
      <c r="U180" s="8" t="str">
        <f t="shared" ref="U180" si="2455">IF(U176="","",T180)</f>
        <v/>
      </c>
      <c r="V180" s="8" t="str">
        <f t="shared" ref="V180" si="2456">IF(V176="","",U180)</f>
        <v/>
      </c>
      <c r="W180" s="8" t="str">
        <f t="shared" ref="W180" si="2457">IF(W176="","",V180)</f>
        <v/>
      </c>
      <c r="X180" s="8" t="str">
        <f t="shared" ref="X180" si="2458">IF(X176="","",W180)</f>
        <v/>
      </c>
      <c r="Y180" s="8" t="str">
        <f t="shared" ref="Y180" si="2459">IF(Y176="","",X180)</f>
        <v/>
      </c>
      <c r="Z180" s="8" t="str">
        <f t="shared" ref="Z180" si="2460">IF(Z176="","",Y180)</f>
        <v/>
      </c>
      <c r="AA180" s="8" t="str">
        <f t="shared" ref="AA180" si="2461">IF(AA176="","",Z180)</f>
        <v/>
      </c>
      <c r="AB180" s="8" t="str">
        <f t="shared" ref="AB180" si="2462">IF(AB176="","",AA180)</f>
        <v/>
      </c>
      <c r="AC180" s="8" t="str">
        <f t="shared" ref="AC180" si="2463">IF(AC176="","",AB180)</f>
        <v/>
      </c>
      <c r="AD180" s="8" t="str">
        <f t="shared" ref="AD180" si="2464">IF(AD176="","",AC180)</f>
        <v/>
      </c>
      <c r="AE180" s="8" t="str">
        <f t="shared" ref="AE180" si="2465">IF(AE176="","",AD180)</f>
        <v/>
      </c>
      <c r="AF180" s="8" t="str">
        <f t="shared" ref="AF180" si="2466">IF(AF176="","",AE180)</f>
        <v/>
      </c>
      <c r="AG180" s="8" t="str">
        <f t="shared" ref="AG180" si="2467">IF(AG176="","",AF180)</f>
        <v/>
      </c>
      <c r="AH180" s="8" t="str">
        <f t="shared" ref="AH180" si="2468">IF(AH176="","",AG180)</f>
        <v/>
      </c>
      <c r="AI180" s="8" t="str">
        <f t="shared" ref="AI180" si="2469">IF(AI176="","",AH180)</f>
        <v/>
      </c>
      <c r="AJ180" s="8" t="str">
        <f t="shared" ref="AJ180" si="2470">IF(AJ176="","",AI180)</f>
        <v/>
      </c>
      <c r="AK180" s="8" t="str">
        <f t="shared" ref="AK180" si="2471">IF(AK176="","",AJ180)</f>
        <v/>
      </c>
      <c r="AL180" s="8" t="str">
        <f t="shared" ref="AL180" si="2472">IF(AL176="","",AK180)</f>
        <v/>
      </c>
      <c r="AM180" s="8" t="str">
        <f t="shared" ref="AM180" si="2473">IF(AM176="","",AL180)</f>
        <v/>
      </c>
      <c r="AN180" s="8" t="str">
        <f t="shared" ref="AN180" si="2474">IF(AN176="","",AM180)</f>
        <v/>
      </c>
      <c r="AO180" s="8" t="str">
        <f t="shared" ref="AO180:AS180" si="2475">IF(AO176="","",AN180)</f>
        <v/>
      </c>
      <c r="AP180" s="8" t="str">
        <f t="shared" si="2475"/>
        <v/>
      </c>
      <c r="AQ180" s="8" t="str">
        <f t="shared" si="2475"/>
        <v/>
      </c>
      <c r="AR180" s="8" t="str">
        <f t="shared" si="2475"/>
        <v/>
      </c>
      <c r="AS180" s="8" t="str">
        <f t="shared" si="2475"/>
        <v/>
      </c>
    </row>
    <row r="181" spans="1:45" s="85" customFormat="1" ht="11.25" x14ac:dyDescent="0.15">
      <c r="A181" s="14" t="s">
        <v>9</v>
      </c>
      <c r="B181" s="13" t="s">
        <v>10</v>
      </c>
      <c r="C181" s="12" t="s">
        <v>67</v>
      </c>
      <c r="D181" s="12" t="s">
        <v>67</v>
      </c>
      <c r="E181" s="12" t="s">
        <v>67</v>
      </c>
      <c r="F181" s="12" t="s">
        <v>67</v>
      </c>
      <c r="G181" s="12" t="s">
        <v>67</v>
      </c>
      <c r="H181" s="12" t="s">
        <v>67</v>
      </c>
      <c r="I181" s="12" t="s">
        <v>67</v>
      </c>
      <c r="J181" s="12" t="s">
        <v>67</v>
      </c>
      <c r="K181" s="12" t="s">
        <v>67</v>
      </c>
      <c r="L181" s="12" t="str">
        <f t="shared" ref="L181" si="2476">IF(L176="","",K181)</f>
        <v>ギャルキティMC</v>
      </c>
      <c r="M181" s="12" t="str">
        <f t="shared" ref="M181" si="2477">IF(M176="","",L181)</f>
        <v>ギャルキティMC</v>
      </c>
      <c r="N181" s="12" t="str">
        <f t="shared" ref="N181" si="2478">IF(N176="","",M181)</f>
        <v/>
      </c>
      <c r="O181" s="12" t="str">
        <f t="shared" ref="O181" si="2479">IF(O176="","",N181)</f>
        <v/>
      </c>
      <c r="P181" s="12" t="str">
        <f t="shared" ref="P181" si="2480">IF(P176="","",O181)</f>
        <v/>
      </c>
      <c r="Q181" s="12" t="str">
        <f t="shared" ref="Q181" si="2481">IF(Q176="","",P181)</f>
        <v/>
      </c>
      <c r="R181" s="12" t="str">
        <f t="shared" ref="R181" si="2482">IF(R176="","",Q181)</f>
        <v/>
      </c>
      <c r="S181" s="12" t="str">
        <f>IF(S176="","",R181)</f>
        <v/>
      </c>
      <c r="T181" s="12" t="str">
        <f t="shared" ref="T181" si="2483">IF(T176="","",S181)</f>
        <v/>
      </c>
      <c r="U181" s="12" t="str">
        <f t="shared" ref="U181" si="2484">IF(U176="","",T181)</f>
        <v/>
      </c>
      <c r="V181" s="12" t="str">
        <f t="shared" ref="V181" si="2485">IF(V176="","",U181)</f>
        <v/>
      </c>
      <c r="W181" s="12" t="str">
        <f t="shared" ref="W181" si="2486">IF(W176="","",V181)</f>
        <v/>
      </c>
      <c r="X181" s="12" t="str">
        <f t="shared" ref="X181" si="2487">IF(X176="","",W181)</f>
        <v/>
      </c>
      <c r="Y181" s="12" t="str">
        <f t="shared" ref="Y181" si="2488">IF(Y176="","",X181)</f>
        <v/>
      </c>
      <c r="Z181" s="12" t="str">
        <f t="shared" ref="Z181" si="2489">IF(Z176="","",Y181)</f>
        <v/>
      </c>
      <c r="AA181" s="12" t="str">
        <f t="shared" ref="AA181" si="2490">IF(AA176="","",Z181)</f>
        <v/>
      </c>
      <c r="AB181" s="12" t="str">
        <f t="shared" ref="AB181" si="2491">IF(AB176="","",AA181)</f>
        <v/>
      </c>
      <c r="AC181" s="12" t="str">
        <f t="shared" ref="AC181" si="2492">IF(AC176="","",AB181)</f>
        <v/>
      </c>
      <c r="AD181" s="12" t="str">
        <f t="shared" ref="AD181" si="2493">IF(AD176="","",AC181)</f>
        <v/>
      </c>
      <c r="AE181" s="12" t="str">
        <f t="shared" ref="AE181" si="2494">IF(AE176="","",AD181)</f>
        <v/>
      </c>
      <c r="AF181" s="12" t="str">
        <f t="shared" ref="AF181" si="2495">IF(AF176="","",AE181)</f>
        <v/>
      </c>
      <c r="AG181" s="12" t="str">
        <f t="shared" ref="AG181" si="2496">IF(AG176="","",AF181)</f>
        <v/>
      </c>
      <c r="AH181" s="12" t="str">
        <f t="shared" ref="AH181" si="2497">IF(AH176="","",AG181)</f>
        <v/>
      </c>
      <c r="AI181" s="12" t="str">
        <f t="shared" ref="AI181" si="2498">IF(AI176="","",AH181)</f>
        <v/>
      </c>
      <c r="AJ181" s="12" t="str">
        <f t="shared" ref="AJ181" si="2499">IF(AJ176="","",AI181)</f>
        <v/>
      </c>
      <c r="AK181" s="12" t="str">
        <f t="shared" ref="AK181" si="2500">IF(AK176="","",AJ181)</f>
        <v/>
      </c>
      <c r="AL181" s="12" t="str">
        <f t="shared" ref="AL181" si="2501">IF(AL176="","",AK181)</f>
        <v/>
      </c>
      <c r="AM181" s="12" t="str">
        <f t="shared" ref="AM181" si="2502">IF(AM176="","",AL181)</f>
        <v/>
      </c>
      <c r="AN181" s="12" t="str">
        <f t="shared" ref="AN181" si="2503">IF(AN176="","",AM181)</f>
        <v/>
      </c>
      <c r="AO181" s="12" t="str">
        <f t="shared" ref="AO181:AS181" si="2504">IF(AO176="","",AN181)</f>
        <v/>
      </c>
      <c r="AP181" s="12" t="str">
        <f t="shared" si="2504"/>
        <v/>
      </c>
      <c r="AQ181" s="12" t="str">
        <f t="shared" si="2504"/>
        <v/>
      </c>
      <c r="AR181" s="12" t="str">
        <f t="shared" si="2504"/>
        <v/>
      </c>
      <c r="AS181" s="12" t="str">
        <f t="shared" si="2504"/>
        <v/>
      </c>
    </row>
    <row r="182" spans="1:45" s="84" customFormat="1" ht="11.25" x14ac:dyDescent="0.15">
      <c r="A182" s="7">
        <f>AVERAGE(C183:AS183)*30*100</f>
        <v>28909.090909090912</v>
      </c>
      <c r="B182" s="9" t="s">
        <v>12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</row>
    <row r="183" spans="1:45" s="84" customFormat="1" ht="11.25" x14ac:dyDescent="0.15">
      <c r="A183" s="7">
        <f>SUM(C183:AS183)</f>
        <v>106</v>
      </c>
      <c r="B183" s="6" t="s">
        <v>372</v>
      </c>
      <c r="C183" s="5">
        <v>0</v>
      </c>
      <c r="D183" s="5">
        <v>9</v>
      </c>
      <c r="E183" s="5">
        <v>0</v>
      </c>
      <c r="F183" s="5">
        <v>0</v>
      </c>
      <c r="G183" s="5">
        <v>45</v>
      </c>
      <c r="H183" s="5">
        <v>0</v>
      </c>
      <c r="I183" s="5">
        <v>0</v>
      </c>
      <c r="J183" s="5">
        <v>0</v>
      </c>
      <c r="K183" s="5">
        <v>29</v>
      </c>
      <c r="L183" s="5">
        <f t="shared" ref="L183:L184" si="2505">IF(L176="","",L176-K176)</f>
        <v>0</v>
      </c>
      <c r="M183" s="5">
        <f t="shared" ref="M183:M184" si="2506">IF(M176="","",M176-L176)</f>
        <v>23</v>
      </c>
      <c r="N183" s="5" t="str">
        <f t="shared" ref="N183:N184" si="2507">IF(N176="","",N176-M176)</f>
        <v/>
      </c>
      <c r="O183" s="5" t="str">
        <f t="shared" ref="O183:O184" si="2508">IF(O176="","",O176-N176)</f>
        <v/>
      </c>
      <c r="P183" s="5" t="str">
        <f t="shared" ref="P183:P184" si="2509">IF(P176="","",P176-O176)</f>
        <v/>
      </c>
      <c r="Q183" s="5" t="str">
        <f t="shared" ref="Q183:Q184" si="2510">IF(Q176="","",Q176-P176)</f>
        <v/>
      </c>
      <c r="R183" s="5" t="str">
        <f t="shared" ref="R183:R184" si="2511">IF(R176="","",R176-Q176)</f>
        <v/>
      </c>
      <c r="S183" s="5" t="str">
        <f t="shared" ref="S183:S184" si="2512">IF(S176="","",S176-R176)</f>
        <v/>
      </c>
      <c r="T183" s="5" t="str">
        <f t="shared" ref="T183:T184" si="2513">IF(T176="","",T176-S176)</f>
        <v/>
      </c>
      <c r="U183" s="5" t="str">
        <f t="shared" ref="U183:U184" si="2514">IF(U176="","",U176-T176)</f>
        <v/>
      </c>
      <c r="V183" s="5" t="str">
        <f t="shared" ref="V183:V184" si="2515">IF(V176="","",V176-U176)</f>
        <v/>
      </c>
      <c r="W183" s="5" t="str">
        <f t="shared" ref="W183:W184" si="2516">IF(W176="","",W176-V176)</f>
        <v/>
      </c>
      <c r="X183" s="5" t="str">
        <f t="shared" ref="X183:X184" si="2517">IF(X176="","",X176-W176)</f>
        <v/>
      </c>
      <c r="Y183" s="5" t="str">
        <f t="shared" ref="Y183:Y184" si="2518">IF(Y176="","",Y176-X176)</f>
        <v/>
      </c>
      <c r="Z183" s="5" t="str">
        <f t="shared" ref="Z183:Z184" si="2519">IF(Z176="","",Z176-Y176)</f>
        <v/>
      </c>
      <c r="AA183" s="5" t="str">
        <f t="shared" ref="AA183:AA184" si="2520">IF(AA176="","",AA176-Z176)</f>
        <v/>
      </c>
      <c r="AB183" s="5" t="str">
        <f t="shared" ref="AB183:AB184" si="2521">IF(AB176="","",AB176-AA176)</f>
        <v/>
      </c>
      <c r="AC183" s="5" t="str">
        <f t="shared" ref="AC183:AC184" si="2522">IF(AC176="","",AC176-AB176)</f>
        <v/>
      </c>
      <c r="AD183" s="5" t="str">
        <f t="shared" ref="AD183:AD184" si="2523">IF(AD176="","",AD176-AC176)</f>
        <v/>
      </c>
      <c r="AE183" s="5" t="str">
        <f t="shared" ref="AE183:AE184" si="2524">IF(AE176="","",AE176-AD176)</f>
        <v/>
      </c>
      <c r="AF183" s="5" t="str">
        <f t="shared" ref="AF183:AF184" si="2525">IF(AF176="","",AF176-AE176)</f>
        <v/>
      </c>
      <c r="AG183" s="5" t="str">
        <f t="shared" ref="AG183:AG184" si="2526">IF(AG176="","",AG176-AF176)</f>
        <v/>
      </c>
      <c r="AH183" s="5" t="str">
        <f t="shared" ref="AH183:AH184" si="2527">IF(AH176="","",AH176-AG176)</f>
        <v/>
      </c>
      <c r="AI183" s="5" t="str">
        <f t="shared" ref="AI183:AI184" si="2528">IF(AI176="","",AI176-AH176)</f>
        <v/>
      </c>
      <c r="AJ183" s="5" t="str">
        <f t="shared" ref="AJ183:AJ184" si="2529">IF(AJ176="","",AJ176-AI176)</f>
        <v/>
      </c>
      <c r="AK183" s="5" t="str">
        <f t="shared" ref="AK183:AK184" si="2530">IF(AK176="","",AK176-AJ176)</f>
        <v/>
      </c>
      <c r="AL183" s="5" t="str">
        <f t="shared" ref="AL183:AL184" si="2531">IF(AL176="","",AL176-AK176)</f>
        <v/>
      </c>
      <c r="AM183" s="5" t="str">
        <f t="shared" ref="AM183:AM184" si="2532">IF(AM176="","",AM176-AL176)</f>
        <v/>
      </c>
      <c r="AN183" s="5" t="str">
        <f t="shared" ref="AN183" si="2533">IF(AN176="","",AN176-AM176)</f>
        <v/>
      </c>
      <c r="AO183" s="5" t="str">
        <f t="shared" ref="AO183:AS183" si="2534">IF(AO176="","",AO176-AN176)</f>
        <v/>
      </c>
      <c r="AP183" s="5" t="str">
        <f t="shared" si="2534"/>
        <v/>
      </c>
      <c r="AQ183" s="5" t="str">
        <f t="shared" si="2534"/>
        <v/>
      </c>
      <c r="AR183" s="5" t="str">
        <f t="shared" si="2534"/>
        <v/>
      </c>
      <c r="AS183" s="5" t="str">
        <f t="shared" si="2534"/>
        <v/>
      </c>
    </row>
    <row r="184" spans="1:45" s="84" customFormat="1" ht="11.25" x14ac:dyDescent="0.15">
      <c r="A184" s="7">
        <f>SUM(C184:AS184)</f>
        <v>3</v>
      </c>
      <c r="B184" s="6" t="s">
        <v>14</v>
      </c>
      <c r="C184" s="5">
        <v>0</v>
      </c>
      <c r="D184" s="5">
        <v>1</v>
      </c>
      <c r="E184" s="5">
        <v>0</v>
      </c>
      <c r="F184" s="5">
        <v>0</v>
      </c>
      <c r="G184" s="5">
        <v>1</v>
      </c>
      <c r="H184" s="5">
        <v>0</v>
      </c>
      <c r="I184" s="5">
        <v>0</v>
      </c>
      <c r="J184" s="5">
        <v>0</v>
      </c>
      <c r="K184" s="5">
        <v>0</v>
      </c>
      <c r="L184" s="5">
        <f t="shared" si="2505"/>
        <v>0</v>
      </c>
      <c r="M184" s="5">
        <f t="shared" si="2506"/>
        <v>1</v>
      </c>
      <c r="N184" s="5" t="str">
        <f t="shared" si="2507"/>
        <v/>
      </c>
      <c r="O184" s="5" t="str">
        <f t="shared" si="2508"/>
        <v/>
      </c>
      <c r="P184" s="5" t="str">
        <f t="shared" si="2509"/>
        <v/>
      </c>
      <c r="Q184" s="5" t="str">
        <f t="shared" si="2510"/>
        <v/>
      </c>
      <c r="R184" s="5" t="str">
        <f t="shared" si="2511"/>
        <v/>
      </c>
      <c r="S184" s="5" t="str">
        <f t="shared" si="2512"/>
        <v/>
      </c>
      <c r="T184" s="5" t="str">
        <f t="shared" si="2513"/>
        <v/>
      </c>
      <c r="U184" s="5" t="str">
        <f t="shared" si="2514"/>
        <v/>
      </c>
      <c r="V184" s="5" t="str">
        <f t="shared" si="2515"/>
        <v/>
      </c>
      <c r="W184" s="5" t="str">
        <f t="shared" si="2516"/>
        <v/>
      </c>
      <c r="X184" s="5" t="str">
        <f t="shared" si="2517"/>
        <v/>
      </c>
      <c r="Y184" s="5" t="str">
        <f t="shared" si="2518"/>
        <v/>
      </c>
      <c r="Z184" s="5" t="str">
        <f t="shared" si="2519"/>
        <v/>
      </c>
      <c r="AA184" s="5" t="str">
        <f t="shared" si="2520"/>
        <v/>
      </c>
      <c r="AB184" s="5" t="str">
        <f t="shared" si="2521"/>
        <v/>
      </c>
      <c r="AC184" s="5" t="str">
        <f t="shared" si="2522"/>
        <v/>
      </c>
      <c r="AD184" s="5" t="str">
        <f t="shared" si="2523"/>
        <v/>
      </c>
      <c r="AE184" s="5" t="str">
        <f t="shared" si="2524"/>
        <v/>
      </c>
      <c r="AF184" s="5" t="str">
        <f t="shared" si="2525"/>
        <v/>
      </c>
      <c r="AG184" s="5" t="str">
        <f t="shared" si="2526"/>
        <v/>
      </c>
      <c r="AH184" s="5" t="str">
        <f t="shared" si="2527"/>
        <v/>
      </c>
      <c r="AI184" s="5" t="str">
        <f t="shared" si="2528"/>
        <v/>
      </c>
      <c r="AJ184" s="5" t="str">
        <f t="shared" si="2529"/>
        <v/>
      </c>
      <c r="AK184" s="5" t="str">
        <f t="shared" si="2530"/>
        <v/>
      </c>
      <c r="AL184" s="5" t="str">
        <f t="shared" si="2531"/>
        <v/>
      </c>
      <c r="AM184" s="5" t="str">
        <f t="shared" si="2532"/>
        <v/>
      </c>
      <c r="AN184" s="5" t="str">
        <f t="shared" ref="AN184" si="2535">IF(AN177="","",AN177-AM177)</f>
        <v/>
      </c>
      <c r="AO184" s="5" t="str">
        <f t="shared" ref="AO184:AS184" si="2536">IF(AO177="","",AO177-AN177)</f>
        <v/>
      </c>
      <c r="AP184" s="5" t="str">
        <f t="shared" si="2536"/>
        <v/>
      </c>
      <c r="AQ184" s="5" t="str">
        <f t="shared" si="2536"/>
        <v/>
      </c>
      <c r="AR184" s="5" t="str">
        <f t="shared" si="2536"/>
        <v/>
      </c>
      <c r="AS184" s="5" t="str">
        <f t="shared" si="2536"/>
        <v/>
      </c>
    </row>
    <row r="185" spans="1:45" s="84" customFormat="1" ht="11.25" x14ac:dyDescent="0.15">
      <c r="A185" s="7">
        <f>SUM(C185:AS185)</f>
        <v>3</v>
      </c>
      <c r="B185" s="6" t="s">
        <v>15</v>
      </c>
      <c r="C185" s="5">
        <v>0</v>
      </c>
      <c r="D185" s="5">
        <v>1</v>
      </c>
      <c r="E185" s="5">
        <v>0</v>
      </c>
      <c r="F185" s="5">
        <v>0</v>
      </c>
      <c r="G185" s="5">
        <v>1</v>
      </c>
      <c r="H185" s="5">
        <v>0</v>
      </c>
      <c r="I185" s="5">
        <v>0</v>
      </c>
      <c r="J185" s="5">
        <v>0</v>
      </c>
      <c r="K185" s="5">
        <v>0</v>
      </c>
      <c r="L185" s="5">
        <f t="shared" ref="L185" si="2537">IF(L178="","",K178+K179-L178)</f>
        <v>0</v>
      </c>
      <c r="M185" s="5">
        <f t="shared" ref="M185" si="2538">IF(M178="","",L178+L179-M178)</f>
        <v>1</v>
      </c>
      <c r="N185" s="5" t="str">
        <f t="shared" ref="N185" si="2539">IF(N178="","",M178+M179-N178)</f>
        <v/>
      </c>
      <c r="O185" s="5" t="str">
        <f t="shared" ref="O185" si="2540">IF(O178="","",N178+N179-O178)</f>
        <v/>
      </c>
      <c r="P185" s="5" t="str">
        <f t="shared" ref="P185" si="2541">IF(P178="","",O178+O179-P178)</f>
        <v/>
      </c>
      <c r="Q185" s="5" t="str">
        <f t="shared" ref="Q185" si="2542">IF(Q178="","",P178+P179-Q178)</f>
        <v/>
      </c>
      <c r="R185" s="5" t="str">
        <f t="shared" ref="R185" si="2543">IF(R178="","",Q178+Q179-R178)</f>
        <v/>
      </c>
      <c r="S185" s="5" t="str">
        <f t="shared" ref="S185" si="2544">IF(S178="","",R178+R179-S178)</f>
        <v/>
      </c>
      <c r="T185" s="5" t="str">
        <f t="shared" ref="T185" si="2545">IF(T178="","",S178+S179-T178)</f>
        <v/>
      </c>
      <c r="U185" s="5" t="str">
        <f t="shared" ref="U185" si="2546">IF(U178="","",T178+T179-U178)</f>
        <v/>
      </c>
      <c r="V185" s="5" t="str">
        <f t="shared" ref="V185" si="2547">IF(V178="","",U178+U179-V178)</f>
        <v/>
      </c>
      <c r="W185" s="5" t="str">
        <f t="shared" ref="W185" si="2548">IF(W178="","",V178+V179-W178)</f>
        <v/>
      </c>
      <c r="X185" s="5" t="str">
        <f t="shared" ref="X185" si="2549">IF(X178="","",W178+W179-X178)</f>
        <v/>
      </c>
      <c r="Y185" s="5" t="str">
        <f t="shared" ref="Y185" si="2550">IF(Y178="","",X178+X179-Y178)</f>
        <v/>
      </c>
      <c r="Z185" s="5" t="str">
        <f t="shared" ref="Z185" si="2551">IF(Z178="","",Y178+Y179-Z178)</f>
        <v/>
      </c>
      <c r="AA185" s="5" t="str">
        <f t="shared" ref="AA185" si="2552">IF(AA178="","",Z178+Z179-AA178)</f>
        <v/>
      </c>
      <c r="AB185" s="5" t="str">
        <f t="shared" ref="AB185" si="2553">IF(AB178="","",AA178+AA179-AB178)</f>
        <v/>
      </c>
      <c r="AC185" s="5" t="str">
        <f t="shared" ref="AC185" si="2554">IF(AC178="","",AB178+AB179-AC178)</f>
        <v/>
      </c>
      <c r="AD185" s="5" t="str">
        <f t="shared" ref="AD185" si="2555">IF(AD178="","",AC178+AC179-AD178)</f>
        <v/>
      </c>
      <c r="AE185" s="5" t="str">
        <f t="shared" ref="AE185" si="2556">IF(AE178="","",AD178+AD179-AE178)</f>
        <v/>
      </c>
      <c r="AF185" s="5" t="str">
        <f t="shared" ref="AF185" si="2557">IF(AF178="","",AE178+AE179-AF178)</f>
        <v/>
      </c>
      <c r="AG185" s="5" t="str">
        <f t="shared" ref="AG185" si="2558">IF(AG178="","",AF178+AF179-AG178)</f>
        <v/>
      </c>
      <c r="AH185" s="5" t="str">
        <f t="shared" ref="AH185" si="2559">IF(AH178="","",AG178+AG179-AH178)</f>
        <v/>
      </c>
      <c r="AI185" s="5" t="str">
        <f t="shared" ref="AI185" si="2560">IF(AI178="","",AH178+AH179-AI178)</f>
        <v/>
      </c>
      <c r="AJ185" s="5" t="str">
        <f t="shared" ref="AJ185" si="2561">IF(AJ178="","",AI178+AI179-AJ178)</f>
        <v/>
      </c>
      <c r="AK185" s="5" t="str">
        <f t="shared" ref="AK185" si="2562">IF(AK178="","",AJ178+AJ179-AK178)</f>
        <v/>
      </c>
      <c r="AL185" s="5" t="str">
        <f t="shared" ref="AL185" si="2563">IF(AL178="","",AK178+AK179-AL178)</f>
        <v/>
      </c>
      <c r="AM185" s="5" t="str">
        <f t="shared" ref="AM185" si="2564">IF(AM178="","",AL178+AL179-AM178)</f>
        <v/>
      </c>
      <c r="AN185" s="5" t="str">
        <f t="shared" ref="AN185" si="2565">IF(AN178="","",AM178+AM179-AN178)</f>
        <v/>
      </c>
      <c r="AO185" s="5" t="str">
        <f t="shared" ref="AO185:AS185" si="2566">IF(AO178="","",AN178+AN179-AO178)</f>
        <v/>
      </c>
      <c r="AP185" s="5" t="str">
        <f t="shared" si="2566"/>
        <v/>
      </c>
      <c r="AQ185" s="5" t="str">
        <f t="shared" si="2566"/>
        <v/>
      </c>
      <c r="AR185" s="5" t="str">
        <f t="shared" si="2566"/>
        <v/>
      </c>
      <c r="AS185" s="5" t="str">
        <f t="shared" si="2566"/>
        <v/>
      </c>
    </row>
    <row r="186" spans="1:45" s="84" customFormat="1" ht="11.25" x14ac:dyDescent="0.15">
      <c r="A186" s="7">
        <f>SUM(C186:AS186)</f>
        <v>2250</v>
      </c>
      <c r="B186" s="6" t="s">
        <v>16</v>
      </c>
      <c r="C186" s="5">
        <v>0</v>
      </c>
      <c r="D186" s="5">
        <v>750</v>
      </c>
      <c r="E186" s="5">
        <v>0</v>
      </c>
      <c r="F186" s="5">
        <v>0</v>
      </c>
      <c r="G186" s="5">
        <v>750</v>
      </c>
      <c r="H186" s="5">
        <v>0</v>
      </c>
      <c r="I186" s="5">
        <v>0</v>
      </c>
      <c r="J186" s="5">
        <v>0</v>
      </c>
      <c r="K186" s="5">
        <v>0</v>
      </c>
      <c r="L186" s="5">
        <f t="shared" ref="J186:AM186" si="2567">IF(L176="","",L185*L180)</f>
        <v>0</v>
      </c>
      <c r="M186" s="5">
        <f t="shared" si="2567"/>
        <v>750</v>
      </c>
      <c r="N186" s="5" t="str">
        <f t="shared" si="2567"/>
        <v/>
      </c>
      <c r="O186" s="5" t="str">
        <f t="shared" si="2567"/>
        <v/>
      </c>
      <c r="P186" s="5" t="str">
        <f t="shared" si="2567"/>
        <v/>
      </c>
      <c r="Q186" s="5" t="str">
        <f t="shared" si="2567"/>
        <v/>
      </c>
      <c r="R186" s="5" t="str">
        <f t="shared" si="2567"/>
        <v/>
      </c>
      <c r="S186" s="5" t="str">
        <f t="shared" si="2567"/>
        <v/>
      </c>
      <c r="T186" s="5" t="str">
        <f t="shared" si="2567"/>
        <v/>
      </c>
      <c r="U186" s="5" t="str">
        <f t="shared" si="2567"/>
        <v/>
      </c>
      <c r="V186" s="5" t="str">
        <f t="shared" si="2567"/>
        <v/>
      </c>
      <c r="W186" s="5" t="str">
        <f t="shared" si="2567"/>
        <v/>
      </c>
      <c r="X186" s="5" t="str">
        <f t="shared" si="2567"/>
        <v/>
      </c>
      <c r="Y186" s="5" t="str">
        <f t="shared" si="2567"/>
        <v/>
      </c>
      <c r="Z186" s="5" t="str">
        <f t="shared" si="2567"/>
        <v/>
      </c>
      <c r="AA186" s="5" t="str">
        <f t="shared" si="2567"/>
        <v/>
      </c>
      <c r="AB186" s="5" t="str">
        <f t="shared" si="2567"/>
        <v/>
      </c>
      <c r="AC186" s="5" t="str">
        <f t="shared" si="2567"/>
        <v/>
      </c>
      <c r="AD186" s="5" t="str">
        <f t="shared" si="2567"/>
        <v/>
      </c>
      <c r="AE186" s="5" t="str">
        <f t="shared" si="2567"/>
        <v/>
      </c>
      <c r="AF186" s="5" t="str">
        <f t="shared" si="2567"/>
        <v/>
      </c>
      <c r="AG186" s="5" t="str">
        <f t="shared" si="2567"/>
        <v/>
      </c>
      <c r="AH186" s="5" t="str">
        <f t="shared" si="2567"/>
        <v/>
      </c>
      <c r="AI186" s="5" t="str">
        <f t="shared" si="2567"/>
        <v/>
      </c>
      <c r="AJ186" s="5" t="str">
        <f t="shared" si="2567"/>
        <v/>
      </c>
      <c r="AK186" s="5" t="str">
        <f t="shared" si="2567"/>
        <v/>
      </c>
      <c r="AL186" s="5" t="str">
        <f t="shared" si="2567"/>
        <v/>
      </c>
      <c r="AM186" s="5" t="str">
        <f t="shared" si="2567"/>
        <v/>
      </c>
      <c r="AN186" s="5" t="str">
        <f t="shared" ref="AN186" si="2568">IF(AN176="","",AN185*AN180)</f>
        <v/>
      </c>
      <c r="AO186" s="5" t="str">
        <f t="shared" ref="AO186:AS186" si="2569">IF(AO176="","",AO185*AO180)</f>
        <v/>
      </c>
      <c r="AP186" s="5" t="str">
        <f t="shared" si="2569"/>
        <v/>
      </c>
      <c r="AQ186" s="5" t="str">
        <f t="shared" si="2569"/>
        <v/>
      </c>
      <c r="AR186" s="5" t="str">
        <f t="shared" si="2569"/>
        <v/>
      </c>
      <c r="AS186" s="5" t="str">
        <f t="shared" si="2569"/>
        <v/>
      </c>
    </row>
    <row r="187" spans="1:45" s="84" customFormat="1" ht="12" thickBot="1" x14ac:dyDescent="0.2">
      <c r="A187" s="4">
        <f>IF(A186="","",A186/(A183*100))</f>
        <v>0.21226415094339623</v>
      </c>
      <c r="B187" s="6" t="s">
        <v>18</v>
      </c>
      <c r="C187" s="18" t="s">
        <v>19</v>
      </c>
      <c r="D187" s="18">
        <v>0.83333333333333337</v>
      </c>
      <c r="E187" s="18" t="s">
        <v>19</v>
      </c>
      <c r="F187" s="18" t="s">
        <v>19</v>
      </c>
      <c r="G187" s="18">
        <v>0.16666666666666666</v>
      </c>
      <c r="H187" s="18" t="s">
        <v>19</v>
      </c>
      <c r="I187" s="18" t="s">
        <v>19</v>
      </c>
      <c r="J187" s="18" t="s">
        <v>19</v>
      </c>
      <c r="K187" s="18" t="s">
        <v>19</v>
      </c>
      <c r="L187" s="18" t="str">
        <f t="shared" ref="J187:AM187" si="2570">IF(L186="","",IF(L186=0,"",L186/(L183*100)))</f>
        <v/>
      </c>
      <c r="M187" s="18">
        <f t="shared" si="2570"/>
        <v>0.32608695652173914</v>
      </c>
      <c r="N187" s="18" t="str">
        <f t="shared" si="2570"/>
        <v/>
      </c>
      <c r="O187" s="18" t="str">
        <f t="shared" si="2570"/>
        <v/>
      </c>
      <c r="P187" s="18" t="str">
        <f t="shared" si="2570"/>
        <v/>
      </c>
      <c r="Q187" s="18" t="str">
        <f t="shared" si="2570"/>
        <v/>
      </c>
      <c r="R187" s="18" t="str">
        <f t="shared" si="2570"/>
        <v/>
      </c>
      <c r="S187" s="18" t="str">
        <f t="shared" si="2570"/>
        <v/>
      </c>
      <c r="T187" s="18" t="str">
        <f t="shared" si="2570"/>
        <v/>
      </c>
      <c r="U187" s="18" t="str">
        <f t="shared" si="2570"/>
        <v/>
      </c>
      <c r="V187" s="18" t="str">
        <f t="shared" si="2570"/>
        <v/>
      </c>
      <c r="W187" s="18" t="str">
        <f t="shared" si="2570"/>
        <v/>
      </c>
      <c r="X187" s="18" t="str">
        <f t="shared" si="2570"/>
        <v/>
      </c>
      <c r="Y187" s="18" t="str">
        <f t="shared" si="2570"/>
        <v/>
      </c>
      <c r="Z187" s="18" t="str">
        <f t="shared" si="2570"/>
        <v/>
      </c>
      <c r="AA187" s="18" t="str">
        <f t="shared" si="2570"/>
        <v/>
      </c>
      <c r="AB187" s="18" t="str">
        <f t="shared" si="2570"/>
        <v/>
      </c>
      <c r="AC187" s="18" t="str">
        <f t="shared" si="2570"/>
        <v/>
      </c>
      <c r="AD187" s="18" t="str">
        <f t="shared" si="2570"/>
        <v/>
      </c>
      <c r="AE187" s="18" t="str">
        <f t="shared" si="2570"/>
        <v/>
      </c>
      <c r="AF187" s="18" t="str">
        <f t="shared" si="2570"/>
        <v/>
      </c>
      <c r="AG187" s="18" t="str">
        <f t="shared" si="2570"/>
        <v/>
      </c>
      <c r="AH187" s="18" t="str">
        <f t="shared" si="2570"/>
        <v/>
      </c>
      <c r="AI187" s="18" t="str">
        <f t="shared" si="2570"/>
        <v/>
      </c>
      <c r="AJ187" s="18" t="str">
        <f t="shared" si="2570"/>
        <v/>
      </c>
      <c r="AK187" s="18" t="str">
        <f t="shared" si="2570"/>
        <v/>
      </c>
      <c r="AL187" s="18" t="str">
        <f t="shared" si="2570"/>
        <v/>
      </c>
      <c r="AM187" s="18" t="str">
        <f t="shared" si="2570"/>
        <v/>
      </c>
      <c r="AN187" s="18" t="str">
        <f t="shared" ref="AN187" si="2571">IF(AN186="","",IF(AN186=0,"",AN186/(AN183*100)))</f>
        <v/>
      </c>
      <c r="AO187" s="18" t="str">
        <f t="shared" ref="AO187:AS187" si="2572">IF(AO186="","",IF(AO186=0,"",AO186/(AO183*100)))</f>
        <v/>
      </c>
      <c r="AP187" s="18" t="str">
        <f t="shared" si="2572"/>
        <v/>
      </c>
      <c r="AQ187" s="18" t="str">
        <f t="shared" si="2572"/>
        <v/>
      </c>
      <c r="AR187" s="18" t="str">
        <f t="shared" si="2572"/>
        <v/>
      </c>
      <c r="AS187" s="18" t="str">
        <f t="shared" si="2572"/>
        <v/>
      </c>
    </row>
    <row r="188" spans="1:45" s="84" customFormat="1" ht="11.25" x14ac:dyDescent="0.15">
      <c r="A188" s="17" t="s">
        <v>77</v>
      </c>
      <c r="B188" s="9" t="s">
        <v>2</v>
      </c>
      <c r="C188" s="8">
        <v>12230</v>
      </c>
      <c r="D188" s="8">
        <v>12250</v>
      </c>
      <c r="E188" s="8">
        <v>12250</v>
      </c>
      <c r="F188" s="8">
        <v>12250</v>
      </c>
      <c r="G188" s="8">
        <v>12344</v>
      </c>
      <c r="H188" s="8">
        <v>12344</v>
      </c>
      <c r="I188" s="8">
        <v>12344</v>
      </c>
      <c r="J188" s="8">
        <v>12344</v>
      </c>
      <c r="K188" s="8">
        <v>12394</v>
      </c>
      <c r="L188" s="8">
        <f>IF(L$8="","",K188)</f>
        <v>12394</v>
      </c>
      <c r="M188" s="8">
        <v>12446</v>
      </c>
      <c r="N188" s="8" t="str">
        <f t="shared" ref="N188:N189" si="2573">IF(N$8="","",M188)</f>
        <v/>
      </c>
      <c r="O188" s="8" t="str">
        <f>IF(O$8="","",N188)</f>
        <v/>
      </c>
      <c r="P188" s="8" t="str">
        <f t="shared" ref="P188:P189" si="2574">IF(P$8="","",O188)</f>
        <v/>
      </c>
      <c r="Q188" s="8" t="str">
        <f t="shared" ref="Q188:Q189" si="2575">IF(Q$8="","",P188)</f>
        <v/>
      </c>
      <c r="R188" s="8" t="str">
        <f t="shared" ref="R188:R189" si="2576">IF(R$8="","",Q188)</f>
        <v/>
      </c>
      <c r="S188" s="8" t="str">
        <f>IF(S$8="","",R188)</f>
        <v/>
      </c>
      <c r="T188" s="8" t="str">
        <f>IF(T$8="","",S188)</f>
        <v/>
      </c>
      <c r="U188" s="8" t="str">
        <f t="shared" ref="U188:U189" si="2577">IF(U$8="","",T188)</f>
        <v/>
      </c>
      <c r="V188" s="8" t="str">
        <f>IF(V$8="","",U188)</f>
        <v/>
      </c>
      <c r="W188" s="8" t="str">
        <f>IF(W$8="","",V188)</f>
        <v/>
      </c>
      <c r="X188" s="8" t="str">
        <f t="shared" ref="X188:X189" si="2578">IF(X$8="","",W188)</f>
        <v/>
      </c>
      <c r="Y188" s="8" t="str">
        <f t="shared" ref="Y188:Y189" si="2579">IF(Y$8="","",X188)</f>
        <v/>
      </c>
      <c r="Z188" s="8" t="str">
        <f>IF(Z$8="","",Y188)</f>
        <v/>
      </c>
      <c r="AA188" s="8" t="str">
        <f t="shared" ref="AA188:AA189" si="2580">IF(AA$8="","",Z188)</f>
        <v/>
      </c>
      <c r="AB188" s="8" t="str">
        <f t="shared" ref="AB188:AB189" si="2581">IF(AB$8="","",AA188)</f>
        <v/>
      </c>
      <c r="AC188" s="8" t="str">
        <f t="shared" ref="AC188:AC189" si="2582">IF(AC$8="","",AB188)</f>
        <v/>
      </c>
      <c r="AD188" s="8" t="str">
        <f>IF(AD$8="","",AC188)</f>
        <v/>
      </c>
      <c r="AE188" s="8" t="str">
        <f>IF(AE$8="","",AD188)</f>
        <v/>
      </c>
      <c r="AF188" s="8" t="str">
        <f t="shared" ref="AF188:AF189" si="2583">IF(AF$8="","",AE188)</f>
        <v/>
      </c>
      <c r="AG188" s="8" t="str">
        <f>IF(AG$8="","",AF188)</f>
        <v/>
      </c>
      <c r="AH188" s="8" t="str">
        <f t="shared" ref="AH188:AH189" si="2584">IF(AH$8="","",AG188)</f>
        <v/>
      </c>
      <c r="AI188" s="8" t="str">
        <f t="shared" ref="AI188:AI189" si="2585">IF(AI$8="","",AH188)</f>
        <v/>
      </c>
      <c r="AJ188" s="8" t="str">
        <f>IF(AJ$8="","",AI188)</f>
        <v/>
      </c>
      <c r="AK188" s="8" t="str">
        <f t="shared" ref="AK188:AK189" si="2586">IF(AK$8="","",AJ188)</f>
        <v/>
      </c>
      <c r="AL188" s="8" t="str">
        <f t="shared" ref="AL188:AL189" si="2587">IF(AL$8="","",AK188)</f>
        <v/>
      </c>
      <c r="AM188" s="8" t="str">
        <f t="shared" ref="AM188:AM189" si="2588">IF(AM$8="","",AL188)</f>
        <v/>
      </c>
      <c r="AN188" s="8" t="str">
        <f>IF(AN$8="","",AM188)</f>
        <v/>
      </c>
      <c r="AO188" s="8" t="str">
        <f t="shared" ref="AO188:AS188" si="2589">IF(AO$8="","",AN188)</f>
        <v/>
      </c>
      <c r="AP188" s="8" t="str">
        <f t="shared" si="2589"/>
        <v/>
      </c>
      <c r="AQ188" s="8" t="str">
        <f t="shared" si="2589"/>
        <v/>
      </c>
      <c r="AR188" s="8" t="str">
        <f t="shared" si="2589"/>
        <v/>
      </c>
      <c r="AS188" s="8" t="str">
        <f t="shared" si="2589"/>
        <v/>
      </c>
    </row>
    <row r="189" spans="1:45" s="84" customFormat="1" ht="11.25" x14ac:dyDescent="0.15">
      <c r="A189" s="16" t="str">
        <f>A177</f>
        <v>BUZZ＃4</v>
      </c>
      <c r="B189" s="9" t="s">
        <v>4</v>
      </c>
      <c r="C189" s="8">
        <v>383</v>
      </c>
      <c r="D189" s="8">
        <v>384</v>
      </c>
      <c r="E189" s="8">
        <v>384</v>
      </c>
      <c r="F189" s="8">
        <v>384</v>
      </c>
      <c r="G189" s="8">
        <v>386</v>
      </c>
      <c r="H189" s="8">
        <v>386</v>
      </c>
      <c r="I189" s="8">
        <v>386</v>
      </c>
      <c r="J189" s="8">
        <v>386</v>
      </c>
      <c r="K189" s="8">
        <v>387</v>
      </c>
      <c r="L189" s="8">
        <f>IF(L$8="","",K189)</f>
        <v>387</v>
      </c>
      <c r="M189" s="8">
        <v>388</v>
      </c>
      <c r="N189" s="8" t="str">
        <f t="shared" si="2573"/>
        <v/>
      </c>
      <c r="O189" s="8" t="str">
        <f>IF(O$8="","",N189)</f>
        <v/>
      </c>
      <c r="P189" s="8" t="str">
        <f t="shared" si="2574"/>
        <v/>
      </c>
      <c r="Q189" s="8" t="str">
        <f t="shared" si="2575"/>
        <v/>
      </c>
      <c r="R189" s="8" t="str">
        <f t="shared" si="2576"/>
        <v/>
      </c>
      <c r="S189" s="8" t="str">
        <f>IF(S$8="","",R189)</f>
        <v/>
      </c>
      <c r="T189" s="8" t="str">
        <f t="shared" ref="T189" si="2590">IF(T$8="","",S189)</f>
        <v/>
      </c>
      <c r="U189" s="8" t="str">
        <f t="shared" si="2577"/>
        <v/>
      </c>
      <c r="V189" s="8" t="str">
        <f>IF(V$8="","",U189)</f>
        <v/>
      </c>
      <c r="W189" s="8" t="str">
        <f>IF(W$8="","",V189)</f>
        <v/>
      </c>
      <c r="X189" s="8" t="str">
        <f t="shared" si="2578"/>
        <v/>
      </c>
      <c r="Y189" s="8" t="str">
        <f t="shared" si="2579"/>
        <v/>
      </c>
      <c r="Z189" s="8" t="str">
        <f>IF(Z$8="","",Y189)</f>
        <v/>
      </c>
      <c r="AA189" s="8" t="str">
        <f t="shared" si="2580"/>
        <v/>
      </c>
      <c r="AB189" s="8" t="str">
        <f t="shared" si="2581"/>
        <v/>
      </c>
      <c r="AC189" s="8" t="str">
        <f t="shared" si="2582"/>
        <v/>
      </c>
      <c r="AD189" s="8" t="str">
        <f t="shared" ref="AD189" si="2591">IF(AD$8="","",AC189)</f>
        <v/>
      </c>
      <c r="AE189" s="8" t="str">
        <f>IF(AE$8="","",AD189)</f>
        <v/>
      </c>
      <c r="AF189" s="8" t="str">
        <f t="shared" si="2583"/>
        <v/>
      </c>
      <c r="AG189" s="8" t="str">
        <f>IF(AG$8="","",AF189)</f>
        <v/>
      </c>
      <c r="AH189" s="8" t="str">
        <f t="shared" si="2584"/>
        <v/>
      </c>
      <c r="AI189" s="8" t="str">
        <f t="shared" si="2585"/>
        <v/>
      </c>
      <c r="AJ189" s="8" t="str">
        <f>IF(AJ$8="","",AI189)</f>
        <v/>
      </c>
      <c r="AK189" s="8" t="str">
        <f t="shared" si="2586"/>
        <v/>
      </c>
      <c r="AL189" s="8" t="str">
        <f t="shared" si="2587"/>
        <v/>
      </c>
      <c r="AM189" s="8" t="str">
        <f t="shared" si="2588"/>
        <v/>
      </c>
      <c r="AN189" s="8" t="str">
        <f>IF(AN$8="","",AM189)</f>
        <v/>
      </c>
      <c r="AO189" s="8" t="str">
        <f t="shared" ref="AO189:AS189" si="2592">IF(AO$8="","",AN189)</f>
        <v/>
      </c>
      <c r="AP189" s="8" t="str">
        <f t="shared" si="2592"/>
        <v/>
      </c>
      <c r="AQ189" s="8" t="str">
        <f t="shared" si="2592"/>
        <v/>
      </c>
      <c r="AR189" s="8" t="str">
        <f t="shared" si="2592"/>
        <v/>
      </c>
      <c r="AS189" s="8" t="str">
        <f t="shared" si="2592"/>
        <v/>
      </c>
    </row>
    <row r="190" spans="1:45" s="84" customFormat="1" ht="11.25" x14ac:dyDescent="0.15">
      <c r="A190" s="15">
        <v>2</v>
      </c>
      <c r="B190" s="9" t="s">
        <v>5</v>
      </c>
      <c r="C190" s="8">
        <v>11</v>
      </c>
      <c r="D190" s="8">
        <v>10</v>
      </c>
      <c r="E190" s="8">
        <v>10</v>
      </c>
      <c r="F190" s="8">
        <v>10</v>
      </c>
      <c r="G190" s="8">
        <v>8</v>
      </c>
      <c r="H190" s="8">
        <v>14</v>
      </c>
      <c r="I190" s="8">
        <v>14</v>
      </c>
      <c r="J190" s="8">
        <v>14</v>
      </c>
      <c r="K190" s="8">
        <v>13</v>
      </c>
      <c r="L190" s="8">
        <f>IF(L188="","",(K190+K191))</f>
        <v>13</v>
      </c>
      <c r="M190" s="8">
        <v>12</v>
      </c>
      <c r="N190" s="8" t="str">
        <f t="shared" ref="N190" si="2593">IF(N188="","",(M190+M191))</f>
        <v/>
      </c>
      <c r="O190" s="8" t="str">
        <f>IF(O188="","",(N190+N191))</f>
        <v/>
      </c>
      <c r="P190" s="8" t="str">
        <f t="shared" ref="P190" si="2594">IF(P188="","",(O190+O191))</f>
        <v/>
      </c>
      <c r="Q190" s="8" t="str">
        <f t="shared" ref="Q190" si="2595">IF(Q188="","",(P190+P191))</f>
        <v/>
      </c>
      <c r="R190" s="8" t="str">
        <f t="shared" ref="R190" si="2596">IF(R188="","",(Q190+Q191))</f>
        <v/>
      </c>
      <c r="S190" s="8" t="str">
        <f>IF(S188="","",(R190+R191))</f>
        <v/>
      </c>
      <c r="T190" s="8" t="str">
        <f t="shared" ref="T190" si="2597">IF(T188="","",(S190+S191))</f>
        <v/>
      </c>
      <c r="U190" s="8" t="str">
        <f t="shared" ref="U190" si="2598">IF(U188="","",(T190+T191))</f>
        <v/>
      </c>
      <c r="V190" s="8" t="str">
        <f>IF(V188="","",(U190+U191))</f>
        <v/>
      </c>
      <c r="W190" s="8" t="str">
        <f>IF(W188="","",(V190+V191))</f>
        <v/>
      </c>
      <c r="X190" s="8" t="str">
        <f t="shared" ref="X190" si="2599">IF(X188="","",(W190+W191))</f>
        <v/>
      </c>
      <c r="Y190" s="8" t="str">
        <f t="shared" ref="Y190" si="2600">IF(Y188="","",(X190+X191))</f>
        <v/>
      </c>
      <c r="Z190" s="8" t="str">
        <f>IF(Z188="","",(Y190+Y191))</f>
        <v/>
      </c>
      <c r="AA190" s="8" t="str">
        <f t="shared" ref="AA190" si="2601">IF(AA188="","",(Z190+Z191))</f>
        <v/>
      </c>
      <c r="AB190" s="8" t="str">
        <f t="shared" ref="AB190" si="2602">IF(AB188="","",(AA190+AA191))</f>
        <v/>
      </c>
      <c r="AC190" s="8" t="str">
        <f t="shared" ref="AC190" si="2603">IF(AC188="","",(AB190+AB191))</f>
        <v/>
      </c>
      <c r="AD190" s="8" t="str">
        <f t="shared" ref="AD190" si="2604">IF(AD188="","",(AC190+AC191))</f>
        <v/>
      </c>
      <c r="AE190" s="8" t="str">
        <f>IF(AE188="","",(AD190+AD191))</f>
        <v/>
      </c>
      <c r="AF190" s="8" t="str">
        <f t="shared" ref="AF190" si="2605">IF(AF188="","",(AE190+AE191))</f>
        <v/>
      </c>
      <c r="AG190" s="8" t="str">
        <f>IF(AG188="","",(AF190+AF191))</f>
        <v/>
      </c>
      <c r="AH190" s="8" t="str">
        <f t="shared" ref="AH190" si="2606">IF(AH188="","",(AG190+AG191))</f>
        <v/>
      </c>
      <c r="AI190" s="8" t="str">
        <f t="shared" ref="AI190" si="2607">IF(AI188="","",(AH190+AH191))</f>
        <v/>
      </c>
      <c r="AJ190" s="8" t="str">
        <f>IF(AJ188="","",(AI190+AI191))</f>
        <v/>
      </c>
      <c r="AK190" s="8" t="str">
        <f t="shared" ref="AK190" si="2608">IF(AK188="","",(AJ190+AJ191))</f>
        <v/>
      </c>
      <c r="AL190" s="8" t="str">
        <f t="shared" ref="AL190" si="2609">IF(AL188="","",(AK190+AK191))</f>
        <v/>
      </c>
      <c r="AM190" s="8" t="str">
        <f t="shared" ref="AM190" si="2610">IF(AM188="","",(AL190+AL191))</f>
        <v/>
      </c>
      <c r="AN190" s="8" t="str">
        <f>IF(AN188="","",(AM190+AM191))</f>
        <v/>
      </c>
      <c r="AO190" s="8" t="str">
        <f t="shared" ref="AO190:AS190" si="2611">IF(AO188="","",(AN190+AN191))</f>
        <v/>
      </c>
      <c r="AP190" s="8" t="str">
        <f t="shared" si="2611"/>
        <v/>
      </c>
      <c r="AQ190" s="8" t="str">
        <f t="shared" si="2611"/>
        <v/>
      </c>
      <c r="AR190" s="8" t="str">
        <f t="shared" si="2611"/>
        <v/>
      </c>
      <c r="AS190" s="8" t="str">
        <f t="shared" si="2611"/>
        <v/>
      </c>
    </row>
    <row r="191" spans="1:45" s="84" customFormat="1" ht="11.25" x14ac:dyDescent="0.15">
      <c r="A191" s="14"/>
      <c r="B191" s="9" t="s">
        <v>7</v>
      </c>
      <c r="C191" s="8"/>
      <c r="D191" s="8"/>
      <c r="E191" s="8"/>
      <c r="F191" s="8"/>
      <c r="G191" s="8">
        <v>6</v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</row>
    <row r="192" spans="1:45" s="84" customFormat="1" ht="11.25" x14ac:dyDescent="0.15">
      <c r="A192" s="7"/>
      <c r="B192" s="9" t="s">
        <v>8</v>
      </c>
      <c r="C192" s="8">
        <v>400</v>
      </c>
      <c r="D192" s="8">
        <v>400</v>
      </c>
      <c r="E192" s="8">
        <v>400</v>
      </c>
      <c r="F192" s="8">
        <v>400</v>
      </c>
      <c r="G192" s="8">
        <v>400</v>
      </c>
      <c r="H192" s="8">
        <v>400</v>
      </c>
      <c r="I192" s="8">
        <v>400</v>
      </c>
      <c r="J192" s="8">
        <v>400</v>
      </c>
      <c r="K192" s="8">
        <v>400</v>
      </c>
      <c r="L192" s="8">
        <f t="shared" ref="L192" si="2612">IF(L188="","",K192)</f>
        <v>400</v>
      </c>
      <c r="M192" s="8">
        <f t="shared" ref="M192" si="2613">IF(M188="","",L192)</f>
        <v>400</v>
      </c>
      <c r="N192" s="8" t="str">
        <f t="shared" ref="N192" si="2614">IF(N188="","",M192)</f>
        <v/>
      </c>
      <c r="O192" s="8" t="str">
        <f t="shared" ref="O192" si="2615">IF(O188="","",N192)</f>
        <v/>
      </c>
      <c r="P192" s="8" t="str">
        <f t="shared" ref="P192" si="2616">IF(P188="","",O192)</f>
        <v/>
      </c>
      <c r="Q192" s="8" t="str">
        <f t="shared" ref="Q192" si="2617">IF(Q188="","",P192)</f>
        <v/>
      </c>
      <c r="R192" s="8" t="str">
        <f t="shared" ref="R192" si="2618">IF(R188="","",Q192)</f>
        <v/>
      </c>
      <c r="S192" s="8" t="str">
        <f t="shared" ref="S192" si="2619">IF(S188="","",R192)</f>
        <v/>
      </c>
      <c r="T192" s="8" t="str">
        <f t="shared" ref="T192" si="2620">IF(T188="","",S192)</f>
        <v/>
      </c>
      <c r="U192" s="8" t="str">
        <f t="shared" ref="U192" si="2621">IF(U188="","",T192)</f>
        <v/>
      </c>
      <c r="V192" s="8" t="str">
        <f t="shared" ref="V192" si="2622">IF(V188="","",U192)</f>
        <v/>
      </c>
      <c r="W192" s="8" t="str">
        <f t="shared" ref="W192" si="2623">IF(W188="","",V192)</f>
        <v/>
      </c>
      <c r="X192" s="8" t="str">
        <f t="shared" ref="X192" si="2624">IF(X188="","",W192)</f>
        <v/>
      </c>
      <c r="Y192" s="8" t="str">
        <f t="shared" ref="Y192" si="2625">IF(Y188="","",X192)</f>
        <v/>
      </c>
      <c r="Z192" s="8" t="str">
        <f t="shared" ref="Z192" si="2626">IF(Z188="","",Y192)</f>
        <v/>
      </c>
      <c r="AA192" s="8" t="str">
        <f t="shared" ref="AA192" si="2627">IF(AA188="","",Z192)</f>
        <v/>
      </c>
      <c r="AB192" s="8" t="str">
        <f t="shared" ref="AB192" si="2628">IF(AB188="","",AA192)</f>
        <v/>
      </c>
      <c r="AC192" s="8" t="str">
        <f t="shared" ref="AC192" si="2629">IF(AC188="","",AB192)</f>
        <v/>
      </c>
      <c r="AD192" s="8" t="str">
        <f t="shared" ref="AD192" si="2630">IF(AD188="","",AC192)</f>
        <v/>
      </c>
      <c r="AE192" s="8" t="str">
        <f t="shared" ref="AE192" si="2631">IF(AE188="","",AD192)</f>
        <v/>
      </c>
      <c r="AF192" s="8" t="str">
        <f t="shared" ref="AF192" si="2632">IF(AF188="","",AE192)</f>
        <v/>
      </c>
      <c r="AG192" s="8" t="str">
        <f t="shared" ref="AG192" si="2633">IF(AG188="","",AF192)</f>
        <v/>
      </c>
      <c r="AH192" s="8" t="str">
        <f t="shared" ref="AH192" si="2634">IF(AH188="","",AG192)</f>
        <v/>
      </c>
      <c r="AI192" s="8" t="str">
        <f t="shared" ref="AI192" si="2635">IF(AI188="","",AH192)</f>
        <v/>
      </c>
      <c r="AJ192" s="8" t="str">
        <f t="shared" ref="AJ192" si="2636">IF(AJ188="","",AI192)</f>
        <v/>
      </c>
      <c r="AK192" s="8" t="str">
        <f t="shared" ref="AK192" si="2637">IF(AK188="","",AJ192)</f>
        <v/>
      </c>
      <c r="AL192" s="8" t="str">
        <f t="shared" ref="AL192" si="2638">IF(AL188="","",AK192)</f>
        <v/>
      </c>
      <c r="AM192" s="8" t="str">
        <f t="shared" ref="AM192" si="2639">IF(AM188="","",AL192)</f>
        <v/>
      </c>
      <c r="AN192" s="8" t="str">
        <f t="shared" ref="AN192" si="2640">IF(AN188="","",AM192)</f>
        <v/>
      </c>
      <c r="AO192" s="8" t="str">
        <f t="shared" ref="AO192:AS192" si="2641">IF(AO188="","",AN192)</f>
        <v/>
      </c>
      <c r="AP192" s="8" t="str">
        <f t="shared" si="2641"/>
        <v/>
      </c>
      <c r="AQ192" s="8" t="str">
        <f t="shared" si="2641"/>
        <v/>
      </c>
      <c r="AR192" s="8" t="str">
        <f t="shared" si="2641"/>
        <v/>
      </c>
      <c r="AS192" s="8" t="str">
        <f t="shared" si="2641"/>
        <v/>
      </c>
    </row>
    <row r="193" spans="1:45" s="85" customFormat="1" ht="11.25" x14ac:dyDescent="0.15">
      <c r="A193" s="14" t="s">
        <v>9</v>
      </c>
      <c r="B193" s="13" t="s">
        <v>10</v>
      </c>
      <c r="C193" s="12" t="s">
        <v>69</v>
      </c>
      <c r="D193" s="12" t="s">
        <v>69</v>
      </c>
      <c r="E193" s="12" t="s">
        <v>69</v>
      </c>
      <c r="F193" s="12" t="s">
        <v>69</v>
      </c>
      <c r="G193" s="12" t="s">
        <v>69</v>
      </c>
      <c r="H193" s="12" t="s">
        <v>69</v>
      </c>
      <c r="I193" s="12" t="s">
        <v>69</v>
      </c>
      <c r="J193" s="12" t="s">
        <v>69</v>
      </c>
      <c r="K193" s="12" t="s">
        <v>69</v>
      </c>
      <c r="L193" s="12" t="str">
        <f t="shared" ref="L193" si="2642">IF(L188="","",K193)</f>
        <v>バタースクイーズ</v>
      </c>
      <c r="M193" s="12" t="str">
        <f t="shared" ref="M193" si="2643">IF(M188="","",L193)</f>
        <v>バタースクイーズ</v>
      </c>
      <c r="N193" s="12" t="str">
        <f t="shared" ref="N193" si="2644">IF(N188="","",M193)</f>
        <v/>
      </c>
      <c r="O193" s="12" t="str">
        <f t="shared" ref="O193" si="2645">IF(O188="","",N193)</f>
        <v/>
      </c>
      <c r="P193" s="12" t="str">
        <f t="shared" ref="P193" si="2646">IF(P188="","",O193)</f>
        <v/>
      </c>
      <c r="Q193" s="12" t="str">
        <f t="shared" ref="Q193" si="2647">IF(Q188="","",P193)</f>
        <v/>
      </c>
      <c r="R193" s="12" t="str">
        <f t="shared" ref="R193" si="2648">IF(R188="","",Q193)</f>
        <v/>
      </c>
      <c r="S193" s="12" t="str">
        <f t="shared" ref="S193" si="2649">IF(S188="","",R193)</f>
        <v/>
      </c>
      <c r="T193" s="12" t="str">
        <f t="shared" ref="T193" si="2650">IF(T188="","",S193)</f>
        <v/>
      </c>
      <c r="U193" s="12" t="str">
        <f t="shared" ref="U193" si="2651">IF(U188="","",T193)</f>
        <v/>
      </c>
      <c r="V193" s="12" t="str">
        <f t="shared" ref="V193" si="2652">IF(V188="","",U193)</f>
        <v/>
      </c>
      <c r="W193" s="12" t="str">
        <f t="shared" ref="W193" si="2653">IF(W188="","",V193)</f>
        <v/>
      </c>
      <c r="X193" s="12" t="str">
        <f t="shared" ref="X193" si="2654">IF(X188="","",W193)</f>
        <v/>
      </c>
      <c r="Y193" s="12" t="str">
        <f t="shared" ref="Y193" si="2655">IF(Y188="","",X193)</f>
        <v/>
      </c>
      <c r="Z193" s="12" t="str">
        <f t="shared" ref="Z193" si="2656">IF(Z188="","",Y193)</f>
        <v/>
      </c>
      <c r="AA193" s="12" t="str">
        <f t="shared" ref="AA193" si="2657">IF(AA188="","",Z193)</f>
        <v/>
      </c>
      <c r="AB193" s="12" t="str">
        <f t="shared" ref="AB193" si="2658">IF(AB188="","",AA193)</f>
        <v/>
      </c>
      <c r="AC193" s="12" t="str">
        <f t="shared" ref="AC193" si="2659">IF(AC188="","",AB193)</f>
        <v/>
      </c>
      <c r="AD193" s="12" t="str">
        <f t="shared" ref="AD193" si="2660">IF(AD188="","",AC193)</f>
        <v/>
      </c>
      <c r="AE193" s="12" t="str">
        <f t="shared" ref="AE193" si="2661">IF(AE188="","",AD193)</f>
        <v/>
      </c>
      <c r="AF193" s="12" t="str">
        <f t="shared" ref="AF193" si="2662">IF(AF188="","",AE193)</f>
        <v/>
      </c>
      <c r="AG193" s="12" t="str">
        <f t="shared" ref="AG193" si="2663">IF(AG188="","",AF193)</f>
        <v/>
      </c>
      <c r="AH193" s="12" t="str">
        <f t="shared" ref="AH193" si="2664">IF(AH188="","",AG193)</f>
        <v/>
      </c>
      <c r="AI193" s="12" t="str">
        <f t="shared" ref="AI193" si="2665">IF(AI188="","",AH193)</f>
        <v/>
      </c>
      <c r="AJ193" s="12" t="str">
        <f t="shared" ref="AJ193" si="2666">IF(AJ188="","",AI193)</f>
        <v/>
      </c>
      <c r="AK193" s="12" t="str">
        <f t="shared" ref="AK193" si="2667">IF(AK188="","",AJ193)</f>
        <v/>
      </c>
      <c r="AL193" s="12" t="str">
        <f t="shared" ref="AL193" si="2668">IF(AL188="","",AK193)</f>
        <v/>
      </c>
      <c r="AM193" s="12" t="str">
        <f t="shared" ref="AM193" si="2669">IF(AM188="","",AL193)</f>
        <v/>
      </c>
      <c r="AN193" s="12" t="str">
        <f t="shared" ref="AN193" si="2670">IF(AN188="","",AM193)</f>
        <v/>
      </c>
      <c r="AO193" s="12" t="str">
        <f t="shared" ref="AO193:AS193" si="2671">IF(AO188="","",AN193)</f>
        <v/>
      </c>
      <c r="AP193" s="12" t="str">
        <f t="shared" si="2671"/>
        <v/>
      </c>
      <c r="AQ193" s="12" t="str">
        <f t="shared" si="2671"/>
        <v/>
      </c>
      <c r="AR193" s="12" t="str">
        <f t="shared" si="2671"/>
        <v/>
      </c>
      <c r="AS193" s="12" t="str">
        <f t="shared" si="2671"/>
        <v/>
      </c>
    </row>
    <row r="194" spans="1:45" s="84" customFormat="1" ht="11.25" x14ac:dyDescent="0.15">
      <c r="A194" s="7">
        <f>AVERAGE(C195:AS195)*30*100</f>
        <v>58909.090909090912</v>
      </c>
      <c r="B194" s="9" t="s">
        <v>12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</row>
    <row r="195" spans="1:45" s="84" customFormat="1" ht="11.25" x14ac:dyDescent="0.15">
      <c r="A195" s="7">
        <f>SUM(C195:AS195)</f>
        <v>216</v>
      </c>
      <c r="B195" s="6" t="s">
        <v>13</v>
      </c>
      <c r="C195" s="5">
        <v>0</v>
      </c>
      <c r="D195" s="5">
        <v>20</v>
      </c>
      <c r="E195" s="5">
        <v>0</v>
      </c>
      <c r="F195" s="5">
        <v>0</v>
      </c>
      <c r="G195" s="5">
        <v>94</v>
      </c>
      <c r="H195" s="5">
        <v>0</v>
      </c>
      <c r="I195" s="5">
        <v>0</v>
      </c>
      <c r="J195" s="5">
        <v>0</v>
      </c>
      <c r="K195" s="5">
        <v>50</v>
      </c>
      <c r="L195" s="5">
        <f t="shared" ref="L195:L196" si="2672">IF(L188="","",L188-K188)</f>
        <v>0</v>
      </c>
      <c r="M195" s="5">
        <f t="shared" ref="M195:M196" si="2673">IF(M188="","",M188-L188)</f>
        <v>52</v>
      </c>
      <c r="N195" s="5" t="str">
        <f t="shared" ref="N195:N196" si="2674">IF(N188="","",N188-M188)</f>
        <v/>
      </c>
      <c r="O195" s="5" t="str">
        <f t="shared" ref="O195:O196" si="2675">IF(O188="","",O188-N188)</f>
        <v/>
      </c>
      <c r="P195" s="5" t="str">
        <f t="shared" ref="P195:P196" si="2676">IF(P188="","",P188-O188)</f>
        <v/>
      </c>
      <c r="Q195" s="5" t="str">
        <f t="shared" ref="Q195:Q196" si="2677">IF(Q188="","",Q188-P188)</f>
        <v/>
      </c>
      <c r="R195" s="5" t="str">
        <f t="shared" ref="R195:R196" si="2678">IF(R188="","",R188-Q188)</f>
        <v/>
      </c>
      <c r="S195" s="5" t="str">
        <f t="shared" ref="S195:S196" si="2679">IF(S188="","",S188-R188)</f>
        <v/>
      </c>
      <c r="T195" s="5" t="str">
        <f t="shared" ref="T195:T196" si="2680">IF(T188="","",T188-S188)</f>
        <v/>
      </c>
      <c r="U195" s="5" t="str">
        <f t="shared" ref="U195:U196" si="2681">IF(U188="","",U188-T188)</f>
        <v/>
      </c>
      <c r="V195" s="5" t="str">
        <f t="shared" ref="V195:V196" si="2682">IF(V188="","",V188-U188)</f>
        <v/>
      </c>
      <c r="W195" s="5" t="str">
        <f t="shared" ref="W195:W196" si="2683">IF(W188="","",W188-V188)</f>
        <v/>
      </c>
      <c r="X195" s="5" t="str">
        <f t="shared" ref="X195:X196" si="2684">IF(X188="","",X188-W188)</f>
        <v/>
      </c>
      <c r="Y195" s="5" t="str">
        <f t="shared" ref="Y195:Y196" si="2685">IF(Y188="","",Y188-X188)</f>
        <v/>
      </c>
      <c r="Z195" s="5" t="str">
        <f t="shared" ref="Z195:Z196" si="2686">IF(Z188="","",Z188-Y188)</f>
        <v/>
      </c>
      <c r="AA195" s="5" t="str">
        <f t="shared" ref="AA195:AA196" si="2687">IF(AA188="","",AA188-Z188)</f>
        <v/>
      </c>
      <c r="AB195" s="5" t="str">
        <f t="shared" ref="AB195:AB196" si="2688">IF(AB188="","",AB188-AA188)</f>
        <v/>
      </c>
      <c r="AC195" s="5" t="str">
        <f t="shared" ref="AC195:AC196" si="2689">IF(AC188="","",AC188-AB188)</f>
        <v/>
      </c>
      <c r="AD195" s="5" t="str">
        <f t="shared" ref="AD195:AD196" si="2690">IF(AD188="","",AD188-AC188)</f>
        <v/>
      </c>
      <c r="AE195" s="5" t="str">
        <f t="shared" ref="AE195:AE196" si="2691">IF(AE188="","",AE188-AD188)</f>
        <v/>
      </c>
      <c r="AF195" s="5" t="str">
        <f t="shared" ref="AF195:AF196" si="2692">IF(AF188="","",AF188-AE188)</f>
        <v/>
      </c>
      <c r="AG195" s="5" t="str">
        <f t="shared" ref="AG195:AG196" si="2693">IF(AG188="","",AG188-AF188)</f>
        <v/>
      </c>
      <c r="AH195" s="5" t="str">
        <f t="shared" ref="AH195:AH196" si="2694">IF(AH188="","",AH188-AG188)</f>
        <v/>
      </c>
      <c r="AI195" s="5" t="str">
        <f t="shared" ref="AI195:AI196" si="2695">IF(AI188="","",AI188-AH188)</f>
        <v/>
      </c>
      <c r="AJ195" s="5" t="str">
        <f t="shared" ref="AJ195:AJ196" si="2696">IF(AJ188="","",AJ188-AI188)</f>
        <v/>
      </c>
      <c r="AK195" s="5" t="str">
        <f t="shared" ref="AK195:AK196" si="2697">IF(AK188="","",AK188-AJ188)</f>
        <v/>
      </c>
      <c r="AL195" s="5" t="str">
        <f t="shared" ref="AL195:AL196" si="2698">IF(AL188="","",AL188-AK188)</f>
        <v/>
      </c>
      <c r="AM195" s="5" t="str">
        <f t="shared" ref="AM195:AM196" si="2699">IF(AM188="","",AM188-AL188)</f>
        <v/>
      </c>
      <c r="AN195" s="5" t="str">
        <f t="shared" ref="AN195" si="2700">IF(AN188="","",AN188-AM188)</f>
        <v/>
      </c>
      <c r="AO195" s="5" t="str">
        <f t="shared" ref="AO195:AS195" si="2701">IF(AO188="","",AO188-AN188)</f>
        <v/>
      </c>
      <c r="AP195" s="5" t="str">
        <f t="shared" si="2701"/>
        <v/>
      </c>
      <c r="AQ195" s="5" t="str">
        <f t="shared" si="2701"/>
        <v/>
      </c>
      <c r="AR195" s="5" t="str">
        <f t="shared" si="2701"/>
        <v/>
      </c>
      <c r="AS195" s="5" t="str">
        <f t="shared" si="2701"/>
        <v/>
      </c>
    </row>
    <row r="196" spans="1:45" s="84" customFormat="1" ht="11.25" x14ac:dyDescent="0.15">
      <c r="A196" s="7">
        <f>SUM(C196:AS196)</f>
        <v>5</v>
      </c>
      <c r="B196" s="6" t="s">
        <v>14</v>
      </c>
      <c r="C196" s="5">
        <v>0</v>
      </c>
      <c r="D196" s="5">
        <v>1</v>
      </c>
      <c r="E196" s="5">
        <v>0</v>
      </c>
      <c r="F196" s="5">
        <v>0</v>
      </c>
      <c r="G196" s="5">
        <v>2</v>
      </c>
      <c r="H196" s="5">
        <v>0</v>
      </c>
      <c r="I196" s="5">
        <v>0</v>
      </c>
      <c r="J196" s="5">
        <v>0</v>
      </c>
      <c r="K196" s="5">
        <v>1</v>
      </c>
      <c r="L196" s="5">
        <f t="shared" si="2672"/>
        <v>0</v>
      </c>
      <c r="M196" s="5">
        <f t="shared" si="2673"/>
        <v>1</v>
      </c>
      <c r="N196" s="5" t="str">
        <f t="shared" si="2674"/>
        <v/>
      </c>
      <c r="O196" s="5" t="str">
        <f t="shared" si="2675"/>
        <v/>
      </c>
      <c r="P196" s="5" t="str">
        <f t="shared" si="2676"/>
        <v/>
      </c>
      <c r="Q196" s="5" t="str">
        <f t="shared" si="2677"/>
        <v/>
      </c>
      <c r="R196" s="5" t="str">
        <f t="shared" si="2678"/>
        <v/>
      </c>
      <c r="S196" s="5" t="str">
        <f t="shared" si="2679"/>
        <v/>
      </c>
      <c r="T196" s="5" t="str">
        <f t="shared" si="2680"/>
        <v/>
      </c>
      <c r="U196" s="5" t="str">
        <f t="shared" si="2681"/>
        <v/>
      </c>
      <c r="V196" s="5" t="str">
        <f t="shared" si="2682"/>
        <v/>
      </c>
      <c r="W196" s="5" t="str">
        <f t="shared" si="2683"/>
        <v/>
      </c>
      <c r="X196" s="5" t="str">
        <f t="shared" si="2684"/>
        <v/>
      </c>
      <c r="Y196" s="5" t="str">
        <f t="shared" si="2685"/>
        <v/>
      </c>
      <c r="Z196" s="5" t="str">
        <f t="shared" si="2686"/>
        <v/>
      </c>
      <c r="AA196" s="5" t="str">
        <f t="shared" si="2687"/>
        <v/>
      </c>
      <c r="AB196" s="5" t="str">
        <f t="shared" si="2688"/>
        <v/>
      </c>
      <c r="AC196" s="5" t="str">
        <f t="shared" si="2689"/>
        <v/>
      </c>
      <c r="AD196" s="5" t="str">
        <f t="shared" si="2690"/>
        <v/>
      </c>
      <c r="AE196" s="5" t="str">
        <f t="shared" si="2691"/>
        <v/>
      </c>
      <c r="AF196" s="5" t="str">
        <f t="shared" si="2692"/>
        <v/>
      </c>
      <c r="AG196" s="5" t="str">
        <f t="shared" si="2693"/>
        <v/>
      </c>
      <c r="AH196" s="5" t="str">
        <f t="shared" si="2694"/>
        <v/>
      </c>
      <c r="AI196" s="5" t="str">
        <f t="shared" si="2695"/>
        <v/>
      </c>
      <c r="AJ196" s="5" t="str">
        <f t="shared" si="2696"/>
        <v/>
      </c>
      <c r="AK196" s="5" t="str">
        <f t="shared" si="2697"/>
        <v/>
      </c>
      <c r="AL196" s="5" t="str">
        <f t="shared" si="2698"/>
        <v/>
      </c>
      <c r="AM196" s="5" t="str">
        <f t="shared" si="2699"/>
        <v/>
      </c>
      <c r="AN196" s="5" t="str">
        <f t="shared" ref="AN196" si="2702">IF(AN189="","",AN189-AM189)</f>
        <v/>
      </c>
      <c r="AO196" s="5" t="str">
        <f t="shared" ref="AO196:AS196" si="2703">IF(AO189="","",AO189-AN189)</f>
        <v/>
      </c>
      <c r="AP196" s="5" t="str">
        <f t="shared" si="2703"/>
        <v/>
      </c>
      <c r="AQ196" s="5" t="str">
        <f t="shared" si="2703"/>
        <v/>
      </c>
      <c r="AR196" s="5" t="str">
        <f t="shared" si="2703"/>
        <v/>
      </c>
      <c r="AS196" s="5" t="str">
        <f t="shared" si="2703"/>
        <v/>
      </c>
    </row>
    <row r="197" spans="1:45" s="84" customFormat="1" ht="11.25" x14ac:dyDescent="0.15">
      <c r="A197" s="7">
        <f>SUM(C197:AS197)</f>
        <v>5</v>
      </c>
      <c r="B197" s="6" t="s">
        <v>15</v>
      </c>
      <c r="C197" s="5">
        <v>0</v>
      </c>
      <c r="D197" s="5">
        <v>1</v>
      </c>
      <c r="E197" s="5">
        <v>0</v>
      </c>
      <c r="F197" s="5">
        <v>0</v>
      </c>
      <c r="G197" s="5">
        <v>2</v>
      </c>
      <c r="H197" s="5">
        <v>0</v>
      </c>
      <c r="I197" s="5">
        <v>0</v>
      </c>
      <c r="J197" s="5">
        <v>0</v>
      </c>
      <c r="K197" s="5">
        <v>1</v>
      </c>
      <c r="L197" s="5">
        <f t="shared" ref="L197" si="2704">IF(L190="","",K190+K191-L190)</f>
        <v>0</v>
      </c>
      <c r="M197" s="5">
        <f t="shared" ref="M197" si="2705">IF(M190="","",L190+L191-M190)</f>
        <v>1</v>
      </c>
      <c r="N197" s="5" t="str">
        <f t="shared" ref="N197" si="2706">IF(N190="","",M190+M191-N190)</f>
        <v/>
      </c>
      <c r="O197" s="5" t="str">
        <f t="shared" ref="O197" si="2707">IF(O190="","",N190+N191-O190)</f>
        <v/>
      </c>
      <c r="P197" s="5" t="str">
        <f t="shared" ref="P197" si="2708">IF(P190="","",O190+O191-P190)</f>
        <v/>
      </c>
      <c r="Q197" s="5" t="str">
        <f t="shared" ref="Q197" si="2709">IF(Q190="","",P190+P191-Q190)</f>
        <v/>
      </c>
      <c r="R197" s="5" t="str">
        <f t="shared" ref="R197" si="2710">IF(R190="","",Q190+Q191-R190)</f>
        <v/>
      </c>
      <c r="S197" s="5" t="str">
        <f t="shared" ref="S197" si="2711">IF(S190="","",R190+R191-S190)</f>
        <v/>
      </c>
      <c r="T197" s="5" t="str">
        <f t="shared" ref="T197" si="2712">IF(T190="","",S190+S191-T190)</f>
        <v/>
      </c>
      <c r="U197" s="5" t="str">
        <f t="shared" ref="U197" si="2713">IF(U190="","",T190+T191-U190)</f>
        <v/>
      </c>
      <c r="V197" s="5" t="str">
        <f t="shared" ref="V197" si="2714">IF(V190="","",U190+U191-V190)</f>
        <v/>
      </c>
      <c r="W197" s="5" t="str">
        <f t="shared" ref="W197" si="2715">IF(W190="","",V190+V191-W190)</f>
        <v/>
      </c>
      <c r="X197" s="5" t="str">
        <f t="shared" ref="X197" si="2716">IF(X190="","",W190+W191-X190)</f>
        <v/>
      </c>
      <c r="Y197" s="5" t="str">
        <f t="shared" ref="Y197" si="2717">IF(Y190="","",X190+X191-Y190)</f>
        <v/>
      </c>
      <c r="Z197" s="5" t="str">
        <f t="shared" ref="Z197" si="2718">IF(Z190="","",Y190+Y191-Z190)</f>
        <v/>
      </c>
      <c r="AA197" s="5" t="str">
        <f t="shared" ref="AA197" si="2719">IF(AA190="","",Z190+Z191-AA190)</f>
        <v/>
      </c>
      <c r="AB197" s="5" t="str">
        <f t="shared" ref="AB197" si="2720">IF(AB190="","",AA190+AA191-AB190)</f>
        <v/>
      </c>
      <c r="AC197" s="5" t="str">
        <f t="shared" ref="AC197" si="2721">IF(AC190="","",AB190+AB191-AC190)</f>
        <v/>
      </c>
      <c r="AD197" s="5" t="str">
        <f t="shared" ref="AD197" si="2722">IF(AD190="","",AC190+AC191-AD190)</f>
        <v/>
      </c>
      <c r="AE197" s="5" t="str">
        <f t="shared" ref="AE197" si="2723">IF(AE190="","",AD190+AD191-AE190)</f>
        <v/>
      </c>
      <c r="AF197" s="5" t="str">
        <f t="shared" ref="AF197" si="2724">IF(AF190="","",AE190+AE191-AF190)</f>
        <v/>
      </c>
      <c r="AG197" s="5" t="str">
        <f t="shared" ref="AG197" si="2725">IF(AG190="","",AF190+AF191-AG190)</f>
        <v/>
      </c>
      <c r="AH197" s="5" t="str">
        <f t="shared" ref="AH197" si="2726">IF(AH190="","",AG190+AG191-AH190)</f>
        <v/>
      </c>
      <c r="AI197" s="5" t="str">
        <f t="shared" ref="AI197" si="2727">IF(AI190="","",AH190+AH191-AI190)</f>
        <v/>
      </c>
      <c r="AJ197" s="5" t="str">
        <f t="shared" ref="AJ197" si="2728">IF(AJ190="","",AI190+AI191-AJ190)</f>
        <v/>
      </c>
      <c r="AK197" s="5" t="str">
        <f t="shared" ref="AK197" si="2729">IF(AK190="","",AJ190+AJ191-AK190)</f>
        <v/>
      </c>
      <c r="AL197" s="5" t="str">
        <f t="shared" ref="AL197" si="2730">IF(AL190="","",AK190+AK191-AL190)</f>
        <v/>
      </c>
      <c r="AM197" s="5" t="str">
        <f t="shared" ref="AM197" si="2731">IF(AM190="","",AL190+AL191-AM190)</f>
        <v/>
      </c>
      <c r="AN197" s="5" t="str">
        <f t="shared" ref="AN197" si="2732">IF(AN190="","",AM190+AM191-AN190)</f>
        <v/>
      </c>
      <c r="AO197" s="5" t="str">
        <f t="shared" ref="AO197:AS197" si="2733">IF(AO190="","",AN190+AN191-AO190)</f>
        <v/>
      </c>
      <c r="AP197" s="5" t="str">
        <f t="shared" si="2733"/>
        <v/>
      </c>
      <c r="AQ197" s="5" t="str">
        <f t="shared" si="2733"/>
        <v/>
      </c>
      <c r="AR197" s="5" t="str">
        <f t="shared" si="2733"/>
        <v/>
      </c>
      <c r="AS197" s="5" t="str">
        <f t="shared" si="2733"/>
        <v/>
      </c>
    </row>
    <row r="198" spans="1:45" s="84" customFormat="1" ht="11.25" x14ac:dyDescent="0.15">
      <c r="A198" s="7">
        <f>SUM(C198:AS198)</f>
        <v>2000</v>
      </c>
      <c r="B198" s="6" t="s">
        <v>16</v>
      </c>
      <c r="C198" s="5">
        <v>0</v>
      </c>
      <c r="D198" s="5">
        <v>400</v>
      </c>
      <c r="E198" s="5">
        <v>0</v>
      </c>
      <c r="F198" s="5">
        <v>0</v>
      </c>
      <c r="G198" s="5">
        <v>800</v>
      </c>
      <c r="H198" s="5">
        <v>0</v>
      </c>
      <c r="I198" s="5">
        <v>0</v>
      </c>
      <c r="J198" s="5">
        <v>0</v>
      </c>
      <c r="K198" s="5">
        <v>400</v>
      </c>
      <c r="L198" s="5">
        <f t="shared" ref="J198:AM198" si="2734">IF(L188="","",L197*L192)</f>
        <v>0</v>
      </c>
      <c r="M198" s="5">
        <f t="shared" si="2734"/>
        <v>400</v>
      </c>
      <c r="N198" s="5" t="str">
        <f t="shared" si="2734"/>
        <v/>
      </c>
      <c r="O198" s="5" t="str">
        <f t="shared" si="2734"/>
        <v/>
      </c>
      <c r="P198" s="5" t="str">
        <f t="shared" si="2734"/>
        <v/>
      </c>
      <c r="Q198" s="5" t="str">
        <f t="shared" si="2734"/>
        <v/>
      </c>
      <c r="R198" s="5" t="str">
        <f t="shared" si="2734"/>
        <v/>
      </c>
      <c r="S198" s="5" t="str">
        <f t="shared" si="2734"/>
        <v/>
      </c>
      <c r="T198" s="5" t="str">
        <f t="shared" si="2734"/>
        <v/>
      </c>
      <c r="U198" s="5" t="str">
        <f t="shared" si="2734"/>
        <v/>
      </c>
      <c r="V198" s="5" t="str">
        <f t="shared" si="2734"/>
        <v/>
      </c>
      <c r="W198" s="5" t="str">
        <f t="shared" si="2734"/>
        <v/>
      </c>
      <c r="X198" s="5" t="str">
        <f t="shared" si="2734"/>
        <v/>
      </c>
      <c r="Y198" s="5" t="str">
        <f t="shared" si="2734"/>
        <v/>
      </c>
      <c r="Z198" s="5" t="str">
        <f t="shared" si="2734"/>
        <v/>
      </c>
      <c r="AA198" s="5" t="str">
        <f t="shared" si="2734"/>
        <v/>
      </c>
      <c r="AB198" s="5" t="str">
        <f t="shared" si="2734"/>
        <v/>
      </c>
      <c r="AC198" s="5" t="str">
        <f t="shared" si="2734"/>
        <v/>
      </c>
      <c r="AD198" s="5" t="str">
        <f t="shared" si="2734"/>
        <v/>
      </c>
      <c r="AE198" s="5" t="str">
        <f t="shared" si="2734"/>
        <v/>
      </c>
      <c r="AF198" s="5" t="str">
        <f t="shared" si="2734"/>
        <v/>
      </c>
      <c r="AG198" s="5" t="str">
        <f t="shared" si="2734"/>
        <v/>
      </c>
      <c r="AH198" s="5" t="str">
        <f t="shared" si="2734"/>
        <v/>
      </c>
      <c r="AI198" s="5" t="str">
        <f t="shared" si="2734"/>
        <v/>
      </c>
      <c r="AJ198" s="5" t="str">
        <f t="shared" si="2734"/>
        <v/>
      </c>
      <c r="AK198" s="5" t="str">
        <f t="shared" si="2734"/>
        <v/>
      </c>
      <c r="AL198" s="5" t="str">
        <f t="shared" si="2734"/>
        <v/>
      </c>
      <c r="AM198" s="5" t="str">
        <f t="shared" si="2734"/>
        <v/>
      </c>
      <c r="AN198" s="5" t="str">
        <f t="shared" ref="AN198" si="2735">IF(AN188="","",AN197*AN192)</f>
        <v/>
      </c>
      <c r="AO198" s="5" t="str">
        <f t="shared" ref="AO198:AS198" si="2736">IF(AO188="","",AO197*AO192)</f>
        <v/>
      </c>
      <c r="AP198" s="5" t="str">
        <f t="shared" si="2736"/>
        <v/>
      </c>
      <c r="AQ198" s="5" t="str">
        <f t="shared" si="2736"/>
        <v/>
      </c>
      <c r="AR198" s="5" t="str">
        <f t="shared" si="2736"/>
        <v/>
      </c>
      <c r="AS198" s="5" t="str">
        <f t="shared" si="2736"/>
        <v/>
      </c>
    </row>
    <row r="199" spans="1:45" s="84" customFormat="1" ht="12" thickBot="1" x14ac:dyDescent="0.2">
      <c r="A199" s="4">
        <f>IF(A198="","",A198/(A195*100))</f>
        <v>9.2592592592592587E-2</v>
      </c>
      <c r="B199" s="6" t="s">
        <v>18</v>
      </c>
      <c r="C199" s="18" t="s">
        <v>19</v>
      </c>
      <c r="D199" s="18">
        <v>0.2</v>
      </c>
      <c r="E199" s="18" t="s">
        <v>19</v>
      </c>
      <c r="F199" s="18" t="s">
        <v>19</v>
      </c>
      <c r="G199" s="18">
        <v>8.5106382978723402E-2</v>
      </c>
      <c r="H199" s="18" t="s">
        <v>19</v>
      </c>
      <c r="I199" s="18" t="s">
        <v>19</v>
      </c>
      <c r="J199" s="18" t="s">
        <v>19</v>
      </c>
      <c r="K199" s="18">
        <v>0.08</v>
      </c>
      <c r="L199" s="18" t="str">
        <f t="shared" ref="J199:AM199" si="2737">IF(L198="","",IF(L198=0,"",L198/(L195*100)))</f>
        <v/>
      </c>
      <c r="M199" s="18">
        <f t="shared" si="2737"/>
        <v>7.6923076923076927E-2</v>
      </c>
      <c r="N199" s="18" t="str">
        <f t="shared" si="2737"/>
        <v/>
      </c>
      <c r="O199" s="18" t="str">
        <f t="shared" si="2737"/>
        <v/>
      </c>
      <c r="P199" s="18" t="str">
        <f t="shared" si="2737"/>
        <v/>
      </c>
      <c r="Q199" s="18" t="str">
        <f t="shared" si="2737"/>
        <v/>
      </c>
      <c r="R199" s="18" t="str">
        <f t="shared" si="2737"/>
        <v/>
      </c>
      <c r="S199" s="18" t="str">
        <f t="shared" si="2737"/>
        <v/>
      </c>
      <c r="T199" s="18" t="str">
        <f t="shared" si="2737"/>
        <v/>
      </c>
      <c r="U199" s="18" t="str">
        <f t="shared" si="2737"/>
        <v/>
      </c>
      <c r="V199" s="18" t="str">
        <f t="shared" si="2737"/>
        <v/>
      </c>
      <c r="W199" s="18" t="str">
        <f t="shared" si="2737"/>
        <v/>
      </c>
      <c r="X199" s="18" t="str">
        <f t="shared" si="2737"/>
        <v/>
      </c>
      <c r="Y199" s="18" t="str">
        <f t="shared" si="2737"/>
        <v/>
      </c>
      <c r="Z199" s="18" t="str">
        <f t="shared" si="2737"/>
        <v/>
      </c>
      <c r="AA199" s="18" t="str">
        <f t="shared" si="2737"/>
        <v/>
      </c>
      <c r="AB199" s="18" t="str">
        <f t="shared" si="2737"/>
        <v/>
      </c>
      <c r="AC199" s="18" t="str">
        <f t="shared" si="2737"/>
        <v/>
      </c>
      <c r="AD199" s="18" t="str">
        <f t="shared" si="2737"/>
        <v/>
      </c>
      <c r="AE199" s="18" t="str">
        <f t="shared" si="2737"/>
        <v/>
      </c>
      <c r="AF199" s="18" t="str">
        <f t="shared" si="2737"/>
        <v/>
      </c>
      <c r="AG199" s="18" t="str">
        <f t="shared" si="2737"/>
        <v/>
      </c>
      <c r="AH199" s="18" t="str">
        <f t="shared" si="2737"/>
        <v/>
      </c>
      <c r="AI199" s="18" t="str">
        <f t="shared" si="2737"/>
        <v/>
      </c>
      <c r="AJ199" s="18" t="str">
        <f t="shared" si="2737"/>
        <v/>
      </c>
      <c r="AK199" s="18" t="str">
        <f t="shared" si="2737"/>
        <v/>
      </c>
      <c r="AL199" s="18" t="str">
        <f t="shared" si="2737"/>
        <v/>
      </c>
      <c r="AM199" s="18" t="str">
        <f t="shared" si="2737"/>
        <v/>
      </c>
      <c r="AN199" s="18" t="str">
        <f t="shared" ref="AN199" si="2738">IF(AN198="","",IF(AN198=0,"",AN198/(AN195*100)))</f>
        <v/>
      </c>
      <c r="AO199" s="18" t="str">
        <f t="shared" ref="AO199:AS199" si="2739">IF(AO198="","",IF(AO198=0,"",AO198/(AO195*100)))</f>
        <v/>
      </c>
      <c r="AP199" s="18" t="str">
        <f t="shared" si="2739"/>
        <v/>
      </c>
      <c r="AQ199" s="18" t="str">
        <f t="shared" si="2739"/>
        <v/>
      </c>
      <c r="AR199" s="18" t="str">
        <f t="shared" si="2739"/>
        <v/>
      </c>
      <c r="AS199" s="18" t="str">
        <f t="shared" si="2739"/>
        <v/>
      </c>
    </row>
    <row r="200" spans="1:45" s="84" customFormat="1" ht="11.25" x14ac:dyDescent="0.15">
      <c r="A200" s="17" t="s">
        <v>77</v>
      </c>
      <c r="B200" s="9" t="s">
        <v>2</v>
      </c>
      <c r="C200" s="8">
        <v>12092</v>
      </c>
      <c r="D200" s="8">
        <v>12136</v>
      </c>
      <c r="E200" s="8">
        <v>12136</v>
      </c>
      <c r="F200" s="8">
        <v>12136</v>
      </c>
      <c r="G200" s="8">
        <v>12205</v>
      </c>
      <c r="H200" s="8">
        <v>12205</v>
      </c>
      <c r="I200" s="8">
        <v>12205</v>
      </c>
      <c r="J200" s="8">
        <v>12205</v>
      </c>
      <c r="K200" s="8">
        <v>12257</v>
      </c>
      <c r="L200" s="8">
        <f>IF(L$8="","",K200)</f>
        <v>12257</v>
      </c>
      <c r="M200" s="8">
        <v>12287</v>
      </c>
      <c r="N200" s="8" t="str">
        <f t="shared" ref="N200:N201" si="2740">IF(N$8="","",M200)</f>
        <v/>
      </c>
      <c r="O200" s="8" t="str">
        <f>IF(O$8="","",N200)</f>
        <v/>
      </c>
      <c r="P200" s="8" t="str">
        <f t="shared" ref="P200:P201" si="2741">IF(P$8="","",O200)</f>
        <v/>
      </c>
      <c r="Q200" s="8" t="str">
        <f t="shared" ref="Q200:Q201" si="2742">IF(Q$8="","",P200)</f>
        <v/>
      </c>
      <c r="R200" s="8" t="str">
        <f t="shared" ref="R200:R201" si="2743">IF(R$8="","",Q200)</f>
        <v/>
      </c>
      <c r="S200" s="8" t="str">
        <f>IF(S$8="","",R200)</f>
        <v/>
      </c>
      <c r="T200" s="8" t="str">
        <f>IF(T$8="","",S200)</f>
        <v/>
      </c>
      <c r="U200" s="8" t="str">
        <f t="shared" ref="U200:U201" si="2744">IF(U$8="","",T200)</f>
        <v/>
      </c>
      <c r="V200" s="8" t="str">
        <f>IF(V$8="","",U200)</f>
        <v/>
      </c>
      <c r="W200" s="8" t="str">
        <f>IF(W$8="","",V200)</f>
        <v/>
      </c>
      <c r="X200" s="8" t="str">
        <f t="shared" ref="X200:X201" si="2745">IF(X$8="","",W200)</f>
        <v/>
      </c>
      <c r="Y200" s="8" t="str">
        <f t="shared" ref="Y200:Y201" si="2746">IF(Y$8="","",X200)</f>
        <v/>
      </c>
      <c r="Z200" s="8" t="str">
        <f>IF(Z$8="","",Y200)</f>
        <v/>
      </c>
      <c r="AA200" s="8" t="str">
        <f t="shared" ref="AA200:AA201" si="2747">IF(AA$8="","",Z200)</f>
        <v/>
      </c>
      <c r="AB200" s="8" t="str">
        <f t="shared" ref="AB200:AB201" si="2748">IF(AB$8="","",AA200)</f>
        <v/>
      </c>
      <c r="AC200" s="8" t="str">
        <f t="shared" ref="AC200:AC201" si="2749">IF(AC$8="","",AB200)</f>
        <v/>
      </c>
      <c r="AD200" s="8" t="str">
        <f>IF(AD$8="","",AC200)</f>
        <v/>
      </c>
      <c r="AE200" s="8" t="str">
        <f>IF(AE$8="","",AD200)</f>
        <v/>
      </c>
      <c r="AF200" s="8" t="str">
        <f t="shared" ref="AF200:AF201" si="2750">IF(AF$8="","",AE200)</f>
        <v/>
      </c>
      <c r="AG200" s="8" t="str">
        <f>IF(AG$8="","",AF200)</f>
        <v/>
      </c>
      <c r="AH200" s="8" t="str">
        <f t="shared" ref="AH200:AH201" si="2751">IF(AH$8="","",AG200)</f>
        <v/>
      </c>
      <c r="AI200" s="8" t="str">
        <f t="shared" ref="AI200:AI201" si="2752">IF(AI$8="","",AH200)</f>
        <v/>
      </c>
      <c r="AJ200" s="8" t="str">
        <f>IF(AJ$8="","",AI200)</f>
        <v/>
      </c>
      <c r="AK200" s="8" t="str">
        <f t="shared" ref="AK200:AK201" si="2753">IF(AK$8="","",AJ200)</f>
        <v/>
      </c>
      <c r="AL200" s="8" t="str">
        <f t="shared" ref="AL200:AL201" si="2754">IF(AL$8="","",AK200)</f>
        <v/>
      </c>
      <c r="AM200" s="8" t="str">
        <f t="shared" ref="AM200:AM201" si="2755">IF(AM$8="","",AL200)</f>
        <v/>
      </c>
      <c r="AN200" s="8" t="str">
        <f>IF(AN$8="","",AM200)</f>
        <v/>
      </c>
      <c r="AO200" s="8" t="str">
        <f t="shared" ref="AO200:AS200" si="2756">IF(AO$8="","",AN200)</f>
        <v/>
      </c>
      <c r="AP200" s="8" t="str">
        <f t="shared" si="2756"/>
        <v/>
      </c>
      <c r="AQ200" s="8" t="str">
        <f t="shared" si="2756"/>
        <v/>
      </c>
      <c r="AR200" s="8" t="str">
        <f t="shared" si="2756"/>
        <v/>
      </c>
      <c r="AS200" s="8" t="str">
        <f t="shared" si="2756"/>
        <v/>
      </c>
    </row>
    <row r="201" spans="1:45" s="84" customFormat="1" ht="11.25" x14ac:dyDescent="0.15">
      <c r="A201" s="16" t="str">
        <f>A189</f>
        <v>BUZZ＃4</v>
      </c>
      <c r="B201" s="9" t="s">
        <v>4</v>
      </c>
      <c r="C201" s="8">
        <v>503</v>
      </c>
      <c r="D201" s="8">
        <v>503</v>
      </c>
      <c r="E201" s="8">
        <v>503</v>
      </c>
      <c r="F201" s="8">
        <v>503</v>
      </c>
      <c r="G201" s="8">
        <v>504</v>
      </c>
      <c r="H201" s="8">
        <v>504</v>
      </c>
      <c r="I201" s="8">
        <v>504</v>
      </c>
      <c r="J201" s="8">
        <v>504</v>
      </c>
      <c r="K201" s="8">
        <v>504</v>
      </c>
      <c r="L201" s="8">
        <f>IF(L$8="","",K201)</f>
        <v>504</v>
      </c>
      <c r="M201" s="8">
        <v>505</v>
      </c>
      <c r="N201" s="8" t="str">
        <f t="shared" si="2740"/>
        <v/>
      </c>
      <c r="O201" s="8" t="str">
        <f>IF(O$8="","",N201)</f>
        <v/>
      </c>
      <c r="P201" s="8" t="str">
        <f t="shared" si="2741"/>
        <v/>
      </c>
      <c r="Q201" s="8" t="str">
        <f t="shared" si="2742"/>
        <v/>
      </c>
      <c r="R201" s="8" t="str">
        <f t="shared" si="2743"/>
        <v/>
      </c>
      <c r="S201" s="8" t="str">
        <f>IF(S$8="","",R201)</f>
        <v/>
      </c>
      <c r="T201" s="8" t="str">
        <f t="shared" ref="T201" si="2757">IF(T$8="","",S201)</f>
        <v/>
      </c>
      <c r="U201" s="8" t="str">
        <f t="shared" si="2744"/>
        <v/>
      </c>
      <c r="V201" s="8" t="str">
        <f>IF(V$8="","",U201)</f>
        <v/>
      </c>
      <c r="W201" s="8" t="str">
        <f>IF(W$8="","",V201)</f>
        <v/>
      </c>
      <c r="X201" s="8" t="str">
        <f t="shared" si="2745"/>
        <v/>
      </c>
      <c r="Y201" s="8" t="str">
        <f t="shared" si="2746"/>
        <v/>
      </c>
      <c r="Z201" s="8" t="str">
        <f>IF(Z$8="","",Y201)</f>
        <v/>
      </c>
      <c r="AA201" s="8" t="str">
        <f t="shared" si="2747"/>
        <v/>
      </c>
      <c r="AB201" s="8" t="str">
        <f t="shared" si="2748"/>
        <v/>
      </c>
      <c r="AC201" s="8" t="str">
        <f t="shared" si="2749"/>
        <v/>
      </c>
      <c r="AD201" s="8" t="str">
        <f>IF(AD$8="","",AC201)</f>
        <v/>
      </c>
      <c r="AE201" s="8" t="str">
        <f t="shared" ref="AE200:AE201" si="2758">IF(AE$8="","",AD201)</f>
        <v/>
      </c>
      <c r="AF201" s="8" t="str">
        <f t="shared" si="2750"/>
        <v/>
      </c>
      <c r="AG201" s="8" t="str">
        <f>IF(AG$8="","",AF201)</f>
        <v/>
      </c>
      <c r="AH201" s="8" t="str">
        <f t="shared" si="2751"/>
        <v/>
      </c>
      <c r="AI201" s="8" t="str">
        <f t="shared" si="2752"/>
        <v/>
      </c>
      <c r="AJ201" s="8" t="str">
        <f>IF(AJ$8="","",AI201)</f>
        <v/>
      </c>
      <c r="AK201" s="8" t="str">
        <f t="shared" si="2753"/>
        <v/>
      </c>
      <c r="AL201" s="8" t="str">
        <f t="shared" si="2754"/>
        <v/>
      </c>
      <c r="AM201" s="8" t="str">
        <f t="shared" si="2755"/>
        <v/>
      </c>
      <c r="AN201" s="8" t="str">
        <f t="shared" ref="AN201" si="2759">IF(AN$8="","",AM201)</f>
        <v/>
      </c>
      <c r="AO201" s="8" t="str">
        <f t="shared" ref="AO201:AS201" si="2760">IF(AO$8="","",AN201)</f>
        <v/>
      </c>
      <c r="AP201" s="8" t="str">
        <f t="shared" si="2760"/>
        <v/>
      </c>
      <c r="AQ201" s="8" t="str">
        <f t="shared" si="2760"/>
        <v/>
      </c>
      <c r="AR201" s="8" t="str">
        <f t="shared" si="2760"/>
        <v/>
      </c>
      <c r="AS201" s="8" t="str">
        <f t="shared" si="2760"/>
        <v/>
      </c>
    </row>
    <row r="202" spans="1:45" s="84" customFormat="1" ht="11.25" x14ac:dyDescent="0.15">
      <c r="A202" s="15">
        <v>3</v>
      </c>
      <c r="B202" s="9" t="s">
        <v>5</v>
      </c>
      <c r="C202" s="8">
        <v>9</v>
      </c>
      <c r="D202" s="8">
        <v>9</v>
      </c>
      <c r="E202" s="8">
        <v>9</v>
      </c>
      <c r="F202" s="8">
        <v>9</v>
      </c>
      <c r="G202" s="8">
        <v>8</v>
      </c>
      <c r="H202" s="8">
        <v>8</v>
      </c>
      <c r="I202" s="8">
        <v>8</v>
      </c>
      <c r="J202" s="8">
        <v>8</v>
      </c>
      <c r="K202" s="8">
        <v>8</v>
      </c>
      <c r="L202" s="8">
        <f>IF(L200="","",(K202+K203))</f>
        <v>8</v>
      </c>
      <c r="M202" s="8">
        <v>7</v>
      </c>
      <c r="N202" s="8" t="str">
        <f t="shared" ref="N202" si="2761">IF(N200="","",(M202+M203))</f>
        <v/>
      </c>
      <c r="O202" s="8" t="str">
        <f>IF(O200="","",(N202+N203))</f>
        <v/>
      </c>
      <c r="P202" s="8" t="str">
        <f t="shared" ref="P202" si="2762">IF(P200="","",(O202+O203))</f>
        <v/>
      </c>
      <c r="Q202" s="8" t="str">
        <f t="shared" ref="Q202" si="2763">IF(Q200="","",(P202+P203))</f>
        <v/>
      </c>
      <c r="R202" s="8" t="str">
        <f t="shared" ref="R202" si="2764">IF(R200="","",(Q202+Q203))</f>
        <v/>
      </c>
      <c r="S202" s="8" t="str">
        <f>IF(S200="","",(R202+R203))</f>
        <v/>
      </c>
      <c r="T202" s="8" t="str">
        <f t="shared" ref="T202" si="2765">IF(T200="","",(S202+S203))</f>
        <v/>
      </c>
      <c r="U202" s="8" t="str">
        <f t="shared" ref="U202" si="2766">IF(U200="","",(T202+T203))</f>
        <v/>
      </c>
      <c r="V202" s="8" t="str">
        <f>IF(V200="","",(U202+U203))</f>
        <v/>
      </c>
      <c r="W202" s="8" t="str">
        <f>IF(W200="","",(V202+V203))</f>
        <v/>
      </c>
      <c r="X202" s="8" t="str">
        <f t="shared" ref="X202" si="2767">IF(X200="","",(W202+W203))</f>
        <v/>
      </c>
      <c r="Y202" s="8" t="str">
        <f t="shared" ref="Y202" si="2768">IF(Y200="","",(X202+X203))</f>
        <v/>
      </c>
      <c r="Z202" s="8" t="str">
        <f>IF(Z200="","",(Y202+Y203))</f>
        <v/>
      </c>
      <c r="AA202" s="8" t="str">
        <f t="shared" ref="AA202" si="2769">IF(AA200="","",(Z202+Z203))</f>
        <v/>
      </c>
      <c r="AB202" s="8" t="str">
        <f t="shared" ref="AB202" si="2770">IF(AB200="","",(AA202+AA203))</f>
        <v/>
      </c>
      <c r="AC202" s="8" t="str">
        <f t="shared" ref="AC202" si="2771">IF(AC200="","",(AB202+AB203))</f>
        <v/>
      </c>
      <c r="AD202" s="8" t="str">
        <f t="shared" ref="AD202" si="2772">IF(AD200="","",(AC202+AC203))</f>
        <v/>
      </c>
      <c r="AE202" s="8" t="str">
        <f t="shared" ref="AE202" si="2773">IF(AE200="","",(AD202+AD203))</f>
        <v/>
      </c>
      <c r="AF202" s="8" t="str">
        <f t="shared" ref="AF202" si="2774">IF(AF200="","",(AE202+AE203))</f>
        <v/>
      </c>
      <c r="AG202" s="8" t="str">
        <f t="shared" ref="AG202" si="2775">IF(AG200="","",(AF202+AF203))</f>
        <v/>
      </c>
      <c r="AH202" s="8" t="str">
        <f t="shared" ref="AH202" si="2776">IF(AH200="","",(AG202+AG203))</f>
        <v/>
      </c>
      <c r="AI202" s="8" t="str">
        <f t="shared" ref="AI202" si="2777">IF(AI200="","",(AH202+AH203))</f>
        <v/>
      </c>
      <c r="AJ202" s="8" t="str">
        <f>IF(AJ200="","",(AI202+AI203))</f>
        <v/>
      </c>
      <c r="AK202" s="8" t="str">
        <f t="shared" ref="AK202" si="2778">IF(AK200="","",(AJ202+AJ203))</f>
        <v/>
      </c>
      <c r="AL202" s="8" t="str">
        <f t="shared" ref="AL202" si="2779">IF(AL200="","",(AK202+AK203))</f>
        <v/>
      </c>
      <c r="AM202" s="8" t="str">
        <f t="shared" ref="AM202" si="2780">IF(AM200="","",(AL202+AL203))</f>
        <v/>
      </c>
      <c r="AN202" s="8" t="str">
        <f t="shared" ref="AN202" si="2781">IF(AN200="","",(AM202+AM203))</f>
        <v/>
      </c>
      <c r="AO202" s="8" t="str">
        <f t="shared" ref="AO202:AS202" si="2782">IF(AO200="","",(AN202+AN203))</f>
        <v/>
      </c>
      <c r="AP202" s="8" t="str">
        <f t="shared" si="2782"/>
        <v/>
      </c>
      <c r="AQ202" s="8" t="str">
        <f t="shared" si="2782"/>
        <v/>
      </c>
      <c r="AR202" s="8" t="str">
        <f t="shared" si="2782"/>
        <v/>
      </c>
      <c r="AS202" s="8" t="str">
        <f t="shared" si="2782"/>
        <v/>
      </c>
    </row>
    <row r="203" spans="1:45" s="84" customFormat="1" ht="11.25" x14ac:dyDescent="0.15">
      <c r="A203" s="14"/>
      <c r="B203" s="9" t="s">
        <v>7</v>
      </c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</row>
    <row r="204" spans="1:45" s="84" customFormat="1" ht="11.25" x14ac:dyDescent="0.15">
      <c r="A204" s="7"/>
      <c r="B204" s="9" t="s">
        <v>8</v>
      </c>
      <c r="C204" s="8">
        <v>750</v>
      </c>
      <c r="D204" s="8">
        <v>750</v>
      </c>
      <c r="E204" s="8">
        <v>750</v>
      </c>
      <c r="F204" s="8">
        <v>750</v>
      </c>
      <c r="G204" s="8">
        <v>750</v>
      </c>
      <c r="H204" s="8">
        <v>750</v>
      </c>
      <c r="I204" s="8">
        <v>750</v>
      </c>
      <c r="J204" s="8">
        <v>750</v>
      </c>
      <c r="K204" s="8">
        <v>750</v>
      </c>
      <c r="L204" s="8">
        <f t="shared" ref="L204" si="2783">IF(L200="","",K204)</f>
        <v>750</v>
      </c>
      <c r="M204" s="8">
        <f t="shared" ref="M204" si="2784">IF(M200="","",L204)</f>
        <v>750</v>
      </c>
      <c r="N204" s="8" t="str">
        <f t="shared" ref="N204" si="2785">IF(N200="","",M204)</f>
        <v/>
      </c>
      <c r="O204" s="8" t="str">
        <f t="shared" ref="O204" si="2786">IF(O200="","",N204)</f>
        <v/>
      </c>
      <c r="P204" s="8" t="str">
        <f t="shared" ref="P204" si="2787">IF(P200="","",O204)</f>
        <v/>
      </c>
      <c r="Q204" s="8" t="str">
        <f t="shared" ref="Q204" si="2788">IF(Q200="","",P204)</f>
        <v/>
      </c>
      <c r="R204" s="8" t="str">
        <f t="shared" ref="R204" si="2789">IF(R200="","",Q204)</f>
        <v/>
      </c>
      <c r="S204" s="8" t="str">
        <f t="shared" ref="S204" si="2790">IF(S200="","",R204)</f>
        <v/>
      </c>
      <c r="T204" s="8" t="str">
        <f t="shared" ref="T204" si="2791">IF(T200="","",S204)</f>
        <v/>
      </c>
      <c r="U204" s="8" t="str">
        <f t="shared" ref="U204" si="2792">IF(U200="","",T204)</f>
        <v/>
      </c>
      <c r="V204" s="8" t="str">
        <f t="shared" ref="V204" si="2793">IF(V200="","",U204)</f>
        <v/>
      </c>
      <c r="W204" s="8" t="str">
        <f t="shared" ref="W204" si="2794">IF(W200="","",V204)</f>
        <v/>
      </c>
      <c r="X204" s="8" t="str">
        <f t="shared" ref="X204" si="2795">IF(X200="","",W204)</f>
        <v/>
      </c>
      <c r="Y204" s="8" t="str">
        <f t="shared" ref="Y204" si="2796">IF(Y200="","",X204)</f>
        <v/>
      </c>
      <c r="Z204" s="8" t="str">
        <f t="shared" ref="Z204" si="2797">IF(Z200="","",Y204)</f>
        <v/>
      </c>
      <c r="AA204" s="8" t="str">
        <f t="shared" ref="AA204" si="2798">IF(AA200="","",Z204)</f>
        <v/>
      </c>
      <c r="AB204" s="8" t="str">
        <f t="shared" ref="AB204" si="2799">IF(AB200="","",AA204)</f>
        <v/>
      </c>
      <c r="AC204" s="8" t="str">
        <f t="shared" ref="AC204" si="2800">IF(AC200="","",AB204)</f>
        <v/>
      </c>
      <c r="AD204" s="8" t="str">
        <f t="shared" ref="AD204" si="2801">IF(AD200="","",AC204)</f>
        <v/>
      </c>
      <c r="AE204" s="8" t="str">
        <f t="shared" ref="AE204" si="2802">IF(AE200="","",AD204)</f>
        <v/>
      </c>
      <c r="AF204" s="8" t="str">
        <f t="shared" ref="AF204" si="2803">IF(AF200="","",AE204)</f>
        <v/>
      </c>
      <c r="AG204" s="8" t="str">
        <f t="shared" ref="AG204" si="2804">IF(AG200="","",AF204)</f>
        <v/>
      </c>
      <c r="AH204" s="8" t="str">
        <f t="shared" ref="AH204" si="2805">IF(AH200="","",AG204)</f>
        <v/>
      </c>
      <c r="AI204" s="8" t="str">
        <f t="shared" ref="AI204" si="2806">IF(AI200="","",AH204)</f>
        <v/>
      </c>
      <c r="AJ204" s="8" t="str">
        <f t="shared" ref="AJ204" si="2807">IF(AJ200="","",AI204)</f>
        <v/>
      </c>
      <c r="AK204" s="8" t="str">
        <f t="shared" ref="AK204" si="2808">IF(AK200="","",AJ204)</f>
        <v/>
      </c>
      <c r="AL204" s="8" t="str">
        <f t="shared" ref="AL204" si="2809">IF(AL200="","",AK204)</f>
        <v/>
      </c>
      <c r="AM204" s="8" t="str">
        <f t="shared" ref="AM204" si="2810">IF(AM200="","",AL204)</f>
        <v/>
      </c>
      <c r="AN204" s="8" t="str">
        <f t="shared" ref="AN204" si="2811">IF(AN200="","",AM204)</f>
        <v/>
      </c>
      <c r="AO204" s="8" t="str">
        <f t="shared" ref="AO204:AS204" si="2812">IF(AO200="","",AN204)</f>
        <v/>
      </c>
      <c r="AP204" s="8" t="str">
        <f t="shared" si="2812"/>
        <v/>
      </c>
      <c r="AQ204" s="8" t="str">
        <f t="shared" si="2812"/>
        <v/>
      </c>
      <c r="AR204" s="8" t="str">
        <f t="shared" si="2812"/>
        <v/>
      </c>
      <c r="AS204" s="8" t="str">
        <f t="shared" si="2812"/>
        <v/>
      </c>
    </row>
    <row r="205" spans="1:45" s="85" customFormat="1" ht="11.25" x14ac:dyDescent="0.15">
      <c r="A205" s="14" t="s">
        <v>9</v>
      </c>
      <c r="B205" s="13" t="s">
        <v>10</v>
      </c>
      <c r="C205" s="12" t="s">
        <v>353</v>
      </c>
      <c r="D205" s="12" t="s">
        <v>353</v>
      </c>
      <c r="E205" s="12" t="s">
        <v>353</v>
      </c>
      <c r="F205" s="12" t="s">
        <v>353</v>
      </c>
      <c r="G205" s="12" t="s">
        <v>353</v>
      </c>
      <c r="H205" s="12" t="s">
        <v>353</v>
      </c>
      <c r="I205" s="12" t="s">
        <v>353</v>
      </c>
      <c r="J205" s="12" t="s">
        <v>353</v>
      </c>
      <c r="K205" s="12" t="s">
        <v>353</v>
      </c>
      <c r="L205" s="12" t="str">
        <f t="shared" ref="L205" si="2813">IF(L200="","",K205)</f>
        <v>ミニファン</v>
      </c>
      <c r="M205" s="12" t="str">
        <f t="shared" ref="M205" si="2814">IF(M200="","",L205)</f>
        <v>ミニファン</v>
      </c>
      <c r="N205" s="12" t="str">
        <f t="shared" ref="N205" si="2815">IF(N200="","",M205)</f>
        <v/>
      </c>
      <c r="O205" s="12" t="str">
        <f t="shared" ref="O205" si="2816">IF(O200="","",N205)</f>
        <v/>
      </c>
      <c r="P205" s="12" t="str">
        <f t="shared" ref="P205" si="2817">IF(P200="","",O205)</f>
        <v/>
      </c>
      <c r="Q205" s="12" t="str">
        <f t="shared" ref="Q205" si="2818">IF(Q200="","",P205)</f>
        <v/>
      </c>
      <c r="R205" s="12" t="str">
        <f t="shared" ref="R205" si="2819">IF(R200="","",Q205)</f>
        <v/>
      </c>
      <c r="S205" s="12" t="str">
        <f t="shared" ref="S205" si="2820">IF(S200="","",R205)</f>
        <v/>
      </c>
      <c r="T205" s="12" t="str">
        <f t="shared" ref="T205" si="2821">IF(T200="","",S205)</f>
        <v/>
      </c>
      <c r="U205" s="12" t="str">
        <f t="shared" ref="U205" si="2822">IF(U200="","",T205)</f>
        <v/>
      </c>
      <c r="V205" s="12" t="str">
        <f t="shared" ref="V205" si="2823">IF(V200="","",U205)</f>
        <v/>
      </c>
      <c r="W205" s="12" t="str">
        <f t="shared" ref="W205" si="2824">IF(W200="","",V205)</f>
        <v/>
      </c>
      <c r="X205" s="12" t="str">
        <f t="shared" ref="X205" si="2825">IF(X200="","",W205)</f>
        <v/>
      </c>
      <c r="Y205" s="12" t="str">
        <f t="shared" ref="Y205" si="2826">IF(Y200="","",X205)</f>
        <v/>
      </c>
      <c r="Z205" s="12" t="str">
        <f t="shared" ref="Z205" si="2827">IF(Z200="","",Y205)</f>
        <v/>
      </c>
      <c r="AA205" s="12" t="str">
        <f t="shared" ref="AA205" si="2828">IF(AA200="","",Z205)</f>
        <v/>
      </c>
      <c r="AB205" s="12" t="str">
        <f t="shared" ref="AB205" si="2829">IF(AB200="","",AA205)</f>
        <v/>
      </c>
      <c r="AC205" s="12" t="str">
        <f t="shared" ref="AC205" si="2830">IF(AC200="","",AB205)</f>
        <v/>
      </c>
      <c r="AD205" s="12" t="str">
        <f t="shared" ref="AD205" si="2831">IF(AD200="","",AC205)</f>
        <v/>
      </c>
      <c r="AE205" s="12" t="str">
        <f t="shared" ref="AE205" si="2832">IF(AE200="","",AD205)</f>
        <v/>
      </c>
      <c r="AF205" s="12" t="str">
        <f t="shared" ref="AF205" si="2833">IF(AF200="","",AE205)</f>
        <v/>
      </c>
      <c r="AG205" s="12" t="str">
        <f>IF(AG200="","",AF205)</f>
        <v/>
      </c>
      <c r="AH205" s="12" t="str">
        <f t="shared" ref="AH205" si="2834">IF(AH200="","",AG205)</f>
        <v/>
      </c>
      <c r="AI205" s="12" t="str">
        <f t="shared" ref="AI205" si="2835">IF(AI200="","",AH205)</f>
        <v/>
      </c>
      <c r="AJ205" s="12" t="str">
        <f t="shared" ref="AJ205" si="2836">IF(AJ200="","",AI205)</f>
        <v/>
      </c>
      <c r="AK205" s="12" t="str">
        <f t="shared" ref="AK205" si="2837">IF(AK200="","",AJ205)</f>
        <v/>
      </c>
      <c r="AL205" s="12" t="str">
        <f t="shared" ref="AL205" si="2838">IF(AL200="","",AK205)</f>
        <v/>
      </c>
      <c r="AM205" s="12" t="str">
        <f t="shared" ref="AM205" si="2839">IF(AM200="","",AL205)</f>
        <v/>
      </c>
      <c r="AN205" s="12" t="str">
        <f t="shared" ref="AN205" si="2840">IF(AN200="","",AM205)</f>
        <v/>
      </c>
      <c r="AO205" s="12" t="str">
        <f t="shared" ref="AO205:AS205" si="2841">IF(AO200="","",AN205)</f>
        <v/>
      </c>
      <c r="AP205" s="12" t="str">
        <f t="shared" si="2841"/>
        <v/>
      </c>
      <c r="AQ205" s="12" t="str">
        <f t="shared" si="2841"/>
        <v/>
      </c>
      <c r="AR205" s="12" t="str">
        <f t="shared" si="2841"/>
        <v/>
      </c>
      <c r="AS205" s="12" t="str">
        <f t="shared" si="2841"/>
        <v/>
      </c>
    </row>
    <row r="206" spans="1:45" s="84" customFormat="1" ht="11.25" x14ac:dyDescent="0.15">
      <c r="A206" s="7">
        <f>AVERAGE(C207:AS207)*30*100</f>
        <v>53181.818181818177</v>
      </c>
      <c r="B206" s="9" t="s">
        <v>12</v>
      </c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</row>
    <row r="207" spans="1:45" s="84" customFormat="1" ht="11.25" x14ac:dyDescent="0.15">
      <c r="A207" s="7">
        <f>SUM(C207:AS207)</f>
        <v>195</v>
      </c>
      <c r="B207" s="6" t="s">
        <v>13</v>
      </c>
      <c r="C207" s="5">
        <v>0</v>
      </c>
      <c r="D207" s="5">
        <v>44</v>
      </c>
      <c r="E207" s="5">
        <v>0</v>
      </c>
      <c r="F207" s="5">
        <v>0</v>
      </c>
      <c r="G207" s="5">
        <v>69</v>
      </c>
      <c r="H207" s="5">
        <v>0</v>
      </c>
      <c r="I207" s="5">
        <v>0</v>
      </c>
      <c r="J207" s="5">
        <v>0</v>
      </c>
      <c r="K207" s="5">
        <v>52</v>
      </c>
      <c r="L207" s="5">
        <f t="shared" ref="L207:L208" si="2842">IF(L200="","",L200-K200)</f>
        <v>0</v>
      </c>
      <c r="M207" s="5">
        <f t="shared" ref="M207:M208" si="2843">IF(M200="","",M200-L200)</f>
        <v>30</v>
      </c>
      <c r="N207" s="5" t="str">
        <f t="shared" ref="N207:N208" si="2844">IF(N200="","",N200-M200)</f>
        <v/>
      </c>
      <c r="O207" s="5" t="str">
        <f t="shared" ref="O207:O208" si="2845">IF(O200="","",O200-N200)</f>
        <v/>
      </c>
      <c r="P207" s="5" t="str">
        <f t="shared" ref="P207:P208" si="2846">IF(P200="","",P200-O200)</f>
        <v/>
      </c>
      <c r="Q207" s="5" t="str">
        <f t="shared" ref="Q207:Q208" si="2847">IF(Q200="","",Q200-P200)</f>
        <v/>
      </c>
      <c r="R207" s="5" t="str">
        <f t="shared" ref="R207:R208" si="2848">IF(R200="","",R200-Q200)</f>
        <v/>
      </c>
      <c r="S207" s="5" t="str">
        <f t="shared" ref="S207:S208" si="2849">IF(S200="","",S200-R200)</f>
        <v/>
      </c>
      <c r="T207" s="5" t="str">
        <f t="shared" ref="T207:T208" si="2850">IF(T200="","",T200-S200)</f>
        <v/>
      </c>
      <c r="U207" s="5" t="str">
        <f t="shared" ref="U207:U208" si="2851">IF(U200="","",U200-T200)</f>
        <v/>
      </c>
      <c r="V207" s="5" t="str">
        <f t="shared" ref="V207:V208" si="2852">IF(V200="","",V200-U200)</f>
        <v/>
      </c>
      <c r="W207" s="5" t="str">
        <f t="shared" ref="W207:W208" si="2853">IF(W200="","",W200-V200)</f>
        <v/>
      </c>
      <c r="X207" s="5" t="str">
        <f t="shared" ref="X207:X208" si="2854">IF(X200="","",X200-W200)</f>
        <v/>
      </c>
      <c r="Y207" s="5" t="str">
        <f t="shared" ref="Y207:Y208" si="2855">IF(Y200="","",Y200-X200)</f>
        <v/>
      </c>
      <c r="Z207" s="5" t="str">
        <f t="shared" ref="Z207:Z208" si="2856">IF(Z200="","",Z200-Y200)</f>
        <v/>
      </c>
      <c r="AA207" s="5" t="str">
        <f t="shared" ref="AA207:AA208" si="2857">IF(AA200="","",AA200-Z200)</f>
        <v/>
      </c>
      <c r="AB207" s="5" t="str">
        <f t="shared" ref="AB207:AB208" si="2858">IF(AB200="","",AB200-AA200)</f>
        <v/>
      </c>
      <c r="AC207" s="5" t="str">
        <f t="shared" ref="AC207:AC208" si="2859">IF(AC200="","",AC200-AB200)</f>
        <v/>
      </c>
      <c r="AD207" s="5" t="str">
        <f t="shared" ref="AD207:AD208" si="2860">IF(AD200="","",AD200-AC200)</f>
        <v/>
      </c>
      <c r="AE207" s="5" t="str">
        <f t="shared" ref="AE207:AE208" si="2861">IF(AE200="","",AE200-AD200)</f>
        <v/>
      </c>
      <c r="AF207" s="5" t="str">
        <f t="shared" ref="AF207:AF208" si="2862">IF(AF200="","",AF200-AE200)</f>
        <v/>
      </c>
      <c r="AG207" s="5" t="str">
        <f t="shared" ref="AG207:AG208" si="2863">IF(AG200="","",AG200-AF200)</f>
        <v/>
      </c>
      <c r="AH207" s="5" t="str">
        <f t="shared" ref="AH207:AH208" si="2864">IF(AH200="","",AH200-AG200)</f>
        <v/>
      </c>
      <c r="AI207" s="5" t="str">
        <f t="shared" ref="AI207:AI208" si="2865">IF(AI200="","",AI200-AH200)</f>
        <v/>
      </c>
      <c r="AJ207" s="5" t="str">
        <f t="shared" ref="AJ207:AJ208" si="2866">IF(AJ200="","",AJ200-AI200)</f>
        <v/>
      </c>
      <c r="AK207" s="5" t="str">
        <f t="shared" ref="AK207:AK208" si="2867">IF(AK200="","",AK200-AJ200)</f>
        <v/>
      </c>
      <c r="AL207" s="5" t="str">
        <f t="shared" ref="AL207:AL208" si="2868">IF(AL200="","",AL200-AK200)</f>
        <v/>
      </c>
      <c r="AM207" s="5" t="str">
        <f t="shared" ref="AM207:AM208" si="2869">IF(AM200="","",AM200-AL200)</f>
        <v/>
      </c>
      <c r="AN207" s="5" t="str">
        <f t="shared" ref="AN207" si="2870">IF(AN200="","",AN200-AM200)</f>
        <v/>
      </c>
      <c r="AO207" s="5" t="str">
        <f t="shared" ref="AO207:AS207" si="2871">IF(AO200="","",AO200-AN200)</f>
        <v/>
      </c>
      <c r="AP207" s="5" t="str">
        <f t="shared" si="2871"/>
        <v/>
      </c>
      <c r="AQ207" s="5" t="str">
        <f t="shared" si="2871"/>
        <v/>
      </c>
      <c r="AR207" s="5" t="str">
        <f t="shared" si="2871"/>
        <v/>
      </c>
      <c r="AS207" s="5" t="str">
        <f t="shared" si="2871"/>
        <v/>
      </c>
    </row>
    <row r="208" spans="1:45" s="84" customFormat="1" ht="11.25" x14ac:dyDescent="0.15">
      <c r="A208" s="7">
        <f>SUM(C208:AS208)</f>
        <v>2</v>
      </c>
      <c r="B208" s="6" t="s">
        <v>14</v>
      </c>
      <c r="C208" s="5">
        <v>0</v>
      </c>
      <c r="D208" s="5">
        <v>0</v>
      </c>
      <c r="E208" s="5">
        <v>0</v>
      </c>
      <c r="F208" s="5">
        <v>0</v>
      </c>
      <c r="G208" s="5">
        <v>1</v>
      </c>
      <c r="H208" s="5">
        <v>0</v>
      </c>
      <c r="I208" s="5">
        <v>0</v>
      </c>
      <c r="J208" s="5">
        <v>0</v>
      </c>
      <c r="K208" s="5">
        <v>0</v>
      </c>
      <c r="L208" s="5">
        <f t="shared" si="2842"/>
        <v>0</v>
      </c>
      <c r="M208" s="5">
        <f t="shared" si="2843"/>
        <v>1</v>
      </c>
      <c r="N208" s="5" t="str">
        <f t="shared" si="2844"/>
        <v/>
      </c>
      <c r="O208" s="5" t="str">
        <f t="shared" si="2845"/>
        <v/>
      </c>
      <c r="P208" s="5" t="str">
        <f t="shared" si="2846"/>
        <v/>
      </c>
      <c r="Q208" s="5" t="str">
        <f t="shared" si="2847"/>
        <v/>
      </c>
      <c r="R208" s="5" t="str">
        <f t="shared" si="2848"/>
        <v/>
      </c>
      <c r="S208" s="5" t="str">
        <f t="shared" si="2849"/>
        <v/>
      </c>
      <c r="T208" s="5" t="str">
        <f t="shared" si="2850"/>
        <v/>
      </c>
      <c r="U208" s="5" t="str">
        <f t="shared" si="2851"/>
        <v/>
      </c>
      <c r="V208" s="5" t="str">
        <f t="shared" si="2852"/>
        <v/>
      </c>
      <c r="W208" s="5" t="str">
        <f t="shared" si="2853"/>
        <v/>
      </c>
      <c r="X208" s="5" t="str">
        <f t="shared" si="2854"/>
        <v/>
      </c>
      <c r="Y208" s="5" t="str">
        <f t="shared" si="2855"/>
        <v/>
      </c>
      <c r="Z208" s="5" t="str">
        <f t="shared" si="2856"/>
        <v/>
      </c>
      <c r="AA208" s="5" t="str">
        <f t="shared" si="2857"/>
        <v/>
      </c>
      <c r="AB208" s="5" t="str">
        <f t="shared" si="2858"/>
        <v/>
      </c>
      <c r="AC208" s="5" t="str">
        <f t="shared" si="2859"/>
        <v/>
      </c>
      <c r="AD208" s="5" t="str">
        <f t="shared" si="2860"/>
        <v/>
      </c>
      <c r="AE208" s="5" t="str">
        <f t="shared" si="2861"/>
        <v/>
      </c>
      <c r="AF208" s="5" t="str">
        <f t="shared" si="2862"/>
        <v/>
      </c>
      <c r="AG208" s="5" t="str">
        <f t="shared" si="2863"/>
        <v/>
      </c>
      <c r="AH208" s="5" t="str">
        <f t="shared" si="2864"/>
        <v/>
      </c>
      <c r="AI208" s="5" t="str">
        <f t="shared" si="2865"/>
        <v/>
      </c>
      <c r="AJ208" s="5" t="str">
        <f t="shared" si="2866"/>
        <v/>
      </c>
      <c r="AK208" s="5" t="str">
        <f t="shared" si="2867"/>
        <v/>
      </c>
      <c r="AL208" s="5" t="str">
        <f t="shared" si="2868"/>
        <v/>
      </c>
      <c r="AM208" s="5" t="str">
        <f t="shared" si="2869"/>
        <v/>
      </c>
      <c r="AN208" s="5" t="str">
        <f t="shared" ref="AN208" si="2872">IF(AN201="","",AN201-AM201)</f>
        <v/>
      </c>
      <c r="AO208" s="5" t="str">
        <f t="shared" ref="AO208:AS208" si="2873">IF(AO201="","",AO201-AN201)</f>
        <v/>
      </c>
      <c r="AP208" s="5" t="str">
        <f t="shared" si="2873"/>
        <v/>
      </c>
      <c r="AQ208" s="5" t="str">
        <f t="shared" si="2873"/>
        <v/>
      </c>
      <c r="AR208" s="5" t="str">
        <f t="shared" si="2873"/>
        <v/>
      </c>
      <c r="AS208" s="5" t="str">
        <f t="shared" si="2873"/>
        <v/>
      </c>
    </row>
    <row r="209" spans="1:45" s="84" customFormat="1" ht="11.25" x14ac:dyDescent="0.15">
      <c r="A209" s="7">
        <f>SUM(C209:AS209)</f>
        <v>2</v>
      </c>
      <c r="B209" s="6" t="s">
        <v>15</v>
      </c>
      <c r="C209" s="5">
        <v>0</v>
      </c>
      <c r="D209" s="5">
        <v>0</v>
      </c>
      <c r="E209" s="5">
        <v>0</v>
      </c>
      <c r="F209" s="5">
        <v>0</v>
      </c>
      <c r="G209" s="5">
        <v>1</v>
      </c>
      <c r="H209" s="5">
        <v>0</v>
      </c>
      <c r="I209" s="5">
        <v>0</v>
      </c>
      <c r="J209" s="5">
        <v>0</v>
      </c>
      <c r="K209" s="5">
        <v>0</v>
      </c>
      <c r="L209" s="5">
        <f t="shared" ref="L209" si="2874">IF(L202="","",K202+K203-L202)</f>
        <v>0</v>
      </c>
      <c r="M209" s="5">
        <f t="shared" ref="M209" si="2875">IF(M202="","",L202+L203-M202)</f>
        <v>1</v>
      </c>
      <c r="N209" s="5" t="str">
        <f t="shared" ref="N209" si="2876">IF(N202="","",M202+M203-N202)</f>
        <v/>
      </c>
      <c r="O209" s="5" t="str">
        <f t="shared" ref="O209" si="2877">IF(O202="","",N202+N203-O202)</f>
        <v/>
      </c>
      <c r="P209" s="5" t="str">
        <f t="shared" ref="P209" si="2878">IF(P202="","",O202+O203-P202)</f>
        <v/>
      </c>
      <c r="Q209" s="5" t="str">
        <f t="shared" ref="Q209" si="2879">IF(Q202="","",P202+P203-Q202)</f>
        <v/>
      </c>
      <c r="R209" s="5" t="str">
        <f t="shared" ref="R209" si="2880">IF(R202="","",Q202+Q203-R202)</f>
        <v/>
      </c>
      <c r="S209" s="5" t="str">
        <f t="shared" ref="S209" si="2881">IF(S202="","",R202+R203-S202)</f>
        <v/>
      </c>
      <c r="T209" s="5" t="str">
        <f t="shared" ref="T209" si="2882">IF(T202="","",S202+S203-T202)</f>
        <v/>
      </c>
      <c r="U209" s="5" t="str">
        <f t="shared" ref="U209" si="2883">IF(U202="","",T202+T203-U202)</f>
        <v/>
      </c>
      <c r="V209" s="5" t="str">
        <f t="shared" ref="V209" si="2884">IF(V202="","",U202+U203-V202)</f>
        <v/>
      </c>
      <c r="W209" s="5" t="str">
        <f t="shared" ref="W209" si="2885">IF(W202="","",V202+V203-W202)</f>
        <v/>
      </c>
      <c r="X209" s="5" t="str">
        <f t="shared" ref="X209" si="2886">IF(X202="","",W202+W203-X202)</f>
        <v/>
      </c>
      <c r="Y209" s="5" t="str">
        <f t="shared" ref="Y209" si="2887">IF(Y202="","",X202+X203-Y202)</f>
        <v/>
      </c>
      <c r="Z209" s="5" t="str">
        <f t="shared" ref="Z209" si="2888">IF(Z202="","",Y202+Y203-Z202)</f>
        <v/>
      </c>
      <c r="AA209" s="5" t="str">
        <f t="shared" ref="AA209" si="2889">IF(AA202="","",Z202+Z203-AA202)</f>
        <v/>
      </c>
      <c r="AB209" s="5" t="str">
        <f t="shared" ref="AB209" si="2890">IF(AB202="","",AA202+AA203-AB202)</f>
        <v/>
      </c>
      <c r="AC209" s="5" t="str">
        <f t="shared" ref="AC209" si="2891">IF(AC202="","",AB202+AB203-AC202)</f>
        <v/>
      </c>
      <c r="AD209" s="5" t="str">
        <f t="shared" ref="AD209" si="2892">IF(AD202="","",AC202+AC203-AD202)</f>
        <v/>
      </c>
      <c r="AE209" s="5" t="str">
        <f t="shared" ref="AE209" si="2893">IF(AE202="","",AD202+AD203-AE202)</f>
        <v/>
      </c>
      <c r="AF209" s="5" t="str">
        <f t="shared" ref="AF209" si="2894">IF(AF202="","",AE202+AE203-AF202)</f>
        <v/>
      </c>
      <c r="AG209" s="5" t="str">
        <f t="shared" ref="AG209" si="2895">IF(AG202="","",AF202+AF203-AG202)</f>
        <v/>
      </c>
      <c r="AH209" s="5" t="str">
        <f t="shared" ref="AH209" si="2896">IF(AH202="","",AG202+AG203-AH202)</f>
        <v/>
      </c>
      <c r="AI209" s="5" t="str">
        <f t="shared" ref="AI209" si="2897">IF(AI202="","",AH202+AH203-AI202)</f>
        <v/>
      </c>
      <c r="AJ209" s="5" t="str">
        <f t="shared" ref="AJ209" si="2898">IF(AJ202="","",AI202+AI203-AJ202)</f>
        <v/>
      </c>
      <c r="AK209" s="5" t="str">
        <f t="shared" ref="AK209" si="2899">IF(AK202="","",AJ202+AJ203-AK202)</f>
        <v/>
      </c>
      <c r="AL209" s="5" t="str">
        <f t="shared" ref="AL209" si="2900">IF(AL202="","",AK202+AK203-AL202)</f>
        <v/>
      </c>
      <c r="AM209" s="5" t="str">
        <f t="shared" ref="AM209" si="2901">IF(AM202="","",AL202+AL203-AM202)</f>
        <v/>
      </c>
      <c r="AN209" s="5" t="str">
        <f t="shared" ref="AN209" si="2902">IF(AN202="","",AM202+AM203-AN202)</f>
        <v/>
      </c>
      <c r="AO209" s="5" t="str">
        <f t="shared" ref="AO209:AS209" si="2903">IF(AO202="","",AN202+AN203-AO202)</f>
        <v/>
      </c>
      <c r="AP209" s="5" t="str">
        <f t="shared" si="2903"/>
        <v/>
      </c>
      <c r="AQ209" s="5" t="str">
        <f t="shared" si="2903"/>
        <v/>
      </c>
      <c r="AR209" s="5" t="str">
        <f t="shared" si="2903"/>
        <v/>
      </c>
      <c r="AS209" s="5" t="str">
        <f t="shared" si="2903"/>
        <v/>
      </c>
    </row>
    <row r="210" spans="1:45" s="84" customFormat="1" ht="11.25" x14ac:dyDescent="0.15">
      <c r="A210" s="7">
        <f>SUM(C210:AS210)</f>
        <v>1500</v>
      </c>
      <c r="B210" s="6" t="s">
        <v>16</v>
      </c>
      <c r="C210" s="5">
        <v>0</v>
      </c>
      <c r="D210" s="5">
        <v>0</v>
      </c>
      <c r="E210" s="5">
        <v>0</v>
      </c>
      <c r="F210" s="5">
        <v>0</v>
      </c>
      <c r="G210" s="5">
        <v>750</v>
      </c>
      <c r="H210" s="5">
        <v>0</v>
      </c>
      <c r="I210" s="5">
        <v>0</v>
      </c>
      <c r="J210" s="5">
        <v>0</v>
      </c>
      <c r="K210" s="5">
        <v>0</v>
      </c>
      <c r="L210" s="5">
        <f t="shared" ref="J210:AM210" si="2904">IF(L200="","",L209*L204)</f>
        <v>0</v>
      </c>
      <c r="M210" s="5">
        <f t="shared" si="2904"/>
        <v>750</v>
      </c>
      <c r="N210" s="5" t="str">
        <f t="shared" si="2904"/>
        <v/>
      </c>
      <c r="O210" s="5" t="str">
        <f t="shared" si="2904"/>
        <v/>
      </c>
      <c r="P210" s="5" t="str">
        <f t="shared" si="2904"/>
        <v/>
      </c>
      <c r="Q210" s="5" t="str">
        <f t="shared" si="2904"/>
        <v/>
      </c>
      <c r="R210" s="5" t="str">
        <f t="shared" si="2904"/>
        <v/>
      </c>
      <c r="S210" s="5" t="str">
        <f t="shared" si="2904"/>
        <v/>
      </c>
      <c r="T210" s="5" t="str">
        <f t="shared" si="2904"/>
        <v/>
      </c>
      <c r="U210" s="5" t="str">
        <f t="shared" si="2904"/>
        <v/>
      </c>
      <c r="V210" s="5" t="str">
        <f t="shared" si="2904"/>
        <v/>
      </c>
      <c r="W210" s="5" t="str">
        <f t="shared" si="2904"/>
        <v/>
      </c>
      <c r="X210" s="5" t="str">
        <f t="shared" si="2904"/>
        <v/>
      </c>
      <c r="Y210" s="5" t="str">
        <f t="shared" si="2904"/>
        <v/>
      </c>
      <c r="Z210" s="5" t="str">
        <f t="shared" si="2904"/>
        <v/>
      </c>
      <c r="AA210" s="5" t="str">
        <f t="shared" si="2904"/>
        <v/>
      </c>
      <c r="AB210" s="5" t="str">
        <f t="shared" si="2904"/>
        <v/>
      </c>
      <c r="AC210" s="5" t="str">
        <f t="shared" si="2904"/>
        <v/>
      </c>
      <c r="AD210" s="5" t="str">
        <f t="shared" si="2904"/>
        <v/>
      </c>
      <c r="AE210" s="5" t="str">
        <f t="shared" si="2904"/>
        <v/>
      </c>
      <c r="AF210" s="5" t="str">
        <f t="shared" si="2904"/>
        <v/>
      </c>
      <c r="AG210" s="5" t="str">
        <f t="shared" si="2904"/>
        <v/>
      </c>
      <c r="AH210" s="5" t="str">
        <f t="shared" si="2904"/>
        <v/>
      </c>
      <c r="AI210" s="5" t="str">
        <f t="shared" si="2904"/>
        <v/>
      </c>
      <c r="AJ210" s="5" t="str">
        <f t="shared" si="2904"/>
        <v/>
      </c>
      <c r="AK210" s="5" t="str">
        <f t="shared" si="2904"/>
        <v/>
      </c>
      <c r="AL210" s="5" t="str">
        <f t="shared" si="2904"/>
        <v/>
      </c>
      <c r="AM210" s="5" t="str">
        <f t="shared" si="2904"/>
        <v/>
      </c>
      <c r="AN210" s="5" t="str">
        <f t="shared" ref="AN210" si="2905">IF(AN200="","",AN209*AN204)</f>
        <v/>
      </c>
      <c r="AO210" s="5" t="str">
        <f t="shared" ref="AO210:AS210" si="2906">IF(AO200="","",AO209*AO204)</f>
        <v/>
      </c>
      <c r="AP210" s="5" t="str">
        <f t="shared" si="2906"/>
        <v/>
      </c>
      <c r="AQ210" s="5" t="str">
        <f t="shared" si="2906"/>
        <v/>
      </c>
      <c r="AR210" s="5" t="str">
        <f t="shared" si="2906"/>
        <v/>
      </c>
      <c r="AS210" s="5" t="str">
        <f t="shared" si="2906"/>
        <v/>
      </c>
    </row>
    <row r="211" spans="1:45" s="84" customFormat="1" ht="12" thickBot="1" x14ac:dyDescent="0.2">
      <c r="A211" s="4">
        <f>IF(A210="","",A210/(A207*100))</f>
        <v>7.6923076923076927E-2</v>
      </c>
      <c r="B211" s="6" t="s">
        <v>18</v>
      </c>
      <c r="C211" s="18" t="s">
        <v>19</v>
      </c>
      <c r="D211" s="18" t="s">
        <v>19</v>
      </c>
      <c r="E211" s="18" t="s">
        <v>19</v>
      </c>
      <c r="F211" s="18" t="s">
        <v>19</v>
      </c>
      <c r="G211" s="18">
        <v>0.10869565217391304</v>
      </c>
      <c r="H211" s="18" t="s">
        <v>19</v>
      </c>
      <c r="I211" s="18" t="s">
        <v>19</v>
      </c>
      <c r="J211" s="18" t="s">
        <v>19</v>
      </c>
      <c r="K211" s="18" t="s">
        <v>19</v>
      </c>
      <c r="L211" s="18" t="str">
        <f t="shared" ref="J211:AM211" si="2907">IF(L210="","",IF(L210=0,"",L210/(L207*100)))</f>
        <v/>
      </c>
      <c r="M211" s="18">
        <f t="shared" si="2907"/>
        <v>0.25</v>
      </c>
      <c r="N211" s="18" t="str">
        <f t="shared" si="2907"/>
        <v/>
      </c>
      <c r="O211" s="18" t="str">
        <f t="shared" si="2907"/>
        <v/>
      </c>
      <c r="P211" s="18" t="str">
        <f t="shared" si="2907"/>
        <v/>
      </c>
      <c r="Q211" s="18" t="str">
        <f t="shared" si="2907"/>
        <v/>
      </c>
      <c r="R211" s="18" t="str">
        <f t="shared" si="2907"/>
        <v/>
      </c>
      <c r="S211" s="18" t="str">
        <f t="shared" si="2907"/>
        <v/>
      </c>
      <c r="T211" s="18" t="str">
        <f t="shared" si="2907"/>
        <v/>
      </c>
      <c r="U211" s="18" t="str">
        <f t="shared" si="2907"/>
        <v/>
      </c>
      <c r="V211" s="18" t="str">
        <f t="shared" si="2907"/>
        <v/>
      </c>
      <c r="W211" s="18" t="str">
        <f t="shared" si="2907"/>
        <v/>
      </c>
      <c r="X211" s="18" t="str">
        <f t="shared" si="2907"/>
        <v/>
      </c>
      <c r="Y211" s="18" t="str">
        <f t="shared" si="2907"/>
        <v/>
      </c>
      <c r="Z211" s="18" t="str">
        <f t="shared" si="2907"/>
        <v/>
      </c>
      <c r="AA211" s="18" t="str">
        <f t="shared" si="2907"/>
        <v/>
      </c>
      <c r="AB211" s="18" t="str">
        <f t="shared" si="2907"/>
        <v/>
      </c>
      <c r="AC211" s="18" t="str">
        <f t="shared" si="2907"/>
        <v/>
      </c>
      <c r="AD211" s="18" t="str">
        <f t="shared" si="2907"/>
        <v/>
      </c>
      <c r="AE211" s="18" t="str">
        <f t="shared" si="2907"/>
        <v/>
      </c>
      <c r="AF211" s="18" t="str">
        <f t="shared" si="2907"/>
        <v/>
      </c>
      <c r="AG211" s="18" t="str">
        <f t="shared" si="2907"/>
        <v/>
      </c>
      <c r="AH211" s="18" t="str">
        <f t="shared" si="2907"/>
        <v/>
      </c>
      <c r="AI211" s="18" t="str">
        <f t="shared" si="2907"/>
        <v/>
      </c>
      <c r="AJ211" s="18" t="str">
        <f t="shared" si="2907"/>
        <v/>
      </c>
      <c r="AK211" s="18" t="str">
        <f t="shared" si="2907"/>
        <v/>
      </c>
      <c r="AL211" s="18" t="str">
        <f t="shared" si="2907"/>
        <v/>
      </c>
      <c r="AM211" s="18" t="str">
        <f t="shared" si="2907"/>
        <v/>
      </c>
      <c r="AN211" s="18" t="str">
        <f t="shared" ref="AN211" si="2908">IF(AN210="","",IF(AN210=0,"",AN210/(AN207*100)))</f>
        <v/>
      </c>
      <c r="AO211" s="18" t="str">
        <f t="shared" ref="AO211:AS211" si="2909">IF(AO210="","",IF(AO210=0,"",AO210/(AO207*100)))</f>
        <v/>
      </c>
      <c r="AP211" s="18" t="str">
        <f t="shared" si="2909"/>
        <v/>
      </c>
      <c r="AQ211" s="18" t="str">
        <f t="shared" si="2909"/>
        <v/>
      </c>
      <c r="AR211" s="18" t="str">
        <f t="shared" si="2909"/>
        <v/>
      </c>
      <c r="AS211" s="18" t="str">
        <f t="shared" si="2909"/>
        <v/>
      </c>
    </row>
    <row r="212" spans="1:45" s="84" customFormat="1" ht="11.25" x14ac:dyDescent="0.15">
      <c r="A212" s="17" t="s">
        <v>77</v>
      </c>
      <c r="B212" s="9" t="s">
        <v>2</v>
      </c>
      <c r="C212" s="8">
        <v>10561</v>
      </c>
      <c r="D212" s="8">
        <v>10581</v>
      </c>
      <c r="E212" s="8">
        <v>10581</v>
      </c>
      <c r="F212" s="8">
        <v>10581</v>
      </c>
      <c r="G212" s="8">
        <v>10617</v>
      </c>
      <c r="H212" s="8">
        <v>10617</v>
      </c>
      <c r="I212" s="8">
        <v>10617</v>
      </c>
      <c r="J212" s="8">
        <v>10617</v>
      </c>
      <c r="K212" s="8">
        <v>10634</v>
      </c>
      <c r="L212" s="8">
        <f>IF(L$8="","",K212)</f>
        <v>10634</v>
      </c>
      <c r="M212" s="8">
        <v>10662</v>
      </c>
      <c r="N212" s="8" t="str">
        <f t="shared" ref="N212:N213" si="2910">IF(N$8="","",M212)</f>
        <v/>
      </c>
      <c r="O212" s="8" t="str">
        <f>IF(O$8="","",N212)</f>
        <v/>
      </c>
      <c r="P212" s="8" t="str">
        <f t="shared" ref="P212:P213" si="2911">IF(P$8="","",O212)</f>
        <v/>
      </c>
      <c r="Q212" s="8" t="str">
        <f t="shared" ref="Q212:Q213" si="2912">IF(Q$8="","",P212)</f>
        <v/>
      </c>
      <c r="R212" s="8" t="str">
        <f t="shared" ref="R212:R213" si="2913">IF(R$8="","",Q212)</f>
        <v/>
      </c>
      <c r="S212" s="8" t="str">
        <f>IF(S$8="","",R212)</f>
        <v/>
      </c>
      <c r="T212" s="8" t="str">
        <f>IF(T$8="","",S212)</f>
        <v/>
      </c>
      <c r="U212" s="8" t="str">
        <f t="shared" ref="U212:U213" si="2914">IF(U$8="","",T212)</f>
        <v/>
      </c>
      <c r="V212" s="8" t="str">
        <f>IF(V$8="","",U212)</f>
        <v/>
      </c>
      <c r="W212" s="8" t="str">
        <f>IF(W$8="","",V212)</f>
        <v/>
      </c>
      <c r="X212" s="8" t="str">
        <f t="shared" ref="X212:X213" si="2915">IF(X$8="","",W212)</f>
        <v/>
      </c>
      <c r="Y212" s="8" t="str">
        <f t="shared" ref="Y212:Y213" si="2916">IF(Y$8="","",X212)</f>
        <v/>
      </c>
      <c r="Z212" s="8" t="str">
        <f>IF(Z$8="","",Y212)</f>
        <v/>
      </c>
      <c r="AA212" s="8" t="str">
        <f t="shared" ref="AA212:AA213" si="2917">IF(AA$8="","",Z212)</f>
        <v/>
      </c>
      <c r="AB212" s="8" t="str">
        <f t="shared" ref="AB212:AB213" si="2918">IF(AB$8="","",AA212)</f>
        <v/>
      </c>
      <c r="AC212" s="8" t="str">
        <f t="shared" ref="AC212:AC213" si="2919">IF(AC$8="","",AB212)</f>
        <v/>
      </c>
      <c r="AD212" s="8" t="str">
        <f>IF(AD$8="","",AC212)</f>
        <v/>
      </c>
      <c r="AE212" s="8" t="str">
        <f>IF(AE$8="","",AD212)</f>
        <v/>
      </c>
      <c r="AF212" s="8" t="str">
        <f t="shared" ref="AF212:AF213" si="2920">IF(AF$8="","",AE212)</f>
        <v/>
      </c>
      <c r="AG212" s="8" t="str">
        <f>IF(AG$8="","",AF212)</f>
        <v/>
      </c>
      <c r="AH212" s="8" t="str">
        <f t="shared" ref="AH212:AH213" si="2921">IF(AH$8="","",AG212)</f>
        <v/>
      </c>
      <c r="AI212" s="8" t="str">
        <f t="shared" ref="AI212:AI213" si="2922">IF(AI$8="","",AH212)</f>
        <v/>
      </c>
      <c r="AJ212" s="8" t="str">
        <f>IF(AJ$8="","",AI212)</f>
        <v/>
      </c>
      <c r="AK212" s="8" t="str">
        <f t="shared" ref="AK212:AK213" si="2923">IF(AK$8="","",AJ212)</f>
        <v/>
      </c>
      <c r="AL212" s="8" t="str">
        <f t="shared" ref="AL212:AL213" si="2924">IF(AL$8="","",AK212)</f>
        <v/>
      </c>
      <c r="AM212" s="8" t="str">
        <f t="shared" ref="AM212:AM213" si="2925">IF(AM$8="","",AL212)</f>
        <v/>
      </c>
      <c r="AN212" s="8" t="str">
        <f>IF(AN$8="","",AM212)</f>
        <v/>
      </c>
      <c r="AO212" s="8" t="str">
        <f t="shared" ref="AO212:AS212" si="2926">IF(AO$8="","",AN212)</f>
        <v/>
      </c>
      <c r="AP212" s="8" t="str">
        <f t="shared" si="2926"/>
        <v/>
      </c>
      <c r="AQ212" s="8" t="str">
        <f t="shared" si="2926"/>
        <v/>
      </c>
      <c r="AR212" s="8" t="str">
        <f t="shared" si="2926"/>
        <v/>
      </c>
      <c r="AS212" s="8" t="str">
        <f t="shared" si="2926"/>
        <v/>
      </c>
    </row>
    <row r="213" spans="1:45" s="84" customFormat="1" ht="11.25" x14ac:dyDescent="0.15">
      <c r="A213" s="16" t="str">
        <f>A201</f>
        <v>BUZZ＃4</v>
      </c>
      <c r="B213" s="9" t="s">
        <v>4</v>
      </c>
      <c r="C213" s="8">
        <v>430</v>
      </c>
      <c r="D213" s="8">
        <v>430</v>
      </c>
      <c r="E213" s="8">
        <v>430</v>
      </c>
      <c r="F213" s="8">
        <v>430</v>
      </c>
      <c r="G213" s="8">
        <v>430</v>
      </c>
      <c r="H213" s="8">
        <v>430</v>
      </c>
      <c r="I213" s="8">
        <v>430</v>
      </c>
      <c r="J213" s="8">
        <v>430</v>
      </c>
      <c r="K213" s="8">
        <v>430</v>
      </c>
      <c r="L213" s="8">
        <f>IF(L$8="","",K213)</f>
        <v>430</v>
      </c>
      <c r="M213" s="8">
        <f t="shared" ref="M212:M213" si="2927">IF(M$8="","",L213)</f>
        <v>430</v>
      </c>
      <c r="N213" s="8" t="str">
        <f t="shared" si="2910"/>
        <v/>
      </c>
      <c r="O213" s="8" t="str">
        <f>IF(O$8="","",N213)</f>
        <v/>
      </c>
      <c r="P213" s="8" t="str">
        <f t="shared" si="2911"/>
        <v/>
      </c>
      <c r="Q213" s="8" t="str">
        <f t="shared" si="2912"/>
        <v/>
      </c>
      <c r="R213" s="8" t="str">
        <f t="shared" si="2913"/>
        <v/>
      </c>
      <c r="S213" s="8" t="str">
        <f t="shared" ref="S212:S213" si="2928">IF(S$8="","",R213)</f>
        <v/>
      </c>
      <c r="T213" s="8" t="str">
        <f t="shared" ref="T213" si="2929">IF(T$8="","",S213)</f>
        <v/>
      </c>
      <c r="U213" s="8" t="str">
        <f t="shared" si="2914"/>
        <v/>
      </c>
      <c r="V213" s="8" t="str">
        <f t="shared" ref="V212:V213" si="2930">IF(V$8="","",U213)</f>
        <v/>
      </c>
      <c r="W213" s="8" t="str">
        <f t="shared" ref="W213" si="2931">IF(W$8="","",V213)</f>
        <v/>
      </c>
      <c r="X213" s="8" t="str">
        <f t="shared" si="2915"/>
        <v/>
      </c>
      <c r="Y213" s="8" t="str">
        <f t="shared" si="2916"/>
        <v/>
      </c>
      <c r="Z213" s="8" t="str">
        <f t="shared" ref="Z213" si="2932">IF(Z$8="","",Y213)</f>
        <v/>
      </c>
      <c r="AA213" s="8" t="str">
        <f t="shared" si="2917"/>
        <v/>
      </c>
      <c r="AB213" s="8" t="str">
        <f t="shared" si="2918"/>
        <v/>
      </c>
      <c r="AC213" s="8" t="str">
        <f t="shared" si="2919"/>
        <v/>
      </c>
      <c r="AD213" s="8" t="str">
        <f t="shared" ref="AD213" si="2933">IF(AD$8="","",AC213)</f>
        <v/>
      </c>
      <c r="AE213" s="8" t="str">
        <f t="shared" ref="AE212:AE213" si="2934">IF(AE$8="","",AD213)</f>
        <v/>
      </c>
      <c r="AF213" s="8" t="str">
        <f t="shared" si="2920"/>
        <v/>
      </c>
      <c r="AG213" s="8" t="str">
        <f>IF(AG$8="","",AF213)</f>
        <v/>
      </c>
      <c r="AH213" s="8" t="str">
        <f t="shared" si="2921"/>
        <v/>
      </c>
      <c r="AI213" s="8" t="str">
        <f t="shared" si="2922"/>
        <v/>
      </c>
      <c r="AJ213" s="8" t="str">
        <f t="shared" ref="AJ212:AJ213" si="2935">IF(AJ$8="","",AI213)</f>
        <v/>
      </c>
      <c r="AK213" s="8" t="str">
        <f t="shared" si="2923"/>
        <v/>
      </c>
      <c r="AL213" s="8" t="str">
        <f t="shared" si="2924"/>
        <v/>
      </c>
      <c r="AM213" s="8" t="str">
        <f t="shared" si="2925"/>
        <v/>
      </c>
      <c r="AN213" s="8" t="str">
        <f t="shared" ref="AN213" si="2936">IF(AN$8="","",AM213)</f>
        <v/>
      </c>
      <c r="AO213" s="8" t="str">
        <f t="shared" ref="AO213:AS213" si="2937">IF(AO$8="","",AN213)</f>
        <v/>
      </c>
      <c r="AP213" s="8" t="str">
        <f t="shared" si="2937"/>
        <v/>
      </c>
      <c r="AQ213" s="8" t="str">
        <f t="shared" si="2937"/>
        <v/>
      </c>
      <c r="AR213" s="8" t="str">
        <f t="shared" si="2937"/>
        <v/>
      </c>
      <c r="AS213" s="8" t="str">
        <f t="shared" si="2937"/>
        <v/>
      </c>
    </row>
    <row r="214" spans="1:45" s="84" customFormat="1" ht="11.25" x14ac:dyDescent="0.15">
      <c r="A214" s="15">
        <v>4</v>
      </c>
      <c r="B214" s="9" t="s">
        <v>5</v>
      </c>
      <c r="C214" s="8">
        <v>3</v>
      </c>
      <c r="D214" s="8">
        <v>3</v>
      </c>
      <c r="E214" s="8">
        <v>3</v>
      </c>
      <c r="F214" s="8">
        <v>3</v>
      </c>
      <c r="G214" s="8">
        <v>3</v>
      </c>
      <c r="H214" s="8">
        <v>3</v>
      </c>
      <c r="I214" s="8">
        <v>3</v>
      </c>
      <c r="J214" s="8">
        <v>3</v>
      </c>
      <c r="K214" s="8">
        <v>3</v>
      </c>
      <c r="L214" s="8">
        <f>IF(L212="","",(K214+K215))</f>
        <v>3</v>
      </c>
      <c r="M214" s="8">
        <f t="shared" ref="M214" si="2938">IF(M212="","",(L214+L215))</f>
        <v>3</v>
      </c>
      <c r="N214" s="8" t="str">
        <f t="shared" ref="N214" si="2939">IF(N212="","",(M214+M215))</f>
        <v/>
      </c>
      <c r="O214" s="8" t="str">
        <f t="shared" ref="O214" si="2940">IF(O212="","",(N214+N215))</f>
        <v/>
      </c>
      <c r="P214" s="8" t="str">
        <f t="shared" ref="P214" si="2941">IF(P212="","",(O214+O215))</f>
        <v/>
      </c>
      <c r="Q214" s="8" t="str">
        <f t="shared" ref="Q214" si="2942">IF(Q212="","",(P214+P215))</f>
        <v/>
      </c>
      <c r="R214" s="8" t="str">
        <f t="shared" ref="R214" si="2943">IF(R212="","",(Q214+Q215))</f>
        <v/>
      </c>
      <c r="S214" s="8" t="str">
        <f t="shared" ref="S214" si="2944">IF(S212="","",(R214+R215))</f>
        <v/>
      </c>
      <c r="T214" s="8" t="str">
        <f t="shared" ref="T214" si="2945">IF(T212="","",(S214+S215))</f>
        <v/>
      </c>
      <c r="U214" s="8" t="str">
        <f t="shared" ref="U214" si="2946">IF(U212="","",(T214+T215))</f>
        <v/>
      </c>
      <c r="V214" s="8" t="str">
        <f t="shared" ref="V214" si="2947">IF(V212="","",(U214+U215))</f>
        <v/>
      </c>
      <c r="W214" s="8" t="str">
        <f t="shared" ref="W214" si="2948">IF(W212="","",(V214+V215))</f>
        <v/>
      </c>
      <c r="X214" s="8" t="str">
        <f t="shared" ref="X214" si="2949">IF(X212="","",(W214+W215))</f>
        <v/>
      </c>
      <c r="Y214" s="8" t="str">
        <f t="shared" ref="Y214" si="2950">IF(Y212="","",(X214+X215))</f>
        <v/>
      </c>
      <c r="Z214" s="8" t="str">
        <f t="shared" ref="Z214" si="2951">IF(Z212="","",(Y214+Y215))</f>
        <v/>
      </c>
      <c r="AA214" s="8" t="str">
        <f t="shared" ref="AA214" si="2952">IF(AA212="","",(Z214+Z215))</f>
        <v/>
      </c>
      <c r="AB214" s="8" t="str">
        <f t="shared" ref="AB214" si="2953">IF(AB212="","",(AA214+AA215))</f>
        <v/>
      </c>
      <c r="AC214" s="8" t="str">
        <f t="shared" ref="AC214" si="2954">IF(AC212="","",(AB214+AB215))</f>
        <v/>
      </c>
      <c r="AD214" s="8" t="str">
        <f t="shared" ref="AD214" si="2955">IF(AD212="","",(AC214+AC215))</f>
        <v/>
      </c>
      <c r="AE214" s="8" t="str">
        <f t="shared" ref="AE214" si="2956">IF(AE212="","",(AD214+AD215))</f>
        <v/>
      </c>
      <c r="AF214" s="8" t="str">
        <f t="shared" ref="AF214" si="2957">IF(AF212="","",(AE214+AE215))</f>
        <v/>
      </c>
      <c r="AG214" s="8" t="str">
        <f t="shared" ref="AG214" si="2958">IF(AG212="","",(AF214+AF215))</f>
        <v/>
      </c>
      <c r="AH214" s="8" t="str">
        <f t="shared" ref="AH214" si="2959">IF(AH212="","",(AG214+AG215))</f>
        <v/>
      </c>
      <c r="AI214" s="8" t="str">
        <f t="shared" ref="AI214" si="2960">IF(AI212="","",(AH214+AH215))</f>
        <v/>
      </c>
      <c r="AJ214" s="8" t="str">
        <f t="shared" ref="AJ214" si="2961">IF(AJ212="","",(AI214+AI215))</f>
        <v/>
      </c>
      <c r="AK214" s="8" t="str">
        <f t="shared" ref="AK214" si="2962">IF(AK212="","",(AJ214+AJ215))</f>
        <v/>
      </c>
      <c r="AL214" s="8" t="str">
        <f t="shared" ref="AL214" si="2963">IF(AL212="","",(AK214+AK215))</f>
        <v/>
      </c>
      <c r="AM214" s="8" t="str">
        <f t="shared" ref="AM214" si="2964">IF(AM212="","",(AL214+AL215))</f>
        <v/>
      </c>
      <c r="AN214" s="8" t="str">
        <f t="shared" ref="AN214" si="2965">IF(AN212="","",(AM214+AM215))</f>
        <v/>
      </c>
      <c r="AO214" s="8" t="str">
        <f t="shared" ref="AO214:AS214" si="2966">IF(AO212="","",(AN214+AN215))</f>
        <v/>
      </c>
      <c r="AP214" s="8" t="str">
        <f t="shared" si="2966"/>
        <v/>
      </c>
      <c r="AQ214" s="8" t="str">
        <f t="shared" si="2966"/>
        <v/>
      </c>
      <c r="AR214" s="8" t="str">
        <f t="shared" si="2966"/>
        <v/>
      </c>
      <c r="AS214" s="8" t="str">
        <f t="shared" si="2966"/>
        <v/>
      </c>
    </row>
    <row r="215" spans="1:45" s="84" customFormat="1" ht="11.25" x14ac:dyDescent="0.15">
      <c r="A215" s="14"/>
      <c r="B215" s="9" t="s">
        <v>7</v>
      </c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</row>
    <row r="216" spans="1:45" s="84" customFormat="1" ht="11.25" x14ac:dyDescent="0.15">
      <c r="A216" s="7"/>
      <c r="B216" s="9" t="s">
        <v>8</v>
      </c>
      <c r="C216" s="8">
        <v>500</v>
      </c>
      <c r="D216" s="8">
        <v>500</v>
      </c>
      <c r="E216" s="8">
        <v>500</v>
      </c>
      <c r="F216" s="8">
        <v>500</v>
      </c>
      <c r="G216" s="8">
        <v>500</v>
      </c>
      <c r="H216" s="8">
        <v>500</v>
      </c>
      <c r="I216" s="8">
        <v>500</v>
      </c>
      <c r="J216" s="8">
        <v>500</v>
      </c>
      <c r="K216" s="8">
        <v>500</v>
      </c>
      <c r="L216" s="8">
        <f t="shared" ref="L216" si="2967">IF(L212="","",K216)</f>
        <v>500</v>
      </c>
      <c r="M216" s="8">
        <f t="shared" ref="M216" si="2968">IF(M212="","",L216)</f>
        <v>500</v>
      </c>
      <c r="N216" s="8" t="str">
        <f t="shared" ref="N216" si="2969">IF(N212="","",M216)</f>
        <v/>
      </c>
      <c r="O216" s="8" t="str">
        <f t="shared" ref="O216" si="2970">IF(O212="","",N216)</f>
        <v/>
      </c>
      <c r="P216" s="8" t="str">
        <f t="shared" ref="P216" si="2971">IF(P212="","",O216)</f>
        <v/>
      </c>
      <c r="Q216" s="8" t="str">
        <f t="shared" ref="Q216" si="2972">IF(Q212="","",P216)</f>
        <v/>
      </c>
      <c r="R216" s="8" t="str">
        <f t="shared" ref="R216" si="2973">IF(R212="","",Q216)</f>
        <v/>
      </c>
      <c r="S216" s="8" t="str">
        <f t="shared" ref="S216" si="2974">IF(S212="","",R216)</f>
        <v/>
      </c>
      <c r="T216" s="8" t="str">
        <f t="shared" ref="T216" si="2975">IF(T212="","",S216)</f>
        <v/>
      </c>
      <c r="U216" s="8" t="str">
        <f t="shared" ref="U216" si="2976">IF(U212="","",T216)</f>
        <v/>
      </c>
      <c r="V216" s="8" t="str">
        <f t="shared" ref="V216" si="2977">IF(V212="","",U216)</f>
        <v/>
      </c>
      <c r="W216" s="8" t="str">
        <f t="shared" ref="W216" si="2978">IF(W212="","",V216)</f>
        <v/>
      </c>
      <c r="X216" s="8" t="str">
        <f t="shared" ref="X216" si="2979">IF(X212="","",W216)</f>
        <v/>
      </c>
      <c r="Y216" s="8" t="str">
        <f t="shared" ref="Y216" si="2980">IF(Y212="","",X216)</f>
        <v/>
      </c>
      <c r="Z216" s="8" t="str">
        <f t="shared" ref="Z216" si="2981">IF(Z212="","",Y216)</f>
        <v/>
      </c>
      <c r="AA216" s="8" t="str">
        <f t="shared" ref="AA216" si="2982">IF(AA212="","",Z216)</f>
        <v/>
      </c>
      <c r="AB216" s="8" t="str">
        <f t="shared" ref="AB216" si="2983">IF(AB212="","",AA216)</f>
        <v/>
      </c>
      <c r="AC216" s="8" t="str">
        <f t="shared" ref="AC216" si="2984">IF(AC212="","",AB216)</f>
        <v/>
      </c>
      <c r="AD216" s="8" t="str">
        <f t="shared" ref="AD216" si="2985">IF(AD212="","",AC216)</f>
        <v/>
      </c>
      <c r="AE216" s="8" t="str">
        <f t="shared" ref="AE216" si="2986">IF(AE212="","",AD216)</f>
        <v/>
      </c>
      <c r="AF216" s="8" t="str">
        <f t="shared" ref="AF216" si="2987">IF(AF212="","",AE216)</f>
        <v/>
      </c>
      <c r="AG216" s="8" t="str">
        <f t="shared" ref="AG216" si="2988">IF(AG212="","",AF216)</f>
        <v/>
      </c>
      <c r="AH216" s="8" t="str">
        <f t="shared" ref="AH216" si="2989">IF(AH212="","",AG216)</f>
        <v/>
      </c>
      <c r="AI216" s="8" t="str">
        <f t="shared" ref="AI216" si="2990">IF(AI212="","",AH216)</f>
        <v/>
      </c>
      <c r="AJ216" s="8" t="str">
        <f t="shared" ref="AJ216" si="2991">IF(AJ212="","",AI216)</f>
        <v/>
      </c>
      <c r="AK216" s="8" t="str">
        <f t="shared" ref="AK216" si="2992">IF(AK212="","",AJ216)</f>
        <v/>
      </c>
      <c r="AL216" s="8" t="str">
        <f t="shared" ref="AL216" si="2993">IF(AL212="","",AK216)</f>
        <v/>
      </c>
      <c r="AM216" s="8" t="str">
        <f t="shared" ref="AM216" si="2994">IF(AM212="","",AL216)</f>
        <v/>
      </c>
      <c r="AN216" s="8" t="str">
        <f t="shared" ref="AN216" si="2995">IF(AN212="","",AM216)</f>
        <v/>
      </c>
      <c r="AO216" s="8" t="str">
        <f t="shared" ref="AO216:AS216" si="2996">IF(AO212="","",AN216)</f>
        <v/>
      </c>
      <c r="AP216" s="8" t="str">
        <f t="shared" si="2996"/>
        <v/>
      </c>
      <c r="AQ216" s="8" t="str">
        <f t="shared" si="2996"/>
        <v/>
      </c>
      <c r="AR216" s="8" t="str">
        <f t="shared" si="2996"/>
        <v/>
      </c>
      <c r="AS216" s="8" t="str">
        <f t="shared" si="2996"/>
        <v/>
      </c>
    </row>
    <row r="217" spans="1:45" s="85" customFormat="1" ht="11.25" x14ac:dyDescent="0.15">
      <c r="A217" s="14" t="s">
        <v>9</v>
      </c>
      <c r="B217" s="13" t="s">
        <v>10</v>
      </c>
      <c r="C217" s="12" t="s">
        <v>80</v>
      </c>
      <c r="D217" s="12" t="s">
        <v>80</v>
      </c>
      <c r="E217" s="12" t="s">
        <v>80</v>
      </c>
      <c r="F217" s="12" t="s">
        <v>80</v>
      </c>
      <c r="G217" s="12" t="s">
        <v>80</v>
      </c>
      <c r="H217" s="12" t="s">
        <v>80</v>
      </c>
      <c r="I217" s="12" t="s">
        <v>80</v>
      </c>
      <c r="J217" s="12" t="s">
        <v>80</v>
      </c>
      <c r="K217" s="12" t="s">
        <v>80</v>
      </c>
      <c r="L217" s="12" t="str">
        <f t="shared" ref="L217" si="2997">IF(L212="","",K217)</f>
        <v>スンスンポーチ</v>
      </c>
      <c r="M217" s="12" t="str">
        <f t="shared" ref="M217" si="2998">IF(M212="","",L217)</f>
        <v>スンスンポーチ</v>
      </c>
      <c r="N217" s="12" t="str">
        <f t="shared" ref="N217" si="2999">IF(N212="","",M217)</f>
        <v/>
      </c>
      <c r="O217" s="12" t="str">
        <f t="shared" ref="O217" si="3000">IF(O212="","",N217)</f>
        <v/>
      </c>
      <c r="P217" s="12" t="str">
        <f t="shared" ref="P217" si="3001">IF(P212="","",O217)</f>
        <v/>
      </c>
      <c r="Q217" s="12" t="str">
        <f t="shared" ref="Q217" si="3002">IF(Q212="","",P217)</f>
        <v/>
      </c>
      <c r="R217" s="12" t="str">
        <f t="shared" ref="R217" si="3003">IF(R212="","",Q217)</f>
        <v/>
      </c>
      <c r="S217" s="12" t="str">
        <f t="shared" ref="S217" si="3004">IF(S212="","",R217)</f>
        <v/>
      </c>
      <c r="T217" s="12" t="str">
        <f t="shared" ref="T217" si="3005">IF(T212="","",S217)</f>
        <v/>
      </c>
      <c r="U217" s="12" t="str">
        <f t="shared" ref="U217" si="3006">IF(U212="","",T217)</f>
        <v/>
      </c>
      <c r="V217" s="12" t="str">
        <f t="shared" ref="V217" si="3007">IF(V212="","",U217)</f>
        <v/>
      </c>
      <c r="W217" s="12" t="str">
        <f t="shared" ref="W217" si="3008">IF(W212="","",V217)</f>
        <v/>
      </c>
      <c r="X217" s="12" t="str">
        <f t="shared" ref="X217" si="3009">IF(X212="","",W217)</f>
        <v/>
      </c>
      <c r="Y217" s="12" t="str">
        <f t="shared" ref="Y217" si="3010">IF(Y212="","",X217)</f>
        <v/>
      </c>
      <c r="Z217" s="12" t="str">
        <f t="shared" ref="Z217" si="3011">IF(Z212="","",Y217)</f>
        <v/>
      </c>
      <c r="AA217" s="12" t="str">
        <f t="shared" ref="AA217" si="3012">IF(AA212="","",Z217)</f>
        <v/>
      </c>
      <c r="AB217" s="12" t="str">
        <f t="shared" ref="AB217" si="3013">IF(AB212="","",AA217)</f>
        <v/>
      </c>
      <c r="AC217" s="12" t="str">
        <f t="shared" ref="AC217" si="3014">IF(AC212="","",AB217)</f>
        <v/>
      </c>
      <c r="AD217" s="12" t="str">
        <f t="shared" ref="AD217" si="3015">IF(AD212="","",AC217)</f>
        <v/>
      </c>
      <c r="AE217" s="12" t="str">
        <f t="shared" ref="AE217" si="3016">IF(AE212="","",AD217)</f>
        <v/>
      </c>
      <c r="AF217" s="12" t="str">
        <f t="shared" ref="AF217" si="3017">IF(AF212="","",AE217)</f>
        <v/>
      </c>
      <c r="AG217" s="12" t="str">
        <f t="shared" ref="AG217" si="3018">IF(AG212="","",AF217)</f>
        <v/>
      </c>
      <c r="AH217" s="12" t="str">
        <f t="shared" ref="AH217" si="3019">IF(AH212="","",AG217)</f>
        <v/>
      </c>
      <c r="AI217" s="12" t="str">
        <f t="shared" ref="AI217" si="3020">IF(AI212="","",AH217)</f>
        <v/>
      </c>
      <c r="AJ217" s="12" t="str">
        <f t="shared" ref="AJ217" si="3021">IF(AJ212="","",AI217)</f>
        <v/>
      </c>
      <c r="AK217" s="12" t="str">
        <f t="shared" ref="AK217" si="3022">IF(AK212="","",AJ217)</f>
        <v/>
      </c>
      <c r="AL217" s="12" t="str">
        <f t="shared" ref="AL217" si="3023">IF(AL212="","",AK217)</f>
        <v/>
      </c>
      <c r="AM217" s="12" t="str">
        <f t="shared" ref="AM217" si="3024">IF(AM212="","",AL217)</f>
        <v/>
      </c>
      <c r="AN217" s="12" t="str">
        <f t="shared" ref="AN217" si="3025">IF(AN212="","",AM217)</f>
        <v/>
      </c>
      <c r="AO217" s="12" t="str">
        <f t="shared" ref="AO217:AS217" si="3026">IF(AO212="","",AN217)</f>
        <v/>
      </c>
      <c r="AP217" s="12" t="str">
        <f t="shared" si="3026"/>
        <v/>
      </c>
      <c r="AQ217" s="12" t="str">
        <f t="shared" si="3026"/>
        <v/>
      </c>
      <c r="AR217" s="12" t="str">
        <f t="shared" si="3026"/>
        <v/>
      </c>
      <c r="AS217" s="12" t="str">
        <f t="shared" si="3026"/>
        <v/>
      </c>
    </row>
    <row r="218" spans="1:45" s="84" customFormat="1" ht="11.25" x14ac:dyDescent="0.15">
      <c r="A218" s="7">
        <f>AVERAGE(C219:AS219)*30*100</f>
        <v>27545.454545454544</v>
      </c>
      <c r="B218" s="9" t="s">
        <v>12</v>
      </c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</row>
    <row r="219" spans="1:45" s="84" customFormat="1" ht="11.25" x14ac:dyDescent="0.15">
      <c r="A219" s="7">
        <f>SUM(C219:AS219)</f>
        <v>101</v>
      </c>
      <c r="B219" s="6" t="s">
        <v>13</v>
      </c>
      <c r="C219" s="5">
        <v>0</v>
      </c>
      <c r="D219" s="5">
        <v>20</v>
      </c>
      <c r="E219" s="5">
        <v>0</v>
      </c>
      <c r="F219" s="5">
        <v>0</v>
      </c>
      <c r="G219" s="5">
        <v>36</v>
      </c>
      <c r="H219" s="5">
        <v>0</v>
      </c>
      <c r="I219" s="5">
        <v>0</v>
      </c>
      <c r="J219" s="5">
        <v>0</v>
      </c>
      <c r="K219" s="5">
        <v>17</v>
      </c>
      <c r="L219" s="5">
        <f t="shared" ref="L219:L220" si="3027">IF(L212="","",L212-K212)</f>
        <v>0</v>
      </c>
      <c r="M219" s="5">
        <f t="shared" ref="M219:M220" si="3028">IF(M212="","",M212-L212)</f>
        <v>28</v>
      </c>
      <c r="N219" s="5" t="str">
        <f t="shared" ref="N219:N220" si="3029">IF(N212="","",N212-M212)</f>
        <v/>
      </c>
      <c r="O219" s="5" t="str">
        <f t="shared" ref="O219:O220" si="3030">IF(O212="","",O212-N212)</f>
        <v/>
      </c>
      <c r="P219" s="5" t="str">
        <f t="shared" ref="P219:P220" si="3031">IF(P212="","",P212-O212)</f>
        <v/>
      </c>
      <c r="Q219" s="5" t="str">
        <f t="shared" ref="Q219:Q220" si="3032">IF(Q212="","",Q212-P212)</f>
        <v/>
      </c>
      <c r="R219" s="5" t="str">
        <f t="shared" ref="R219:R220" si="3033">IF(R212="","",R212-Q212)</f>
        <v/>
      </c>
      <c r="S219" s="5" t="str">
        <f t="shared" ref="S219:S220" si="3034">IF(S212="","",S212-R212)</f>
        <v/>
      </c>
      <c r="T219" s="5" t="str">
        <f t="shared" ref="T219:T220" si="3035">IF(T212="","",T212-S212)</f>
        <v/>
      </c>
      <c r="U219" s="5" t="str">
        <f t="shared" ref="U219:U220" si="3036">IF(U212="","",U212-T212)</f>
        <v/>
      </c>
      <c r="V219" s="5" t="str">
        <f t="shared" ref="V219:V220" si="3037">IF(V212="","",V212-U212)</f>
        <v/>
      </c>
      <c r="W219" s="5" t="str">
        <f t="shared" ref="W219:W220" si="3038">IF(W212="","",W212-V212)</f>
        <v/>
      </c>
      <c r="X219" s="5" t="str">
        <f t="shared" ref="X219:X220" si="3039">IF(X212="","",X212-W212)</f>
        <v/>
      </c>
      <c r="Y219" s="5" t="str">
        <f t="shared" ref="Y219:Y220" si="3040">IF(Y212="","",Y212-X212)</f>
        <v/>
      </c>
      <c r="Z219" s="5" t="str">
        <f t="shared" ref="Z219:Z220" si="3041">IF(Z212="","",Z212-Y212)</f>
        <v/>
      </c>
      <c r="AA219" s="5" t="str">
        <f t="shared" ref="AA219:AA220" si="3042">IF(AA212="","",AA212-Z212)</f>
        <v/>
      </c>
      <c r="AB219" s="5" t="str">
        <f t="shared" ref="AB219:AB220" si="3043">IF(AB212="","",AB212-AA212)</f>
        <v/>
      </c>
      <c r="AC219" s="5" t="str">
        <f t="shared" ref="AC219:AC220" si="3044">IF(AC212="","",AC212-AB212)</f>
        <v/>
      </c>
      <c r="AD219" s="5" t="str">
        <f t="shared" ref="AD219:AD220" si="3045">IF(AD212="","",AD212-AC212)</f>
        <v/>
      </c>
      <c r="AE219" s="5" t="str">
        <f t="shared" ref="AE219:AE220" si="3046">IF(AE212="","",AE212-AD212)</f>
        <v/>
      </c>
      <c r="AF219" s="5" t="str">
        <f t="shared" ref="AF219:AF220" si="3047">IF(AF212="","",AF212-AE212)</f>
        <v/>
      </c>
      <c r="AG219" s="5" t="str">
        <f t="shared" ref="AG219:AG220" si="3048">IF(AG212="","",AG212-AF212)</f>
        <v/>
      </c>
      <c r="AH219" s="5" t="str">
        <f t="shared" ref="AH219:AH220" si="3049">IF(AH212="","",AH212-AG212)</f>
        <v/>
      </c>
      <c r="AI219" s="5" t="str">
        <f t="shared" ref="AI219:AI220" si="3050">IF(AI212="","",AI212-AH212)</f>
        <v/>
      </c>
      <c r="AJ219" s="5" t="str">
        <f t="shared" ref="AJ219:AJ220" si="3051">IF(AJ212="","",AJ212-AI212)</f>
        <v/>
      </c>
      <c r="AK219" s="5" t="str">
        <f t="shared" ref="AK219:AK220" si="3052">IF(AK212="","",AK212-AJ212)</f>
        <v/>
      </c>
      <c r="AL219" s="5" t="str">
        <f t="shared" ref="AL219:AL220" si="3053">IF(AL212="","",AL212-AK212)</f>
        <v/>
      </c>
      <c r="AM219" s="5" t="str">
        <f t="shared" ref="AM219:AM220" si="3054">IF(AM212="","",AM212-AL212)</f>
        <v/>
      </c>
      <c r="AN219" s="5" t="str">
        <f t="shared" ref="AN219" si="3055">IF(AN212="","",AN212-AM212)</f>
        <v/>
      </c>
      <c r="AO219" s="5" t="str">
        <f t="shared" ref="AO219:AS219" si="3056">IF(AO212="","",AO212-AN212)</f>
        <v/>
      </c>
      <c r="AP219" s="5" t="str">
        <f t="shared" si="3056"/>
        <v/>
      </c>
      <c r="AQ219" s="5" t="str">
        <f t="shared" si="3056"/>
        <v/>
      </c>
      <c r="AR219" s="5" t="str">
        <f t="shared" si="3056"/>
        <v/>
      </c>
      <c r="AS219" s="5" t="str">
        <f t="shared" si="3056"/>
        <v/>
      </c>
    </row>
    <row r="220" spans="1:45" s="84" customFormat="1" ht="11.25" x14ac:dyDescent="0.15">
      <c r="A220" s="7">
        <f>SUM(C220:AS220)</f>
        <v>0</v>
      </c>
      <c r="B220" s="6" t="s">
        <v>14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f t="shared" si="3027"/>
        <v>0</v>
      </c>
      <c r="M220" s="5">
        <f t="shared" si="3028"/>
        <v>0</v>
      </c>
      <c r="N220" s="5" t="str">
        <f t="shared" si="3029"/>
        <v/>
      </c>
      <c r="O220" s="5" t="str">
        <f t="shared" si="3030"/>
        <v/>
      </c>
      <c r="P220" s="5" t="str">
        <f t="shared" si="3031"/>
        <v/>
      </c>
      <c r="Q220" s="5" t="str">
        <f t="shared" si="3032"/>
        <v/>
      </c>
      <c r="R220" s="5" t="str">
        <f t="shared" si="3033"/>
        <v/>
      </c>
      <c r="S220" s="5" t="str">
        <f t="shared" si="3034"/>
        <v/>
      </c>
      <c r="T220" s="5" t="str">
        <f t="shared" si="3035"/>
        <v/>
      </c>
      <c r="U220" s="5" t="str">
        <f t="shared" si="3036"/>
        <v/>
      </c>
      <c r="V220" s="5" t="str">
        <f t="shared" si="3037"/>
        <v/>
      </c>
      <c r="W220" s="5" t="str">
        <f t="shared" si="3038"/>
        <v/>
      </c>
      <c r="X220" s="5" t="str">
        <f t="shared" si="3039"/>
        <v/>
      </c>
      <c r="Y220" s="5" t="str">
        <f t="shared" si="3040"/>
        <v/>
      </c>
      <c r="Z220" s="5" t="str">
        <f t="shared" si="3041"/>
        <v/>
      </c>
      <c r="AA220" s="5" t="str">
        <f t="shared" si="3042"/>
        <v/>
      </c>
      <c r="AB220" s="5" t="str">
        <f t="shared" si="3043"/>
        <v/>
      </c>
      <c r="AC220" s="5" t="str">
        <f t="shared" si="3044"/>
        <v/>
      </c>
      <c r="AD220" s="5" t="str">
        <f t="shared" si="3045"/>
        <v/>
      </c>
      <c r="AE220" s="5" t="str">
        <f t="shared" si="3046"/>
        <v/>
      </c>
      <c r="AF220" s="5" t="str">
        <f t="shared" si="3047"/>
        <v/>
      </c>
      <c r="AG220" s="5" t="str">
        <f t="shared" si="3048"/>
        <v/>
      </c>
      <c r="AH220" s="5" t="str">
        <f t="shared" si="3049"/>
        <v/>
      </c>
      <c r="AI220" s="5" t="str">
        <f t="shared" si="3050"/>
        <v/>
      </c>
      <c r="AJ220" s="5" t="str">
        <f t="shared" si="3051"/>
        <v/>
      </c>
      <c r="AK220" s="5" t="str">
        <f t="shared" si="3052"/>
        <v/>
      </c>
      <c r="AL220" s="5" t="str">
        <f t="shared" si="3053"/>
        <v/>
      </c>
      <c r="AM220" s="5" t="str">
        <f t="shared" si="3054"/>
        <v/>
      </c>
      <c r="AN220" s="5" t="str">
        <f t="shared" ref="AN220" si="3057">IF(AN213="","",AN213-AM213)</f>
        <v/>
      </c>
      <c r="AO220" s="5" t="str">
        <f t="shared" ref="AO220:AS220" si="3058">IF(AO213="","",AO213-AN213)</f>
        <v/>
      </c>
      <c r="AP220" s="5" t="str">
        <f t="shared" si="3058"/>
        <v/>
      </c>
      <c r="AQ220" s="5" t="str">
        <f t="shared" si="3058"/>
        <v/>
      </c>
      <c r="AR220" s="5" t="str">
        <f t="shared" si="3058"/>
        <v/>
      </c>
      <c r="AS220" s="5" t="str">
        <f t="shared" si="3058"/>
        <v/>
      </c>
    </row>
    <row r="221" spans="1:45" s="84" customFormat="1" ht="11.25" x14ac:dyDescent="0.15">
      <c r="A221" s="7">
        <f>SUM(C221:AS221)</f>
        <v>0</v>
      </c>
      <c r="B221" s="6" t="s">
        <v>15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f t="shared" ref="L221" si="3059">IF(L214="","",K214+K215-L214)</f>
        <v>0</v>
      </c>
      <c r="M221" s="5">
        <f t="shared" ref="M221" si="3060">IF(M214="","",L214+L215-M214)</f>
        <v>0</v>
      </c>
      <c r="N221" s="5" t="str">
        <f t="shared" ref="N221" si="3061">IF(N214="","",M214+M215-N214)</f>
        <v/>
      </c>
      <c r="O221" s="5" t="str">
        <f t="shared" ref="O221" si="3062">IF(O214="","",N214+N215-O214)</f>
        <v/>
      </c>
      <c r="P221" s="5" t="str">
        <f t="shared" ref="P221" si="3063">IF(P214="","",O214+O215-P214)</f>
        <v/>
      </c>
      <c r="Q221" s="5" t="str">
        <f t="shared" ref="Q221" si="3064">IF(Q214="","",P214+P215-Q214)</f>
        <v/>
      </c>
      <c r="R221" s="5" t="str">
        <f t="shared" ref="R221" si="3065">IF(R214="","",Q214+Q215-R214)</f>
        <v/>
      </c>
      <c r="S221" s="5" t="str">
        <f t="shared" ref="S221" si="3066">IF(S214="","",R214+R215-S214)</f>
        <v/>
      </c>
      <c r="T221" s="5" t="str">
        <f t="shared" ref="T221" si="3067">IF(T214="","",S214+S215-T214)</f>
        <v/>
      </c>
      <c r="U221" s="5" t="str">
        <f t="shared" ref="U221" si="3068">IF(U214="","",T214+T215-U214)</f>
        <v/>
      </c>
      <c r="V221" s="5" t="str">
        <f t="shared" ref="V221" si="3069">IF(V214="","",U214+U215-V214)</f>
        <v/>
      </c>
      <c r="W221" s="5" t="str">
        <f t="shared" ref="W221" si="3070">IF(W214="","",V214+V215-W214)</f>
        <v/>
      </c>
      <c r="X221" s="5" t="str">
        <f t="shared" ref="X221" si="3071">IF(X214="","",W214+W215-X214)</f>
        <v/>
      </c>
      <c r="Y221" s="5" t="str">
        <f t="shared" ref="Y221" si="3072">IF(Y214="","",X214+X215-Y214)</f>
        <v/>
      </c>
      <c r="Z221" s="5" t="str">
        <f t="shared" ref="Z221" si="3073">IF(Z214="","",Y214+Y215-Z214)</f>
        <v/>
      </c>
      <c r="AA221" s="5" t="str">
        <f t="shared" ref="AA221" si="3074">IF(AA214="","",Z214+Z215-AA214)</f>
        <v/>
      </c>
      <c r="AB221" s="5" t="str">
        <f t="shared" ref="AB221" si="3075">IF(AB214="","",AA214+AA215-AB214)</f>
        <v/>
      </c>
      <c r="AC221" s="5" t="str">
        <f t="shared" ref="AC221" si="3076">IF(AC214="","",AB214+AB215-AC214)</f>
        <v/>
      </c>
      <c r="AD221" s="5" t="str">
        <f t="shared" ref="AD221" si="3077">IF(AD214="","",AC214+AC215-AD214)</f>
        <v/>
      </c>
      <c r="AE221" s="5" t="str">
        <f t="shared" ref="AE221" si="3078">IF(AE214="","",AD214+AD215-AE214)</f>
        <v/>
      </c>
      <c r="AF221" s="5" t="str">
        <f t="shared" ref="AF221" si="3079">IF(AF214="","",AE214+AE215-AF214)</f>
        <v/>
      </c>
      <c r="AG221" s="5" t="str">
        <f t="shared" ref="AG221" si="3080">IF(AG214="","",AF214+AF215-AG214)</f>
        <v/>
      </c>
      <c r="AH221" s="5" t="str">
        <f t="shared" ref="AH221" si="3081">IF(AH214="","",AG214+AG215-AH214)</f>
        <v/>
      </c>
      <c r="AI221" s="5" t="str">
        <f t="shared" ref="AI221" si="3082">IF(AI214="","",AH214+AH215-AI214)</f>
        <v/>
      </c>
      <c r="AJ221" s="5" t="str">
        <f t="shared" ref="AJ221" si="3083">IF(AJ214="","",AI214+AI215-AJ214)</f>
        <v/>
      </c>
      <c r="AK221" s="5" t="str">
        <f t="shared" ref="AK221" si="3084">IF(AK214="","",AJ214+AJ215-AK214)</f>
        <v/>
      </c>
      <c r="AL221" s="5" t="str">
        <f t="shared" ref="AL221" si="3085">IF(AL214="","",AK214+AK215-AL214)</f>
        <v/>
      </c>
      <c r="AM221" s="5" t="str">
        <f t="shared" ref="AM221" si="3086">IF(AM214="","",AL214+AL215-AM214)</f>
        <v/>
      </c>
      <c r="AN221" s="5" t="str">
        <f t="shared" ref="AN221" si="3087">IF(AN214="","",AM214+AM215-AN214)</f>
        <v/>
      </c>
      <c r="AO221" s="5" t="str">
        <f t="shared" ref="AO221:AS221" si="3088">IF(AO214="","",AN214+AN215-AO214)</f>
        <v/>
      </c>
      <c r="AP221" s="5" t="str">
        <f t="shared" si="3088"/>
        <v/>
      </c>
      <c r="AQ221" s="5" t="str">
        <f t="shared" si="3088"/>
        <v/>
      </c>
      <c r="AR221" s="5" t="str">
        <f t="shared" si="3088"/>
        <v/>
      </c>
      <c r="AS221" s="5" t="str">
        <f t="shared" si="3088"/>
        <v/>
      </c>
    </row>
    <row r="222" spans="1:45" s="84" customFormat="1" ht="11.25" x14ac:dyDescent="0.15">
      <c r="A222" s="7">
        <f>SUM(C222:AS222)</f>
        <v>0</v>
      </c>
      <c r="B222" s="6" t="s">
        <v>16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f t="shared" ref="J222:AM222" si="3089">IF(L212="","",L221*L216)</f>
        <v>0</v>
      </c>
      <c r="M222" s="5">
        <f t="shared" si="3089"/>
        <v>0</v>
      </c>
      <c r="N222" s="5" t="str">
        <f t="shared" si="3089"/>
        <v/>
      </c>
      <c r="O222" s="5" t="str">
        <f t="shared" si="3089"/>
        <v/>
      </c>
      <c r="P222" s="5" t="str">
        <f t="shared" si="3089"/>
        <v/>
      </c>
      <c r="Q222" s="5" t="str">
        <f t="shared" si="3089"/>
        <v/>
      </c>
      <c r="R222" s="5" t="str">
        <f t="shared" si="3089"/>
        <v/>
      </c>
      <c r="S222" s="5" t="str">
        <f t="shared" si="3089"/>
        <v/>
      </c>
      <c r="T222" s="5" t="str">
        <f t="shared" si="3089"/>
        <v/>
      </c>
      <c r="U222" s="5" t="str">
        <f t="shared" si="3089"/>
        <v/>
      </c>
      <c r="V222" s="5" t="str">
        <f t="shared" si="3089"/>
        <v/>
      </c>
      <c r="W222" s="5" t="str">
        <f t="shared" si="3089"/>
        <v/>
      </c>
      <c r="X222" s="5" t="str">
        <f t="shared" si="3089"/>
        <v/>
      </c>
      <c r="Y222" s="5" t="str">
        <f t="shared" si="3089"/>
        <v/>
      </c>
      <c r="Z222" s="5" t="str">
        <f t="shared" si="3089"/>
        <v/>
      </c>
      <c r="AA222" s="5" t="str">
        <f t="shared" si="3089"/>
        <v/>
      </c>
      <c r="AB222" s="5" t="str">
        <f t="shared" si="3089"/>
        <v/>
      </c>
      <c r="AC222" s="5" t="str">
        <f t="shared" si="3089"/>
        <v/>
      </c>
      <c r="AD222" s="5" t="str">
        <f t="shared" si="3089"/>
        <v/>
      </c>
      <c r="AE222" s="5" t="str">
        <f t="shared" si="3089"/>
        <v/>
      </c>
      <c r="AF222" s="5" t="str">
        <f t="shared" si="3089"/>
        <v/>
      </c>
      <c r="AG222" s="5" t="str">
        <f t="shared" si="3089"/>
        <v/>
      </c>
      <c r="AH222" s="5" t="str">
        <f t="shared" si="3089"/>
        <v/>
      </c>
      <c r="AI222" s="5" t="str">
        <f t="shared" si="3089"/>
        <v/>
      </c>
      <c r="AJ222" s="5" t="str">
        <f t="shared" si="3089"/>
        <v/>
      </c>
      <c r="AK222" s="5" t="str">
        <f t="shared" si="3089"/>
        <v/>
      </c>
      <c r="AL222" s="5" t="str">
        <f t="shared" si="3089"/>
        <v/>
      </c>
      <c r="AM222" s="5" t="str">
        <f t="shared" si="3089"/>
        <v/>
      </c>
      <c r="AN222" s="5" t="str">
        <f t="shared" ref="AN222" si="3090">IF(AN212="","",AN221*AN216)</f>
        <v/>
      </c>
      <c r="AO222" s="5" t="str">
        <f t="shared" ref="AO222:AS222" si="3091">IF(AO212="","",AO221*AO216)</f>
        <v/>
      </c>
      <c r="AP222" s="5" t="str">
        <f t="shared" si="3091"/>
        <v/>
      </c>
      <c r="AQ222" s="5" t="str">
        <f t="shared" si="3091"/>
        <v/>
      </c>
      <c r="AR222" s="5" t="str">
        <f t="shared" si="3091"/>
        <v/>
      </c>
      <c r="AS222" s="5" t="str">
        <f t="shared" si="3091"/>
        <v/>
      </c>
    </row>
    <row r="223" spans="1:45" s="84" customFormat="1" ht="12" thickBot="1" x14ac:dyDescent="0.2">
      <c r="A223" s="4">
        <f>IF(A222="","",A222/(A219*100))</f>
        <v>0</v>
      </c>
      <c r="B223" s="3" t="s">
        <v>18</v>
      </c>
      <c r="C223" s="2" t="s">
        <v>19</v>
      </c>
      <c r="D223" s="2" t="s">
        <v>19</v>
      </c>
      <c r="E223" s="2" t="s">
        <v>19</v>
      </c>
      <c r="F223" s="2" t="s">
        <v>19</v>
      </c>
      <c r="G223" s="2" t="s">
        <v>19</v>
      </c>
      <c r="H223" s="2" t="s">
        <v>19</v>
      </c>
      <c r="I223" s="2" t="s">
        <v>19</v>
      </c>
      <c r="J223" s="2" t="s">
        <v>19</v>
      </c>
      <c r="K223" s="2" t="s">
        <v>19</v>
      </c>
      <c r="L223" s="2" t="str">
        <f t="shared" ref="J223:AM223" si="3092">IF(L222="","",IF(L222=0,"",L222/(L219*100)))</f>
        <v/>
      </c>
      <c r="M223" s="2" t="str">
        <f t="shared" si="3092"/>
        <v/>
      </c>
      <c r="N223" s="2" t="str">
        <f t="shared" si="3092"/>
        <v/>
      </c>
      <c r="O223" s="2" t="str">
        <f t="shared" si="3092"/>
        <v/>
      </c>
      <c r="P223" s="2" t="str">
        <f t="shared" si="3092"/>
        <v/>
      </c>
      <c r="Q223" s="2" t="str">
        <f t="shared" si="3092"/>
        <v/>
      </c>
      <c r="R223" s="2" t="str">
        <f t="shared" si="3092"/>
        <v/>
      </c>
      <c r="S223" s="2" t="str">
        <f t="shared" si="3092"/>
        <v/>
      </c>
      <c r="T223" s="2" t="str">
        <f t="shared" si="3092"/>
        <v/>
      </c>
      <c r="U223" s="2" t="str">
        <f t="shared" si="3092"/>
        <v/>
      </c>
      <c r="V223" s="2" t="str">
        <f t="shared" si="3092"/>
        <v/>
      </c>
      <c r="W223" s="2" t="str">
        <f t="shared" si="3092"/>
        <v/>
      </c>
      <c r="X223" s="2" t="str">
        <f t="shared" si="3092"/>
        <v/>
      </c>
      <c r="Y223" s="2" t="str">
        <f t="shared" si="3092"/>
        <v/>
      </c>
      <c r="Z223" s="2" t="str">
        <f t="shared" si="3092"/>
        <v/>
      </c>
      <c r="AA223" s="2" t="str">
        <f t="shared" si="3092"/>
        <v/>
      </c>
      <c r="AB223" s="2" t="str">
        <f t="shared" si="3092"/>
        <v/>
      </c>
      <c r="AC223" s="2" t="str">
        <f t="shared" si="3092"/>
        <v/>
      </c>
      <c r="AD223" s="2" t="str">
        <f t="shared" si="3092"/>
        <v/>
      </c>
      <c r="AE223" s="2" t="str">
        <f t="shared" si="3092"/>
        <v/>
      </c>
      <c r="AF223" s="2" t="str">
        <f t="shared" si="3092"/>
        <v/>
      </c>
      <c r="AG223" s="2" t="str">
        <f t="shared" si="3092"/>
        <v/>
      </c>
      <c r="AH223" s="2" t="str">
        <f t="shared" si="3092"/>
        <v/>
      </c>
      <c r="AI223" s="2" t="str">
        <f t="shared" si="3092"/>
        <v/>
      </c>
      <c r="AJ223" s="2" t="str">
        <f t="shared" si="3092"/>
        <v/>
      </c>
      <c r="AK223" s="2" t="str">
        <f t="shared" si="3092"/>
        <v/>
      </c>
      <c r="AL223" s="2" t="str">
        <f t="shared" si="3092"/>
        <v/>
      </c>
      <c r="AM223" s="2" t="str">
        <f t="shared" si="3092"/>
        <v/>
      </c>
      <c r="AN223" s="2" t="str">
        <f t="shared" ref="AN223" si="3093">IF(AN222="","",IF(AN222=0,"",AN222/(AN219*100)))</f>
        <v/>
      </c>
      <c r="AO223" s="2" t="str">
        <f t="shared" ref="AO223:AS223" si="3094">IF(AO222="","",IF(AO222=0,"",AO222/(AO219*100)))</f>
        <v/>
      </c>
      <c r="AP223" s="2" t="str">
        <f t="shared" si="3094"/>
        <v/>
      </c>
      <c r="AQ223" s="2" t="str">
        <f t="shared" si="3094"/>
        <v/>
      </c>
      <c r="AR223" s="2" t="str">
        <f t="shared" si="3094"/>
        <v/>
      </c>
      <c r="AS223" s="2" t="str">
        <f t="shared" si="3094"/>
        <v/>
      </c>
    </row>
    <row r="224" spans="1:45" s="84" customFormat="1" ht="11.25" x14ac:dyDescent="0.15">
      <c r="A224" s="22" t="s">
        <v>77</v>
      </c>
      <c r="B224" s="21" t="s">
        <v>2</v>
      </c>
      <c r="C224" s="20">
        <v>24846</v>
      </c>
      <c r="D224" s="20">
        <v>24849</v>
      </c>
      <c r="E224" s="20">
        <v>24849</v>
      </c>
      <c r="F224" s="20">
        <v>24849</v>
      </c>
      <c r="G224" s="20">
        <v>24893</v>
      </c>
      <c r="H224" s="20">
        <v>24893</v>
      </c>
      <c r="I224" s="20">
        <v>24893</v>
      </c>
      <c r="J224" s="20">
        <v>24893</v>
      </c>
      <c r="K224" s="20">
        <v>24908</v>
      </c>
      <c r="L224" s="20">
        <f>IF(L$8="","",K224)</f>
        <v>24908</v>
      </c>
      <c r="M224" s="20">
        <v>24933</v>
      </c>
      <c r="N224" s="20" t="str">
        <f t="shared" ref="N224:N225" si="3095">IF(N$8="","",M224)</f>
        <v/>
      </c>
      <c r="O224" s="20" t="str">
        <f>IF(O$8="","",N224)</f>
        <v/>
      </c>
      <c r="P224" s="20" t="str">
        <f t="shared" ref="P224:P225" si="3096">IF(P$8="","",O224)</f>
        <v/>
      </c>
      <c r="Q224" s="20" t="str">
        <f t="shared" ref="Q224:Q225" si="3097">IF(Q$8="","",P224)</f>
        <v/>
      </c>
      <c r="R224" s="20" t="str">
        <f t="shared" ref="R224:R225" si="3098">IF(R$8="","",Q224)</f>
        <v/>
      </c>
      <c r="S224" s="20" t="str">
        <f>IF(S$8="","",R224)</f>
        <v/>
      </c>
      <c r="T224" s="20" t="str">
        <f>IF(T$8="","",S224)</f>
        <v/>
      </c>
      <c r="U224" s="20" t="str">
        <f t="shared" ref="U224:U225" si="3099">IF(U$8="","",T224)</f>
        <v/>
      </c>
      <c r="V224" s="20" t="str">
        <f>IF(V$8="","",U224)</f>
        <v/>
      </c>
      <c r="W224" s="20" t="str">
        <f>IF(W$8="","",V224)</f>
        <v/>
      </c>
      <c r="X224" s="20" t="str">
        <f t="shared" ref="X224:X225" si="3100">IF(X$8="","",W224)</f>
        <v/>
      </c>
      <c r="Y224" s="20" t="str">
        <f t="shared" ref="Y224:Y225" si="3101">IF(Y$8="","",X224)</f>
        <v/>
      </c>
      <c r="Z224" s="20" t="str">
        <f>IF(Z$8="","",Y224)</f>
        <v/>
      </c>
      <c r="AA224" s="20" t="str">
        <f t="shared" ref="AA224:AA225" si="3102">IF(AA$8="","",Z224)</f>
        <v/>
      </c>
      <c r="AB224" s="20" t="str">
        <f t="shared" ref="AB224:AB225" si="3103">IF(AB$8="","",AA224)</f>
        <v/>
      </c>
      <c r="AC224" s="20" t="str">
        <f t="shared" ref="AC224:AC225" si="3104">IF(AC$8="","",AB224)</f>
        <v/>
      </c>
      <c r="AD224" s="20" t="str">
        <f>IF(AD$8="","",AC224)</f>
        <v/>
      </c>
      <c r="AE224" s="20" t="str">
        <f>IF(AE$8="","",AD224)</f>
        <v/>
      </c>
      <c r="AF224" s="20" t="str">
        <f t="shared" ref="AF224:AF225" si="3105">IF(AF$8="","",AE224)</f>
        <v/>
      </c>
      <c r="AG224" s="20" t="str">
        <f>IF(AG$8="","",AF224)</f>
        <v/>
      </c>
      <c r="AH224" s="20" t="str">
        <f t="shared" ref="AH224:AH225" si="3106">IF(AH$8="","",AG224)</f>
        <v/>
      </c>
      <c r="AI224" s="20" t="str">
        <f t="shared" ref="AI224:AI225" si="3107">IF(AI$8="","",AH224)</f>
        <v/>
      </c>
      <c r="AJ224" s="20" t="str">
        <f>IF(AJ$8="","",AI224)</f>
        <v/>
      </c>
      <c r="AK224" s="20" t="str">
        <f t="shared" ref="AK224:AK225" si="3108">IF(AK$8="","",AJ224)</f>
        <v/>
      </c>
      <c r="AL224" s="20" t="str">
        <f t="shared" ref="AL224:AL225" si="3109">IF(AL$8="","",AK224)</f>
        <v/>
      </c>
      <c r="AM224" s="20" t="str">
        <f t="shared" ref="AM224:AM225" si="3110">IF(AM$8="","",AL224)</f>
        <v/>
      </c>
      <c r="AN224" s="20" t="str">
        <f>IF(AN$8="","",AM224)</f>
        <v/>
      </c>
      <c r="AO224" s="20" t="str">
        <f t="shared" ref="AO224:AS224" si="3111">IF(AO$8="","",AN224)</f>
        <v/>
      </c>
      <c r="AP224" s="20" t="str">
        <f t="shared" si="3111"/>
        <v/>
      </c>
      <c r="AQ224" s="20" t="str">
        <f t="shared" si="3111"/>
        <v/>
      </c>
      <c r="AR224" s="20" t="str">
        <f t="shared" si="3111"/>
        <v/>
      </c>
      <c r="AS224" s="20" t="str">
        <f t="shared" si="3111"/>
        <v/>
      </c>
    </row>
    <row r="225" spans="1:45" s="84" customFormat="1" ht="11.25" x14ac:dyDescent="0.15">
      <c r="A225" s="16" t="s">
        <v>81</v>
      </c>
      <c r="B225" s="9" t="s">
        <v>4</v>
      </c>
      <c r="C225" s="8">
        <v>1243</v>
      </c>
      <c r="D225" s="8">
        <v>1243</v>
      </c>
      <c r="E225" s="8">
        <v>1243</v>
      </c>
      <c r="F225" s="8">
        <v>1243</v>
      </c>
      <c r="G225" s="8">
        <v>1243</v>
      </c>
      <c r="H225" s="8">
        <v>1243</v>
      </c>
      <c r="I225" s="8">
        <v>1243</v>
      </c>
      <c r="J225" s="8">
        <v>1243</v>
      </c>
      <c r="K225" s="8">
        <v>1243</v>
      </c>
      <c r="L225" s="8">
        <f>IF(L$8="","",K225)</f>
        <v>1243</v>
      </c>
      <c r="M225" s="8">
        <v>1244</v>
      </c>
      <c r="N225" s="8" t="str">
        <f t="shared" si="3095"/>
        <v/>
      </c>
      <c r="O225" s="8" t="str">
        <f>IF(O$8="","",N225)</f>
        <v/>
      </c>
      <c r="P225" s="8" t="str">
        <f t="shared" si="3096"/>
        <v/>
      </c>
      <c r="Q225" s="8" t="str">
        <f t="shared" si="3097"/>
        <v/>
      </c>
      <c r="R225" s="8" t="str">
        <f t="shared" si="3098"/>
        <v/>
      </c>
      <c r="S225" s="8" t="str">
        <f>IF(S$8="","",R225)</f>
        <v/>
      </c>
      <c r="T225" s="8" t="str">
        <f>IF(T$8="","",S225)</f>
        <v/>
      </c>
      <c r="U225" s="8" t="str">
        <f t="shared" si="3099"/>
        <v/>
      </c>
      <c r="V225" s="8" t="str">
        <f>IF(V$8="","",U225)</f>
        <v/>
      </c>
      <c r="W225" s="8" t="str">
        <f>IF(W$8="","",V225)</f>
        <v/>
      </c>
      <c r="X225" s="8" t="str">
        <f t="shared" si="3100"/>
        <v/>
      </c>
      <c r="Y225" s="8" t="str">
        <f t="shared" si="3101"/>
        <v/>
      </c>
      <c r="Z225" s="8" t="str">
        <f>IF(Z$8="","",Y225)</f>
        <v/>
      </c>
      <c r="AA225" s="8" t="str">
        <f t="shared" si="3102"/>
        <v/>
      </c>
      <c r="AB225" s="8" t="str">
        <f t="shared" si="3103"/>
        <v/>
      </c>
      <c r="AC225" s="8" t="str">
        <f t="shared" si="3104"/>
        <v/>
      </c>
      <c r="AD225" s="8" t="str">
        <f>IF(AD$8="","",AC225)</f>
        <v/>
      </c>
      <c r="AE225" s="8" t="str">
        <f>IF(AE$8="","",AD225)</f>
        <v/>
      </c>
      <c r="AF225" s="8" t="str">
        <f t="shared" si="3105"/>
        <v/>
      </c>
      <c r="AG225" s="8" t="str">
        <f>IF(AG$8="","",AF225)</f>
        <v/>
      </c>
      <c r="AH225" s="8" t="str">
        <f t="shared" si="3106"/>
        <v/>
      </c>
      <c r="AI225" s="8" t="str">
        <f t="shared" si="3107"/>
        <v/>
      </c>
      <c r="AJ225" s="8" t="str">
        <f t="shared" ref="AJ224:AJ225" si="3112">IF(AJ$8="","",AI225)</f>
        <v/>
      </c>
      <c r="AK225" s="8" t="str">
        <f t="shared" si="3108"/>
        <v/>
      </c>
      <c r="AL225" s="8" t="str">
        <f t="shared" si="3109"/>
        <v/>
      </c>
      <c r="AM225" s="8" t="str">
        <f t="shared" si="3110"/>
        <v/>
      </c>
      <c r="AN225" s="8" t="str">
        <f t="shared" ref="AN225" si="3113">IF(AN$8="","",AM225)</f>
        <v/>
      </c>
      <c r="AO225" s="8" t="str">
        <f t="shared" ref="AO225:AS225" si="3114">IF(AO$8="","",AN225)</f>
        <v/>
      </c>
      <c r="AP225" s="8" t="str">
        <f t="shared" si="3114"/>
        <v/>
      </c>
      <c r="AQ225" s="8" t="str">
        <f t="shared" si="3114"/>
        <v/>
      </c>
      <c r="AR225" s="8" t="str">
        <f t="shared" si="3114"/>
        <v/>
      </c>
      <c r="AS225" s="8" t="str">
        <f t="shared" si="3114"/>
        <v/>
      </c>
    </row>
    <row r="226" spans="1:45" s="84" customFormat="1" ht="11.25" x14ac:dyDescent="0.15">
      <c r="A226" s="15">
        <v>1</v>
      </c>
      <c r="B226" s="9" t="s">
        <v>5</v>
      </c>
      <c r="C226" s="8">
        <v>13</v>
      </c>
      <c r="D226" s="8">
        <v>13</v>
      </c>
      <c r="E226" s="8">
        <v>13</v>
      </c>
      <c r="F226" s="8">
        <v>13</v>
      </c>
      <c r="G226" s="8">
        <v>12</v>
      </c>
      <c r="H226" s="8">
        <v>16</v>
      </c>
      <c r="I226" s="8">
        <v>16</v>
      </c>
      <c r="J226" s="8">
        <v>16</v>
      </c>
      <c r="K226" s="8">
        <v>16</v>
      </c>
      <c r="L226" s="8">
        <f>IF(L224="","",(K226+K227))</f>
        <v>16</v>
      </c>
      <c r="M226" s="8">
        <v>15</v>
      </c>
      <c r="N226" s="8" t="str">
        <f t="shared" ref="N226" si="3115">IF(N224="","",(M226+M227))</f>
        <v/>
      </c>
      <c r="O226" s="8" t="str">
        <f>IF(O224="","",(N226+N227))</f>
        <v/>
      </c>
      <c r="P226" s="8" t="str">
        <f t="shared" ref="P226" si="3116">IF(P224="","",(O226+O227))</f>
        <v/>
      </c>
      <c r="Q226" s="8" t="str">
        <f t="shared" ref="Q226" si="3117">IF(Q224="","",(P226+P227))</f>
        <v/>
      </c>
      <c r="R226" s="8" t="str">
        <f t="shared" ref="R226" si="3118">IF(R224="","",(Q226+Q227))</f>
        <v/>
      </c>
      <c r="S226" s="8" t="str">
        <f>IF(S224="","",(R226+R227))</f>
        <v/>
      </c>
      <c r="T226" s="8" t="str">
        <f>IF(T224="","",(S226+S227))</f>
        <v/>
      </c>
      <c r="U226" s="8" t="str">
        <f t="shared" ref="U226" si="3119">IF(U224="","",(T226+T227))</f>
        <v/>
      </c>
      <c r="V226" s="8" t="str">
        <f>IF(V224="","",(U226+U227))</f>
        <v/>
      </c>
      <c r="W226" s="8" t="str">
        <f>IF(W224="","",(V226+V227))</f>
        <v/>
      </c>
      <c r="X226" s="8" t="str">
        <f t="shared" ref="X226" si="3120">IF(X224="","",(W226+W227))</f>
        <v/>
      </c>
      <c r="Y226" s="8" t="str">
        <f t="shared" ref="Y226" si="3121">IF(Y224="","",(X226+X227))</f>
        <v/>
      </c>
      <c r="Z226" s="8" t="str">
        <f>IF(Z224="","",(Y226+Y227))</f>
        <v/>
      </c>
      <c r="AA226" s="8" t="str">
        <f t="shared" ref="AA226" si="3122">IF(AA224="","",(Z226+Z227))</f>
        <v/>
      </c>
      <c r="AB226" s="8" t="str">
        <f t="shared" ref="AB226" si="3123">IF(AB224="","",(AA226+AA227))</f>
        <v/>
      </c>
      <c r="AC226" s="8" t="str">
        <f t="shared" ref="AC226" si="3124">IF(AC224="","",(AB226+AB227))</f>
        <v/>
      </c>
      <c r="AD226" s="8" t="str">
        <f>IF(AD224="","",(AC226+AC227))</f>
        <v/>
      </c>
      <c r="AE226" s="8" t="str">
        <f>IF(AE224="","",(AD226+AD227))</f>
        <v/>
      </c>
      <c r="AF226" s="8" t="str">
        <f t="shared" ref="AF226" si="3125">IF(AF224="","",(AE226+AE227))</f>
        <v/>
      </c>
      <c r="AG226" s="8" t="str">
        <f>IF(AG224="","",(AF226+AF227))</f>
        <v/>
      </c>
      <c r="AH226" s="8" t="str">
        <f t="shared" ref="AH226" si="3126">IF(AH224="","",(AG226+AG227))</f>
        <v/>
      </c>
      <c r="AI226" s="8" t="str">
        <f t="shared" ref="AI226" si="3127">IF(AI224="","",(AH226+AH227))</f>
        <v/>
      </c>
      <c r="AJ226" s="8" t="str">
        <f>IF(AJ224="","",(AI226+AI227))</f>
        <v/>
      </c>
      <c r="AK226" s="8" t="str">
        <f t="shared" ref="AK226" si="3128">IF(AK224="","",(AJ226+AJ227))</f>
        <v/>
      </c>
      <c r="AL226" s="8" t="str">
        <f t="shared" ref="AL226" si="3129">IF(AL224="","",(AK226+AK227))</f>
        <v/>
      </c>
      <c r="AM226" s="8" t="str">
        <f t="shared" ref="AM226" si="3130">IF(AM224="","",(AL226+AL227))</f>
        <v/>
      </c>
      <c r="AN226" s="8" t="str">
        <f t="shared" ref="AN226" si="3131">IF(AN224="","",(AM226+AM227))</f>
        <v/>
      </c>
      <c r="AO226" s="8" t="str">
        <f t="shared" ref="AO226:AS226" si="3132">IF(AO224="","",(AN226+AN227))</f>
        <v/>
      </c>
      <c r="AP226" s="8" t="str">
        <f t="shared" si="3132"/>
        <v/>
      </c>
      <c r="AQ226" s="8" t="str">
        <f t="shared" si="3132"/>
        <v/>
      </c>
      <c r="AR226" s="8" t="str">
        <f t="shared" si="3132"/>
        <v/>
      </c>
      <c r="AS226" s="8" t="str">
        <f t="shared" si="3132"/>
        <v/>
      </c>
    </row>
    <row r="227" spans="1:45" s="84" customFormat="1" ht="11.25" x14ac:dyDescent="0.15">
      <c r="A227" s="92" t="s">
        <v>6</v>
      </c>
      <c r="B227" s="9" t="s">
        <v>7</v>
      </c>
      <c r="C227" s="8"/>
      <c r="D227" s="8"/>
      <c r="E227" s="8"/>
      <c r="F227" s="8"/>
      <c r="G227" s="8">
        <v>4</v>
      </c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</row>
    <row r="228" spans="1:45" s="84" customFormat="1" ht="11.25" x14ac:dyDescent="0.15">
      <c r="A228" s="93">
        <f>+(A231+A243+A255+A267)*100</f>
        <v>56500</v>
      </c>
      <c r="B228" s="9" t="s">
        <v>8</v>
      </c>
      <c r="C228" s="8">
        <v>350</v>
      </c>
      <c r="D228" s="8">
        <v>350</v>
      </c>
      <c r="E228" s="8">
        <v>350</v>
      </c>
      <c r="F228" s="8">
        <v>350</v>
      </c>
      <c r="G228" s="8">
        <v>350</v>
      </c>
      <c r="H228" s="8">
        <v>350</v>
      </c>
      <c r="I228" s="8">
        <v>350</v>
      </c>
      <c r="J228" s="8">
        <v>350</v>
      </c>
      <c r="K228" s="8">
        <v>350</v>
      </c>
      <c r="L228" s="8">
        <f t="shared" ref="L228" si="3133">IF(L224="","",K228)</f>
        <v>350</v>
      </c>
      <c r="M228" s="8">
        <f t="shared" ref="M228" si="3134">IF(M224="","",L228)</f>
        <v>350</v>
      </c>
      <c r="N228" s="8" t="str">
        <f t="shared" ref="N228" si="3135">IF(N224="","",M228)</f>
        <v/>
      </c>
      <c r="O228" s="8" t="str">
        <f t="shared" ref="O228" si="3136">IF(O224="","",N228)</f>
        <v/>
      </c>
      <c r="P228" s="8" t="str">
        <f t="shared" ref="P228" si="3137">IF(P224="","",O228)</f>
        <v/>
      </c>
      <c r="Q228" s="8" t="str">
        <f t="shared" ref="Q228" si="3138">IF(Q224="","",P228)</f>
        <v/>
      </c>
      <c r="R228" s="8" t="str">
        <f t="shared" ref="R228" si="3139">IF(R224="","",Q228)</f>
        <v/>
      </c>
      <c r="S228" s="8" t="str">
        <f t="shared" ref="S228" si="3140">IF(S224="","",R228)</f>
        <v/>
      </c>
      <c r="T228" s="8" t="str">
        <f t="shared" ref="T228" si="3141">IF(T224="","",S228)</f>
        <v/>
      </c>
      <c r="U228" s="8" t="str">
        <f t="shared" ref="U228" si="3142">IF(U224="","",T228)</f>
        <v/>
      </c>
      <c r="V228" s="8" t="str">
        <f t="shared" ref="V228" si="3143">IF(V224="","",U228)</f>
        <v/>
      </c>
      <c r="W228" s="8" t="str">
        <f t="shared" ref="W228" si="3144">IF(W224="","",V228)</f>
        <v/>
      </c>
      <c r="X228" s="8" t="str">
        <f t="shared" ref="X228" si="3145">IF(X224="","",W228)</f>
        <v/>
      </c>
      <c r="Y228" s="8" t="str">
        <f t="shared" ref="Y228" si="3146">IF(Y224="","",X228)</f>
        <v/>
      </c>
      <c r="Z228" s="8" t="str">
        <f t="shared" ref="Z228" si="3147">IF(Z224="","",Y228)</f>
        <v/>
      </c>
      <c r="AA228" s="8" t="str">
        <f t="shared" ref="AA228" si="3148">IF(AA224="","",Z228)</f>
        <v/>
      </c>
      <c r="AB228" s="8" t="str">
        <f t="shared" ref="AB228" si="3149">IF(AB224="","",AA228)</f>
        <v/>
      </c>
      <c r="AC228" s="8" t="str">
        <f t="shared" ref="AC228" si="3150">IF(AC224="","",AB228)</f>
        <v/>
      </c>
      <c r="AD228" s="8" t="str">
        <f t="shared" ref="AD228" si="3151">IF(AD224="","",AC228)</f>
        <v/>
      </c>
      <c r="AE228" s="8" t="str">
        <f t="shared" ref="AE228" si="3152">IF(AE224="","",AD228)</f>
        <v/>
      </c>
      <c r="AF228" s="8" t="str">
        <f t="shared" ref="AF228" si="3153">IF(AF224="","",AE228)</f>
        <v/>
      </c>
      <c r="AG228" s="8" t="str">
        <f t="shared" ref="AG228" si="3154">IF(AG224="","",AF228)</f>
        <v/>
      </c>
      <c r="AH228" s="8" t="str">
        <f t="shared" ref="AH228" si="3155">IF(AH224="","",AG228)</f>
        <v/>
      </c>
      <c r="AI228" s="8" t="str">
        <f t="shared" ref="AI228" si="3156">IF(AI224="","",AH228)</f>
        <v/>
      </c>
      <c r="AJ228" s="8" t="str">
        <f t="shared" ref="AJ228" si="3157">IF(AJ224="","",AI228)</f>
        <v/>
      </c>
      <c r="AK228" s="8" t="str">
        <f t="shared" ref="AK228" si="3158">IF(AK224="","",AJ228)</f>
        <v/>
      </c>
      <c r="AL228" s="8" t="str">
        <f t="shared" ref="AL228" si="3159">IF(AL224="","",AK228)</f>
        <v/>
      </c>
      <c r="AM228" s="8" t="str">
        <f t="shared" ref="AM228" si="3160">IF(AM224="","",AL228)</f>
        <v/>
      </c>
      <c r="AN228" s="8" t="str">
        <f t="shared" ref="AN228" si="3161">IF(AN224="","",AM228)</f>
        <v/>
      </c>
      <c r="AO228" s="8" t="str">
        <f t="shared" ref="AO228:AS228" si="3162">IF(AO224="","",AN228)</f>
        <v/>
      </c>
      <c r="AP228" s="8" t="str">
        <f t="shared" si="3162"/>
        <v/>
      </c>
      <c r="AQ228" s="8" t="str">
        <f t="shared" si="3162"/>
        <v/>
      </c>
      <c r="AR228" s="8" t="str">
        <f t="shared" si="3162"/>
        <v/>
      </c>
      <c r="AS228" s="8" t="str">
        <f t="shared" si="3162"/>
        <v/>
      </c>
    </row>
    <row r="229" spans="1:45" s="85" customFormat="1" ht="11.25" x14ac:dyDescent="0.15">
      <c r="A229" s="14" t="s">
        <v>9</v>
      </c>
      <c r="B229" s="13" t="s">
        <v>10</v>
      </c>
      <c r="C229" s="12" t="s">
        <v>359</v>
      </c>
      <c r="D229" s="12" t="s">
        <v>359</v>
      </c>
      <c r="E229" s="12" t="s">
        <v>359</v>
      </c>
      <c r="F229" s="12" t="s">
        <v>359</v>
      </c>
      <c r="G229" s="12" t="s">
        <v>359</v>
      </c>
      <c r="H229" s="12" t="s">
        <v>359</v>
      </c>
      <c r="I229" s="12" t="s">
        <v>359</v>
      </c>
      <c r="J229" s="12" t="s">
        <v>359</v>
      </c>
      <c r="K229" s="12" t="s">
        <v>359</v>
      </c>
      <c r="L229" s="12" t="str">
        <f t="shared" ref="L229" si="3163">IF(L224="","",K229)</f>
        <v>お腹ぷにぷにシール</v>
      </c>
      <c r="M229" s="12" t="str">
        <f t="shared" ref="M229" si="3164">IF(M224="","",L229)</f>
        <v>お腹ぷにぷにシール</v>
      </c>
      <c r="N229" s="12" t="str">
        <f t="shared" ref="N229" si="3165">IF(N224="","",M229)</f>
        <v/>
      </c>
      <c r="O229" s="12" t="str">
        <f t="shared" ref="O229" si="3166">IF(O224="","",N229)</f>
        <v/>
      </c>
      <c r="P229" s="12" t="str">
        <f t="shared" ref="P229" si="3167">IF(P224="","",O229)</f>
        <v/>
      </c>
      <c r="Q229" s="12" t="str">
        <f t="shared" ref="Q229" si="3168">IF(Q224="","",P229)</f>
        <v/>
      </c>
      <c r="R229" s="12" t="str">
        <f t="shared" ref="R229" si="3169">IF(R224="","",Q229)</f>
        <v/>
      </c>
      <c r="S229" s="12" t="str">
        <f>IF(S224="","",R229)</f>
        <v/>
      </c>
      <c r="T229" s="12" t="str">
        <f t="shared" ref="T229" si="3170">IF(T224="","",S229)</f>
        <v/>
      </c>
      <c r="U229" s="12" t="str">
        <f t="shared" ref="U229" si="3171">IF(U224="","",T229)</f>
        <v/>
      </c>
      <c r="V229" s="12" t="str">
        <f t="shared" ref="V229" si="3172">IF(V224="","",U229)</f>
        <v/>
      </c>
      <c r="W229" s="12" t="str">
        <f t="shared" ref="W229" si="3173">IF(W224="","",V229)</f>
        <v/>
      </c>
      <c r="X229" s="12" t="str">
        <f t="shared" ref="X229" si="3174">IF(X224="","",W229)</f>
        <v/>
      </c>
      <c r="Y229" s="12" t="str">
        <f t="shared" ref="Y229" si="3175">IF(Y224="","",X229)</f>
        <v/>
      </c>
      <c r="Z229" s="12" t="str">
        <f t="shared" ref="Z229" si="3176">IF(Z224="","",Y229)</f>
        <v/>
      </c>
      <c r="AA229" s="12" t="str">
        <f t="shared" ref="AA229" si="3177">IF(AA224="","",Z229)</f>
        <v/>
      </c>
      <c r="AB229" s="12" t="str">
        <f t="shared" ref="AB229" si="3178">IF(AB224="","",AA229)</f>
        <v/>
      </c>
      <c r="AC229" s="12" t="str">
        <f t="shared" ref="AC229" si="3179">IF(AC224="","",AB229)</f>
        <v/>
      </c>
      <c r="AD229" s="12" t="str">
        <f t="shared" ref="AD229" si="3180">IF(AD224="","",AC229)</f>
        <v/>
      </c>
      <c r="AE229" s="12" t="str">
        <f t="shared" ref="AE229" si="3181">IF(AE224="","",AD229)</f>
        <v/>
      </c>
      <c r="AF229" s="12" t="str">
        <f t="shared" ref="AF229" si="3182">IF(AF224="","",AE229)</f>
        <v/>
      </c>
      <c r="AG229" s="12" t="str">
        <f t="shared" ref="AG229" si="3183">IF(AG224="","",AF229)</f>
        <v/>
      </c>
      <c r="AH229" s="12" t="str">
        <f t="shared" ref="AH229" si="3184">IF(AH224="","",AG229)</f>
        <v/>
      </c>
      <c r="AI229" s="12" t="str">
        <f t="shared" ref="AI229" si="3185">IF(AI224="","",AH229)</f>
        <v/>
      </c>
      <c r="AJ229" s="12" t="str">
        <f t="shared" ref="AJ229" si="3186">IF(AJ224="","",AI229)</f>
        <v/>
      </c>
      <c r="AK229" s="12" t="str">
        <f t="shared" ref="AK229" si="3187">IF(AK224="","",AJ229)</f>
        <v/>
      </c>
      <c r="AL229" s="12" t="str">
        <f t="shared" ref="AL229" si="3188">IF(AL224="","",AK229)</f>
        <v/>
      </c>
      <c r="AM229" s="12" t="str">
        <f t="shared" ref="AM229" si="3189">IF(AM224="","",AL229)</f>
        <v/>
      </c>
      <c r="AN229" s="12" t="str">
        <f t="shared" ref="AN229" si="3190">IF(AN224="","",AM229)</f>
        <v/>
      </c>
      <c r="AO229" s="12" t="str">
        <f t="shared" ref="AO229:AS229" si="3191">IF(AO224="","",AN229)</f>
        <v/>
      </c>
      <c r="AP229" s="12" t="str">
        <f t="shared" si="3191"/>
        <v/>
      </c>
      <c r="AQ229" s="12" t="str">
        <f t="shared" si="3191"/>
        <v/>
      </c>
      <c r="AR229" s="12" t="str">
        <f t="shared" si="3191"/>
        <v/>
      </c>
      <c r="AS229" s="12" t="str">
        <f t="shared" si="3191"/>
        <v/>
      </c>
    </row>
    <row r="230" spans="1:45" s="84" customFormat="1" ht="11.25" x14ac:dyDescent="0.15">
      <c r="A230" s="7">
        <f>AVERAGE(C231:AS231)*30*100</f>
        <v>23727.272727272728</v>
      </c>
      <c r="B230" s="9" t="s">
        <v>12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</row>
    <row r="231" spans="1:45" s="84" customFormat="1" ht="11.25" x14ac:dyDescent="0.15">
      <c r="A231" s="7">
        <f>SUM(C231:AS231)</f>
        <v>87</v>
      </c>
      <c r="B231" s="6" t="s">
        <v>13</v>
      </c>
      <c r="C231" s="5">
        <v>0</v>
      </c>
      <c r="D231" s="5">
        <v>3</v>
      </c>
      <c r="E231" s="5">
        <v>0</v>
      </c>
      <c r="F231" s="5">
        <v>0</v>
      </c>
      <c r="G231" s="5">
        <v>44</v>
      </c>
      <c r="H231" s="5">
        <v>0</v>
      </c>
      <c r="I231" s="5">
        <v>0</v>
      </c>
      <c r="J231" s="5">
        <v>0</v>
      </c>
      <c r="K231" s="5">
        <v>15</v>
      </c>
      <c r="L231" s="5">
        <f t="shared" ref="L231:L232" si="3192">IF(L224="","",L224-K224)</f>
        <v>0</v>
      </c>
      <c r="M231" s="5">
        <f t="shared" ref="M231:M232" si="3193">IF(M224="","",M224-L224)</f>
        <v>25</v>
      </c>
      <c r="N231" s="5" t="str">
        <f t="shared" ref="N231:N232" si="3194">IF(N224="","",N224-M224)</f>
        <v/>
      </c>
      <c r="O231" s="5" t="str">
        <f t="shared" ref="O231:O232" si="3195">IF(O224="","",O224-N224)</f>
        <v/>
      </c>
      <c r="P231" s="5" t="str">
        <f t="shared" ref="P231:P232" si="3196">IF(P224="","",P224-O224)</f>
        <v/>
      </c>
      <c r="Q231" s="5" t="str">
        <f t="shared" ref="Q231:Q232" si="3197">IF(Q224="","",Q224-P224)</f>
        <v/>
      </c>
      <c r="R231" s="5" t="str">
        <f t="shared" ref="R231:R232" si="3198">IF(R224="","",R224-Q224)</f>
        <v/>
      </c>
      <c r="S231" s="5" t="str">
        <f t="shared" ref="S231:S232" si="3199">IF(S224="","",S224-R224)</f>
        <v/>
      </c>
      <c r="T231" s="5" t="str">
        <f t="shared" ref="T231:T232" si="3200">IF(T224="","",T224-S224)</f>
        <v/>
      </c>
      <c r="U231" s="5" t="str">
        <f t="shared" ref="U231:U232" si="3201">IF(U224="","",U224-T224)</f>
        <v/>
      </c>
      <c r="V231" s="5" t="str">
        <f t="shared" ref="V231:V232" si="3202">IF(V224="","",V224-U224)</f>
        <v/>
      </c>
      <c r="W231" s="5" t="str">
        <f t="shared" ref="W231:W232" si="3203">IF(W224="","",W224-V224)</f>
        <v/>
      </c>
      <c r="X231" s="5" t="str">
        <f t="shared" ref="X231:X232" si="3204">IF(X224="","",X224-W224)</f>
        <v/>
      </c>
      <c r="Y231" s="5" t="str">
        <f t="shared" ref="Y231:Y232" si="3205">IF(Y224="","",Y224-X224)</f>
        <v/>
      </c>
      <c r="Z231" s="5" t="str">
        <f t="shared" ref="Z231:Z232" si="3206">IF(Z224="","",Z224-Y224)</f>
        <v/>
      </c>
      <c r="AA231" s="5" t="str">
        <f t="shared" ref="AA231:AA232" si="3207">IF(AA224="","",AA224-Z224)</f>
        <v/>
      </c>
      <c r="AB231" s="5" t="str">
        <f t="shared" ref="AB231:AB232" si="3208">IF(AB224="","",AB224-AA224)</f>
        <v/>
      </c>
      <c r="AC231" s="5" t="str">
        <f t="shared" ref="AC231:AC232" si="3209">IF(AC224="","",AC224-AB224)</f>
        <v/>
      </c>
      <c r="AD231" s="5" t="str">
        <f t="shared" ref="AD231:AD232" si="3210">IF(AD224="","",AD224-AC224)</f>
        <v/>
      </c>
      <c r="AE231" s="5" t="str">
        <f t="shared" ref="AE231:AE232" si="3211">IF(AE224="","",AE224-AD224)</f>
        <v/>
      </c>
      <c r="AF231" s="5" t="str">
        <f t="shared" ref="AF231:AF232" si="3212">IF(AF224="","",AF224-AE224)</f>
        <v/>
      </c>
      <c r="AG231" s="5" t="str">
        <f t="shared" ref="AG231:AG232" si="3213">IF(AG224="","",AG224-AF224)</f>
        <v/>
      </c>
      <c r="AH231" s="5" t="str">
        <f t="shared" ref="AH231:AH232" si="3214">IF(AH224="","",AH224-AG224)</f>
        <v/>
      </c>
      <c r="AI231" s="5" t="str">
        <f t="shared" ref="AI231:AI232" si="3215">IF(AI224="","",AI224-AH224)</f>
        <v/>
      </c>
      <c r="AJ231" s="5" t="str">
        <f t="shared" ref="AJ231:AJ232" si="3216">IF(AJ224="","",AJ224-AI224)</f>
        <v/>
      </c>
      <c r="AK231" s="5" t="str">
        <f t="shared" ref="AK231:AK232" si="3217">IF(AK224="","",AK224-AJ224)</f>
        <v/>
      </c>
      <c r="AL231" s="5" t="str">
        <f t="shared" ref="AL231:AL232" si="3218">IF(AL224="","",AL224-AK224)</f>
        <v/>
      </c>
      <c r="AM231" s="5" t="str">
        <f t="shared" ref="AM231:AM232" si="3219">IF(AM224="","",AM224-AL224)</f>
        <v/>
      </c>
      <c r="AN231" s="5" t="str">
        <f t="shared" ref="AN231" si="3220">IF(AN224="","",AN224-AM224)</f>
        <v/>
      </c>
      <c r="AO231" s="5" t="str">
        <f t="shared" ref="AO231:AS231" si="3221">IF(AO224="","",AO224-AN224)</f>
        <v/>
      </c>
      <c r="AP231" s="5" t="str">
        <f t="shared" si="3221"/>
        <v/>
      </c>
      <c r="AQ231" s="5" t="str">
        <f t="shared" si="3221"/>
        <v/>
      </c>
      <c r="AR231" s="5" t="str">
        <f t="shared" si="3221"/>
        <v/>
      </c>
      <c r="AS231" s="5" t="str">
        <f t="shared" si="3221"/>
        <v/>
      </c>
    </row>
    <row r="232" spans="1:45" s="84" customFormat="1" ht="11.25" x14ac:dyDescent="0.15">
      <c r="A232" s="7">
        <f>SUM(C232:AS232)</f>
        <v>1</v>
      </c>
      <c r="B232" s="6" t="s">
        <v>14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f t="shared" si="3192"/>
        <v>0</v>
      </c>
      <c r="M232" s="5">
        <f t="shared" si="3193"/>
        <v>1</v>
      </c>
      <c r="N232" s="5" t="str">
        <f t="shared" si="3194"/>
        <v/>
      </c>
      <c r="O232" s="5" t="str">
        <f t="shared" si="3195"/>
        <v/>
      </c>
      <c r="P232" s="5" t="str">
        <f t="shared" si="3196"/>
        <v/>
      </c>
      <c r="Q232" s="5" t="str">
        <f t="shared" si="3197"/>
        <v/>
      </c>
      <c r="R232" s="5" t="str">
        <f t="shared" si="3198"/>
        <v/>
      </c>
      <c r="S232" s="5" t="str">
        <f t="shared" si="3199"/>
        <v/>
      </c>
      <c r="T232" s="5" t="str">
        <f t="shared" si="3200"/>
        <v/>
      </c>
      <c r="U232" s="5" t="str">
        <f t="shared" si="3201"/>
        <v/>
      </c>
      <c r="V232" s="5" t="str">
        <f t="shared" si="3202"/>
        <v/>
      </c>
      <c r="W232" s="5" t="str">
        <f t="shared" si="3203"/>
        <v/>
      </c>
      <c r="X232" s="5" t="str">
        <f t="shared" si="3204"/>
        <v/>
      </c>
      <c r="Y232" s="5" t="str">
        <f t="shared" si="3205"/>
        <v/>
      </c>
      <c r="Z232" s="5" t="str">
        <f t="shared" si="3206"/>
        <v/>
      </c>
      <c r="AA232" s="5" t="str">
        <f t="shared" si="3207"/>
        <v/>
      </c>
      <c r="AB232" s="5" t="str">
        <f t="shared" si="3208"/>
        <v/>
      </c>
      <c r="AC232" s="5" t="str">
        <f t="shared" si="3209"/>
        <v/>
      </c>
      <c r="AD232" s="5" t="str">
        <f t="shared" si="3210"/>
        <v/>
      </c>
      <c r="AE232" s="5" t="str">
        <f t="shared" si="3211"/>
        <v/>
      </c>
      <c r="AF232" s="5" t="str">
        <f t="shared" si="3212"/>
        <v/>
      </c>
      <c r="AG232" s="5" t="str">
        <f t="shared" si="3213"/>
        <v/>
      </c>
      <c r="AH232" s="5" t="str">
        <f t="shared" si="3214"/>
        <v/>
      </c>
      <c r="AI232" s="5" t="str">
        <f t="shared" si="3215"/>
        <v/>
      </c>
      <c r="AJ232" s="5" t="str">
        <f t="shared" si="3216"/>
        <v/>
      </c>
      <c r="AK232" s="5" t="str">
        <f t="shared" si="3217"/>
        <v/>
      </c>
      <c r="AL232" s="5" t="str">
        <f t="shared" si="3218"/>
        <v/>
      </c>
      <c r="AM232" s="5" t="str">
        <f t="shared" si="3219"/>
        <v/>
      </c>
      <c r="AN232" s="5" t="str">
        <f t="shared" ref="AN232" si="3222">IF(AN225="","",AN225-AM225)</f>
        <v/>
      </c>
      <c r="AO232" s="5" t="str">
        <f t="shared" ref="AO232:AS232" si="3223">IF(AO225="","",AO225-AN225)</f>
        <v/>
      </c>
      <c r="AP232" s="5" t="str">
        <f t="shared" si="3223"/>
        <v/>
      </c>
      <c r="AQ232" s="5" t="str">
        <f t="shared" si="3223"/>
        <v/>
      </c>
      <c r="AR232" s="5" t="str">
        <f t="shared" si="3223"/>
        <v/>
      </c>
      <c r="AS232" s="5" t="str">
        <f t="shared" si="3223"/>
        <v/>
      </c>
    </row>
    <row r="233" spans="1:45" s="84" customFormat="1" ht="11.25" x14ac:dyDescent="0.15">
      <c r="A233" s="7">
        <f>SUM(C233:AS233)</f>
        <v>2</v>
      </c>
      <c r="B233" s="6" t="s">
        <v>15</v>
      </c>
      <c r="C233" s="5">
        <v>0</v>
      </c>
      <c r="D233" s="5">
        <v>0</v>
      </c>
      <c r="E233" s="5">
        <v>0</v>
      </c>
      <c r="F233" s="5">
        <v>0</v>
      </c>
      <c r="G233" s="5">
        <v>1</v>
      </c>
      <c r="H233" s="5">
        <v>0</v>
      </c>
      <c r="I233" s="5">
        <v>0</v>
      </c>
      <c r="J233" s="5">
        <v>0</v>
      </c>
      <c r="K233" s="5">
        <v>0</v>
      </c>
      <c r="L233" s="5">
        <f t="shared" ref="L233" si="3224">IF(L226="","",K226+K227-L226)</f>
        <v>0</v>
      </c>
      <c r="M233" s="5">
        <f t="shared" ref="M233" si="3225">IF(M226="","",L226+L227-M226)</f>
        <v>1</v>
      </c>
      <c r="N233" s="5" t="str">
        <f t="shared" ref="N233" si="3226">IF(N226="","",M226+M227-N226)</f>
        <v/>
      </c>
      <c r="O233" s="5" t="str">
        <f t="shared" ref="O233" si="3227">IF(O226="","",N226+N227-O226)</f>
        <v/>
      </c>
      <c r="P233" s="5" t="str">
        <f t="shared" ref="P233" si="3228">IF(P226="","",O226+O227-P226)</f>
        <v/>
      </c>
      <c r="Q233" s="5" t="str">
        <f t="shared" ref="Q233" si="3229">IF(Q226="","",P226+P227-Q226)</f>
        <v/>
      </c>
      <c r="R233" s="5" t="str">
        <f t="shared" ref="R233" si="3230">IF(R226="","",Q226+Q227-R226)</f>
        <v/>
      </c>
      <c r="S233" s="5" t="str">
        <f t="shared" ref="S233" si="3231">IF(S226="","",R226+R227-S226)</f>
        <v/>
      </c>
      <c r="T233" s="5" t="str">
        <f t="shared" ref="T233" si="3232">IF(T226="","",S226+S227-T226)</f>
        <v/>
      </c>
      <c r="U233" s="5" t="str">
        <f t="shared" ref="U233" si="3233">IF(U226="","",T226+T227-U226)</f>
        <v/>
      </c>
      <c r="V233" s="5" t="str">
        <f t="shared" ref="V233" si="3234">IF(V226="","",U226+U227-V226)</f>
        <v/>
      </c>
      <c r="W233" s="5" t="str">
        <f t="shared" ref="W233" si="3235">IF(W226="","",V226+V227-W226)</f>
        <v/>
      </c>
      <c r="X233" s="5" t="str">
        <f t="shared" ref="X233" si="3236">IF(X226="","",W226+W227-X226)</f>
        <v/>
      </c>
      <c r="Y233" s="5" t="str">
        <f t="shared" ref="Y233" si="3237">IF(Y226="","",X226+X227-Y226)</f>
        <v/>
      </c>
      <c r="Z233" s="5" t="str">
        <f t="shared" ref="Z233" si="3238">IF(Z226="","",Y226+Y227-Z226)</f>
        <v/>
      </c>
      <c r="AA233" s="5" t="str">
        <f t="shared" ref="AA233" si="3239">IF(AA226="","",Z226+Z227-AA226)</f>
        <v/>
      </c>
      <c r="AB233" s="5" t="str">
        <f t="shared" ref="AB233" si="3240">IF(AB226="","",AA226+AA227-AB226)</f>
        <v/>
      </c>
      <c r="AC233" s="5" t="str">
        <f t="shared" ref="AC233" si="3241">IF(AC226="","",AB226+AB227-AC226)</f>
        <v/>
      </c>
      <c r="AD233" s="5" t="str">
        <f t="shared" ref="AD233" si="3242">IF(AD226="","",AC226+AC227-AD226)</f>
        <v/>
      </c>
      <c r="AE233" s="5" t="str">
        <f t="shared" ref="AE233" si="3243">IF(AE226="","",AD226+AD227-AE226)</f>
        <v/>
      </c>
      <c r="AF233" s="5" t="str">
        <f t="shared" ref="AF233" si="3244">IF(AF226="","",AE226+AE227-AF226)</f>
        <v/>
      </c>
      <c r="AG233" s="5" t="str">
        <f t="shared" ref="AG233" si="3245">IF(AG226="","",AF226+AF227-AG226)</f>
        <v/>
      </c>
      <c r="AH233" s="5" t="str">
        <f t="shared" ref="AH233" si="3246">IF(AH226="","",AG226+AG227-AH226)</f>
        <v/>
      </c>
      <c r="AI233" s="5" t="str">
        <f t="shared" ref="AI233" si="3247">IF(AI226="","",AH226+AH227-AI226)</f>
        <v/>
      </c>
      <c r="AJ233" s="5" t="str">
        <f t="shared" ref="AJ233" si="3248">IF(AJ226="","",AI226+AI227-AJ226)</f>
        <v/>
      </c>
      <c r="AK233" s="5" t="str">
        <f t="shared" ref="AK233" si="3249">IF(AK226="","",AJ226+AJ227-AK226)</f>
        <v/>
      </c>
      <c r="AL233" s="5" t="str">
        <f t="shared" ref="AL233" si="3250">IF(AL226="","",AK226+AK227-AL226)</f>
        <v/>
      </c>
      <c r="AM233" s="5" t="str">
        <f t="shared" ref="AM233" si="3251">IF(AM226="","",AL226+AL227-AM226)</f>
        <v/>
      </c>
      <c r="AN233" s="5" t="str">
        <f t="shared" ref="AN233" si="3252">IF(AN226="","",AM226+AM227-AN226)</f>
        <v/>
      </c>
      <c r="AO233" s="5" t="str">
        <f t="shared" ref="AO233:AS233" si="3253">IF(AO226="","",AN226+AN227-AO226)</f>
        <v/>
      </c>
      <c r="AP233" s="5" t="str">
        <f t="shared" si="3253"/>
        <v/>
      </c>
      <c r="AQ233" s="5" t="str">
        <f t="shared" si="3253"/>
        <v/>
      </c>
      <c r="AR233" s="5" t="str">
        <f t="shared" si="3253"/>
        <v/>
      </c>
      <c r="AS233" s="5" t="str">
        <f t="shared" si="3253"/>
        <v/>
      </c>
    </row>
    <row r="234" spans="1:45" s="84" customFormat="1" ht="11.25" x14ac:dyDescent="0.15">
      <c r="A234" s="7">
        <f>SUM(C234:AS234)</f>
        <v>700</v>
      </c>
      <c r="B234" s="6" t="s">
        <v>16</v>
      </c>
      <c r="C234" s="5">
        <v>0</v>
      </c>
      <c r="D234" s="5">
        <v>0</v>
      </c>
      <c r="E234" s="5">
        <v>0</v>
      </c>
      <c r="F234" s="5">
        <v>0</v>
      </c>
      <c r="G234" s="5">
        <v>350</v>
      </c>
      <c r="H234" s="5">
        <v>0</v>
      </c>
      <c r="I234" s="5">
        <v>0</v>
      </c>
      <c r="J234" s="5">
        <v>0</v>
      </c>
      <c r="K234" s="5">
        <v>0</v>
      </c>
      <c r="L234" s="5">
        <f t="shared" ref="J234:AM234" si="3254">IF(L224="","",L233*L228)</f>
        <v>0</v>
      </c>
      <c r="M234" s="5">
        <f t="shared" si="3254"/>
        <v>350</v>
      </c>
      <c r="N234" s="5" t="str">
        <f t="shared" si="3254"/>
        <v/>
      </c>
      <c r="O234" s="5" t="str">
        <f t="shared" si="3254"/>
        <v/>
      </c>
      <c r="P234" s="5" t="str">
        <f t="shared" si="3254"/>
        <v/>
      </c>
      <c r="Q234" s="5" t="str">
        <f t="shared" si="3254"/>
        <v/>
      </c>
      <c r="R234" s="5" t="str">
        <f t="shared" si="3254"/>
        <v/>
      </c>
      <c r="S234" s="5" t="str">
        <f t="shared" si="3254"/>
        <v/>
      </c>
      <c r="T234" s="5" t="str">
        <f t="shared" si="3254"/>
        <v/>
      </c>
      <c r="U234" s="5" t="str">
        <f t="shared" si="3254"/>
        <v/>
      </c>
      <c r="V234" s="5" t="str">
        <f t="shared" si="3254"/>
        <v/>
      </c>
      <c r="W234" s="5" t="str">
        <f t="shared" si="3254"/>
        <v/>
      </c>
      <c r="X234" s="5" t="str">
        <f t="shared" si="3254"/>
        <v/>
      </c>
      <c r="Y234" s="5" t="str">
        <f t="shared" si="3254"/>
        <v/>
      </c>
      <c r="Z234" s="5" t="str">
        <f t="shared" si="3254"/>
        <v/>
      </c>
      <c r="AA234" s="5" t="str">
        <f t="shared" si="3254"/>
        <v/>
      </c>
      <c r="AB234" s="5" t="str">
        <f t="shared" si="3254"/>
        <v/>
      </c>
      <c r="AC234" s="5" t="str">
        <f t="shared" si="3254"/>
        <v/>
      </c>
      <c r="AD234" s="5" t="str">
        <f t="shared" si="3254"/>
        <v/>
      </c>
      <c r="AE234" s="5" t="str">
        <f t="shared" si="3254"/>
        <v/>
      </c>
      <c r="AF234" s="5" t="str">
        <f t="shared" si="3254"/>
        <v/>
      </c>
      <c r="AG234" s="5" t="str">
        <f t="shared" si="3254"/>
        <v/>
      </c>
      <c r="AH234" s="5" t="str">
        <f t="shared" si="3254"/>
        <v/>
      </c>
      <c r="AI234" s="5" t="str">
        <f t="shared" si="3254"/>
        <v/>
      </c>
      <c r="AJ234" s="5" t="str">
        <f t="shared" si="3254"/>
        <v/>
      </c>
      <c r="AK234" s="5" t="str">
        <f t="shared" si="3254"/>
        <v/>
      </c>
      <c r="AL234" s="5" t="str">
        <f t="shared" si="3254"/>
        <v/>
      </c>
      <c r="AM234" s="5" t="str">
        <f t="shared" si="3254"/>
        <v/>
      </c>
      <c r="AN234" s="5" t="str">
        <f t="shared" ref="AN234" si="3255">IF(AN224="","",AN233*AN228)</f>
        <v/>
      </c>
      <c r="AO234" s="5" t="str">
        <f t="shared" ref="AO234:AS234" si="3256">IF(AO224="","",AO233*AO228)</f>
        <v/>
      </c>
      <c r="AP234" s="5" t="str">
        <f t="shared" si="3256"/>
        <v/>
      </c>
      <c r="AQ234" s="5" t="str">
        <f t="shared" si="3256"/>
        <v/>
      </c>
      <c r="AR234" s="5" t="str">
        <f t="shared" si="3256"/>
        <v/>
      </c>
      <c r="AS234" s="5" t="str">
        <f t="shared" si="3256"/>
        <v/>
      </c>
    </row>
    <row r="235" spans="1:45" s="84" customFormat="1" ht="12" thickBot="1" x14ac:dyDescent="0.2">
      <c r="A235" s="4">
        <f>IF(A234="","",A234/(A231*100))</f>
        <v>8.0459770114942528E-2</v>
      </c>
      <c r="B235" s="6" t="s">
        <v>18</v>
      </c>
      <c r="C235" s="18" t="s">
        <v>19</v>
      </c>
      <c r="D235" s="18" t="s">
        <v>19</v>
      </c>
      <c r="E235" s="18" t="s">
        <v>19</v>
      </c>
      <c r="F235" s="18" t="s">
        <v>19</v>
      </c>
      <c r="G235" s="18">
        <v>7.9545454545454544E-2</v>
      </c>
      <c r="H235" s="18" t="s">
        <v>19</v>
      </c>
      <c r="I235" s="18" t="s">
        <v>19</v>
      </c>
      <c r="J235" s="18" t="s">
        <v>19</v>
      </c>
      <c r="K235" s="18" t="s">
        <v>19</v>
      </c>
      <c r="L235" s="18" t="str">
        <f t="shared" ref="J235:AM235" si="3257">IF(L234="","",IF(L234=0,"",L234/(L231*100)))</f>
        <v/>
      </c>
      <c r="M235" s="18">
        <f t="shared" si="3257"/>
        <v>0.14000000000000001</v>
      </c>
      <c r="N235" s="18" t="str">
        <f t="shared" si="3257"/>
        <v/>
      </c>
      <c r="O235" s="18" t="str">
        <f t="shared" si="3257"/>
        <v/>
      </c>
      <c r="P235" s="18" t="str">
        <f t="shared" si="3257"/>
        <v/>
      </c>
      <c r="Q235" s="18" t="str">
        <f t="shared" si="3257"/>
        <v/>
      </c>
      <c r="R235" s="18" t="str">
        <f t="shared" si="3257"/>
        <v/>
      </c>
      <c r="S235" s="18" t="str">
        <f t="shared" si="3257"/>
        <v/>
      </c>
      <c r="T235" s="18" t="str">
        <f t="shared" si="3257"/>
        <v/>
      </c>
      <c r="U235" s="18" t="str">
        <f t="shared" si="3257"/>
        <v/>
      </c>
      <c r="V235" s="18" t="str">
        <f t="shared" si="3257"/>
        <v/>
      </c>
      <c r="W235" s="18" t="str">
        <f t="shared" si="3257"/>
        <v/>
      </c>
      <c r="X235" s="18" t="str">
        <f t="shared" si="3257"/>
        <v/>
      </c>
      <c r="Y235" s="18" t="str">
        <f t="shared" si="3257"/>
        <v/>
      </c>
      <c r="Z235" s="18" t="str">
        <f t="shared" si="3257"/>
        <v/>
      </c>
      <c r="AA235" s="18" t="str">
        <f t="shared" si="3257"/>
        <v/>
      </c>
      <c r="AB235" s="18" t="str">
        <f t="shared" si="3257"/>
        <v/>
      </c>
      <c r="AC235" s="18" t="str">
        <f t="shared" si="3257"/>
        <v/>
      </c>
      <c r="AD235" s="18" t="str">
        <f t="shared" si="3257"/>
        <v/>
      </c>
      <c r="AE235" s="18" t="str">
        <f t="shared" si="3257"/>
        <v/>
      </c>
      <c r="AF235" s="18" t="str">
        <f t="shared" si="3257"/>
        <v/>
      </c>
      <c r="AG235" s="18" t="str">
        <f t="shared" si="3257"/>
        <v/>
      </c>
      <c r="AH235" s="18" t="str">
        <f t="shared" si="3257"/>
        <v/>
      </c>
      <c r="AI235" s="18" t="str">
        <f t="shared" si="3257"/>
        <v/>
      </c>
      <c r="AJ235" s="18" t="str">
        <f t="shared" si="3257"/>
        <v/>
      </c>
      <c r="AK235" s="18" t="str">
        <f t="shared" si="3257"/>
        <v/>
      </c>
      <c r="AL235" s="18" t="str">
        <f t="shared" si="3257"/>
        <v/>
      </c>
      <c r="AM235" s="18" t="str">
        <f t="shared" si="3257"/>
        <v/>
      </c>
      <c r="AN235" s="18" t="str">
        <f t="shared" ref="AN235" si="3258">IF(AN234="","",IF(AN234=0,"",AN234/(AN231*100)))</f>
        <v/>
      </c>
      <c r="AO235" s="18" t="str">
        <f t="shared" ref="AO235:AS235" si="3259">IF(AO234="","",IF(AO234=0,"",AO234/(AO231*100)))</f>
        <v/>
      </c>
      <c r="AP235" s="18" t="str">
        <f t="shared" si="3259"/>
        <v/>
      </c>
      <c r="AQ235" s="18" t="str">
        <f t="shared" si="3259"/>
        <v/>
      </c>
      <c r="AR235" s="18" t="str">
        <f t="shared" si="3259"/>
        <v/>
      </c>
      <c r="AS235" s="18" t="str">
        <f t="shared" si="3259"/>
        <v/>
      </c>
    </row>
    <row r="236" spans="1:45" s="84" customFormat="1" ht="11.25" x14ac:dyDescent="0.15">
      <c r="A236" s="17" t="s">
        <v>77</v>
      </c>
      <c r="B236" s="9" t="s">
        <v>2</v>
      </c>
      <c r="C236" s="8">
        <v>28570</v>
      </c>
      <c r="D236" s="8">
        <v>28593</v>
      </c>
      <c r="E236" s="8">
        <v>28593</v>
      </c>
      <c r="F236" s="8">
        <v>28593</v>
      </c>
      <c r="G236" s="8">
        <v>28619</v>
      </c>
      <c r="H236" s="8">
        <v>28619</v>
      </c>
      <c r="I236" s="8">
        <v>28619</v>
      </c>
      <c r="J236" s="8">
        <v>28619</v>
      </c>
      <c r="K236" s="8">
        <v>28651</v>
      </c>
      <c r="L236" s="8">
        <f>IF(L$8="","",K236)</f>
        <v>28651</v>
      </c>
      <c r="M236" s="8">
        <v>28690</v>
      </c>
      <c r="N236" s="8" t="str">
        <f t="shared" ref="N236:N237" si="3260">IF(N$8="","",M236)</f>
        <v/>
      </c>
      <c r="O236" s="8" t="str">
        <f>IF(O$8="","",N236)</f>
        <v/>
      </c>
      <c r="P236" s="8" t="str">
        <f t="shared" ref="P236:P237" si="3261">IF(P$8="","",O236)</f>
        <v/>
      </c>
      <c r="Q236" s="8" t="str">
        <f t="shared" ref="Q236:Q237" si="3262">IF(Q$8="","",P236)</f>
        <v/>
      </c>
      <c r="R236" s="8" t="str">
        <f t="shared" ref="R236:R237" si="3263">IF(R$8="","",Q236)</f>
        <v/>
      </c>
      <c r="S236" s="8" t="str">
        <f>IF(S$8="","",R236)</f>
        <v/>
      </c>
      <c r="T236" s="8" t="str">
        <f>IF(T$8="","",S236)</f>
        <v/>
      </c>
      <c r="U236" s="8" t="str">
        <f t="shared" ref="U236:U237" si="3264">IF(U$8="","",T236)</f>
        <v/>
      </c>
      <c r="V236" s="8" t="str">
        <f>IF(V$8="","",U236)</f>
        <v/>
      </c>
      <c r="W236" s="8" t="str">
        <f>IF(W$8="","",V236)</f>
        <v/>
      </c>
      <c r="X236" s="8" t="str">
        <f t="shared" ref="X236:X237" si="3265">IF(X$8="","",W236)</f>
        <v/>
      </c>
      <c r="Y236" s="8" t="str">
        <f t="shared" ref="Y236:Y237" si="3266">IF(Y$8="","",X236)</f>
        <v/>
      </c>
      <c r="Z236" s="8" t="str">
        <f>IF(Z$8="","",Y236)</f>
        <v/>
      </c>
      <c r="AA236" s="8" t="str">
        <f t="shared" ref="AA236:AA237" si="3267">IF(AA$8="","",Z236)</f>
        <v/>
      </c>
      <c r="AB236" s="8" t="str">
        <f t="shared" ref="AB236:AB237" si="3268">IF(AB$8="","",AA236)</f>
        <v/>
      </c>
      <c r="AC236" s="8" t="str">
        <f t="shared" ref="AC236:AC237" si="3269">IF(AC$8="","",AB236)</f>
        <v/>
      </c>
      <c r="AD236" s="8" t="str">
        <f>IF(AD$8="","",AC236)</f>
        <v/>
      </c>
      <c r="AE236" s="8" t="str">
        <f>IF(AE$8="","",AD236)</f>
        <v/>
      </c>
      <c r="AF236" s="8" t="str">
        <f t="shared" ref="AF236:AF237" si="3270">IF(AF$8="","",AE236)</f>
        <v/>
      </c>
      <c r="AG236" s="8" t="str">
        <f>IF(AG$8="","",AF236)</f>
        <v/>
      </c>
      <c r="AH236" s="8" t="str">
        <f t="shared" ref="AH236:AH237" si="3271">IF(AH$8="","",AG236)</f>
        <v/>
      </c>
      <c r="AI236" s="8" t="str">
        <f t="shared" ref="AI236:AI237" si="3272">IF(AI$8="","",AH236)</f>
        <v/>
      </c>
      <c r="AJ236" s="8" t="str">
        <f>IF(AJ$8="","",AI236)</f>
        <v/>
      </c>
      <c r="AK236" s="8" t="str">
        <f t="shared" ref="AK236:AK237" si="3273">IF(AK$8="","",AJ236)</f>
        <v/>
      </c>
      <c r="AL236" s="8" t="str">
        <f t="shared" ref="AL236:AL237" si="3274">IF(AL$8="","",AK236)</f>
        <v/>
      </c>
      <c r="AM236" s="8" t="str">
        <f t="shared" ref="AM236:AM237" si="3275">IF(AM$8="","",AL236)</f>
        <v/>
      </c>
      <c r="AN236" s="8" t="str">
        <f>IF(AN$8="","",AM236)</f>
        <v/>
      </c>
      <c r="AO236" s="8" t="str">
        <f t="shared" ref="AO236:AS236" si="3276">IF(AO$8="","",AN236)</f>
        <v/>
      </c>
      <c r="AP236" s="8" t="str">
        <f t="shared" si="3276"/>
        <v/>
      </c>
      <c r="AQ236" s="8" t="str">
        <f t="shared" si="3276"/>
        <v/>
      </c>
      <c r="AR236" s="8" t="str">
        <f t="shared" si="3276"/>
        <v/>
      </c>
      <c r="AS236" s="8" t="str">
        <f t="shared" si="3276"/>
        <v/>
      </c>
    </row>
    <row r="237" spans="1:45" s="84" customFormat="1" ht="11.25" x14ac:dyDescent="0.15">
      <c r="A237" s="16" t="str">
        <f>A225</f>
        <v>BUZZ＃6</v>
      </c>
      <c r="B237" s="9" t="s">
        <v>4</v>
      </c>
      <c r="C237" s="8">
        <v>1389</v>
      </c>
      <c r="D237" s="8">
        <v>1391</v>
      </c>
      <c r="E237" s="8">
        <v>1391</v>
      </c>
      <c r="F237" s="8">
        <v>1391</v>
      </c>
      <c r="G237" s="8">
        <v>1391</v>
      </c>
      <c r="H237" s="8">
        <v>1391</v>
      </c>
      <c r="I237" s="8">
        <v>1391</v>
      </c>
      <c r="J237" s="8">
        <v>1391</v>
      </c>
      <c r="K237" s="8">
        <v>1393</v>
      </c>
      <c r="L237" s="8">
        <f>IF(L$8="","",K237)</f>
        <v>1393</v>
      </c>
      <c r="M237" s="8">
        <v>1394</v>
      </c>
      <c r="N237" s="8" t="str">
        <f t="shared" si="3260"/>
        <v/>
      </c>
      <c r="O237" s="8" t="str">
        <f>IF(O$8="","",N237)</f>
        <v/>
      </c>
      <c r="P237" s="8" t="str">
        <f t="shared" si="3261"/>
        <v/>
      </c>
      <c r="Q237" s="8" t="str">
        <f t="shared" si="3262"/>
        <v/>
      </c>
      <c r="R237" s="8" t="str">
        <f t="shared" si="3263"/>
        <v/>
      </c>
      <c r="S237" s="8" t="str">
        <f t="shared" ref="S236:S237" si="3277">IF(S$8="","",R237)</f>
        <v/>
      </c>
      <c r="T237" s="8" t="str">
        <f>IF(T$8="","",S237)</f>
        <v/>
      </c>
      <c r="U237" s="8" t="str">
        <f t="shared" si="3264"/>
        <v/>
      </c>
      <c r="V237" s="8" t="str">
        <f>IF(V$8="","",U237)</f>
        <v/>
      </c>
      <c r="W237" s="8" t="str">
        <f t="shared" ref="W237" si="3278">IF(W$8="","",V237)</f>
        <v/>
      </c>
      <c r="X237" s="8" t="str">
        <f t="shared" si="3265"/>
        <v/>
      </c>
      <c r="Y237" s="8" t="str">
        <f t="shared" si="3266"/>
        <v/>
      </c>
      <c r="Z237" s="8" t="str">
        <f>IF(Z$8="","",Y237)</f>
        <v/>
      </c>
      <c r="AA237" s="8" t="str">
        <f t="shared" si="3267"/>
        <v/>
      </c>
      <c r="AB237" s="8" t="str">
        <f t="shared" si="3268"/>
        <v/>
      </c>
      <c r="AC237" s="8" t="str">
        <f t="shared" si="3269"/>
        <v/>
      </c>
      <c r="AD237" s="8" t="str">
        <f t="shared" ref="AD237" si="3279">IF(AD$8="","",AC237)</f>
        <v/>
      </c>
      <c r="AE237" s="8" t="str">
        <f t="shared" ref="AE236:AE237" si="3280">IF(AE$8="","",AD237)</f>
        <v/>
      </c>
      <c r="AF237" s="8" t="str">
        <f t="shared" si="3270"/>
        <v/>
      </c>
      <c r="AG237" s="8" t="str">
        <f>IF(AG$8="","",AF237)</f>
        <v/>
      </c>
      <c r="AH237" s="8" t="str">
        <f t="shared" si="3271"/>
        <v/>
      </c>
      <c r="AI237" s="8" t="str">
        <f t="shared" si="3272"/>
        <v/>
      </c>
      <c r="AJ237" s="8" t="str">
        <f t="shared" ref="AJ236:AJ237" si="3281">IF(AJ$8="","",AI237)</f>
        <v/>
      </c>
      <c r="AK237" s="8" t="str">
        <f t="shared" si="3273"/>
        <v/>
      </c>
      <c r="AL237" s="8" t="str">
        <f t="shared" si="3274"/>
        <v/>
      </c>
      <c r="AM237" s="8" t="str">
        <f t="shared" si="3275"/>
        <v/>
      </c>
      <c r="AN237" s="8" t="str">
        <f>IF(AN$8="","",AM237)</f>
        <v/>
      </c>
      <c r="AO237" s="8" t="str">
        <f t="shared" ref="AO237:AS237" si="3282">IF(AO$8="","",AN237)</f>
        <v/>
      </c>
      <c r="AP237" s="8" t="str">
        <f t="shared" si="3282"/>
        <v/>
      </c>
      <c r="AQ237" s="8" t="str">
        <f t="shared" si="3282"/>
        <v/>
      </c>
      <c r="AR237" s="8" t="str">
        <f t="shared" si="3282"/>
        <v/>
      </c>
      <c r="AS237" s="8" t="str">
        <f t="shared" si="3282"/>
        <v/>
      </c>
    </row>
    <row r="238" spans="1:45" s="84" customFormat="1" ht="11.25" x14ac:dyDescent="0.15">
      <c r="A238" s="15">
        <v>2</v>
      </c>
      <c r="B238" s="9" t="s">
        <v>5</v>
      </c>
      <c r="C238" s="8">
        <v>9</v>
      </c>
      <c r="D238" s="8">
        <v>8</v>
      </c>
      <c r="E238" s="8">
        <v>11</v>
      </c>
      <c r="F238" s="8">
        <v>11</v>
      </c>
      <c r="G238" s="8">
        <v>11</v>
      </c>
      <c r="H238" s="8">
        <v>14</v>
      </c>
      <c r="I238" s="8">
        <v>14</v>
      </c>
      <c r="J238" s="8">
        <v>14</v>
      </c>
      <c r="K238" s="8">
        <v>12</v>
      </c>
      <c r="L238" s="8">
        <f>IF(L236="","",(K238+K239))</f>
        <v>12</v>
      </c>
      <c r="M238" s="8">
        <v>11</v>
      </c>
      <c r="N238" s="8" t="str">
        <f t="shared" ref="N238" si="3283">IF(N236="","",(M238+M239))</f>
        <v/>
      </c>
      <c r="O238" s="8" t="str">
        <f>IF(O236="","",(N238+N239))</f>
        <v/>
      </c>
      <c r="P238" s="8" t="str">
        <f t="shared" ref="P238" si="3284">IF(P236="","",(O238+O239))</f>
        <v/>
      </c>
      <c r="Q238" s="8" t="str">
        <f t="shared" ref="Q238" si="3285">IF(Q236="","",(P238+P239))</f>
        <v/>
      </c>
      <c r="R238" s="8" t="str">
        <f t="shared" ref="R238" si="3286">IF(R236="","",(Q238+Q239))</f>
        <v/>
      </c>
      <c r="S238" s="8" t="str">
        <f t="shared" ref="S238" si="3287">IF(S236="","",(R238+R239))</f>
        <v/>
      </c>
      <c r="T238" s="8" t="str">
        <f t="shared" ref="T238" si="3288">IF(T236="","",(S238+S239))</f>
        <v/>
      </c>
      <c r="U238" s="8" t="str">
        <f t="shared" ref="U238" si="3289">IF(U236="","",(T238+T239))</f>
        <v/>
      </c>
      <c r="V238" s="8" t="str">
        <f>IF(V236="","",(U238+U239))</f>
        <v/>
      </c>
      <c r="W238" s="8" t="str">
        <f t="shared" ref="W238" si="3290">IF(W236="","",(V238+V239))</f>
        <v/>
      </c>
      <c r="X238" s="8" t="str">
        <f t="shared" ref="X238" si="3291">IF(X236="","",(W238+W239))</f>
        <v/>
      </c>
      <c r="Y238" s="8" t="str">
        <f t="shared" ref="Y238" si="3292">IF(Y236="","",(X238+X239))</f>
        <v/>
      </c>
      <c r="Z238" s="8" t="str">
        <f>IF(Z236="","",(Y238+Y239))</f>
        <v/>
      </c>
      <c r="AA238" s="8" t="str">
        <f t="shared" ref="AA238" si="3293">IF(AA236="","",(Z238+Z239))</f>
        <v/>
      </c>
      <c r="AB238" s="8" t="str">
        <f t="shared" ref="AB238" si="3294">IF(AB236="","",(AA238+AA239))</f>
        <v/>
      </c>
      <c r="AC238" s="8" t="str">
        <f t="shared" ref="AC238" si="3295">IF(AC236="","",(AB238+AB239))</f>
        <v/>
      </c>
      <c r="AD238" s="8" t="str">
        <f t="shared" ref="AD238" si="3296">IF(AD236="","",(AC238+AC239))</f>
        <v/>
      </c>
      <c r="AE238" s="8" t="str">
        <f t="shared" ref="AE238" si="3297">IF(AE236="","",(AD238+AD239))</f>
        <v/>
      </c>
      <c r="AF238" s="8" t="str">
        <f t="shared" ref="AF238" si="3298">IF(AF236="","",(AE238+AE239))</f>
        <v/>
      </c>
      <c r="AG238" s="8" t="str">
        <f>IF(AG236="","",(AF238+AF239))</f>
        <v/>
      </c>
      <c r="AH238" s="8" t="str">
        <f t="shared" ref="AH238" si="3299">IF(AH236="","",(AG238+AG239))</f>
        <v/>
      </c>
      <c r="AI238" s="8" t="str">
        <f t="shared" ref="AI238" si="3300">IF(AI236="","",(AH238+AH239))</f>
        <v/>
      </c>
      <c r="AJ238" s="8" t="str">
        <f t="shared" ref="AJ238" si="3301">IF(AJ236="","",(AI238+AI239))</f>
        <v/>
      </c>
      <c r="AK238" s="8" t="str">
        <f t="shared" ref="AK238" si="3302">IF(AK236="","",(AJ238+AJ239))</f>
        <v/>
      </c>
      <c r="AL238" s="8" t="str">
        <f t="shared" ref="AL238" si="3303">IF(AL236="","",(AK238+AK239))</f>
        <v/>
      </c>
      <c r="AM238" s="8" t="str">
        <f t="shared" ref="AM238" si="3304">IF(AM236="","",(AL238+AL239))</f>
        <v/>
      </c>
      <c r="AN238" s="8" t="str">
        <f>IF(AN236="","",(AM238+AM239))</f>
        <v/>
      </c>
      <c r="AO238" s="8" t="str">
        <f t="shared" ref="AO238:AS238" si="3305">IF(AO236="","",(AN238+AN239))</f>
        <v/>
      </c>
      <c r="AP238" s="8" t="str">
        <f t="shared" si="3305"/>
        <v/>
      </c>
      <c r="AQ238" s="8" t="str">
        <f t="shared" si="3305"/>
        <v/>
      </c>
      <c r="AR238" s="8" t="str">
        <f t="shared" si="3305"/>
        <v/>
      </c>
      <c r="AS238" s="8" t="str">
        <f t="shared" si="3305"/>
        <v/>
      </c>
    </row>
    <row r="239" spans="1:45" s="84" customFormat="1" ht="11.25" x14ac:dyDescent="0.15">
      <c r="A239" s="14"/>
      <c r="B239" s="9" t="s">
        <v>7</v>
      </c>
      <c r="C239" s="8"/>
      <c r="D239" s="8">
        <v>3</v>
      </c>
      <c r="E239" s="8"/>
      <c r="F239" s="8"/>
      <c r="G239" s="8">
        <v>3</v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</row>
    <row r="240" spans="1:45" s="84" customFormat="1" ht="11.25" x14ac:dyDescent="0.15">
      <c r="A240" s="7"/>
      <c r="B240" s="9" t="s">
        <v>8</v>
      </c>
      <c r="C240" s="8">
        <v>1100</v>
      </c>
      <c r="D240" s="8">
        <v>1100</v>
      </c>
      <c r="E240" s="8">
        <v>1100</v>
      </c>
      <c r="F240" s="8">
        <v>1100</v>
      </c>
      <c r="G240" s="8">
        <v>1100</v>
      </c>
      <c r="H240" s="8">
        <v>1100</v>
      </c>
      <c r="I240" s="8">
        <v>1100</v>
      </c>
      <c r="J240" s="8">
        <v>1100</v>
      </c>
      <c r="K240" s="8">
        <v>1100</v>
      </c>
      <c r="L240" s="8">
        <f t="shared" ref="L240" si="3306">IF(L236="","",K240)</f>
        <v>1100</v>
      </c>
      <c r="M240" s="8">
        <f t="shared" ref="M240" si="3307">IF(M236="","",L240)</f>
        <v>1100</v>
      </c>
      <c r="N240" s="8" t="str">
        <f t="shared" ref="N240" si="3308">IF(N236="","",M240)</f>
        <v/>
      </c>
      <c r="O240" s="8" t="str">
        <f t="shared" ref="O240" si="3309">IF(O236="","",N240)</f>
        <v/>
      </c>
      <c r="P240" s="8" t="str">
        <f t="shared" ref="P240" si="3310">IF(P236="","",O240)</f>
        <v/>
      </c>
      <c r="Q240" s="8" t="str">
        <f t="shared" ref="Q240" si="3311">IF(Q236="","",P240)</f>
        <v/>
      </c>
      <c r="R240" s="8" t="str">
        <f t="shared" ref="R240" si="3312">IF(R236="","",Q240)</f>
        <v/>
      </c>
      <c r="S240" s="8" t="str">
        <f t="shared" ref="S240" si="3313">IF(S236="","",R240)</f>
        <v/>
      </c>
      <c r="T240" s="8" t="str">
        <f t="shared" ref="T240" si="3314">IF(T236="","",S240)</f>
        <v/>
      </c>
      <c r="U240" s="8" t="str">
        <f t="shared" ref="U240" si="3315">IF(U236="","",T240)</f>
        <v/>
      </c>
      <c r="V240" s="8" t="str">
        <f t="shared" ref="V240" si="3316">IF(V236="","",U240)</f>
        <v/>
      </c>
      <c r="W240" s="8" t="str">
        <f t="shared" ref="W240" si="3317">IF(W236="","",V240)</f>
        <v/>
      </c>
      <c r="X240" s="8" t="str">
        <f t="shared" ref="X240" si="3318">IF(X236="","",W240)</f>
        <v/>
      </c>
      <c r="Y240" s="8" t="str">
        <f t="shared" ref="Y240" si="3319">IF(Y236="","",X240)</f>
        <v/>
      </c>
      <c r="Z240" s="8" t="str">
        <f t="shared" ref="Z240" si="3320">IF(Z236="","",Y240)</f>
        <v/>
      </c>
      <c r="AA240" s="8" t="str">
        <f t="shared" ref="AA240" si="3321">IF(AA236="","",Z240)</f>
        <v/>
      </c>
      <c r="AB240" s="8" t="str">
        <f t="shared" ref="AB240" si="3322">IF(AB236="","",AA240)</f>
        <v/>
      </c>
      <c r="AC240" s="8" t="str">
        <f t="shared" ref="AC240" si="3323">IF(AC236="","",AB240)</f>
        <v/>
      </c>
      <c r="AD240" s="8" t="str">
        <f t="shared" ref="AD240" si="3324">IF(AD236="","",AC240)</f>
        <v/>
      </c>
      <c r="AE240" s="8" t="str">
        <f t="shared" ref="AE240" si="3325">IF(AE236="","",AD240)</f>
        <v/>
      </c>
      <c r="AF240" s="8" t="str">
        <f t="shared" ref="AF240" si="3326">IF(AF236="","",AE240)</f>
        <v/>
      </c>
      <c r="AG240" s="8" t="str">
        <f t="shared" ref="AG240" si="3327">IF(AG236="","",AF240)</f>
        <v/>
      </c>
      <c r="AH240" s="8" t="str">
        <f t="shared" ref="AH240" si="3328">IF(AH236="","",AG240)</f>
        <v/>
      </c>
      <c r="AI240" s="8" t="str">
        <f t="shared" ref="AI240" si="3329">IF(AI236="","",AH240)</f>
        <v/>
      </c>
      <c r="AJ240" s="8" t="str">
        <f t="shared" ref="AJ240" si="3330">IF(AJ236="","",AI240)</f>
        <v/>
      </c>
      <c r="AK240" s="8" t="str">
        <f t="shared" ref="AK240" si="3331">IF(AK236="","",AJ240)</f>
        <v/>
      </c>
      <c r="AL240" s="8" t="str">
        <f t="shared" ref="AL240" si="3332">IF(AL236="","",AK240)</f>
        <v/>
      </c>
      <c r="AM240" s="8" t="str">
        <f t="shared" ref="AM240" si="3333">IF(AM236="","",AL240)</f>
        <v/>
      </c>
      <c r="AN240" s="8" t="str">
        <f t="shared" ref="AN240" si="3334">IF(AN236="","",AM240)</f>
        <v/>
      </c>
      <c r="AO240" s="8" t="str">
        <f t="shared" ref="AO240:AS240" si="3335">IF(AO236="","",AN240)</f>
        <v/>
      </c>
      <c r="AP240" s="8" t="str">
        <f t="shared" si="3335"/>
        <v/>
      </c>
      <c r="AQ240" s="8" t="str">
        <f t="shared" si="3335"/>
        <v/>
      </c>
      <c r="AR240" s="8" t="str">
        <f t="shared" si="3335"/>
        <v/>
      </c>
      <c r="AS240" s="8" t="str">
        <f t="shared" si="3335"/>
        <v/>
      </c>
    </row>
    <row r="241" spans="1:45" s="85" customFormat="1" ht="11.25" x14ac:dyDescent="0.15">
      <c r="A241" s="14" t="s">
        <v>9</v>
      </c>
      <c r="B241" s="13" t="s">
        <v>10</v>
      </c>
      <c r="C241" s="12" t="s">
        <v>352</v>
      </c>
      <c r="D241" s="12" t="s">
        <v>352</v>
      </c>
      <c r="E241" s="12" t="s">
        <v>352</v>
      </c>
      <c r="F241" s="12" t="s">
        <v>352</v>
      </c>
      <c r="G241" s="12" t="s">
        <v>352</v>
      </c>
      <c r="H241" s="12" t="s">
        <v>352</v>
      </c>
      <c r="I241" s="12" t="s">
        <v>352</v>
      </c>
      <c r="J241" s="12" t="s">
        <v>352</v>
      </c>
      <c r="K241" s="12" t="s">
        <v>352</v>
      </c>
      <c r="L241" s="12" t="str">
        <f t="shared" ref="L241" si="3336">IF(L236="","",K241)</f>
        <v>ベアブリック</v>
      </c>
      <c r="M241" s="12" t="str">
        <f t="shared" ref="M241" si="3337">IF(M236="","",L241)</f>
        <v>ベアブリック</v>
      </c>
      <c r="N241" s="12" t="str">
        <f t="shared" ref="N241" si="3338">IF(N236="","",M241)</f>
        <v/>
      </c>
      <c r="O241" s="12" t="str">
        <f t="shared" ref="O241" si="3339">IF(O236="","",N241)</f>
        <v/>
      </c>
      <c r="P241" s="12" t="str">
        <f t="shared" ref="P241" si="3340">IF(P236="","",O241)</f>
        <v/>
      </c>
      <c r="Q241" s="12" t="str">
        <f t="shared" ref="Q241" si="3341">IF(Q236="","",P241)</f>
        <v/>
      </c>
      <c r="R241" s="12" t="str">
        <f t="shared" ref="R241" si="3342">IF(R236="","",Q241)</f>
        <v/>
      </c>
      <c r="S241" s="12" t="str">
        <f t="shared" ref="S241" si="3343">IF(S236="","",R241)</f>
        <v/>
      </c>
      <c r="T241" s="12" t="str">
        <f t="shared" ref="T241" si="3344">IF(T236="","",S241)</f>
        <v/>
      </c>
      <c r="U241" s="12" t="str">
        <f t="shared" ref="U241" si="3345">IF(U236="","",T241)</f>
        <v/>
      </c>
      <c r="V241" s="12" t="str">
        <f t="shared" ref="V241" si="3346">IF(V236="","",U241)</f>
        <v/>
      </c>
      <c r="W241" s="12" t="str">
        <f t="shared" ref="W241" si="3347">IF(W236="","",V241)</f>
        <v/>
      </c>
      <c r="X241" s="12" t="str">
        <f t="shared" ref="X241" si="3348">IF(X236="","",W241)</f>
        <v/>
      </c>
      <c r="Y241" s="12" t="str">
        <f t="shared" ref="Y241" si="3349">IF(Y236="","",X241)</f>
        <v/>
      </c>
      <c r="Z241" s="12" t="str">
        <f t="shared" ref="Z241" si="3350">IF(Z236="","",Y241)</f>
        <v/>
      </c>
      <c r="AA241" s="12" t="str">
        <f t="shared" ref="AA241" si="3351">IF(AA236="","",Z241)</f>
        <v/>
      </c>
      <c r="AB241" s="12" t="str">
        <f t="shared" ref="AB241" si="3352">IF(AB236="","",AA241)</f>
        <v/>
      </c>
      <c r="AC241" s="12" t="str">
        <f t="shared" ref="AC241" si="3353">IF(AC236="","",AB241)</f>
        <v/>
      </c>
      <c r="AD241" s="12" t="str">
        <f t="shared" ref="AD241" si="3354">IF(AD236="","",AC241)</f>
        <v/>
      </c>
      <c r="AE241" s="12" t="str">
        <f t="shared" ref="AE241" si="3355">IF(AE236="","",AD241)</f>
        <v/>
      </c>
      <c r="AF241" s="12" t="str">
        <f t="shared" ref="AF241" si="3356">IF(AF236="","",AE241)</f>
        <v/>
      </c>
      <c r="AG241" s="12" t="str">
        <f>IF(AG236="","",AF241)</f>
        <v/>
      </c>
      <c r="AH241" s="12" t="str">
        <f t="shared" ref="AH241" si="3357">IF(AH236="","",AG241)</f>
        <v/>
      </c>
      <c r="AI241" s="12" t="str">
        <f t="shared" ref="AI241" si="3358">IF(AI236="","",AH241)</f>
        <v/>
      </c>
      <c r="AJ241" s="12" t="str">
        <f t="shared" ref="AJ241" si="3359">IF(AJ236="","",AI241)</f>
        <v/>
      </c>
      <c r="AK241" s="12" t="str">
        <f t="shared" ref="AK241" si="3360">IF(AK236="","",AJ241)</f>
        <v/>
      </c>
      <c r="AL241" s="12" t="str">
        <f t="shared" ref="AL241" si="3361">IF(AL236="","",AK241)</f>
        <v/>
      </c>
      <c r="AM241" s="12" t="str">
        <f t="shared" ref="AM241" si="3362">IF(AM236="","",AL241)</f>
        <v/>
      </c>
      <c r="AN241" s="12" t="str">
        <f t="shared" ref="AN241" si="3363">IF(AN236="","",AM241)</f>
        <v/>
      </c>
      <c r="AO241" s="12" t="str">
        <f t="shared" ref="AO241:AS241" si="3364">IF(AO236="","",AN241)</f>
        <v/>
      </c>
      <c r="AP241" s="12" t="str">
        <f t="shared" si="3364"/>
        <v/>
      </c>
      <c r="AQ241" s="12" t="str">
        <f t="shared" si="3364"/>
        <v/>
      </c>
      <c r="AR241" s="12" t="str">
        <f t="shared" si="3364"/>
        <v/>
      </c>
      <c r="AS241" s="12" t="str">
        <f t="shared" si="3364"/>
        <v/>
      </c>
    </row>
    <row r="242" spans="1:45" s="84" customFormat="1" ht="11.25" x14ac:dyDescent="0.15">
      <c r="A242" s="7">
        <f>AVERAGE(C243:AS243)*30*100</f>
        <v>32727.272727272724</v>
      </c>
      <c r="B242" s="9" t="s">
        <v>12</v>
      </c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</row>
    <row r="243" spans="1:45" s="84" customFormat="1" ht="11.25" x14ac:dyDescent="0.15">
      <c r="A243" s="7">
        <f>SUM(C243:AS243)</f>
        <v>120</v>
      </c>
      <c r="B243" s="6" t="s">
        <v>13</v>
      </c>
      <c r="C243" s="5">
        <v>0</v>
      </c>
      <c r="D243" s="5">
        <v>23</v>
      </c>
      <c r="E243" s="5">
        <v>0</v>
      </c>
      <c r="F243" s="5">
        <v>0</v>
      </c>
      <c r="G243" s="5">
        <v>26</v>
      </c>
      <c r="H243" s="5">
        <v>0</v>
      </c>
      <c r="I243" s="5">
        <v>0</v>
      </c>
      <c r="J243" s="5">
        <v>0</v>
      </c>
      <c r="K243" s="5">
        <v>32</v>
      </c>
      <c r="L243" s="5">
        <f t="shared" ref="L243:L244" si="3365">IF(L236="","",L236-K236)</f>
        <v>0</v>
      </c>
      <c r="M243" s="5">
        <f t="shared" ref="M243:M244" si="3366">IF(M236="","",M236-L236)</f>
        <v>39</v>
      </c>
      <c r="N243" s="5" t="str">
        <f t="shared" ref="N243:N244" si="3367">IF(N236="","",N236-M236)</f>
        <v/>
      </c>
      <c r="O243" s="5" t="str">
        <f t="shared" ref="O243:O244" si="3368">IF(O236="","",O236-N236)</f>
        <v/>
      </c>
      <c r="P243" s="5" t="str">
        <f t="shared" ref="P243:P244" si="3369">IF(P236="","",P236-O236)</f>
        <v/>
      </c>
      <c r="Q243" s="5" t="str">
        <f t="shared" ref="Q243:Q244" si="3370">IF(Q236="","",Q236-P236)</f>
        <v/>
      </c>
      <c r="R243" s="5" t="str">
        <f t="shared" ref="R243:R244" si="3371">IF(R236="","",R236-Q236)</f>
        <v/>
      </c>
      <c r="S243" s="5" t="str">
        <f t="shared" ref="S243:S244" si="3372">IF(S236="","",S236-R236)</f>
        <v/>
      </c>
      <c r="T243" s="5" t="str">
        <f t="shared" ref="T243:T244" si="3373">IF(T236="","",T236-S236)</f>
        <v/>
      </c>
      <c r="U243" s="5" t="str">
        <f t="shared" ref="U243:U244" si="3374">IF(U236="","",U236-T236)</f>
        <v/>
      </c>
      <c r="V243" s="5" t="str">
        <f t="shared" ref="V243:V244" si="3375">IF(V236="","",V236-U236)</f>
        <v/>
      </c>
      <c r="W243" s="5" t="str">
        <f t="shared" ref="W243:W244" si="3376">IF(W236="","",W236-V236)</f>
        <v/>
      </c>
      <c r="X243" s="5" t="str">
        <f t="shared" ref="X243:X244" si="3377">IF(X236="","",X236-W236)</f>
        <v/>
      </c>
      <c r="Y243" s="5" t="str">
        <f t="shared" ref="Y243:Y244" si="3378">IF(Y236="","",Y236-X236)</f>
        <v/>
      </c>
      <c r="Z243" s="5" t="str">
        <f t="shared" ref="Z243:Z244" si="3379">IF(Z236="","",Z236-Y236)</f>
        <v/>
      </c>
      <c r="AA243" s="5" t="str">
        <f t="shared" ref="AA243:AA244" si="3380">IF(AA236="","",AA236-Z236)</f>
        <v/>
      </c>
      <c r="AB243" s="5" t="str">
        <f t="shared" ref="AB243:AB244" si="3381">IF(AB236="","",AB236-AA236)</f>
        <v/>
      </c>
      <c r="AC243" s="5" t="str">
        <f t="shared" ref="AC243:AC244" si="3382">IF(AC236="","",AC236-AB236)</f>
        <v/>
      </c>
      <c r="AD243" s="5" t="str">
        <f t="shared" ref="AD243:AD244" si="3383">IF(AD236="","",AD236-AC236)</f>
        <v/>
      </c>
      <c r="AE243" s="5" t="str">
        <f t="shared" ref="AE243:AE244" si="3384">IF(AE236="","",AE236-AD236)</f>
        <v/>
      </c>
      <c r="AF243" s="5" t="str">
        <f t="shared" ref="AF243:AF244" si="3385">IF(AF236="","",AF236-AE236)</f>
        <v/>
      </c>
      <c r="AG243" s="5" t="str">
        <f t="shared" ref="AG243:AG244" si="3386">IF(AG236="","",AG236-AF236)</f>
        <v/>
      </c>
      <c r="AH243" s="5" t="str">
        <f t="shared" ref="AH243:AH244" si="3387">IF(AH236="","",AH236-AG236)</f>
        <v/>
      </c>
      <c r="AI243" s="5" t="str">
        <f t="shared" ref="AI243:AI244" si="3388">IF(AI236="","",AI236-AH236)</f>
        <v/>
      </c>
      <c r="AJ243" s="5" t="str">
        <f t="shared" ref="AJ243:AJ244" si="3389">IF(AJ236="","",AJ236-AI236)</f>
        <v/>
      </c>
      <c r="AK243" s="5" t="str">
        <f t="shared" ref="AK243:AK244" si="3390">IF(AK236="","",AK236-AJ236)</f>
        <v/>
      </c>
      <c r="AL243" s="5" t="str">
        <f t="shared" ref="AL243:AL244" si="3391">IF(AL236="","",AL236-AK236)</f>
        <v/>
      </c>
      <c r="AM243" s="5" t="str">
        <f t="shared" ref="AM243:AM244" si="3392">IF(AM236="","",AM236-AL236)</f>
        <v/>
      </c>
      <c r="AN243" s="5" t="str">
        <f t="shared" ref="AN243" si="3393">IF(AN236="","",AN236-AM236)</f>
        <v/>
      </c>
      <c r="AO243" s="5" t="str">
        <f t="shared" ref="AO243:AS243" si="3394">IF(AO236="","",AO236-AN236)</f>
        <v/>
      </c>
      <c r="AP243" s="5" t="str">
        <f t="shared" si="3394"/>
        <v/>
      </c>
      <c r="AQ243" s="5" t="str">
        <f t="shared" si="3394"/>
        <v/>
      </c>
      <c r="AR243" s="5" t="str">
        <f t="shared" si="3394"/>
        <v/>
      </c>
      <c r="AS243" s="5" t="str">
        <f t="shared" si="3394"/>
        <v/>
      </c>
    </row>
    <row r="244" spans="1:45" s="84" customFormat="1" ht="11.25" x14ac:dyDescent="0.15">
      <c r="A244" s="7">
        <f>SUM(C244:AS244)</f>
        <v>5</v>
      </c>
      <c r="B244" s="6" t="s">
        <v>14</v>
      </c>
      <c r="C244" s="5">
        <v>0</v>
      </c>
      <c r="D244" s="5">
        <v>2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2</v>
      </c>
      <c r="L244" s="5">
        <f t="shared" si="3365"/>
        <v>0</v>
      </c>
      <c r="M244" s="5">
        <f t="shared" si="3366"/>
        <v>1</v>
      </c>
      <c r="N244" s="5" t="str">
        <f t="shared" si="3367"/>
        <v/>
      </c>
      <c r="O244" s="5" t="str">
        <f t="shared" si="3368"/>
        <v/>
      </c>
      <c r="P244" s="5" t="str">
        <f t="shared" si="3369"/>
        <v/>
      </c>
      <c r="Q244" s="5" t="str">
        <f t="shared" si="3370"/>
        <v/>
      </c>
      <c r="R244" s="5" t="str">
        <f t="shared" si="3371"/>
        <v/>
      </c>
      <c r="S244" s="5" t="str">
        <f t="shared" si="3372"/>
        <v/>
      </c>
      <c r="T244" s="5" t="str">
        <f t="shared" si="3373"/>
        <v/>
      </c>
      <c r="U244" s="5" t="str">
        <f t="shared" si="3374"/>
        <v/>
      </c>
      <c r="V244" s="5" t="str">
        <f t="shared" si="3375"/>
        <v/>
      </c>
      <c r="W244" s="5" t="str">
        <f t="shared" si="3376"/>
        <v/>
      </c>
      <c r="X244" s="5" t="str">
        <f t="shared" si="3377"/>
        <v/>
      </c>
      <c r="Y244" s="5" t="str">
        <f t="shared" si="3378"/>
        <v/>
      </c>
      <c r="Z244" s="5" t="str">
        <f t="shared" si="3379"/>
        <v/>
      </c>
      <c r="AA244" s="5" t="str">
        <f t="shared" si="3380"/>
        <v/>
      </c>
      <c r="AB244" s="5" t="str">
        <f t="shared" si="3381"/>
        <v/>
      </c>
      <c r="AC244" s="5" t="str">
        <f t="shared" si="3382"/>
        <v/>
      </c>
      <c r="AD244" s="5" t="str">
        <f t="shared" si="3383"/>
        <v/>
      </c>
      <c r="AE244" s="5" t="str">
        <f t="shared" si="3384"/>
        <v/>
      </c>
      <c r="AF244" s="5" t="str">
        <f t="shared" si="3385"/>
        <v/>
      </c>
      <c r="AG244" s="5" t="str">
        <f t="shared" si="3386"/>
        <v/>
      </c>
      <c r="AH244" s="5" t="str">
        <f t="shared" si="3387"/>
        <v/>
      </c>
      <c r="AI244" s="5" t="str">
        <f t="shared" si="3388"/>
        <v/>
      </c>
      <c r="AJ244" s="5" t="str">
        <f t="shared" si="3389"/>
        <v/>
      </c>
      <c r="AK244" s="5" t="str">
        <f t="shared" si="3390"/>
        <v/>
      </c>
      <c r="AL244" s="5" t="str">
        <f t="shared" si="3391"/>
        <v/>
      </c>
      <c r="AM244" s="5" t="str">
        <f t="shared" si="3392"/>
        <v/>
      </c>
      <c r="AN244" s="5" t="str">
        <f t="shared" ref="AN244" si="3395">IF(AN237="","",AN237-AM237)</f>
        <v/>
      </c>
      <c r="AO244" s="5" t="str">
        <f t="shared" ref="AO244:AS244" si="3396">IF(AO237="","",AO237-AN237)</f>
        <v/>
      </c>
      <c r="AP244" s="5" t="str">
        <f t="shared" si="3396"/>
        <v/>
      </c>
      <c r="AQ244" s="5" t="str">
        <f t="shared" si="3396"/>
        <v/>
      </c>
      <c r="AR244" s="5" t="str">
        <f t="shared" si="3396"/>
        <v/>
      </c>
      <c r="AS244" s="5" t="str">
        <f t="shared" si="3396"/>
        <v/>
      </c>
    </row>
    <row r="245" spans="1:45" s="84" customFormat="1" ht="11.25" x14ac:dyDescent="0.15">
      <c r="A245" s="7">
        <f>SUM(C245:AS245)</f>
        <v>4</v>
      </c>
      <c r="B245" s="6" t="s">
        <v>15</v>
      </c>
      <c r="C245" s="5">
        <v>0</v>
      </c>
      <c r="D245" s="5">
        <v>1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2</v>
      </c>
      <c r="L245" s="5">
        <f t="shared" ref="L245" si="3397">IF(L238="","",K238+K239-L238)</f>
        <v>0</v>
      </c>
      <c r="M245" s="5">
        <f t="shared" ref="M245" si="3398">IF(M238="","",L238+L239-M238)</f>
        <v>1</v>
      </c>
      <c r="N245" s="5" t="str">
        <f t="shared" ref="N245" si="3399">IF(N238="","",M238+M239-N238)</f>
        <v/>
      </c>
      <c r="O245" s="5" t="str">
        <f t="shared" ref="O245" si="3400">IF(O238="","",N238+N239-O238)</f>
        <v/>
      </c>
      <c r="P245" s="5" t="str">
        <f t="shared" ref="P245" si="3401">IF(P238="","",O238+O239-P238)</f>
        <v/>
      </c>
      <c r="Q245" s="5" t="str">
        <f t="shared" ref="Q245" si="3402">IF(Q238="","",P238+P239-Q238)</f>
        <v/>
      </c>
      <c r="R245" s="5" t="str">
        <f t="shared" ref="R245" si="3403">IF(R238="","",Q238+Q239-R238)</f>
        <v/>
      </c>
      <c r="S245" s="5" t="str">
        <f t="shared" ref="S245" si="3404">IF(S238="","",R238+R239-S238)</f>
        <v/>
      </c>
      <c r="T245" s="5" t="str">
        <f t="shared" ref="T245" si="3405">IF(T238="","",S238+S239-T238)</f>
        <v/>
      </c>
      <c r="U245" s="5" t="str">
        <f t="shared" ref="U245" si="3406">IF(U238="","",T238+T239-U238)</f>
        <v/>
      </c>
      <c r="V245" s="5" t="str">
        <f t="shared" ref="V245" si="3407">IF(V238="","",U238+U239-V238)</f>
        <v/>
      </c>
      <c r="W245" s="5" t="str">
        <f t="shared" ref="W245" si="3408">IF(W238="","",V238+V239-W238)</f>
        <v/>
      </c>
      <c r="X245" s="5" t="str">
        <f t="shared" ref="X245" si="3409">IF(X238="","",W238+W239-X238)</f>
        <v/>
      </c>
      <c r="Y245" s="5" t="str">
        <f t="shared" ref="Y245" si="3410">IF(Y238="","",X238+X239-Y238)</f>
        <v/>
      </c>
      <c r="Z245" s="5" t="str">
        <f t="shared" ref="Z245" si="3411">IF(Z238="","",Y238+Y239-Z238)</f>
        <v/>
      </c>
      <c r="AA245" s="5" t="str">
        <f t="shared" ref="AA245" si="3412">IF(AA238="","",Z238+Z239-AA238)</f>
        <v/>
      </c>
      <c r="AB245" s="5" t="str">
        <f t="shared" ref="AB245" si="3413">IF(AB238="","",AA238+AA239-AB238)</f>
        <v/>
      </c>
      <c r="AC245" s="5" t="str">
        <f t="shared" ref="AC245" si="3414">IF(AC238="","",AB238+AB239-AC238)</f>
        <v/>
      </c>
      <c r="AD245" s="5" t="str">
        <f t="shared" ref="AD245" si="3415">IF(AD238="","",AC238+AC239-AD238)</f>
        <v/>
      </c>
      <c r="AE245" s="5" t="str">
        <f t="shared" ref="AE245" si="3416">IF(AE238="","",AD238+AD239-AE238)</f>
        <v/>
      </c>
      <c r="AF245" s="5" t="str">
        <f t="shared" ref="AF245" si="3417">IF(AF238="","",AE238+AE239-AF238)</f>
        <v/>
      </c>
      <c r="AG245" s="5" t="str">
        <f t="shared" ref="AG245" si="3418">IF(AG238="","",AF238+AF239-AG238)</f>
        <v/>
      </c>
      <c r="AH245" s="5" t="str">
        <f t="shared" ref="AH245" si="3419">IF(AH238="","",AG238+AG239-AH238)</f>
        <v/>
      </c>
      <c r="AI245" s="5" t="str">
        <f t="shared" ref="AI245" si="3420">IF(AI238="","",AH238+AH239-AI238)</f>
        <v/>
      </c>
      <c r="AJ245" s="5" t="str">
        <f t="shared" ref="AJ245" si="3421">IF(AJ238="","",AI238+AI239-AJ238)</f>
        <v/>
      </c>
      <c r="AK245" s="5" t="str">
        <f t="shared" ref="AK245" si="3422">IF(AK238="","",AJ238+AJ239-AK238)</f>
        <v/>
      </c>
      <c r="AL245" s="5" t="str">
        <f t="shared" ref="AL245" si="3423">IF(AL238="","",AK238+AK239-AL238)</f>
        <v/>
      </c>
      <c r="AM245" s="5" t="str">
        <f t="shared" ref="AM245" si="3424">IF(AM238="","",AL238+AL239-AM238)</f>
        <v/>
      </c>
      <c r="AN245" s="5" t="str">
        <f t="shared" ref="AN245" si="3425">IF(AN238="","",AM238+AM239-AN238)</f>
        <v/>
      </c>
      <c r="AO245" s="5" t="str">
        <f t="shared" ref="AO245:AS245" si="3426">IF(AO238="","",AN238+AN239-AO238)</f>
        <v/>
      </c>
      <c r="AP245" s="5" t="str">
        <f t="shared" si="3426"/>
        <v/>
      </c>
      <c r="AQ245" s="5" t="str">
        <f t="shared" si="3426"/>
        <v/>
      </c>
      <c r="AR245" s="5" t="str">
        <f t="shared" si="3426"/>
        <v/>
      </c>
      <c r="AS245" s="5" t="str">
        <f t="shared" si="3426"/>
        <v/>
      </c>
    </row>
    <row r="246" spans="1:45" s="84" customFormat="1" ht="11.25" x14ac:dyDescent="0.15">
      <c r="A246" s="7">
        <f>SUM(C246:AS246)</f>
        <v>4400</v>
      </c>
      <c r="B246" s="6" t="s">
        <v>16</v>
      </c>
      <c r="C246" s="5">
        <v>0</v>
      </c>
      <c r="D246" s="5">
        <v>1100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2200</v>
      </c>
      <c r="L246" s="5">
        <f t="shared" ref="J246:AM246" si="3427">IF(L236="","",L245*L240)</f>
        <v>0</v>
      </c>
      <c r="M246" s="5">
        <f t="shared" si="3427"/>
        <v>1100</v>
      </c>
      <c r="N246" s="5" t="str">
        <f t="shared" si="3427"/>
        <v/>
      </c>
      <c r="O246" s="5" t="str">
        <f t="shared" si="3427"/>
        <v/>
      </c>
      <c r="P246" s="5" t="str">
        <f t="shared" si="3427"/>
        <v/>
      </c>
      <c r="Q246" s="5" t="str">
        <f t="shared" si="3427"/>
        <v/>
      </c>
      <c r="R246" s="5" t="str">
        <f t="shared" si="3427"/>
        <v/>
      </c>
      <c r="S246" s="5" t="str">
        <f t="shared" si="3427"/>
        <v/>
      </c>
      <c r="T246" s="5" t="str">
        <f t="shared" si="3427"/>
        <v/>
      </c>
      <c r="U246" s="5" t="str">
        <f t="shared" si="3427"/>
        <v/>
      </c>
      <c r="V246" s="5" t="str">
        <f t="shared" si="3427"/>
        <v/>
      </c>
      <c r="W246" s="5" t="str">
        <f t="shared" si="3427"/>
        <v/>
      </c>
      <c r="X246" s="5" t="str">
        <f t="shared" si="3427"/>
        <v/>
      </c>
      <c r="Y246" s="5" t="str">
        <f t="shared" si="3427"/>
        <v/>
      </c>
      <c r="Z246" s="5" t="str">
        <f t="shared" si="3427"/>
        <v/>
      </c>
      <c r="AA246" s="5" t="str">
        <f t="shared" si="3427"/>
        <v/>
      </c>
      <c r="AB246" s="5" t="str">
        <f t="shared" si="3427"/>
        <v/>
      </c>
      <c r="AC246" s="5" t="str">
        <f t="shared" si="3427"/>
        <v/>
      </c>
      <c r="AD246" s="5" t="str">
        <f t="shared" si="3427"/>
        <v/>
      </c>
      <c r="AE246" s="5" t="str">
        <f t="shared" si="3427"/>
        <v/>
      </c>
      <c r="AF246" s="5" t="str">
        <f t="shared" si="3427"/>
        <v/>
      </c>
      <c r="AG246" s="5" t="str">
        <f t="shared" si="3427"/>
        <v/>
      </c>
      <c r="AH246" s="5" t="str">
        <f t="shared" si="3427"/>
        <v/>
      </c>
      <c r="AI246" s="5" t="str">
        <f t="shared" si="3427"/>
        <v/>
      </c>
      <c r="AJ246" s="5" t="str">
        <f t="shared" si="3427"/>
        <v/>
      </c>
      <c r="AK246" s="5" t="str">
        <f t="shared" si="3427"/>
        <v/>
      </c>
      <c r="AL246" s="5" t="str">
        <f t="shared" si="3427"/>
        <v/>
      </c>
      <c r="AM246" s="5" t="str">
        <f t="shared" si="3427"/>
        <v/>
      </c>
      <c r="AN246" s="5" t="str">
        <f t="shared" ref="AN246" si="3428">IF(AN236="","",AN245*AN240)</f>
        <v/>
      </c>
      <c r="AO246" s="5" t="str">
        <f t="shared" ref="AO246:AS246" si="3429">IF(AO236="","",AO245*AO240)</f>
        <v/>
      </c>
      <c r="AP246" s="5" t="str">
        <f t="shared" si="3429"/>
        <v/>
      </c>
      <c r="AQ246" s="5" t="str">
        <f t="shared" si="3429"/>
        <v/>
      </c>
      <c r="AR246" s="5" t="str">
        <f t="shared" si="3429"/>
        <v/>
      </c>
      <c r="AS246" s="5" t="str">
        <f t="shared" si="3429"/>
        <v/>
      </c>
    </row>
    <row r="247" spans="1:45" s="84" customFormat="1" ht="12" thickBot="1" x14ac:dyDescent="0.2">
      <c r="A247" s="4">
        <f>IF(A246="","",A246/(A243*100))</f>
        <v>0.36666666666666664</v>
      </c>
      <c r="B247" s="6" t="s">
        <v>18</v>
      </c>
      <c r="C247" s="18" t="s">
        <v>19</v>
      </c>
      <c r="D247" s="18">
        <v>0.47826086956521741</v>
      </c>
      <c r="E247" s="18" t="s">
        <v>19</v>
      </c>
      <c r="F247" s="18" t="s">
        <v>19</v>
      </c>
      <c r="G247" s="18" t="s">
        <v>19</v>
      </c>
      <c r="H247" s="18" t="s">
        <v>19</v>
      </c>
      <c r="I247" s="18" t="s">
        <v>19</v>
      </c>
      <c r="J247" s="18" t="s">
        <v>19</v>
      </c>
      <c r="K247" s="18">
        <v>0.6875</v>
      </c>
      <c r="L247" s="18" t="str">
        <f t="shared" ref="J247:AM247" si="3430">IF(L246="","",IF(L246=0,"",L246/(L243*100)))</f>
        <v/>
      </c>
      <c r="M247" s="18">
        <f t="shared" si="3430"/>
        <v>0.28205128205128205</v>
      </c>
      <c r="N247" s="18" t="str">
        <f t="shared" si="3430"/>
        <v/>
      </c>
      <c r="O247" s="18" t="str">
        <f t="shared" si="3430"/>
        <v/>
      </c>
      <c r="P247" s="18" t="str">
        <f t="shared" si="3430"/>
        <v/>
      </c>
      <c r="Q247" s="18" t="str">
        <f t="shared" si="3430"/>
        <v/>
      </c>
      <c r="R247" s="18" t="str">
        <f t="shared" si="3430"/>
        <v/>
      </c>
      <c r="S247" s="18" t="str">
        <f t="shared" si="3430"/>
        <v/>
      </c>
      <c r="T247" s="18" t="str">
        <f t="shared" si="3430"/>
        <v/>
      </c>
      <c r="U247" s="18" t="str">
        <f t="shared" si="3430"/>
        <v/>
      </c>
      <c r="V247" s="18" t="str">
        <f t="shared" si="3430"/>
        <v/>
      </c>
      <c r="W247" s="18" t="str">
        <f t="shared" si="3430"/>
        <v/>
      </c>
      <c r="X247" s="18" t="str">
        <f t="shared" si="3430"/>
        <v/>
      </c>
      <c r="Y247" s="18" t="str">
        <f t="shared" si="3430"/>
        <v/>
      </c>
      <c r="Z247" s="18" t="str">
        <f t="shared" si="3430"/>
        <v/>
      </c>
      <c r="AA247" s="18" t="str">
        <f t="shared" si="3430"/>
        <v/>
      </c>
      <c r="AB247" s="18" t="str">
        <f t="shared" si="3430"/>
        <v/>
      </c>
      <c r="AC247" s="18" t="str">
        <f t="shared" si="3430"/>
        <v/>
      </c>
      <c r="AD247" s="18" t="str">
        <f t="shared" si="3430"/>
        <v/>
      </c>
      <c r="AE247" s="18" t="str">
        <f t="shared" si="3430"/>
        <v/>
      </c>
      <c r="AF247" s="18" t="str">
        <f t="shared" si="3430"/>
        <v/>
      </c>
      <c r="AG247" s="18" t="str">
        <f t="shared" si="3430"/>
        <v/>
      </c>
      <c r="AH247" s="18" t="str">
        <f t="shared" si="3430"/>
        <v/>
      </c>
      <c r="AI247" s="18" t="str">
        <f t="shared" si="3430"/>
        <v/>
      </c>
      <c r="AJ247" s="18" t="str">
        <f t="shared" si="3430"/>
        <v/>
      </c>
      <c r="AK247" s="18" t="str">
        <f t="shared" si="3430"/>
        <v/>
      </c>
      <c r="AL247" s="18" t="str">
        <f t="shared" si="3430"/>
        <v/>
      </c>
      <c r="AM247" s="18" t="str">
        <f t="shared" si="3430"/>
        <v/>
      </c>
      <c r="AN247" s="18" t="str">
        <f t="shared" ref="AN247" si="3431">IF(AN246="","",IF(AN246=0,"",AN246/(AN243*100)))</f>
        <v/>
      </c>
      <c r="AO247" s="18" t="str">
        <f t="shared" ref="AO247:AS247" si="3432">IF(AO246="","",IF(AO246=0,"",AO246/(AO243*100)))</f>
        <v/>
      </c>
      <c r="AP247" s="18" t="str">
        <f t="shared" si="3432"/>
        <v/>
      </c>
      <c r="AQ247" s="18" t="str">
        <f t="shared" si="3432"/>
        <v/>
      </c>
      <c r="AR247" s="18" t="str">
        <f t="shared" si="3432"/>
        <v/>
      </c>
      <c r="AS247" s="18" t="str">
        <f t="shared" si="3432"/>
        <v/>
      </c>
    </row>
    <row r="248" spans="1:45" s="84" customFormat="1" ht="11.25" x14ac:dyDescent="0.15">
      <c r="A248" s="17" t="s">
        <v>77</v>
      </c>
      <c r="B248" s="9" t="s">
        <v>2</v>
      </c>
      <c r="C248" s="8">
        <v>26157</v>
      </c>
      <c r="D248" s="8">
        <v>26163</v>
      </c>
      <c r="E248" s="8">
        <v>26163</v>
      </c>
      <c r="F248" s="8">
        <v>26163</v>
      </c>
      <c r="G248" s="8">
        <v>26200</v>
      </c>
      <c r="H248" s="8">
        <v>26200</v>
      </c>
      <c r="I248" s="8">
        <v>26200</v>
      </c>
      <c r="J248" s="8">
        <v>26200</v>
      </c>
      <c r="K248" s="8">
        <v>26225</v>
      </c>
      <c r="L248" s="8">
        <f>IF(L$8="","",K248)</f>
        <v>26225</v>
      </c>
      <c r="M248" s="8">
        <v>26252</v>
      </c>
      <c r="N248" s="8" t="str">
        <f t="shared" ref="N248:N249" si="3433">IF(N$8="","",M248)</f>
        <v/>
      </c>
      <c r="O248" s="8" t="str">
        <f>IF(O$8="","",N248)</f>
        <v/>
      </c>
      <c r="P248" s="8" t="str">
        <f t="shared" ref="P248:P249" si="3434">IF(P$8="","",O248)</f>
        <v/>
      </c>
      <c r="Q248" s="8" t="str">
        <f t="shared" ref="Q248:Q249" si="3435">IF(Q$8="","",P248)</f>
        <v/>
      </c>
      <c r="R248" s="8" t="str">
        <f t="shared" ref="R248:R249" si="3436">IF(R$8="","",Q248)</f>
        <v/>
      </c>
      <c r="S248" s="8" t="str">
        <f>IF(S$8="","",R248)</f>
        <v/>
      </c>
      <c r="T248" s="8" t="str">
        <f>IF(T$8="","",S248)</f>
        <v/>
      </c>
      <c r="U248" s="8" t="str">
        <f t="shared" ref="U248:U249" si="3437">IF(U$8="","",T248)</f>
        <v/>
      </c>
      <c r="V248" s="8" t="str">
        <f>IF(V$8="","",U248)</f>
        <v/>
      </c>
      <c r="W248" s="8" t="str">
        <f>IF(W$8="","",V248)</f>
        <v/>
      </c>
      <c r="X248" s="8" t="str">
        <f t="shared" ref="X248:X249" si="3438">IF(X$8="","",W248)</f>
        <v/>
      </c>
      <c r="Y248" s="8" t="str">
        <f t="shared" ref="Y248:Y249" si="3439">IF(Y$8="","",X248)</f>
        <v/>
      </c>
      <c r="Z248" s="8" t="str">
        <f>IF(Z$8="","",Y248)</f>
        <v/>
      </c>
      <c r="AA248" s="8" t="str">
        <f t="shared" ref="AA248:AA249" si="3440">IF(AA$8="","",Z248)</f>
        <v/>
      </c>
      <c r="AB248" s="8" t="str">
        <f t="shared" ref="AB248:AB249" si="3441">IF(AB$8="","",AA248)</f>
        <v/>
      </c>
      <c r="AC248" s="8" t="str">
        <f t="shared" ref="AC248:AC249" si="3442">IF(AC$8="","",AB248)</f>
        <v/>
      </c>
      <c r="AD248" s="8" t="str">
        <f>IF(AD$8="","",AC248)</f>
        <v/>
      </c>
      <c r="AE248" s="8" t="str">
        <f>IF(AE$8="","",AD248)</f>
        <v/>
      </c>
      <c r="AF248" s="8" t="str">
        <f t="shared" ref="AF248:AF249" si="3443">IF(AF$8="","",AE248)</f>
        <v/>
      </c>
      <c r="AG248" s="8" t="str">
        <f>IF(AG$8="","",AF248)</f>
        <v/>
      </c>
      <c r="AH248" s="8" t="str">
        <f t="shared" ref="AH248:AH249" si="3444">IF(AH$8="","",AG248)</f>
        <v/>
      </c>
      <c r="AI248" s="8" t="str">
        <f t="shared" ref="AI248:AI249" si="3445">IF(AI$8="","",AH248)</f>
        <v/>
      </c>
      <c r="AJ248" s="8" t="str">
        <f>IF(AJ$8="","",AI248)</f>
        <v/>
      </c>
      <c r="AK248" s="8" t="str">
        <f t="shared" ref="AK248:AK249" si="3446">IF(AK$8="","",AJ248)</f>
        <v/>
      </c>
      <c r="AL248" s="8" t="str">
        <f t="shared" ref="AL248:AL249" si="3447">IF(AL$8="","",AK248)</f>
        <v/>
      </c>
      <c r="AM248" s="8" t="str">
        <f t="shared" ref="AM248:AM249" si="3448">IF(AM$8="","",AL248)</f>
        <v/>
      </c>
      <c r="AN248" s="8" t="str">
        <f>IF(AN$8="","",AM248)</f>
        <v/>
      </c>
      <c r="AO248" s="8" t="str">
        <f t="shared" ref="AO248:AS248" si="3449">IF(AO$8="","",AN248)</f>
        <v/>
      </c>
      <c r="AP248" s="8" t="str">
        <f t="shared" si="3449"/>
        <v/>
      </c>
      <c r="AQ248" s="8" t="str">
        <f t="shared" si="3449"/>
        <v/>
      </c>
      <c r="AR248" s="8" t="str">
        <f t="shared" si="3449"/>
        <v/>
      </c>
      <c r="AS248" s="8" t="str">
        <f t="shared" si="3449"/>
        <v/>
      </c>
    </row>
    <row r="249" spans="1:45" s="84" customFormat="1" ht="11.25" x14ac:dyDescent="0.15">
      <c r="A249" s="16" t="str">
        <f>A237</f>
        <v>BUZZ＃6</v>
      </c>
      <c r="B249" s="9" t="s">
        <v>4</v>
      </c>
      <c r="C249" s="8">
        <v>1212</v>
      </c>
      <c r="D249" s="8">
        <v>1212</v>
      </c>
      <c r="E249" s="8">
        <v>1212</v>
      </c>
      <c r="F249" s="8">
        <v>1212</v>
      </c>
      <c r="G249" s="8">
        <v>1213</v>
      </c>
      <c r="H249" s="8">
        <v>1213</v>
      </c>
      <c r="I249" s="8">
        <v>1213</v>
      </c>
      <c r="J249" s="8">
        <v>1213</v>
      </c>
      <c r="K249" s="8">
        <v>1214</v>
      </c>
      <c r="L249" s="8">
        <f>IF(L$8="","",K249)</f>
        <v>1214</v>
      </c>
      <c r="M249" s="8">
        <v>1215</v>
      </c>
      <c r="N249" s="8" t="str">
        <f t="shared" si="3433"/>
        <v/>
      </c>
      <c r="O249" s="8" t="str">
        <f>IF(O$8="","",N249)</f>
        <v/>
      </c>
      <c r="P249" s="8" t="str">
        <f t="shared" si="3434"/>
        <v/>
      </c>
      <c r="Q249" s="8" t="str">
        <f t="shared" si="3435"/>
        <v/>
      </c>
      <c r="R249" s="8" t="str">
        <f t="shared" si="3436"/>
        <v/>
      </c>
      <c r="S249" s="8" t="str">
        <f>IF(S$8="","",R249)</f>
        <v/>
      </c>
      <c r="T249" s="8" t="str">
        <f>IF(T$8="","",S249)</f>
        <v/>
      </c>
      <c r="U249" s="8" t="str">
        <f t="shared" si="3437"/>
        <v/>
      </c>
      <c r="V249" s="8" t="str">
        <f>IF(V$8="","",U249)</f>
        <v/>
      </c>
      <c r="W249" s="8" t="str">
        <f>IF(W$8="","",V249)</f>
        <v/>
      </c>
      <c r="X249" s="8" t="str">
        <f t="shared" si="3438"/>
        <v/>
      </c>
      <c r="Y249" s="8" t="str">
        <f t="shared" si="3439"/>
        <v/>
      </c>
      <c r="Z249" s="8" t="str">
        <f>IF(Z$8="","",Y249)</f>
        <v/>
      </c>
      <c r="AA249" s="8" t="str">
        <f t="shared" si="3440"/>
        <v/>
      </c>
      <c r="AB249" s="8" t="str">
        <f t="shared" si="3441"/>
        <v/>
      </c>
      <c r="AC249" s="8" t="str">
        <f t="shared" si="3442"/>
        <v/>
      </c>
      <c r="AD249" s="8" t="str">
        <f>IF(AD$8="","",AC249)</f>
        <v/>
      </c>
      <c r="AE249" s="8" t="str">
        <f t="shared" ref="AE248:AE249" si="3450">IF(AE$8="","",AD249)</f>
        <v/>
      </c>
      <c r="AF249" s="8" t="str">
        <f t="shared" si="3443"/>
        <v/>
      </c>
      <c r="AG249" s="8" t="str">
        <f>IF(AG$8="","",AF249)</f>
        <v/>
      </c>
      <c r="AH249" s="8" t="str">
        <f t="shared" si="3444"/>
        <v/>
      </c>
      <c r="AI249" s="8" t="str">
        <f t="shared" si="3445"/>
        <v/>
      </c>
      <c r="AJ249" s="8" t="str">
        <f>IF(AJ$8="","",AI249)</f>
        <v/>
      </c>
      <c r="AK249" s="8" t="str">
        <f t="shared" si="3446"/>
        <v/>
      </c>
      <c r="AL249" s="8" t="str">
        <f t="shared" si="3447"/>
        <v/>
      </c>
      <c r="AM249" s="8" t="str">
        <f t="shared" si="3448"/>
        <v/>
      </c>
      <c r="AN249" s="8" t="str">
        <f>IF(AN$8="","",AM249)</f>
        <v/>
      </c>
      <c r="AO249" s="8" t="str">
        <f t="shared" ref="AO249:AS249" si="3451">IF(AO$8="","",AN249)</f>
        <v/>
      </c>
      <c r="AP249" s="8" t="str">
        <f t="shared" si="3451"/>
        <v/>
      </c>
      <c r="AQ249" s="8" t="str">
        <f t="shared" si="3451"/>
        <v/>
      </c>
      <c r="AR249" s="8" t="str">
        <f t="shared" si="3451"/>
        <v/>
      </c>
      <c r="AS249" s="8" t="str">
        <f t="shared" si="3451"/>
        <v/>
      </c>
    </row>
    <row r="250" spans="1:45" s="84" customFormat="1" ht="11.25" x14ac:dyDescent="0.15">
      <c r="A250" s="15">
        <v>3</v>
      </c>
      <c r="B250" s="9" t="s">
        <v>5</v>
      </c>
      <c r="C250" s="8">
        <v>26</v>
      </c>
      <c r="D250" s="8">
        <v>26</v>
      </c>
      <c r="E250" s="8">
        <v>26</v>
      </c>
      <c r="F250" s="8">
        <v>26</v>
      </c>
      <c r="G250" s="8">
        <v>25</v>
      </c>
      <c r="H250" s="8">
        <v>25</v>
      </c>
      <c r="I250" s="8">
        <v>25</v>
      </c>
      <c r="J250" s="8">
        <v>25</v>
      </c>
      <c r="K250" s="8">
        <v>24</v>
      </c>
      <c r="L250" s="8">
        <f>IF(L248="","",(K250+K251))</f>
        <v>24</v>
      </c>
      <c r="M250" s="8">
        <v>23</v>
      </c>
      <c r="N250" s="8" t="str">
        <f t="shared" ref="N250" si="3452">IF(N248="","",(M250+M251))</f>
        <v/>
      </c>
      <c r="O250" s="8" t="str">
        <f>IF(O248="","",(N250+N251))</f>
        <v/>
      </c>
      <c r="P250" s="8" t="str">
        <f t="shared" ref="P250" si="3453">IF(P248="","",(O250+O251))</f>
        <v/>
      </c>
      <c r="Q250" s="8" t="str">
        <f t="shared" ref="Q250" si="3454">IF(Q248="","",(P250+P251))</f>
        <v/>
      </c>
      <c r="R250" s="8" t="str">
        <f t="shared" ref="R250" si="3455">IF(R248="","",(Q250+Q251))</f>
        <v/>
      </c>
      <c r="S250" s="8" t="str">
        <f>IF(S248="","",(R250+R251))</f>
        <v/>
      </c>
      <c r="T250" s="8" t="str">
        <f>IF(T248="","",(S250+S251))</f>
        <v/>
      </c>
      <c r="U250" s="8" t="str">
        <f t="shared" ref="U250" si="3456">IF(U248="","",(T250+T251))</f>
        <v/>
      </c>
      <c r="V250" s="8" t="str">
        <f>IF(V248="","",(U250+U251))</f>
        <v/>
      </c>
      <c r="W250" s="8" t="str">
        <f>IF(W248="","",(V250+V251))</f>
        <v/>
      </c>
      <c r="X250" s="8" t="str">
        <f t="shared" ref="X250" si="3457">IF(X248="","",(W250+W251))</f>
        <v/>
      </c>
      <c r="Y250" s="8" t="str">
        <f t="shared" ref="Y250" si="3458">IF(Y248="","",(X250+X251))</f>
        <v/>
      </c>
      <c r="Z250" s="8" t="str">
        <f>IF(Z248="","",(Y250+Y251))</f>
        <v/>
      </c>
      <c r="AA250" s="8" t="str">
        <f t="shared" ref="AA250" si="3459">IF(AA248="","",(Z250+Z251))</f>
        <v/>
      </c>
      <c r="AB250" s="8" t="str">
        <f t="shared" ref="AB250" si="3460">IF(AB248="","",(AA250+AA251))</f>
        <v/>
      </c>
      <c r="AC250" s="8" t="str">
        <f t="shared" ref="AC250" si="3461">IF(AC248="","",(AB250+AB251))</f>
        <v/>
      </c>
      <c r="AD250" s="8" t="str">
        <f>IF(AD248="","",(AC250+AC251))</f>
        <v/>
      </c>
      <c r="AE250" s="8" t="str">
        <f t="shared" ref="AE250" si="3462">IF(AE248="","",(AD250+AD251))</f>
        <v/>
      </c>
      <c r="AF250" s="8" t="str">
        <f t="shared" ref="AF250" si="3463">IF(AF248="","",(AE250+AE251))</f>
        <v/>
      </c>
      <c r="AG250" s="8" t="str">
        <f>IF(AG248="","",(AF250+AF251))</f>
        <v/>
      </c>
      <c r="AH250" s="8" t="str">
        <f t="shared" ref="AH250" si="3464">IF(AH248="","",(AG250+AG251))</f>
        <v/>
      </c>
      <c r="AI250" s="8" t="str">
        <f t="shared" ref="AI250" si="3465">IF(AI248="","",(AH250+AH251))</f>
        <v/>
      </c>
      <c r="AJ250" s="8" t="str">
        <f>IF(AJ248="","",(AI250+AI251))</f>
        <v/>
      </c>
      <c r="AK250" s="8" t="str">
        <f t="shared" ref="AK250" si="3466">IF(AK248="","",(AJ250+AJ251))</f>
        <v/>
      </c>
      <c r="AL250" s="8" t="str">
        <f t="shared" ref="AL250" si="3467">IF(AL248="","",(AK250+AK251))</f>
        <v/>
      </c>
      <c r="AM250" s="8" t="str">
        <f t="shared" ref="AM250" si="3468">IF(AM248="","",(AL250+AL251))</f>
        <v/>
      </c>
      <c r="AN250" s="8" t="str">
        <f>IF(AN248="","",(AM250+AM251))</f>
        <v/>
      </c>
      <c r="AO250" s="8" t="str">
        <f t="shared" ref="AO250:AS250" si="3469">IF(AO248="","",(AN250+AN251))</f>
        <v/>
      </c>
      <c r="AP250" s="8" t="str">
        <f t="shared" si="3469"/>
        <v/>
      </c>
      <c r="AQ250" s="8" t="str">
        <f t="shared" si="3469"/>
        <v/>
      </c>
      <c r="AR250" s="8" t="str">
        <f t="shared" si="3469"/>
        <v/>
      </c>
      <c r="AS250" s="8" t="str">
        <f t="shared" si="3469"/>
        <v/>
      </c>
    </row>
    <row r="251" spans="1:45" s="84" customFormat="1" ht="11.25" x14ac:dyDescent="0.15">
      <c r="A251" s="14"/>
      <c r="B251" s="9" t="s">
        <v>7</v>
      </c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</row>
    <row r="252" spans="1:45" s="84" customFormat="1" ht="11.25" x14ac:dyDescent="0.15">
      <c r="A252" s="7"/>
      <c r="B252" s="9" t="s">
        <v>8</v>
      </c>
      <c r="C252" s="8">
        <v>500</v>
      </c>
      <c r="D252" s="8">
        <v>500</v>
      </c>
      <c r="E252" s="8">
        <v>500</v>
      </c>
      <c r="F252" s="8">
        <v>500</v>
      </c>
      <c r="G252" s="8">
        <v>500</v>
      </c>
      <c r="H252" s="8">
        <v>500</v>
      </c>
      <c r="I252" s="8">
        <v>500</v>
      </c>
      <c r="J252" s="8">
        <v>500</v>
      </c>
      <c r="K252" s="8">
        <v>500</v>
      </c>
      <c r="L252" s="8">
        <f t="shared" ref="L252" si="3470">IF(L248="","",K252)</f>
        <v>500</v>
      </c>
      <c r="M252" s="8">
        <f t="shared" ref="M252" si="3471">IF(M248="","",L252)</f>
        <v>500</v>
      </c>
      <c r="N252" s="8" t="str">
        <f t="shared" ref="N252" si="3472">IF(N248="","",M252)</f>
        <v/>
      </c>
      <c r="O252" s="8" t="str">
        <f t="shared" ref="O252" si="3473">IF(O248="","",N252)</f>
        <v/>
      </c>
      <c r="P252" s="8" t="str">
        <f t="shared" ref="P252" si="3474">IF(P248="","",O252)</f>
        <v/>
      </c>
      <c r="Q252" s="8" t="str">
        <f t="shared" ref="Q252" si="3475">IF(Q248="","",P252)</f>
        <v/>
      </c>
      <c r="R252" s="8" t="str">
        <f t="shared" ref="R252" si="3476">IF(R248="","",Q252)</f>
        <v/>
      </c>
      <c r="S252" s="8" t="str">
        <f t="shared" ref="S252" si="3477">IF(S248="","",R252)</f>
        <v/>
      </c>
      <c r="T252" s="8" t="str">
        <f t="shared" ref="T252" si="3478">IF(T248="","",S252)</f>
        <v/>
      </c>
      <c r="U252" s="8" t="str">
        <f t="shared" ref="U252" si="3479">IF(U248="","",T252)</f>
        <v/>
      </c>
      <c r="V252" s="8" t="str">
        <f t="shared" ref="V252" si="3480">IF(V248="","",U252)</f>
        <v/>
      </c>
      <c r="W252" s="8" t="str">
        <f t="shared" ref="W252" si="3481">IF(W248="","",V252)</f>
        <v/>
      </c>
      <c r="X252" s="8" t="str">
        <f t="shared" ref="X252" si="3482">IF(X248="","",W252)</f>
        <v/>
      </c>
      <c r="Y252" s="8" t="str">
        <f t="shared" ref="Y252" si="3483">IF(Y248="","",X252)</f>
        <v/>
      </c>
      <c r="Z252" s="8" t="str">
        <f t="shared" ref="Z252" si="3484">IF(Z248="","",Y252)</f>
        <v/>
      </c>
      <c r="AA252" s="8" t="str">
        <f t="shared" ref="AA252" si="3485">IF(AA248="","",Z252)</f>
        <v/>
      </c>
      <c r="AB252" s="8" t="str">
        <f t="shared" ref="AB252" si="3486">IF(AB248="","",AA252)</f>
        <v/>
      </c>
      <c r="AC252" s="8" t="str">
        <f t="shared" ref="AC252" si="3487">IF(AC248="","",AB252)</f>
        <v/>
      </c>
      <c r="AD252" s="8" t="str">
        <f t="shared" ref="AD252" si="3488">IF(AD248="","",AC252)</f>
        <v/>
      </c>
      <c r="AE252" s="8" t="str">
        <f t="shared" ref="AE252" si="3489">IF(AE248="","",AD252)</f>
        <v/>
      </c>
      <c r="AF252" s="8" t="str">
        <f t="shared" ref="AF252" si="3490">IF(AF248="","",AE252)</f>
        <v/>
      </c>
      <c r="AG252" s="8" t="str">
        <f t="shared" ref="AG252" si="3491">IF(AG248="","",AF252)</f>
        <v/>
      </c>
      <c r="AH252" s="8" t="str">
        <f t="shared" ref="AH252" si="3492">IF(AH248="","",AG252)</f>
        <v/>
      </c>
      <c r="AI252" s="8" t="str">
        <f t="shared" ref="AI252" si="3493">IF(AI248="","",AH252)</f>
        <v/>
      </c>
      <c r="AJ252" s="8" t="str">
        <f t="shared" ref="AJ252" si="3494">IF(AJ248="","",AI252)</f>
        <v/>
      </c>
      <c r="AK252" s="8" t="str">
        <f t="shared" ref="AK252" si="3495">IF(AK248="","",AJ252)</f>
        <v/>
      </c>
      <c r="AL252" s="8" t="str">
        <f t="shared" ref="AL252" si="3496">IF(AL248="","",AK252)</f>
        <v/>
      </c>
      <c r="AM252" s="8" t="str">
        <f t="shared" ref="AM252" si="3497">IF(AM248="","",AL252)</f>
        <v/>
      </c>
      <c r="AN252" s="8" t="str">
        <f t="shared" ref="AN252" si="3498">IF(AN248="","",AM252)</f>
        <v/>
      </c>
      <c r="AO252" s="8" t="str">
        <f t="shared" ref="AO252:AS252" si="3499">IF(AO248="","",AN252)</f>
        <v/>
      </c>
      <c r="AP252" s="8" t="str">
        <f t="shared" si="3499"/>
        <v/>
      </c>
      <c r="AQ252" s="8" t="str">
        <f t="shared" si="3499"/>
        <v/>
      </c>
      <c r="AR252" s="8" t="str">
        <f t="shared" si="3499"/>
        <v/>
      </c>
      <c r="AS252" s="8" t="str">
        <f t="shared" si="3499"/>
        <v/>
      </c>
    </row>
    <row r="253" spans="1:45" s="85" customFormat="1" ht="11.25" x14ac:dyDescent="0.15">
      <c r="A253" s="14" t="s">
        <v>9</v>
      </c>
      <c r="B253" s="13" t="s">
        <v>10</v>
      </c>
      <c r="C253" s="12" t="s">
        <v>50</v>
      </c>
      <c r="D253" s="12" t="s">
        <v>50</v>
      </c>
      <c r="E253" s="12" t="s">
        <v>50</v>
      </c>
      <c r="F253" s="12" t="s">
        <v>50</v>
      </c>
      <c r="G253" s="12" t="s">
        <v>50</v>
      </c>
      <c r="H253" s="12" t="s">
        <v>50</v>
      </c>
      <c r="I253" s="12" t="s">
        <v>50</v>
      </c>
      <c r="J253" s="12" t="s">
        <v>50</v>
      </c>
      <c r="K253" s="12" t="s">
        <v>50</v>
      </c>
      <c r="L253" s="12" t="str">
        <f t="shared" ref="L253" si="3500">IF(L248="","",K253)</f>
        <v>ラブブマスコット</v>
      </c>
      <c r="M253" s="12" t="str">
        <f t="shared" ref="M253" si="3501">IF(M248="","",L253)</f>
        <v>ラブブマスコット</v>
      </c>
      <c r="N253" s="12" t="str">
        <f t="shared" ref="N253" si="3502">IF(N248="","",M253)</f>
        <v/>
      </c>
      <c r="O253" s="12" t="str">
        <f t="shared" ref="O253" si="3503">IF(O248="","",N253)</f>
        <v/>
      </c>
      <c r="P253" s="12" t="str">
        <f t="shared" ref="P253" si="3504">IF(P248="","",O253)</f>
        <v/>
      </c>
      <c r="Q253" s="12" t="str">
        <f t="shared" ref="Q253" si="3505">IF(Q248="","",P253)</f>
        <v/>
      </c>
      <c r="R253" s="12" t="str">
        <f t="shared" ref="R253" si="3506">IF(R248="","",Q253)</f>
        <v/>
      </c>
      <c r="S253" s="12" t="str">
        <f t="shared" ref="S253" si="3507">IF(S248="","",R253)</f>
        <v/>
      </c>
      <c r="T253" s="12" t="str">
        <f t="shared" ref="T253" si="3508">IF(T248="","",S253)</f>
        <v/>
      </c>
      <c r="U253" s="12" t="str">
        <f t="shared" ref="U253" si="3509">IF(U248="","",T253)</f>
        <v/>
      </c>
      <c r="V253" s="12" t="str">
        <f t="shared" ref="V253" si="3510">IF(V248="","",U253)</f>
        <v/>
      </c>
      <c r="W253" s="12" t="str">
        <f t="shared" ref="W253" si="3511">IF(W248="","",V253)</f>
        <v/>
      </c>
      <c r="X253" s="12" t="str">
        <f t="shared" ref="X253" si="3512">IF(X248="","",W253)</f>
        <v/>
      </c>
      <c r="Y253" s="12" t="str">
        <f t="shared" ref="Y253" si="3513">IF(Y248="","",X253)</f>
        <v/>
      </c>
      <c r="Z253" s="12" t="str">
        <f t="shared" ref="Z253" si="3514">IF(Z248="","",Y253)</f>
        <v/>
      </c>
      <c r="AA253" s="12" t="str">
        <f t="shared" ref="AA253" si="3515">IF(AA248="","",Z253)</f>
        <v/>
      </c>
      <c r="AB253" s="12" t="str">
        <f t="shared" ref="AB253" si="3516">IF(AB248="","",AA253)</f>
        <v/>
      </c>
      <c r="AC253" s="12" t="str">
        <f t="shared" ref="AC253" si="3517">IF(AC248="","",AB253)</f>
        <v/>
      </c>
      <c r="AD253" s="12" t="str">
        <f t="shared" ref="AD253" si="3518">IF(AD248="","",AC253)</f>
        <v/>
      </c>
      <c r="AE253" s="12" t="str">
        <f t="shared" ref="AE253" si="3519">IF(AE248="","",AD253)</f>
        <v/>
      </c>
      <c r="AF253" s="12" t="str">
        <f t="shared" ref="AF253" si="3520">IF(AF248="","",AE253)</f>
        <v/>
      </c>
      <c r="AG253" s="12" t="str">
        <f t="shared" ref="AG253" si="3521">IF(AG248="","",AF253)</f>
        <v/>
      </c>
      <c r="AH253" s="12" t="str">
        <f t="shared" ref="AH253" si="3522">IF(AH248="","",AG253)</f>
        <v/>
      </c>
      <c r="AI253" s="12" t="str">
        <f t="shared" ref="AI253" si="3523">IF(AI248="","",AH253)</f>
        <v/>
      </c>
      <c r="AJ253" s="12" t="str">
        <f t="shared" ref="AJ253" si="3524">IF(AJ248="","",AI253)</f>
        <v/>
      </c>
      <c r="AK253" s="12" t="str">
        <f t="shared" ref="AK253" si="3525">IF(AK248="","",AJ253)</f>
        <v/>
      </c>
      <c r="AL253" s="12" t="str">
        <f t="shared" ref="AL253" si="3526">IF(AL248="","",AK253)</f>
        <v/>
      </c>
      <c r="AM253" s="12" t="str">
        <f t="shared" ref="AM253" si="3527">IF(AM248="","",AL253)</f>
        <v/>
      </c>
      <c r="AN253" s="12" t="str">
        <f t="shared" ref="AN253" si="3528">IF(AN248="","",AM253)</f>
        <v/>
      </c>
      <c r="AO253" s="12" t="str">
        <f t="shared" ref="AO253:AS253" si="3529">IF(AO248="","",AN253)</f>
        <v/>
      </c>
      <c r="AP253" s="12" t="str">
        <f t="shared" si="3529"/>
        <v/>
      </c>
      <c r="AQ253" s="12" t="str">
        <f t="shared" si="3529"/>
        <v/>
      </c>
      <c r="AR253" s="12" t="str">
        <f t="shared" si="3529"/>
        <v/>
      </c>
      <c r="AS253" s="12" t="str">
        <f t="shared" si="3529"/>
        <v/>
      </c>
    </row>
    <row r="254" spans="1:45" s="84" customFormat="1" ht="11.25" x14ac:dyDescent="0.15">
      <c r="A254" s="7">
        <f>AVERAGE(C255:AS255)*30*100</f>
        <v>25909.090909090912</v>
      </c>
      <c r="B254" s="9" t="s">
        <v>12</v>
      </c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</row>
    <row r="255" spans="1:45" s="84" customFormat="1" ht="11.25" x14ac:dyDescent="0.15">
      <c r="A255" s="7">
        <f>SUM(C255:AS255)</f>
        <v>95</v>
      </c>
      <c r="B255" s="6" t="s">
        <v>13</v>
      </c>
      <c r="C255" s="5">
        <v>0</v>
      </c>
      <c r="D255" s="5">
        <v>6</v>
      </c>
      <c r="E255" s="5">
        <v>0</v>
      </c>
      <c r="F255" s="5">
        <v>0</v>
      </c>
      <c r="G255" s="5">
        <v>37</v>
      </c>
      <c r="H255" s="5">
        <v>0</v>
      </c>
      <c r="I255" s="5">
        <v>0</v>
      </c>
      <c r="J255" s="5">
        <v>0</v>
      </c>
      <c r="K255" s="5">
        <v>25</v>
      </c>
      <c r="L255" s="5">
        <f t="shared" ref="L255:L256" si="3530">IF(L248="","",L248-K248)</f>
        <v>0</v>
      </c>
      <c r="M255" s="5">
        <f t="shared" ref="M255:M256" si="3531">IF(M248="","",M248-L248)</f>
        <v>27</v>
      </c>
      <c r="N255" s="5" t="str">
        <f t="shared" ref="N255:N256" si="3532">IF(N248="","",N248-M248)</f>
        <v/>
      </c>
      <c r="O255" s="5" t="str">
        <f t="shared" ref="O255:O256" si="3533">IF(O248="","",O248-N248)</f>
        <v/>
      </c>
      <c r="P255" s="5" t="str">
        <f t="shared" ref="P255:P256" si="3534">IF(P248="","",P248-O248)</f>
        <v/>
      </c>
      <c r="Q255" s="5" t="str">
        <f t="shared" ref="Q255:Q256" si="3535">IF(Q248="","",Q248-P248)</f>
        <v/>
      </c>
      <c r="R255" s="5" t="str">
        <f t="shared" ref="R255:R256" si="3536">IF(R248="","",R248-Q248)</f>
        <v/>
      </c>
      <c r="S255" s="5" t="str">
        <f t="shared" ref="S255:S256" si="3537">IF(S248="","",S248-R248)</f>
        <v/>
      </c>
      <c r="T255" s="5" t="str">
        <f t="shared" ref="T255:T256" si="3538">IF(T248="","",T248-S248)</f>
        <v/>
      </c>
      <c r="U255" s="5" t="str">
        <f t="shared" ref="U255:U256" si="3539">IF(U248="","",U248-T248)</f>
        <v/>
      </c>
      <c r="V255" s="5" t="str">
        <f t="shared" ref="V255:V256" si="3540">IF(V248="","",V248-U248)</f>
        <v/>
      </c>
      <c r="W255" s="5" t="str">
        <f t="shared" ref="W255:W256" si="3541">IF(W248="","",W248-V248)</f>
        <v/>
      </c>
      <c r="X255" s="5" t="str">
        <f t="shared" ref="X255:X256" si="3542">IF(X248="","",X248-W248)</f>
        <v/>
      </c>
      <c r="Y255" s="5" t="str">
        <f t="shared" ref="Y255:Y256" si="3543">IF(Y248="","",Y248-X248)</f>
        <v/>
      </c>
      <c r="Z255" s="5" t="str">
        <f t="shared" ref="Z255:Z256" si="3544">IF(Z248="","",Z248-Y248)</f>
        <v/>
      </c>
      <c r="AA255" s="5" t="str">
        <f t="shared" ref="AA255:AA256" si="3545">IF(AA248="","",AA248-Z248)</f>
        <v/>
      </c>
      <c r="AB255" s="5" t="str">
        <f t="shared" ref="AB255:AB256" si="3546">IF(AB248="","",AB248-AA248)</f>
        <v/>
      </c>
      <c r="AC255" s="5" t="str">
        <f t="shared" ref="AC255:AC256" si="3547">IF(AC248="","",AC248-AB248)</f>
        <v/>
      </c>
      <c r="AD255" s="5" t="str">
        <f t="shared" ref="AD255:AD256" si="3548">IF(AD248="","",AD248-AC248)</f>
        <v/>
      </c>
      <c r="AE255" s="5" t="str">
        <f t="shared" ref="AE255:AE256" si="3549">IF(AE248="","",AE248-AD248)</f>
        <v/>
      </c>
      <c r="AF255" s="5" t="str">
        <f t="shared" ref="AF255:AF256" si="3550">IF(AF248="","",AF248-AE248)</f>
        <v/>
      </c>
      <c r="AG255" s="5" t="str">
        <f t="shared" ref="AG255:AG256" si="3551">IF(AG248="","",AG248-AF248)</f>
        <v/>
      </c>
      <c r="AH255" s="5" t="str">
        <f t="shared" ref="AH255:AH256" si="3552">IF(AH248="","",AH248-AG248)</f>
        <v/>
      </c>
      <c r="AI255" s="5" t="str">
        <f t="shared" ref="AI255:AI256" si="3553">IF(AI248="","",AI248-AH248)</f>
        <v/>
      </c>
      <c r="AJ255" s="5" t="str">
        <f t="shared" ref="AJ255:AJ256" si="3554">IF(AJ248="","",AJ248-AI248)</f>
        <v/>
      </c>
      <c r="AK255" s="5" t="str">
        <f t="shared" ref="AK255:AK256" si="3555">IF(AK248="","",AK248-AJ248)</f>
        <v/>
      </c>
      <c r="AL255" s="5" t="str">
        <f t="shared" ref="AL255:AL256" si="3556">IF(AL248="","",AL248-AK248)</f>
        <v/>
      </c>
      <c r="AM255" s="5" t="str">
        <f t="shared" ref="AM255:AM256" si="3557">IF(AM248="","",AM248-AL248)</f>
        <v/>
      </c>
      <c r="AN255" s="5" t="str">
        <f t="shared" ref="AN255" si="3558">IF(AN248="","",AN248-AM248)</f>
        <v/>
      </c>
      <c r="AO255" s="5" t="str">
        <f t="shared" ref="AO255:AS255" si="3559">IF(AO248="","",AO248-AN248)</f>
        <v/>
      </c>
      <c r="AP255" s="5" t="str">
        <f t="shared" si="3559"/>
        <v/>
      </c>
      <c r="AQ255" s="5" t="str">
        <f t="shared" si="3559"/>
        <v/>
      </c>
      <c r="AR255" s="5" t="str">
        <f t="shared" si="3559"/>
        <v/>
      </c>
      <c r="AS255" s="5" t="str">
        <f t="shared" si="3559"/>
        <v/>
      </c>
    </row>
    <row r="256" spans="1:45" s="84" customFormat="1" ht="11.25" x14ac:dyDescent="0.15">
      <c r="A256" s="7">
        <f>SUM(C256:AS256)</f>
        <v>3</v>
      </c>
      <c r="B256" s="6" t="s">
        <v>14</v>
      </c>
      <c r="C256" s="5">
        <v>0</v>
      </c>
      <c r="D256" s="5">
        <v>0</v>
      </c>
      <c r="E256" s="5">
        <v>0</v>
      </c>
      <c r="F256" s="5">
        <v>0</v>
      </c>
      <c r="G256" s="5">
        <v>1</v>
      </c>
      <c r="H256" s="5">
        <v>0</v>
      </c>
      <c r="I256" s="5">
        <v>0</v>
      </c>
      <c r="J256" s="5">
        <v>0</v>
      </c>
      <c r="K256" s="5">
        <v>1</v>
      </c>
      <c r="L256" s="5">
        <f t="shared" si="3530"/>
        <v>0</v>
      </c>
      <c r="M256" s="5">
        <f t="shared" si="3531"/>
        <v>1</v>
      </c>
      <c r="N256" s="5" t="str">
        <f t="shared" si="3532"/>
        <v/>
      </c>
      <c r="O256" s="5" t="str">
        <f t="shared" si="3533"/>
        <v/>
      </c>
      <c r="P256" s="5" t="str">
        <f t="shared" si="3534"/>
        <v/>
      </c>
      <c r="Q256" s="5" t="str">
        <f t="shared" si="3535"/>
        <v/>
      </c>
      <c r="R256" s="5" t="str">
        <f t="shared" si="3536"/>
        <v/>
      </c>
      <c r="S256" s="5" t="str">
        <f t="shared" si="3537"/>
        <v/>
      </c>
      <c r="T256" s="5" t="str">
        <f t="shared" si="3538"/>
        <v/>
      </c>
      <c r="U256" s="5" t="str">
        <f t="shared" si="3539"/>
        <v/>
      </c>
      <c r="V256" s="5" t="str">
        <f t="shared" si="3540"/>
        <v/>
      </c>
      <c r="W256" s="5" t="str">
        <f t="shared" si="3541"/>
        <v/>
      </c>
      <c r="X256" s="5" t="str">
        <f t="shared" si="3542"/>
        <v/>
      </c>
      <c r="Y256" s="5" t="str">
        <f t="shared" si="3543"/>
        <v/>
      </c>
      <c r="Z256" s="5" t="str">
        <f t="shared" si="3544"/>
        <v/>
      </c>
      <c r="AA256" s="5" t="str">
        <f t="shared" si="3545"/>
        <v/>
      </c>
      <c r="AB256" s="5" t="str">
        <f t="shared" si="3546"/>
        <v/>
      </c>
      <c r="AC256" s="5" t="str">
        <f t="shared" si="3547"/>
        <v/>
      </c>
      <c r="AD256" s="5" t="str">
        <f t="shared" si="3548"/>
        <v/>
      </c>
      <c r="AE256" s="5" t="str">
        <f t="shared" si="3549"/>
        <v/>
      </c>
      <c r="AF256" s="5" t="str">
        <f t="shared" si="3550"/>
        <v/>
      </c>
      <c r="AG256" s="5" t="str">
        <f t="shared" si="3551"/>
        <v/>
      </c>
      <c r="AH256" s="5" t="str">
        <f t="shared" si="3552"/>
        <v/>
      </c>
      <c r="AI256" s="5" t="str">
        <f t="shared" si="3553"/>
        <v/>
      </c>
      <c r="AJ256" s="5" t="str">
        <f t="shared" si="3554"/>
        <v/>
      </c>
      <c r="AK256" s="5" t="str">
        <f t="shared" si="3555"/>
        <v/>
      </c>
      <c r="AL256" s="5" t="str">
        <f t="shared" si="3556"/>
        <v/>
      </c>
      <c r="AM256" s="5" t="str">
        <f t="shared" si="3557"/>
        <v/>
      </c>
      <c r="AN256" s="5" t="str">
        <f t="shared" ref="AN256" si="3560">IF(AN249="","",AN249-AM249)</f>
        <v/>
      </c>
      <c r="AO256" s="5" t="str">
        <f t="shared" ref="AO256:AS256" si="3561">IF(AO249="","",AO249-AN249)</f>
        <v/>
      </c>
      <c r="AP256" s="5" t="str">
        <f t="shared" si="3561"/>
        <v/>
      </c>
      <c r="AQ256" s="5" t="str">
        <f t="shared" si="3561"/>
        <v/>
      </c>
      <c r="AR256" s="5" t="str">
        <f t="shared" si="3561"/>
        <v/>
      </c>
      <c r="AS256" s="5" t="str">
        <f t="shared" si="3561"/>
        <v/>
      </c>
    </row>
    <row r="257" spans="1:45" s="84" customFormat="1" ht="11.25" x14ac:dyDescent="0.15">
      <c r="A257" s="7">
        <f>SUM(C257:AS257)</f>
        <v>3</v>
      </c>
      <c r="B257" s="6" t="s">
        <v>15</v>
      </c>
      <c r="C257" s="5">
        <v>0</v>
      </c>
      <c r="D257" s="5">
        <v>0</v>
      </c>
      <c r="E257" s="5">
        <v>0</v>
      </c>
      <c r="F257" s="5">
        <v>0</v>
      </c>
      <c r="G257" s="5">
        <v>1</v>
      </c>
      <c r="H257" s="5">
        <v>0</v>
      </c>
      <c r="I257" s="5">
        <v>0</v>
      </c>
      <c r="J257" s="5">
        <v>0</v>
      </c>
      <c r="K257" s="5">
        <v>1</v>
      </c>
      <c r="L257" s="5">
        <f t="shared" ref="L257" si="3562">IF(L250="","",K250+K251-L250)</f>
        <v>0</v>
      </c>
      <c r="M257" s="5">
        <f t="shared" ref="M257" si="3563">IF(M250="","",L250+L251-M250)</f>
        <v>1</v>
      </c>
      <c r="N257" s="5" t="str">
        <f t="shared" ref="N257" si="3564">IF(N250="","",M250+M251-N250)</f>
        <v/>
      </c>
      <c r="O257" s="5" t="str">
        <f t="shared" ref="O257" si="3565">IF(O250="","",N250+N251-O250)</f>
        <v/>
      </c>
      <c r="P257" s="5" t="str">
        <f t="shared" ref="P257" si="3566">IF(P250="","",O250+O251-P250)</f>
        <v/>
      </c>
      <c r="Q257" s="5" t="str">
        <f t="shared" ref="Q257" si="3567">IF(Q250="","",P250+P251-Q250)</f>
        <v/>
      </c>
      <c r="R257" s="5" t="str">
        <f t="shared" ref="R257" si="3568">IF(R250="","",Q250+Q251-R250)</f>
        <v/>
      </c>
      <c r="S257" s="5" t="str">
        <f t="shared" ref="S257" si="3569">IF(S250="","",R250+R251-S250)</f>
        <v/>
      </c>
      <c r="T257" s="5" t="str">
        <f t="shared" ref="T257" si="3570">IF(T250="","",S250+S251-T250)</f>
        <v/>
      </c>
      <c r="U257" s="5" t="str">
        <f t="shared" ref="U257" si="3571">IF(U250="","",T250+T251-U250)</f>
        <v/>
      </c>
      <c r="V257" s="5" t="str">
        <f t="shared" ref="V257" si="3572">IF(V250="","",U250+U251-V250)</f>
        <v/>
      </c>
      <c r="W257" s="5" t="str">
        <f t="shared" ref="W257" si="3573">IF(W250="","",V250+V251-W250)</f>
        <v/>
      </c>
      <c r="X257" s="5" t="str">
        <f t="shared" ref="X257" si="3574">IF(X250="","",W250+W251-X250)</f>
        <v/>
      </c>
      <c r="Y257" s="5" t="str">
        <f t="shared" ref="Y257" si="3575">IF(Y250="","",X250+X251-Y250)</f>
        <v/>
      </c>
      <c r="Z257" s="5" t="str">
        <f t="shared" ref="Z257" si="3576">IF(Z250="","",Y250+Y251-Z250)</f>
        <v/>
      </c>
      <c r="AA257" s="5" t="str">
        <f t="shared" ref="AA257" si="3577">IF(AA250="","",Z250+Z251-AA250)</f>
        <v/>
      </c>
      <c r="AB257" s="5" t="str">
        <f t="shared" ref="AB257" si="3578">IF(AB250="","",AA250+AA251-AB250)</f>
        <v/>
      </c>
      <c r="AC257" s="5" t="str">
        <f t="shared" ref="AC257" si="3579">IF(AC250="","",AB250+AB251-AC250)</f>
        <v/>
      </c>
      <c r="AD257" s="5" t="str">
        <f t="shared" ref="AD257" si="3580">IF(AD250="","",AC250+AC251-AD250)</f>
        <v/>
      </c>
      <c r="AE257" s="5" t="str">
        <f t="shared" ref="AE257" si="3581">IF(AE250="","",AD250+AD251-AE250)</f>
        <v/>
      </c>
      <c r="AF257" s="5" t="str">
        <f t="shared" ref="AF257" si="3582">IF(AF250="","",AE250+AE251-AF250)</f>
        <v/>
      </c>
      <c r="AG257" s="5" t="str">
        <f t="shared" ref="AG257" si="3583">IF(AG250="","",AF250+AF251-AG250)</f>
        <v/>
      </c>
      <c r="AH257" s="5" t="str">
        <f t="shared" ref="AH257" si="3584">IF(AH250="","",AG250+AG251-AH250)</f>
        <v/>
      </c>
      <c r="AI257" s="5" t="str">
        <f t="shared" ref="AI257" si="3585">IF(AI250="","",AH250+AH251-AI250)</f>
        <v/>
      </c>
      <c r="AJ257" s="5" t="str">
        <f t="shared" ref="AJ257" si="3586">IF(AJ250="","",AI250+AI251-AJ250)</f>
        <v/>
      </c>
      <c r="AK257" s="5" t="str">
        <f t="shared" ref="AK257" si="3587">IF(AK250="","",AJ250+AJ251-AK250)</f>
        <v/>
      </c>
      <c r="AL257" s="5" t="str">
        <f t="shared" ref="AL257" si="3588">IF(AL250="","",AK250+AK251-AL250)</f>
        <v/>
      </c>
      <c r="AM257" s="5" t="str">
        <f t="shared" ref="AM257" si="3589">IF(AM250="","",AL250+AL251-AM250)</f>
        <v/>
      </c>
      <c r="AN257" s="5" t="str">
        <f t="shared" ref="AN257" si="3590">IF(AN250="","",AM250+AM251-AN250)</f>
        <v/>
      </c>
      <c r="AO257" s="5" t="str">
        <f t="shared" ref="AO257:AS257" si="3591">IF(AO250="","",AN250+AN251-AO250)</f>
        <v/>
      </c>
      <c r="AP257" s="5" t="str">
        <f t="shared" si="3591"/>
        <v/>
      </c>
      <c r="AQ257" s="5" t="str">
        <f t="shared" si="3591"/>
        <v/>
      </c>
      <c r="AR257" s="5" t="str">
        <f t="shared" si="3591"/>
        <v/>
      </c>
      <c r="AS257" s="5" t="str">
        <f t="shared" si="3591"/>
        <v/>
      </c>
    </row>
    <row r="258" spans="1:45" s="84" customFormat="1" ht="11.25" x14ac:dyDescent="0.15">
      <c r="A258" s="7">
        <f>SUM(C258:AS258)</f>
        <v>1500</v>
      </c>
      <c r="B258" s="6" t="s">
        <v>16</v>
      </c>
      <c r="C258" s="5">
        <v>0</v>
      </c>
      <c r="D258" s="5">
        <v>0</v>
      </c>
      <c r="E258" s="5">
        <v>0</v>
      </c>
      <c r="F258" s="5">
        <v>0</v>
      </c>
      <c r="G258" s="5">
        <v>500</v>
      </c>
      <c r="H258" s="5">
        <v>0</v>
      </c>
      <c r="I258" s="5">
        <v>0</v>
      </c>
      <c r="J258" s="5">
        <v>0</v>
      </c>
      <c r="K258" s="5">
        <v>500</v>
      </c>
      <c r="L258" s="5">
        <f t="shared" ref="J258:AM258" si="3592">IF(L248="","",L257*L252)</f>
        <v>0</v>
      </c>
      <c r="M258" s="5">
        <f t="shared" si="3592"/>
        <v>500</v>
      </c>
      <c r="N258" s="5" t="str">
        <f t="shared" si="3592"/>
        <v/>
      </c>
      <c r="O258" s="5" t="str">
        <f t="shared" si="3592"/>
        <v/>
      </c>
      <c r="P258" s="5" t="str">
        <f t="shared" si="3592"/>
        <v/>
      </c>
      <c r="Q258" s="5" t="str">
        <f t="shared" si="3592"/>
        <v/>
      </c>
      <c r="R258" s="5" t="str">
        <f t="shared" si="3592"/>
        <v/>
      </c>
      <c r="S258" s="5" t="str">
        <f t="shared" si="3592"/>
        <v/>
      </c>
      <c r="T258" s="5" t="str">
        <f t="shared" si="3592"/>
        <v/>
      </c>
      <c r="U258" s="5" t="str">
        <f t="shared" si="3592"/>
        <v/>
      </c>
      <c r="V258" s="5" t="str">
        <f t="shared" si="3592"/>
        <v/>
      </c>
      <c r="W258" s="5" t="str">
        <f t="shared" si="3592"/>
        <v/>
      </c>
      <c r="X258" s="5" t="str">
        <f t="shared" si="3592"/>
        <v/>
      </c>
      <c r="Y258" s="5" t="str">
        <f t="shared" si="3592"/>
        <v/>
      </c>
      <c r="Z258" s="5" t="str">
        <f t="shared" si="3592"/>
        <v/>
      </c>
      <c r="AA258" s="5" t="str">
        <f t="shared" si="3592"/>
        <v/>
      </c>
      <c r="AB258" s="5" t="str">
        <f t="shared" si="3592"/>
        <v/>
      </c>
      <c r="AC258" s="5" t="str">
        <f t="shared" si="3592"/>
        <v/>
      </c>
      <c r="AD258" s="5" t="str">
        <f t="shared" si="3592"/>
        <v/>
      </c>
      <c r="AE258" s="5" t="str">
        <f t="shared" si="3592"/>
        <v/>
      </c>
      <c r="AF258" s="5" t="str">
        <f t="shared" si="3592"/>
        <v/>
      </c>
      <c r="AG258" s="5" t="str">
        <f t="shared" si="3592"/>
        <v/>
      </c>
      <c r="AH258" s="5" t="str">
        <f t="shared" si="3592"/>
        <v/>
      </c>
      <c r="AI258" s="5" t="str">
        <f t="shared" si="3592"/>
        <v/>
      </c>
      <c r="AJ258" s="5" t="str">
        <f t="shared" si="3592"/>
        <v/>
      </c>
      <c r="AK258" s="5" t="str">
        <f t="shared" si="3592"/>
        <v/>
      </c>
      <c r="AL258" s="5" t="str">
        <f t="shared" si="3592"/>
        <v/>
      </c>
      <c r="AM258" s="5" t="str">
        <f t="shared" si="3592"/>
        <v/>
      </c>
      <c r="AN258" s="5" t="str">
        <f t="shared" ref="AN258" si="3593">IF(AN248="","",AN257*AN252)</f>
        <v/>
      </c>
      <c r="AO258" s="5" t="str">
        <f t="shared" ref="AO258:AS258" si="3594">IF(AO248="","",AO257*AO252)</f>
        <v/>
      </c>
      <c r="AP258" s="5" t="str">
        <f t="shared" si="3594"/>
        <v/>
      </c>
      <c r="AQ258" s="5" t="str">
        <f t="shared" si="3594"/>
        <v/>
      </c>
      <c r="AR258" s="5" t="str">
        <f t="shared" si="3594"/>
        <v/>
      </c>
      <c r="AS258" s="5" t="str">
        <f t="shared" si="3594"/>
        <v/>
      </c>
    </row>
    <row r="259" spans="1:45" s="84" customFormat="1" ht="12" thickBot="1" x14ac:dyDescent="0.2">
      <c r="A259" s="4">
        <f>IF(A258="","",A258/(A255*100))</f>
        <v>0.15789473684210525</v>
      </c>
      <c r="B259" s="6" t="s">
        <v>18</v>
      </c>
      <c r="C259" s="18" t="s">
        <v>19</v>
      </c>
      <c r="D259" s="18" t="s">
        <v>19</v>
      </c>
      <c r="E259" s="18" t="s">
        <v>19</v>
      </c>
      <c r="F259" s="18" t="s">
        <v>19</v>
      </c>
      <c r="G259" s="18">
        <v>0.13513513513513514</v>
      </c>
      <c r="H259" s="18" t="s">
        <v>19</v>
      </c>
      <c r="I259" s="18" t="s">
        <v>19</v>
      </c>
      <c r="J259" s="18" t="s">
        <v>19</v>
      </c>
      <c r="K259" s="18">
        <v>0.2</v>
      </c>
      <c r="L259" s="18" t="str">
        <f t="shared" ref="J259:AM259" si="3595">IF(L258="","",IF(L258=0,"",L258/(L255*100)))</f>
        <v/>
      </c>
      <c r="M259" s="18">
        <f t="shared" si="3595"/>
        <v>0.18518518518518517</v>
      </c>
      <c r="N259" s="18" t="str">
        <f t="shared" si="3595"/>
        <v/>
      </c>
      <c r="O259" s="18" t="str">
        <f t="shared" si="3595"/>
        <v/>
      </c>
      <c r="P259" s="18" t="str">
        <f t="shared" si="3595"/>
        <v/>
      </c>
      <c r="Q259" s="18" t="str">
        <f t="shared" si="3595"/>
        <v/>
      </c>
      <c r="R259" s="18" t="str">
        <f t="shared" si="3595"/>
        <v/>
      </c>
      <c r="S259" s="18" t="str">
        <f t="shared" si="3595"/>
        <v/>
      </c>
      <c r="T259" s="18" t="str">
        <f t="shared" si="3595"/>
        <v/>
      </c>
      <c r="U259" s="18" t="str">
        <f t="shared" si="3595"/>
        <v/>
      </c>
      <c r="V259" s="18" t="str">
        <f t="shared" si="3595"/>
        <v/>
      </c>
      <c r="W259" s="18" t="str">
        <f t="shared" si="3595"/>
        <v/>
      </c>
      <c r="X259" s="18" t="str">
        <f t="shared" si="3595"/>
        <v/>
      </c>
      <c r="Y259" s="18" t="str">
        <f t="shared" si="3595"/>
        <v/>
      </c>
      <c r="Z259" s="18" t="str">
        <f t="shared" si="3595"/>
        <v/>
      </c>
      <c r="AA259" s="18" t="str">
        <f t="shared" si="3595"/>
        <v/>
      </c>
      <c r="AB259" s="18" t="str">
        <f t="shared" si="3595"/>
        <v/>
      </c>
      <c r="AC259" s="18" t="str">
        <f t="shared" si="3595"/>
        <v/>
      </c>
      <c r="AD259" s="18" t="str">
        <f t="shared" si="3595"/>
        <v/>
      </c>
      <c r="AE259" s="18" t="str">
        <f t="shared" si="3595"/>
        <v/>
      </c>
      <c r="AF259" s="18" t="str">
        <f t="shared" si="3595"/>
        <v/>
      </c>
      <c r="AG259" s="18" t="str">
        <f t="shared" si="3595"/>
        <v/>
      </c>
      <c r="AH259" s="18" t="str">
        <f t="shared" si="3595"/>
        <v/>
      </c>
      <c r="AI259" s="18" t="str">
        <f t="shared" si="3595"/>
        <v/>
      </c>
      <c r="AJ259" s="18" t="str">
        <f t="shared" si="3595"/>
        <v/>
      </c>
      <c r="AK259" s="18" t="str">
        <f t="shared" si="3595"/>
        <v/>
      </c>
      <c r="AL259" s="18" t="str">
        <f t="shared" si="3595"/>
        <v/>
      </c>
      <c r="AM259" s="18" t="str">
        <f t="shared" si="3595"/>
        <v/>
      </c>
      <c r="AN259" s="18" t="str">
        <f t="shared" ref="AN259" si="3596">IF(AN258="","",IF(AN258=0,"",AN258/(AN255*100)))</f>
        <v/>
      </c>
      <c r="AO259" s="18" t="str">
        <f t="shared" ref="AO259:AS259" si="3597">IF(AO258="","",IF(AO258=0,"",AO258/(AO255*100)))</f>
        <v/>
      </c>
      <c r="AP259" s="18" t="str">
        <f t="shared" si="3597"/>
        <v/>
      </c>
      <c r="AQ259" s="18" t="str">
        <f t="shared" si="3597"/>
        <v/>
      </c>
      <c r="AR259" s="18" t="str">
        <f t="shared" si="3597"/>
        <v/>
      </c>
      <c r="AS259" s="18" t="str">
        <f t="shared" si="3597"/>
        <v/>
      </c>
    </row>
    <row r="260" spans="1:45" s="84" customFormat="1" ht="11.25" x14ac:dyDescent="0.15">
      <c r="A260" s="17" t="s">
        <v>77</v>
      </c>
      <c r="B260" s="9" t="s">
        <v>2</v>
      </c>
      <c r="C260" s="8">
        <v>34763</v>
      </c>
      <c r="D260" s="8">
        <v>34835</v>
      </c>
      <c r="E260" s="8">
        <v>34835</v>
      </c>
      <c r="F260" s="8">
        <v>34835</v>
      </c>
      <c r="G260" s="8">
        <v>34938</v>
      </c>
      <c r="H260" s="8">
        <v>34938</v>
      </c>
      <c r="I260" s="8">
        <v>34938</v>
      </c>
      <c r="J260" s="8">
        <v>34938</v>
      </c>
      <c r="K260" s="8">
        <v>34971</v>
      </c>
      <c r="L260" s="8">
        <f>IF(L$8="","",K260)</f>
        <v>34971</v>
      </c>
      <c r="M260" s="8">
        <v>35026</v>
      </c>
      <c r="N260" s="8" t="str">
        <f t="shared" ref="N260:N261" si="3598">IF(N$8="","",M260)</f>
        <v/>
      </c>
      <c r="O260" s="8" t="str">
        <f>IF(O$8="","",N260)</f>
        <v/>
      </c>
      <c r="P260" s="8" t="str">
        <f t="shared" ref="P260:P261" si="3599">IF(P$8="","",O260)</f>
        <v/>
      </c>
      <c r="Q260" s="8" t="str">
        <f t="shared" ref="Q260:Q261" si="3600">IF(Q$8="","",P260)</f>
        <v/>
      </c>
      <c r="R260" s="8" t="str">
        <f t="shared" ref="R260:R261" si="3601">IF(R$8="","",Q260)</f>
        <v/>
      </c>
      <c r="S260" s="8" t="str">
        <f>IF(S$8="","",R260)</f>
        <v/>
      </c>
      <c r="T260" s="8" t="str">
        <f>IF(T$8="","",S260)</f>
        <v/>
      </c>
      <c r="U260" s="8" t="str">
        <f t="shared" ref="U260:U261" si="3602">IF(U$8="","",T260)</f>
        <v/>
      </c>
      <c r="V260" s="8" t="str">
        <f>IF(V$8="","",U260)</f>
        <v/>
      </c>
      <c r="W260" s="8" t="str">
        <f>IF(W$8="","",V260)</f>
        <v/>
      </c>
      <c r="X260" s="8" t="str">
        <f t="shared" ref="X260:X261" si="3603">IF(X$8="","",W260)</f>
        <v/>
      </c>
      <c r="Y260" s="8" t="str">
        <f t="shared" ref="Y260:Y261" si="3604">IF(Y$8="","",X260)</f>
        <v/>
      </c>
      <c r="Z260" s="8" t="str">
        <f>IF(Z$8="","",Y260)</f>
        <v/>
      </c>
      <c r="AA260" s="8" t="str">
        <f t="shared" ref="AA260:AA261" si="3605">IF(AA$8="","",Z260)</f>
        <v/>
      </c>
      <c r="AB260" s="8" t="str">
        <f t="shared" ref="AB260:AB261" si="3606">IF(AB$8="","",AA260)</f>
        <v/>
      </c>
      <c r="AC260" s="8" t="str">
        <f t="shared" ref="AC260:AC261" si="3607">IF(AC$8="","",AB260)</f>
        <v/>
      </c>
      <c r="AD260" s="8" t="str">
        <f>IF(AD$8="","",AC260)</f>
        <v/>
      </c>
      <c r="AE260" s="8" t="str">
        <f>IF(AE$8="","",AD260)</f>
        <v/>
      </c>
      <c r="AF260" s="8" t="str">
        <f t="shared" ref="AF260:AF261" si="3608">IF(AF$8="","",AE260)</f>
        <v/>
      </c>
      <c r="AG260" s="8" t="str">
        <f>IF(AG$8="","",AF260)</f>
        <v/>
      </c>
      <c r="AH260" s="8" t="str">
        <f t="shared" ref="AH260:AH261" si="3609">IF(AH$8="","",AG260)</f>
        <v/>
      </c>
      <c r="AI260" s="8" t="str">
        <f t="shared" ref="AI260:AI261" si="3610">IF(AI$8="","",AH260)</f>
        <v/>
      </c>
      <c r="AJ260" s="8" t="str">
        <f>IF(AJ$8="","",AI260)</f>
        <v/>
      </c>
      <c r="AK260" s="8" t="str">
        <f t="shared" ref="AK260:AK261" si="3611">IF(AK$8="","",AJ260)</f>
        <v/>
      </c>
      <c r="AL260" s="8" t="str">
        <f t="shared" ref="AL260:AL261" si="3612">IF(AL$8="","",AK260)</f>
        <v/>
      </c>
      <c r="AM260" s="8" t="str">
        <f t="shared" ref="AM260:AM261" si="3613">IF(AM$8="","",AL260)</f>
        <v/>
      </c>
      <c r="AN260" s="8" t="str">
        <f>IF(AN$8="","",AM260)</f>
        <v/>
      </c>
      <c r="AO260" s="8" t="str">
        <f t="shared" ref="AO260:AS260" si="3614">IF(AO$8="","",AN260)</f>
        <v/>
      </c>
      <c r="AP260" s="8" t="str">
        <f t="shared" si="3614"/>
        <v/>
      </c>
      <c r="AQ260" s="8" t="str">
        <f t="shared" si="3614"/>
        <v/>
      </c>
      <c r="AR260" s="8" t="str">
        <f t="shared" si="3614"/>
        <v/>
      </c>
      <c r="AS260" s="8" t="str">
        <f t="shared" si="3614"/>
        <v/>
      </c>
    </row>
    <row r="261" spans="1:45" s="84" customFormat="1" ht="11.25" x14ac:dyDescent="0.15">
      <c r="A261" s="16" t="str">
        <f>A249</f>
        <v>BUZZ＃6</v>
      </c>
      <c r="B261" s="9" t="s">
        <v>4</v>
      </c>
      <c r="C261" s="8">
        <v>1456</v>
      </c>
      <c r="D261" s="8">
        <v>1456</v>
      </c>
      <c r="E261" s="8">
        <v>1456</v>
      </c>
      <c r="F261" s="8">
        <v>1456</v>
      </c>
      <c r="G261" s="8">
        <v>1457</v>
      </c>
      <c r="H261" s="8">
        <v>1457</v>
      </c>
      <c r="I261" s="8">
        <v>1457</v>
      </c>
      <c r="J261" s="8">
        <v>1457</v>
      </c>
      <c r="K261" s="8">
        <v>1457</v>
      </c>
      <c r="L261" s="8">
        <f>IF(L$8="","",K261)</f>
        <v>1457</v>
      </c>
      <c r="M261" s="8">
        <v>1458</v>
      </c>
      <c r="N261" s="8" t="str">
        <f t="shared" si="3598"/>
        <v/>
      </c>
      <c r="O261" s="8" t="str">
        <f>IF(O$8="","",N261)</f>
        <v/>
      </c>
      <c r="P261" s="8" t="str">
        <f t="shared" si="3599"/>
        <v/>
      </c>
      <c r="Q261" s="8" t="str">
        <f t="shared" si="3600"/>
        <v/>
      </c>
      <c r="R261" s="8" t="str">
        <f t="shared" si="3601"/>
        <v/>
      </c>
      <c r="S261" s="8" t="str">
        <f>IF(S$8="","",R261)</f>
        <v/>
      </c>
      <c r="T261" s="8" t="str">
        <f>IF(T$8="","",S261)</f>
        <v/>
      </c>
      <c r="U261" s="8" t="str">
        <f t="shared" si="3602"/>
        <v/>
      </c>
      <c r="V261" s="8" t="str">
        <f>IF(V$8="","",U261)</f>
        <v/>
      </c>
      <c r="W261" s="8" t="str">
        <f t="shared" ref="W261" si="3615">IF(W$8="","",V261)</f>
        <v/>
      </c>
      <c r="X261" s="8" t="str">
        <f t="shared" si="3603"/>
        <v/>
      </c>
      <c r="Y261" s="8" t="str">
        <f t="shared" si="3604"/>
        <v/>
      </c>
      <c r="Z261" s="8" t="str">
        <f>IF(Z$8="","",Y261)</f>
        <v/>
      </c>
      <c r="AA261" s="8" t="str">
        <f t="shared" si="3605"/>
        <v/>
      </c>
      <c r="AB261" s="8" t="str">
        <f t="shared" si="3606"/>
        <v/>
      </c>
      <c r="AC261" s="8" t="str">
        <f t="shared" si="3607"/>
        <v/>
      </c>
      <c r="AD261" s="8" t="str">
        <f>IF(AD$8="","",AC261)</f>
        <v/>
      </c>
      <c r="AE261" s="8" t="str">
        <f t="shared" ref="AE260:AE261" si="3616">IF(AE$8="","",AD261)</f>
        <v/>
      </c>
      <c r="AF261" s="8" t="str">
        <f t="shared" si="3608"/>
        <v/>
      </c>
      <c r="AG261" s="8" t="str">
        <f>IF(AG$8="","",AF261)</f>
        <v/>
      </c>
      <c r="AH261" s="8" t="str">
        <f t="shared" si="3609"/>
        <v/>
      </c>
      <c r="AI261" s="8" t="str">
        <f t="shared" si="3610"/>
        <v/>
      </c>
      <c r="AJ261" s="8" t="str">
        <f>IF(AJ$8="","",AI261)</f>
        <v/>
      </c>
      <c r="AK261" s="8" t="str">
        <f t="shared" si="3611"/>
        <v/>
      </c>
      <c r="AL261" s="8" t="str">
        <f t="shared" si="3612"/>
        <v/>
      </c>
      <c r="AM261" s="8" t="str">
        <f t="shared" si="3613"/>
        <v/>
      </c>
      <c r="AN261" s="8" t="str">
        <f t="shared" ref="AN261" si="3617">IF(AN$8="","",AM261)</f>
        <v/>
      </c>
      <c r="AO261" s="8" t="str">
        <f t="shared" ref="AO261:AS261" si="3618">IF(AO$8="","",AN261)</f>
        <v/>
      </c>
      <c r="AP261" s="8" t="str">
        <f t="shared" si="3618"/>
        <v/>
      </c>
      <c r="AQ261" s="8" t="str">
        <f t="shared" si="3618"/>
        <v/>
      </c>
      <c r="AR261" s="8" t="str">
        <f t="shared" si="3618"/>
        <v/>
      </c>
      <c r="AS261" s="8" t="str">
        <f t="shared" si="3618"/>
        <v/>
      </c>
    </row>
    <row r="262" spans="1:45" s="84" customFormat="1" ht="11.25" x14ac:dyDescent="0.15">
      <c r="A262" s="15">
        <v>4</v>
      </c>
      <c r="B262" s="9" t="s">
        <v>5</v>
      </c>
      <c r="C262" s="8">
        <v>11</v>
      </c>
      <c r="D262" s="8">
        <v>11</v>
      </c>
      <c r="E262" s="8">
        <v>11</v>
      </c>
      <c r="F262" s="8">
        <v>11</v>
      </c>
      <c r="G262" s="8">
        <v>10</v>
      </c>
      <c r="H262" s="8">
        <v>10</v>
      </c>
      <c r="I262" s="8">
        <v>10</v>
      </c>
      <c r="J262" s="8">
        <v>10</v>
      </c>
      <c r="K262" s="8">
        <v>10</v>
      </c>
      <c r="L262" s="8">
        <f>IF(L260="","",(K262+K263))</f>
        <v>10</v>
      </c>
      <c r="M262" s="8">
        <v>9</v>
      </c>
      <c r="N262" s="8" t="str">
        <f t="shared" ref="N262" si="3619">IF(N260="","",(M262+M263))</f>
        <v/>
      </c>
      <c r="O262" s="8" t="str">
        <f>IF(O260="","",(N262+N263))</f>
        <v/>
      </c>
      <c r="P262" s="8" t="str">
        <f t="shared" ref="P262" si="3620">IF(P260="","",(O262+O263))</f>
        <v/>
      </c>
      <c r="Q262" s="8" t="str">
        <f t="shared" ref="Q262" si="3621">IF(Q260="","",(P262+P263))</f>
        <v/>
      </c>
      <c r="R262" s="8" t="str">
        <f t="shared" ref="R262" si="3622">IF(R260="","",(Q262+Q263))</f>
        <v/>
      </c>
      <c r="S262" s="8" t="str">
        <f t="shared" ref="S262" si="3623">IF(S260="","",(R262+R263))</f>
        <v/>
      </c>
      <c r="T262" s="8" t="str">
        <f>IF(T260="","",(S262+S263))</f>
        <v/>
      </c>
      <c r="U262" s="8" t="str">
        <f t="shared" ref="U262" si="3624">IF(U260="","",(T262+T263))</f>
        <v/>
      </c>
      <c r="V262" s="8" t="str">
        <f>IF(V260="","",(U262+U263))</f>
        <v/>
      </c>
      <c r="W262" s="8" t="str">
        <f t="shared" ref="W262" si="3625">IF(W260="","",(V262+V263))</f>
        <v/>
      </c>
      <c r="X262" s="8" t="str">
        <f t="shared" ref="X262" si="3626">IF(X260="","",(W262+W263))</f>
        <v/>
      </c>
      <c r="Y262" s="8" t="str">
        <f t="shared" ref="Y262" si="3627">IF(Y260="","",(X262+X263))</f>
        <v/>
      </c>
      <c r="Z262" s="8" t="str">
        <f>IF(Z260="","",(Y262+Y263))</f>
        <v/>
      </c>
      <c r="AA262" s="8" t="str">
        <f t="shared" ref="AA262" si="3628">IF(AA260="","",(Z262+Z263))</f>
        <v/>
      </c>
      <c r="AB262" s="8" t="str">
        <f t="shared" ref="AB262" si="3629">IF(AB260="","",(AA262+AA263))</f>
        <v/>
      </c>
      <c r="AC262" s="8" t="str">
        <f t="shared" ref="AC262" si="3630">IF(AC260="","",(AB262+AB263))</f>
        <v/>
      </c>
      <c r="AD262" s="8" t="str">
        <f>IF(AD260="","",(AC262+AC263))</f>
        <v/>
      </c>
      <c r="AE262" s="8" t="str">
        <f t="shared" ref="AE262" si="3631">IF(AE260="","",(AD262+AD263))</f>
        <v/>
      </c>
      <c r="AF262" s="8" t="str">
        <f t="shared" ref="AF262" si="3632">IF(AF260="","",(AE262+AE263))</f>
        <v/>
      </c>
      <c r="AG262" s="8" t="str">
        <f t="shared" ref="AG262" si="3633">IF(AG260="","",(AF262+AF263))</f>
        <v/>
      </c>
      <c r="AH262" s="8" t="str">
        <f t="shared" ref="AH262" si="3634">IF(AH260="","",(AG262+AG263))</f>
        <v/>
      </c>
      <c r="AI262" s="8" t="str">
        <f t="shared" ref="AI262" si="3635">IF(AI260="","",(AH262+AH263))</f>
        <v/>
      </c>
      <c r="AJ262" s="8" t="str">
        <f>IF(AJ260="","",(AI262+AI263))</f>
        <v/>
      </c>
      <c r="AK262" s="8" t="str">
        <f t="shared" ref="AK262" si="3636">IF(AK260="","",(AJ262+AJ263))</f>
        <v/>
      </c>
      <c r="AL262" s="8" t="str">
        <f t="shared" ref="AL262" si="3637">IF(AL260="","",(AK262+AK263))</f>
        <v/>
      </c>
      <c r="AM262" s="8" t="str">
        <f t="shared" ref="AM262" si="3638">IF(AM260="","",(AL262+AL263))</f>
        <v/>
      </c>
      <c r="AN262" s="8" t="str">
        <f t="shared" ref="AN262" si="3639">IF(AN260="","",(AM262+AM263))</f>
        <v/>
      </c>
      <c r="AO262" s="8" t="str">
        <f t="shared" ref="AO262:AS262" si="3640">IF(AO260="","",(AN262+AN263))</f>
        <v/>
      </c>
      <c r="AP262" s="8" t="str">
        <f t="shared" si="3640"/>
        <v/>
      </c>
      <c r="AQ262" s="8" t="str">
        <f t="shared" si="3640"/>
        <v/>
      </c>
      <c r="AR262" s="8" t="str">
        <f t="shared" si="3640"/>
        <v/>
      </c>
      <c r="AS262" s="8" t="str">
        <f t="shared" si="3640"/>
        <v/>
      </c>
    </row>
    <row r="263" spans="1:45" s="84" customFormat="1" ht="11.25" x14ac:dyDescent="0.15">
      <c r="A263" s="14"/>
      <c r="B263" s="9" t="s">
        <v>7</v>
      </c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</row>
    <row r="264" spans="1:45" s="84" customFormat="1" ht="11.25" x14ac:dyDescent="0.15">
      <c r="A264" s="7"/>
      <c r="B264" s="9" t="s">
        <v>8</v>
      </c>
      <c r="C264" s="8">
        <v>400</v>
      </c>
      <c r="D264" s="8">
        <v>400</v>
      </c>
      <c r="E264" s="8">
        <v>400</v>
      </c>
      <c r="F264" s="8">
        <v>400</v>
      </c>
      <c r="G264" s="8">
        <v>400</v>
      </c>
      <c r="H264" s="8">
        <v>400</v>
      </c>
      <c r="I264" s="8">
        <v>400</v>
      </c>
      <c r="J264" s="8">
        <v>400</v>
      </c>
      <c r="K264" s="8">
        <v>400</v>
      </c>
      <c r="L264" s="8">
        <f t="shared" ref="L264" si="3641">IF(L260="","",K264)</f>
        <v>400</v>
      </c>
      <c r="M264" s="8">
        <f t="shared" ref="M264" si="3642">IF(M260="","",L264)</f>
        <v>400</v>
      </c>
      <c r="N264" s="8" t="str">
        <f t="shared" ref="N264" si="3643">IF(N260="","",M264)</f>
        <v/>
      </c>
      <c r="O264" s="8" t="str">
        <f t="shared" ref="O264" si="3644">IF(O260="","",N264)</f>
        <v/>
      </c>
      <c r="P264" s="8" t="str">
        <f t="shared" ref="P264" si="3645">IF(P260="","",O264)</f>
        <v/>
      </c>
      <c r="Q264" s="8" t="str">
        <f t="shared" ref="Q264" si="3646">IF(Q260="","",P264)</f>
        <v/>
      </c>
      <c r="R264" s="8" t="str">
        <f t="shared" ref="R264" si="3647">IF(R260="","",Q264)</f>
        <v/>
      </c>
      <c r="S264" s="8" t="str">
        <f t="shared" ref="S264" si="3648">IF(S260="","",R264)</f>
        <v/>
      </c>
      <c r="T264" s="8" t="str">
        <f t="shared" ref="T264" si="3649">IF(T260="","",S264)</f>
        <v/>
      </c>
      <c r="U264" s="8" t="str">
        <f t="shared" ref="U264" si="3650">IF(U260="","",T264)</f>
        <v/>
      </c>
      <c r="V264" s="8" t="str">
        <f t="shared" ref="V264" si="3651">IF(V260="","",U264)</f>
        <v/>
      </c>
      <c r="W264" s="8" t="str">
        <f t="shared" ref="W264" si="3652">IF(W260="","",V264)</f>
        <v/>
      </c>
      <c r="X264" s="8" t="str">
        <f t="shared" ref="X264" si="3653">IF(X260="","",W264)</f>
        <v/>
      </c>
      <c r="Y264" s="8" t="str">
        <f t="shared" ref="Y264" si="3654">IF(Y260="","",X264)</f>
        <v/>
      </c>
      <c r="Z264" s="8" t="str">
        <f t="shared" ref="Z264" si="3655">IF(Z260="","",Y264)</f>
        <v/>
      </c>
      <c r="AA264" s="8" t="str">
        <f t="shared" ref="AA264" si="3656">IF(AA260="","",Z264)</f>
        <v/>
      </c>
      <c r="AB264" s="8" t="str">
        <f t="shared" ref="AB264" si="3657">IF(AB260="","",AA264)</f>
        <v/>
      </c>
      <c r="AC264" s="8" t="str">
        <f t="shared" ref="AC264" si="3658">IF(AC260="","",AB264)</f>
        <v/>
      </c>
      <c r="AD264" s="8" t="str">
        <f t="shared" ref="AD264" si="3659">IF(AD260="","",AC264)</f>
        <v/>
      </c>
      <c r="AE264" s="8" t="str">
        <f t="shared" ref="AE264" si="3660">IF(AE260="","",AD264)</f>
        <v/>
      </c>
      <c r="AF264" s="8" t="str">
        <f t="shared" ref="AF264" si="3661">IF(AF260="","",AE264)</f>
        <v/>
      </c>
      <c r="AG264" s="8" t="str">
        <f t="shared" ref="AG264" si="3662">IF(AG260="","",AF264)</f>
        <v/>
      </c>
      <c r="AH264" s="8" t="str">
        <f t="shared" ref="AH264" si="3663">IF(AH260="","",AG264)</f>
        <v/>
      </c>
      <c r="AI264" s="8" t="str">
        <f t="shared" ref="AI264" si="3664">IF(AI260="","",AH264)</f>
        <v/>
      </c>
      <c r="AJ264" s="8" t="str">
        <f t="shared" ref="AJ264" si="3665">IF(AJ260="","",AI264)</f>
        <v/>
      </c>
      <c r="AK264" s="8" t="str">
        <f t="shared" ref="AK264" si="3666">IF(AK260="","",AJ264)</f>
        <v/>
      </c>
      <c r="AL264" s="8" t="str">
        <f t="shared" ref="AL264" si="3667">IF(AL260="","",AK264)</f>
        <v/>
      </c>
      <c r="AM264" s="8" t="str">
        <f t="shared" ref="AM264" si="3668">IF(AM260="","",AL264)</f>
        <v/>
      </c>
      <c r="AN264" s="8" t="str">
        <f t="shared" ref="AN264" si="3669">IF(AN260="","",AM264)</f>
        <v/>
      </c>
      <c r="AO264" s="8" t="str">
        <f t="shared" ref="AO264:AS264" si="3670">IF(AO260="","",AN264)</f>
        <v/>
      </c>
      <c r="AP264" s="8" t="str">
        <f t="shared" si="3670"/>
        <v/>
      </c>
      <c r="AQ264" s="8" t="str">
        <f t="shared" si="3670"/>
        <v/>
      </c>
      <c r="AR264" s="8" t="str">
        <f t="shared" si="3670"/>
        <v/>
      </c>
      <c r="AS264" s="8" t="str">
        <f t="shared" si="3670"/>
        <v/>
      </c>
    </row>
    <row r="265" spans="1:45" s="85" customFormat="1" ht="11.25" x14ac:dyDescent="0.15">
      <c r="A265" s="14" t="s">
        <v>9</v>
      </c>
      <c r="B265" s="13" t="s">
        <v>10</v>
      </c>
      <c r="C265" s="12" t="s">
        <v>21</v>
      </c>
      <c r="D265" s="12" t="s">
        <v>21</v>
      </c>
      <c r="E265" s="12" t="s">
        <v>21</v>
      </c>
      <c r="F265" s="12" t="s">
        <v>21</v>
      </c>
      <c r="G265" s="12" t="s">
        <v>21</v>
      </c>
      <c r="H265" s="12" t="s">
        <v>21</v>
      </c>
      <c r="I265" s="12" t="s">
        <v>21</v>
      </c>
      <c r="J265" s="12" t="s">
        <v>21</v>
      </c>
      <c r="K265" s="12" t="s">
        <v>21</v>
      </c>
      <c r="L265" s="12" t="str">
        <f t="shared" ref="L265" si="3671">IF(L260="","",K265)</f>
        <v>たまごっちマスコット</v>
      </c>
      <c r="M265" s="12" t="str">
        <f t="shared" ref="M265" si="3672">IF(M260="","",L265)</f>
        <v>たまごっちマスコット</v>
      </c>
      <c r="N265" s="12" t="str">
        <f t="shared" ref="N265" si="3673">IF(N260="","",M265)</f>
        <v/>
      </c>
      <c r="O265" s="12" t="str">
        <f t="shared" ref="O265" si="3674">IF(O260="","",N265)</f>
        <v/>
      </c>
      <c r="P265" s="12" t="str">
        <f t="shared" ref="P265" si="3675">IF(P260="","",O265)</f>
        <v/>
      </c>
      <c r="Q265" s="12" t="str">
        <f t="shared" ref="Q265" si="3676">IF(Q260="","",P265)</f>
        <v/>
      </c>
      <c r="R265" s="12" t="str">
        <f t="shared" ref="R265" si="3677">IF(R260="","",Q265)</f>
        <v/>
      </c>
      <c r="S265" s="12" t="str">
        <f t="shared" ref="S265" si="3678">IF(S260="","",R265)</f>
        <v/>
      </c>
      <c r="T265" s="12" t="str">
        <f t="shared" ref="T265" si="3679">IF(T260="","",S265)</f>
        <v/>
      </c>
      <c r="U265" s="12" t="str">
        <f t="shared" ref="U265" si="3680">IF(U260="","",T265)</f>
        <v/>
      </c>
      <c r="V265" s="12" t="str">
        <f t="shared" ref="V265" si="3681">IF(V260="","",U265)</f>
        <v/>
      </c>
      <c r="W265" s="12" t="str">
        <f t="shared" ref="W265" si="3682">IF(W260="","",V265)</f>
        <v/>
      </c>
      <c r="X265" s="12" t="str">
        <f t="shared" ref="X265" si="3683">IF(X260="","",W265)</f>
        <v/>
      </c>
      <c r="Y265" s="12" t="str">
        <f t="shared" ref="Y265" si="3684">IF(Y260="","",X265)</f>
        <v/>
      </c>
      <c r="Z265" s="12" t="str">
        <f t="shared" ref="Z265" si="3685">IF(Z260="","",Y265)</f>
        <v/>
      </c>
      <c r="AA265" s="12" t="str">
        <f t="shared" ref="AA265" si="3686">IF(AA260="","",Z265)</f>
        <v/>
      </c>
      <c r="AB265" s="12" t="str">
        <f t="shared" ref="AB265" si="3687">IF(AB260="","",AA265)</f>
        <v/>
      </c>
      <c r="AC265" s="12" t="str">
        <f t="shared" ref="AC265" si="3688">IF(AC260="","",AB265)</f>
        <v/>
      </c>
      <c r="AD265" s="12" t="str">
        <f t="shared" ref="AD265" si="3689">IF(AD260="","",AC265)</f>
        <v/>
      </c>
      <c r="AE265" s="12" t="str">
        <f t="shared" ref="AE265" si="3690">IF(AE260="","",AD265)</f>
        <v/>
      </c>
      <c r="AF265" s="12" t="str">
        <f t="shared" ref="AF265" si="3691">IF(AF260="","",AE265)</f>
        <v/>
      </c>
      <c r="AG265" s="12" t="str">
        <f t="shared" ref="AG265" si="3692">IF(AG260="","",AF265)</f>
        <v/>
      </c>
      <c r="AH265" s="12" t="str">
        <f t="shared" ref="AH265" si="3693">IF(AH260="","",AG265)</f>
        <v/>
      </c>
      <c r="AI265" s="12" t="str">
        <f t="shared" ref="AI265" si="3694">IF(AI260="","",AH265)</f>
        <v/>
      </c>
      <c r="AJ265" s="12" t="str">
        <f t="shared" ref="AJ265" si="3695">IF(AJ260="","",AI265)</f>
        <v/>
      </c>
      <c r="AK265" s="12" t="str">
        <f t="shared" ref="AK265" si="3696">IF(AK260="","",AJ265)</f>
        <v/>
      </c>
      <c r="AL265" s="12" t="str">
        <f t="shared" ref="AL265" si="3697">IF(AL260="","",AK265)</f>
        <v/>
      </c>
      <c r="AM265" s="12" t="str">
        <f t="shared" ref="AM265" si="3698">IF(AM260="","",AL265)</f>
        <v/>
      </c>
      <c r="AN265" s="12" t="str">
        <f t="shared" ref="AN265" si="3699">IF(AN260="","",AM265)</f>
        <v/>
      </c>
      <c r="AO265" s="12" t="str">
        <f t="shared" ref="AO265:AS265" si="3700">IF(AO260="","",AN265)</f>
        <v/>
      </c>
      <c r="AP265" s="12" t="str">
        <f t="shared" si="3700"/>
        <v/>
      </c>
      <c r="AQ265" s="12" t="str">
        <f t="shared" si="3700"/>
        <v/>
      </c>
      <c r="AR265" s="12" t="str">
        <f t="shared" si="3700"/>
        <v/>
      </c>
      <c r="AS265" s="12" t="str">
        <f t="shared" si="3700"/>
        <v/>
      </c>
    </row>
    <row r="266" spans="1:45" s="84" customFormat="1" ht="11.25" x14ac:dyDescent="0.15">
      <c r="A266" s="7">
        <f>AVERAGE(C267:AS267)*30*100</f>
        <v>71727.272727272721</v>
      </c>
      <c r="B266" s="9" t="s">
        <v>12</v>
      </c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</row>
    <row r="267" spans="1:45" s="84" customFormat="1" ht="11.25" x14ac:dyDescent="0.15">
      <c r="A267" s="7">
        <f>SUM(C267:AS267)</f>
        <v>263</v>
      </c>
      <c r="B267" s="6" t="s">
        <v>13</v>
      </c>
      <c r="C267" s="5">
        <v>0</v>
      </c>
      <c r="D267" s="5">
        <v>72</v>
      </c>
      <c r="E267" s="5">
        <v>0</v>
      </c>
      <c r="F267" s="5">
        <v>0</v>
      </c>
      <c r="G267" s="5">
        <v>103</v>
      </c>
      <c r="H267" s="5">
        <v>0</v>
      </c>
      <c r="I267" s="5">
        <v>0</v>
      </c>
      <c r="J267" s="5">
        <v>0</v>
      </c>
      <c r="K267" s="5">
        <v>33</v>
      </c>
      <c r="L267" s="5">
        <f t="shared" ref="L267:L268" si="3701">IF(L260="","",L260-K260)</f>
        <v>0</v>
      </c>
      <c r="M267" s="5">
        <f t="shared" ref="M267:M268" si="3702">IF(M260="","",M260-L260)</f>
        <v>55</v>
      </c>
      <c r="N267" s="5" t="str">
        <f t="shared" ref="N267:N268" si="3703">IF(N260="","",N260-M260)</f>
        <v/>
      </c>
      <c r="O267" s="5" t="str">
        <f t="shared" ref="O267:O268" si="3704">IF(O260="","",O260-N260)</f>
        <v/>
      </c>
      <c r="P267" s="5" t="str">
        <f t="shared" ref="P267:P268" si="3705">IF(P260="","",P260-O260)</f>
        <v/>
      </c>
      <c r="Q267" s="5" t="str">
        <f t="shared" ref="Q267:Q268" si="3706">IF(Q260="","",Q260-P260)</f>
        <v/>
      </c>
      <c r="R267" s="5" t="str">
        <f t="shared" ref="R267:R268" si="3707">IF(R260="","",R260-Q260)</f>
        <v/>
      </c>
      <c r="S267" s="5" t="str">
        <f t="shared" ref="S267:S268" si="3708">IF(S260="","",S260-R260)</f>
        <v/>
      </c>
      <c r="T267" s="5" t="str">
        <f t="shared" ref="T267:T268" si="3709">IF(T260="","",T260-S260)</f>
        <v/>
      </c>
      <c r="U267" s="5" t="str">
        <f t="shared" ref="U267:U268" si="3710">IF(U260="","",U260-T260)</f>
        <v/>
      </c>
      <c r="V267" s="5" t="str">
        <f t="shared" ref="V267:V268" si="3711">IF(V260="","",V260-U260)</f>
        <v/>
      </c>
      <c r="W267" s="5" t="str">
        <f t="shared" ref="W267:W268" si="3712">IF(W260="","",W260-V260)</f>
        <v/>
      </c>
      <c r="X267" s="5" t="str">
        <f t="shared" ref="X267:X268" si="3713">IF(X260="","",X260-W260)</f>
        <v/>
      </c>
      <c r="Y267" s="5" t="str">
        <f t="shared" ref="Y267:Y268" si="3714">IF(Y260="","",Y260-X260)</f>
        <v/>
      </c>
      <c r="Z267" s="5" t="str">
        <f t="shared" ref="Z267:Z268" si="3715">IF(Z260="","",Z260-Y260)</f>
        <v/>
      </c>
      <c r="AA267" s="5" t="str">
        <f t="shared" ref="AA267:AA268" si="3716">IF(AA260="","",AA260-Z260)</f>
        <v/>
      </c>
      <c r="AB267" s="5" t="str">
        <f t="shared" ref="AB267:AB268" si="3717">IF(AB260="","",AB260-AA260)</f>
        <v/>
      </c>
      <c r="AC267" s="5" t="str">
        <f t="shared" ref="AC267:AC268" si="3718">IF(AC260="","",AC260-AB260)</f>
        <v/>
      </c>
      <c r="AD267" s="5" t="str">
        <f t="shared" ref="AD267:AD268" si="3719">IF(AD260="","",AD260-AC260)</f>
        <v/>
      </c>
      <c r="AE267" s="5" t="str">
        <f t="shared" ref="AE267:AE268" si="3720">IF(AE260="","",AE260-AD260)</f>
        <v/>
      </c>
      <c r="AF267" s="5" t="str">
        <f t="shared" ref="AF267:AF268" si="3721">IF(AF260="","",AF260-AE260)</f>
        <v/>
      </c>
      <c r="AG267" s="5" t="str">
        <f t="shared" ref="AG267:AG268" si="3722">IF(AG260="","",AG260-AF260)</f>
        <v/>
      </c>
      <c r="AH267" s="5" t="str">
        <f t="shared" ref="AH267:AH268" si="3723">IF(AH260="","",AH260-AG260)</f>
        <v/>
      </c>
      <c r="AI267" s="5" t="str">
        <f t="shared" ref="AI267:AI268" si="3724">IF(AI260="","",AI260-AH260)</f>
        <v/>
      </c>
      <c r="AJ267" s="5" t="str">
        <f t="shared" ref="AJ267:AJ268" si="3725">IF(AJ260="","",AJ260-AI260)</f>
        <v/>
      </c>
      <c r="AK267" s="5" t="str">
        <f t="shared" ref="AK267:AK268" si="3726">IF(AK260="","",AK260-AJ260)</f>
        <v/>
      </c>
      <c r="AL267" s="5" t="str">
        <f t="shared" ref="AL267:AL268" si="3727">IF(AL260="","",AL260-AK260)</f>
        <v/>
      </c>
      <c r="AM267" s="5" t="str">
        <f t="shared" ref="AM267:AM268" si="3728">IF(AM260="","",AM260-AL260)</f>
        <v/>
      </c>
      <c r="AN267" s="5" t="str">
        <f t="shared" ref="AN267" si="3729">IF(AN260="","",AN260-AM260)</f>
        <v/>
      </c>
      <c r="AO267" s="5" t="str">
        <f t="shared" ref="AO267:AS267" si="3730">IF(AO260="","",AO260-AN260)</f>
        <v/>
      </c>
      <c r="AP267" s="5" t="str">
        <f t="shared" si="3730"/>
        <v/>
      </c>
      <c r="AQ267" s="5" t="str">
        <f t="shared" si="3730"/>
        <v/>
      </c>
      <c r="AR267" s="5" t="str">
        <f t="shared" si="3730"/>
        <v/>
      </c>
      <c r="AS267" s="5" t="str">
        <f t="shared" si="3730"/>
        <v/>
      </c>
    </row>
    <row r="268" spans="1:45" s="84" customFormat="1" ht="11.25" x14ac:dyDescent="0.15">
      <c r="A268" s="7">
        <f>SUM(C268:AS268)</f>
        <v>2</v>
      </c>
      <c r="B268" s="6" t="s">
        <v>14</v>
      </c>
      <c r="C268" s="5">
        <v>0</v>
      </c>
      <c r="D268" s="5">
        <v>0</v>
      </c>
      <c r="E268" s="5">
        <v>0</v>
      </c>
      <c r="F268" s="5">
        <v>0</v>
      </c>
      <c r="G268" s="5">
        <v>1</v>
      </c>
      <c r="H268" s="5">
        <v>0</v>
      </c>
      <c r="I268" s="5">
        <v>0</v>
      </c>
      <c r="J268" s="5">
        <v>0</v>
      </c>
      <c r="K268" s="5">
        <v>0</v>
      </c>
      <c r="L268" s="5">
        <f t="shared" si="3701"/>
        <v>0</v>
      </c>
      <c r="M268" s="5">
        <f t="shared" si="3702"/>
        <v>1</v>
      </c>
      <c r="N268" s="5" t="str">
        <f t="shared" si="3703"/>
        <v/>
      </c>
      <c r="O268" s="5" t="str">
        <f t="shared" si="3704"/>
        <v/>
      </c>
      <c r="P268" s="5" t="str">
        <f t="shared" si="3705"/>
        <v/>
      </c>
      <c r="Q268" s="5" t="str">
        <f t="shared" si="3706"/>
        <v/>
      </c>
      <c r="R268" s="5" t="str">
        <f t="shared" si="3707"/>
        <v/>
      </c>
      <c r="S268" s="5" t="str">
        <f t="shared" si="3708"/>
        <v/>
      </c>
      <c r="T268" s="5" t="str">
        <f t="shared" si="3709"/>
        <v/>
      </c>
      <c r="U268" s="5" t="str">
        <f t="shared" si="3710"/>
        <v/>
      </c>
      <c r="V268" s="5" t="str">
        <f t="shared" si="3711"/>
        <v/>
      </c>
      <c r="W268" s="5" t="str">
        <f t="shared" si="3712"/>
        <v/>
      </c>
      <c r="X268" s="5" t="str">
        <f t="shared" si="3713"/>
        <v/>
      </c>
      <c r="Y268" s="5" t="str">
        <f t="shared" si="3714"/>
        <v/>
      </c>
      <c r="Z268" s="5" t="str">
        <f t="shared" si="3715"/>
        <v/>
      </c>
      <c r="AA268" s="5" t="str">
        <f t="shared" si="3716"/>
        <v/>
      </c>
      <c r="AB268" s="5" t="str">
        <f t="shared" si="3717"/>
        <v/>
      </c>
      <c r="AC268" s="5" t="str">
        <f t="shared" si="3718"/>
        <v/>
      </c>
      <c r="AD268" s="5" t="str">
        <f t="shared" si="3719"/>
        <v/>
      </c>
      <c r="AE268" s="5" t="str">
        <f t="shared" si="3720"/>
        <v/>
      </c>
      <c r="AF268" s="5" t="str">
        <f t="shared" si="3721"/>
        <v/>
      </c>
      <c r="AG268" s="5" t="str">
        <f t="shared" si="3722"/>
        <v/>
      </c>
      <c r="AH268" s="5" t="str">
        <f t="shared" si="3723"/>
        <v/>
      </c>
      <c r="AI268" s="5" t="str">
        <f t="shared" si="3724"/>
        <v/>
      </c>
      <c r="AJ268" s="5" t="str">
        <f t="shared" si="3725"/>
        <v/>
      </c>
      <c r="AK268" s="5" t="str">
        <f t="shared" si="3726"/>
        <v/>
      </c>
      <c r="AL268" s="5" t="str">
        <f t="shared" si="3727"/>
        <v/>
      </c>
      <c r="AM268" s="5" t="str">
        <f t="shared" si="3728"/>
        <v/>
      </c>
      <c r="AN268" s="5" t="str">
        <f t="shared" ref="AN268" si="3731">IF(AN261="","",AN261-AM261)</f>
        <v/>
      </c>
      <c r="AO268" s="5" t="str">
        <f t="shared" ref="AO268:AS268" si="3732">IF(AO261="","",AO261-AN261)</f>
        <v/>
      </c>
      <c r="AP268" s="5" t="str">
        <f t="shared" si="3732"/>
        <v/>
      </c>
      <c r="AQ268" s="5" t="str">
        <f t="shared" si="3732"/>
        <v/>
      </c>
      <c r="AR268" s="5" t="str">
        <f t="shared" si="3732"/>
        <v/>
      </c>
      <c r="AS268" s="5" t="str">
        <f t="shared" si="3732"/>
        <v/>
      </c>
    </row>
    <row r="269" spans="1:45" s="84" customFormat="1" ht="11.25" x14ac:dyDescent="0.15">
      <c r="A269" s="7">
        <f>SUM(C269:AS269)</f>
        <v>2</v>
      </c>
      <c r="B269" s="6" t="s">
        <v>15</v>
      </c>
      <c r="C269" s="5">
        <v>0</v>
      </c>
      <c r="D269" s="5">
        <v>0</v>
      </c>
      <c r="E269" s="5">
        <v>0</v>
      </c>
      <c r="F269" s="5">
        <v>0</v>
      </c>
      <c r="G269" s="5">
        <v>1</v>
      </c>
      <c r="H269" s="5">
        <v>0</v>
      </c>
      <c r="I269" s="5">
        <v>0</v>
      </c>
      <c r="J269" s="5">
        <v>0</v>
      </c>
      <c r="K269" s="5">
        <v>0</v>
      </c>
      <c r="L269" s="5">
        <f t="shared" ref="L269" si="3733">IF(L262="","",K262+K263-L262)</f>
        <v>0</v>
      </c>
      <c r="M269" s="5">
        <f t="shared" ref="M269" si="3734">IF(M262="","",L262+L263-M262)</f>
        <v>1</v>
      </c>
      <c r="N269" s="5" t="str">
        <f t="shared" ref="N269" si="3735">IF(N262="","",M262+M263-N262)</f>
        <v/>
      </c>
      <c r="O269" s="5" t="str">
        <f t="shared" ref="O269" si="3736">IF(O262="","",N262+N263-O262)</f>
        <v/>
      </c>
      <c r="P269" s="5" t="str">
        <f t="shared" ref="P269" si="3737">IF(P262="","",O262+O263-P262)</f>
        <v/>
      </c>
      <c r="Q269" s="5" t="str">
        <f t="shared" ref="Q269" si="3738">IF(Q262="","",P262+P263-Q262)</f>
        <v/>
      </c>
      <c r="R269" s="5" t="str">
        <f t="shared" ref="R269" si="3739">IF(R262="","",Q262+Q263-R262)</f>
        <v/>
      </c>
      <c r="S269" s="5" t="str">
        <f t="shared" ref="S269" si="3740">IF(S262="","",R262+R263-S262)</f>
        <v/>
      </c>
      <c r="T269" s="5" t="str">
        <f t="shared" ref="T269" si="3741">IF(T262="","",S262+S263-T262)</f>
        <v/>
      </c>
      <c r="U269" s="5" t="str">
        <f t="shared" ref="U269" si="3742">IF(U262="","",T262+T263-U262)</f>
        <v/>
      </c>
      <c r="V269" s="5" t="str">
        <f t="shared" ref="V269" si="3743">IF(V262="","",U262+U263-V262)</f>
        <v/>
      </c>
      <c r="W269" s="5" t="str">
        <f t="shared" ref="W269" si="3744">IF(W262="","",V262+V263-W262)</f>
        <v/>
      </c>
      <c r="X269" s="5" t="str">
        <f t="shared" ref="X269" si="3745">IF(X262="","",W262+W263-X262)</f>
        <v/>
      </c>
      <c r="Y269" s="5" t="str">
        <f t="shared" ref="Y269" si="3746">IF(Y262="","",X262+X263-Y262)</f>
        <v/>
      </c>
      <c r="Z269" s="5" t="str">
        <f t="shared" ref="Z269" si="3747">IF(Z262="","",Y262+Y263-Z262)</f>
        <v/>
      </c>
      <c r="AA269" s="5" t="str">
        <f t="shared" ref="AA269" si="3748">IF(AA262="","",Z262+Z263-AA262)</f>
        <v/>
      </c>
      <c r="AB269" s="5" t="str">
        <f t="shared" ref="AB269" si="3749">IF(AB262="","",AA262+AA263-AB262)</f>
        <v/>
      </c>
      <c r="AC269" s="5" t="str">
        <f t="shared" ref="AC269" si="3750">IF(AC262="","",AB262+AB263-AC262)</f>
        <v/>
      </c>
      <c r="AD269" s="5" t="str">
        <f t="shared" ref="AD269" si="3751">IF(AD262="","",AC262+AC263-AD262)</f>
        <v/>
      </c>
      <c r="AE269" s="5" t="str">
        <f t="shared" ref="AE269" si="3752">IF(AE262="","",AD262+AD263-AE262)</f>
        <v/>
      </c>
      <c r="AF269" s="5" t="str">
        <f t="shared" ref="AF269" si="3753">IF(AF262="","",AE262+AE263-AF262)</f>
        <v/>
      </c>
      <c r="AG269" s="5" t="str">
        <f t="shared" ref="AG269" si="3754">IF(AG262="","",AF262+AF263-AG262)</f>
        <v/>
      </c>
      <c r="AH269" s="5" t="str">
        <f t="shared" ref="AH269" si="3755">IF(AH262="","",AG262+AG263-AH262)</f>
        <v/>
      </c>
      <c r="AI269" s="5" t="str">
        <f t="shared" ref="AI269" si="3756">IF(AI262="","",AH262+AH263-AI262)</f>
        <v/>
      </c>
      <c r="AJ269" s="5" t="str">
        <f t="shared" ref="AJ269" si="3757">IF(AJ262="","",AI262+AI263-AJ262)</f>
        <v/>
      </c>
      <c r="AK269" s="5" t="str">
        <f t="shared" ref="AK269" si="3758">IF(AK262="","",AJ262+AJ263-AK262)</f>
        <v/>
      </c>
      <c r="AL269" s="5" t="str">
        <f t="shared" ref="AL269" si="3759">IF(AL262="","",AK262+AK263-AL262)</f>
        <v/>
      </c>
      <c r="AM269" s="5" t="str">
        <f t="shared" ref="AM269" si="3760">IF(AM262="","",AL262+AL263-AM262)</f>
        <v/>
      </c>
      <c r="AN269" s="5" t="str">
        <f t="shared" ref="AN269" si="3761">IF(AN262="","",AM262+AM263-AN262)</f>
        <v/>
      </c>
      <c r="AO269" s="5" t="str">
        <f t="shared" ref="AO269:AS269" si="3762">IF(AO262="","",AN262+AN263-AO262)</f>
        <v/>
      </c>
      <c r="AP269" s="5" t="str">
        <f t="shared" si="3762"/>
        <v/>
      </c>
      <c r="AQ269" s="5" t="str">
        <f t="shared" si="3762"/>
        <v/>
      </c>
      <c r="AR269" s="5" t="str">
        <f t="shared" si="3762"/>
        <v/>
      </c>
      <c r="AS269" s="5" t="str">
        <f t="shared" si="3762"/>
        <v/>
      </c>
    </row>
    <row r="270" spans="1:45" s="84" customFormat="1" ht="11.25" x14ac:dyDescent="0.15">
      <c r="A270" s="7">
        <f>SUM(C270:AS270)</f>
        <v>800</v>
      </c>
      <c r="B270" s="6" t="s">
        <v>16</v>
      </c>
      <c r="C270" s="5">
        <v>0</v>
      </c>
      <c r="D270" s="5">
        <v>0</v>
      </c>
      <c r="E270" s="5">
        <v>0</v>
      </c>
      <c r="F270" s="5">
        <v>0</v>
      </c>
      <c r="G270" s="5">
        <v>400</v>
      </c>
      <c r="H270" s="5">
        <v>0</v>
      </c>
      <c r="I270" s="5">
        <v>0</v>
      </c>
      <c r="J270" s="5">
        <v>0</v>
      </c>
      <c r="K270" s="5">
        <v>0</v>
      </c>
      <c r="L270" s="5">
        <f t="shared" ref="J270:AM270" si="3763">IF(L260="","",L269*L264)</f>
        <v>0</v>
      </c>
      <c r="M270" s="5">
        <f t="shared" si="3763"/>
        <v>400</v>
      </c>
      <c r="N270" s="5" t="str">
        <f t="shared" si="3763"/>
        <v/>
      </c>
      <c r="O270" s="5" t="str">
        <f t="shared" si="3763"/>
        <v/>
      </c>
      <c r="P270" s="5" t="str">
        <f t="shared" si="3763"/>
        <v/>
      </c>
      <c r="Q270" s="5" t="str">
        <f t="shared" si="3763"/>
        <v/>
      </c>
      <c r="R270" s="5" t="str">
        <f t="shared" si="3763"/>
        <v/>
      </c>
      <c r="S270" s="5" t="str">
        <f t="shared" si="3763"/>
        <v/>
      </c>
      <c r="T270" s="5" t="str">
        <f t="shared" si="3763"/>
        <v/>
      </c>
      <c r="U270" s="5" t="str">
        <f t="shared" si="3763"/>
        <v/>
      </c>
      <c r="V270" s="5" t="str">
        <f t="shared" si="3763"/>
        <v/>
      </c>
      <c r="W270" s="5" t="str">
        <f t="shared" si="3763"/>
        <v/>
      </c>
      <c r="X270" s="5" t="str">
        <f t="shared" si="3763"/>
        <v/>
      </c>
      <c r="Y270" s="5" t="str">
        <f t="shared" si="3763"/>
        <v/>
      </c>
      <c r="Z270" s="5" t="str">
        <f t="shared" si="3763"/>
        <v/>
      </c>
      <c r="AA270" s="5" t="str">
        <f t="shared" si="3763"/>
        <v/>
      </c>
      <c r="AB270" s="5" t="str">
        <f t="shared" si="3763"/>
        <v/>
      </c>
      <c r="AC270" s="5" t="str">
        <f t="shared" si="3763"/>
        <v/>
      </c>
      <c r="AD270" s="5" t="str">
        <f t="shared" si="3763"/>
        <v/>
      </c>
      <c r="AE270" s="5" t="str">
        <f t="shared" si="3763"/>
        <v/>
      </c>
      <c r="AF270" s="5" t="str">
        <f t="shared" si="3763"/>
        <v/>
      </c>
      <c r="AG270" s="5" t="str">
        <f t="shared" si="3763"/>
        <v/>
      </c>
      <c r="AH270" s="5" t="str">
        <f t="shared" si="3763"/>
        <v/>
      </c>
      <c r="AI270" s="5" t="str">
        <f t="shared" si="3763"/>
        <v/>
      </c>
      <c r="AJ270" s="5" t="str">
        <f t="shared" si="3763"/>
        <v/>
      </c>
      <c r="AK270" s="5" t="str">
        <f t="shared" si="3763"/>
        <v/>
      </c>
      <c r="AL270" s="5" t="str">
        <f t="shared" si="3763"/>
        <v/>
      </c>
      <c r="AM270" s="5" t="str">
        <f t="shared" si="3763"/>
        <v/>
      </c>
      <c r="AN270" s="5" t="str">
        <f t="shared" ref="AN270" si="3764">IF(AN260="","",AN269*AN264)</f>
        <v/>
      </c>
      <c r="AO270" s="5" t="str">
        <f t="shared" ref="AO270:AS270" si="3765">IF(AO260="","",AO269*AO264)</f>
        <v/>
      </c>
      <c r="AP270" s="5" t="str">
        <f t="shared" si="3765"/>
        <v/>
      </c>
      <c r="AQ270" s="5" t="str">
        <f t="shared" si="3765"/>
        <v/>
      </c>
      <c r="AR270" s="5" t="str">
        <f t="shared" si="3765"/>
        <v/>
      </c>
      <c r="AS270" s="5" t="str">
        <f t="shared" si="3765"/>
        <v/>
      </c>
    </row>
    <row r="271" spans="1:45" s="84" customFormat="1" ht="12" thickBot="1" x14ac:dyDescent="0.2">
      <c r="A271" s="4">
        <f>IF(A270="","",A270/(A267*100))</f>
        <v>3.0418250950570342E-2</v>
      </c>
      <c r="B271" s="3" t="s">
        <v>18</v>
      </c>
      <c r="C271" s="2" t="s">
        <v>19</v>
      </c>
      <c r="D271" s="2" t="s">
        <v>19</v>
      </c>
      <c r="E271" s="2" t="s">
        <v>19</v>
      </c>
      <c r="F271" s="2" t="s">
        <v>19</v>
      </c>
      <c r="G271" s="2">
        <v>3.8834951456310676E-2</v>
      </c>
      <c r="H271" s="2" t="s">
        <v>19</v>
      </c>
      <c r="I271" s="2" t="s">
        <v>19</v>
      </c>
      <c r="J271" s="2" t="s">
        <v>19</v>
      </c>
      <c r="K271" s="2" t="s">
        <v>19</v>
      </c>
      <c r="L271" s="2" t="str">
        <f t="shared" ref="J271:AM271" si="3766">IF(L270="","",IF(L270=0,"",L270/(L267*100)))</f>
        <v/>
      </c>
      <c r="M271" s="2">
        <f t="shared" si="3766"/>
        <v>7.2727272727272724E-2</v>
      </c>
      <c r="N271" s="2" t="str">
        <f t="shared" si="3766"/>
        <v/>
      </c>
      <c r="O271" s="2" t="str">
        <f t="shared" si="3766"/>
        <v/>
      </c>
      <c r="P271" s="2" t="str">
        <f t="shared" si="3766"/>
        <v/>
      </c>
      <c r="Q271" s="2" t="str">
        <f t="shared" si="3766"/>
        <v/>
      </c>
      <c r="R271" s="2" t="str">
        <f t="shared" si="3766"/>
        <v/>
      </c>
      <c r="S271" s="2" t="str">
        <f t="shared" si="3766"/>
        <v/>
      </c>
      <c r="T271" s="2" t="str">
        <f t="shared" si="3766"/>
        <v/>
      </c>
      <c r="U271" s="2" t="str">
        <f t="shared" si="3766"/>
        <v/>
      </c>
      <c r="V271" s="2" t="str">
        <f t="shared" si="3766"/>
        <v/>
      </c>
      <c r="W271" s="2" t="str">
        <f t="shared" si="3766"/>
        <v/>
      </c>
      <c r="X271" s="2" t="str">
        <f t="shared" si="3766"/>
        <v/>
      </c>
      <c r="Y271" s="2" t="str">
        <f t="shared" si="3766"/>
        <v/>
      </c>
      <c r="Z271" s="2" t="str">
        <f t="shared" si="3766"/>
        <v/>
      </c>
      <c r="AA271" s="2" t="str">
        <f t="shared" si="3766"/>
        <v/>
      </c>
      <c r="AB271" s="2" t="str">
        <f t="shared" si="3766"/>
        <v/>
      </c>
      <c r="AC271" s="2" t="str">
        <f t="shared" si="3766"/>
        <v/>
      </c>
      <c r="AD271" s="2" t="str">
        <f t="shared" si="3766"/>
        <v/>
      </c>
      <c r="AE271" s="2" t="str">
        <f t="shared" si="3766"/>
        <v/>
      </c>
      <c r="AF271" s="2" t="str">
        <f t="shared" si="3766"/>
        <v/>
      </c>
      <c r="AG271" s="2" t="str">
        <f t="shared" si="3766"/>
        <v/>
      </c>
      <c r="AH271" s="2" t="str">
        <f t="shared" si="3766"/>
        <v/>
      </c>
      <c r="AI271" s="2" t="str">
        <f t="shared" si="3766"/>
        <v/>
      </c>
      <c r="AJ271" s="2" t="str">
        <f t="shared" si="3766"/>
        <v/>
      </c>
      <c r="AK271" s="2" t="str">
        <f t="shared" si="3766"/>
        <v/>
      </c>
      <c r="AL271" s="2" t="str">
        <f t="shared" si="3766"/>
        <v/>
      </c>
      <c r="AM271" s="2" t="str">
        <f t="shared" si="3766"/>
        <v/>
      </c>
      <c r="AN271" s="2" t="str">
        <f t="shared" ref="AN271" si="3767">IF(AN270="","",IF(AN270=0,"",AN270/(AN267*100)))</f>
        <v/>
      </c>
      <c r="AO271" s="2" t="str">
        <f t="shared" ref="AO271:AS271" si="3768">IF(AO270="","",IF(AO270=0,"",AO270/(AO267*100)))</f>
        <v/>
      </c>
      <c r="AP271" s="2" t="str">
        <f t="shared" si="3768"/>
        <v/>
      </c>
      <c r="AQ271" s="2" t="str">
        <f t="shared" si="3768"/>
        <v/>
      </c>
      <c r="AR271" s="2" t="str">
        <f t="shared" si="3768"/>
        <v/>
      </c>
      <c r="AS271" s="2" t="str">
        <f t="shared" si="3768"/>
        <v/>
      </c>
    </row>
    <row r="272" spans="1:45" x14ac:dyDescent="0.2">
      <c r="A272" s="364"/>
      <c r="B272" s="365"/>
    </row>
  </sheetData>
  <phoneticPr fontId="2"/>
  <conditionalFormatting sqref="A19">
    <cfRule type="cellIs" dxfId="54" priority="8" operator="greaterThan">
      <formula>0.25</formula>
    </cfRule>
  </conditionalFormatting>
  <conditionalFormatting sqref="A31">
    <cfRule type="cellIs" dxfId="53" priority="11" operator="greaterThan">
      <formula>0.25</formula>
    </cfRule>
  </conditionalFormatting>
  <conditionalFormatting sqref="A43">
    <cfRule type="cellIs" dxfId="52" priority="12" operator="greaterThan">
      <formula>0.25</formula>
    </cfRule>
  </conditionalFormatting>
  <conditionalFormatting sqref="A55">
    <cfRule type="cellIs" dxfId="51" priority="13" operator="greaterThan">
      <formula>0.25</formula>
    </cfRule>
  </conditionalFormatting>
  <conditionalFormatting sqref="A67">
    <cfRule type="cellIs" dxfId="50" priority="9" operator="greaterThan">
      <formula>0.25</formula>
    </cfRule>
  </conditionalFormatting>
  <conditionalFormatting sqref="A79">
    <cfRule type="cellIs" dxfId="49" priority="14" operator="greaterThan">
      <formula>0.25</formula>
    </cfRule>
  </conditionalFormatting>
  <conditionalFormatting sqref="A91">
    <cfRule type="cellIs" dxfId="48" priority="15" operator="greaterThan">
      <formula>0.25</formula>
    </cfRule>
  </conditionalFormatting>
  <conditionalFormatting sqref="A103">
    <cfRule type="cellIs" dxfId="47" priority="16" operator="greaterThan">
      <formula>0.25</formula>
    </cfRule>
  </conditionalFormatting>
  <conditionalFormatting sqref="A115">
    <cfRule type="cellIs" dxfId="46" priority="10" operator="greaterThan">
      <formula>0.25</formula>
    </cfRule>
  </conditionalFormatting>
  <conditionalFormatting sqref="A127">
    <cfRule type="cellIs" dxfId="45" priority="17" operator="greaterThan">
      <formula>0.25</formula>
    </cfRule>
  </conditionalFormatting>
  <conditionalFormatting sqref="A139">
    <cfRule type="cellIs" dxfId="44" priority="18" operator="greaterThan">
      <formula>0.25</formula>
    </cfRule>
  </conditionalFormatting>
  <conditionalFormatting sqref="A151">
    <cfRule type="cellIs" dxfId="43" priority="19" operator="greaterThan">
      <formula>0.25</formula>
    </cfRule>
  </conditionalFormatting>
  <conditionalFormatting sqref="A163">
    <cfRule type="cellIs" dxfId="42" priority="20" operator="greaterThan">
      <formula>0.25</formula>
    </cfRule>
  </conditionalFormatting>
  <conditionalFormatting sqref="A175">
    <cfRule type="cellIs" dxfId="41" priority="21" operator="greaterThan">
      <formula>0.25</formula>
    </cfRule>
  </conditionalFormatting>
  <conditionalFormatting sqref="A187">
    <cfRule type="cellIs" dxfId="40" priority="4" operator="greaterThan">
      <formula>0.25</formula>
    </cfRule>
  </conditionalFormatting>
  <conditionalFormatting sqref="A199">
    <cfRule type="cellIs" dxfId="39" priority="5" operator="greaterThan">
      <formula>0.25</formula>
    </cfRule>
  </conditionalFormatting>
  <conditionalFormatting sqref="A211">
    <cfRule type="cellIs" dxfId="38" priority="6" operator="greaterThan">
      <formula>0.25</formula>
    </cfRule>
  </conditionalFormatting>
  <conditionalFormatting sqref="A223 A271">
    <cfRule type="cellIs" dxfId="37" priority="7" operator="greaterThan">
      <formula>0.25</formula>
    </cfRule>
  </conditionalFormatting>
  <conditionalFormatting sqref="A235">
    <cfRule type="cellIs" dxfId="36" priority="1" operator="greaterThan">
      <formula>0.25</formula>
    </cfRule>
  </conditionalFormatting>
  <conditionalFormatting sqref="A247">
    <cfRule type="cellIs" dxfId="35" priority="2" operator="greaterThan">
      <formula>0.25</formula>
    </cfRule>
  </conditionalFormatting>
  <conditionalFormatting sqref="A259">
    <cfRule type="cellIs" dxfId="34" priority="3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60BA-839A-4C63-956B-264A63F0F525}">
  <dimension ref="A1:AS249"/>
  <sheetViews>
    <sheetView tabSelected="1" zoomScaleNormal="60" zoomScaleSheetLayoutView="100" workbookViewId="0">
      <pane xSplit="2" ySplit="2" topLeftCell="M186" activePane="bottomRight" state="frozen"/>
      <selection pane="bottomLeft" activeCell="A3" sqref="A3"/>
      <selection pane="topRight" activeCell="C1" sqref="C1"/>
      <selection pane="bottomRight" activeCell="O204" sqref="O204"/>
    </sheetView>
  </sheetViews>
  <sheetFormatPr defaultColWidth="8.875" defaultRowHeight="15" x14ac:dyDescent="0.2"/>
  <cols>
    <col min="3" max="12" width="9.14453125" bestFit="1" customWidth="1"/>
    <col min="13" max="41" width="8.875" bestFit="1" customWidth="1"/>
  </cols>
  <sheetData>
    <row r="1" spans="1:45" s="84" customFormat="1" ht="11.25" x14ac:dyDescent="0.15">
      <c r="A1" s="349">
        <f>SUM(A14,A50,A62,A74,A86,A98,A110,A122,A134,A158,A146,A170,A182,A194,A206,A218,A230,A38,A26,A244)</f>
        <v>1416692.3076923077</v>
      </c>
      <c r="B1" s="47" t="s">
        <v>0</v>
      </c>
      <c r="C1" s="46">
        <v>46155</v>
      </c>
      <c r="D1" s="46">
        <v>46156</v>
      </c>
      <c r="E1" s="46">
        <v>46157</v>
      </c>
      <c r="F1" s="46">
        <v>46158</v>
      </c>
      <c r="G1" s="46">
        <v>46159</v>
      </c>
      <c r="H1" s="46">
        <v>46160</v>
      </c>
      <c r="I1" s="46">
        <v>46161</v>
      </c>
      <c r="J1" s="46">
        <v>46162</v>
      </c>
      <c r="K1" s="46">
        <v>46163</v>
      </c>
      <c r="L1" s="46">
        <v>46164</v>
      </c>
      <c r="M1" s="46">
        <f t="shared" ref="M1" si="0">L1+1</f>
        <v>46165</v>
      </c>
      <c r="N1" s="46">
        <f t="shared" ref="N1" si="1">M1+1</f>
        <v>46166</v>
      </c>
      <c r="O1" s="46">
        <f t="shared" ref="O1" si="2">N1+1</f>
        <v>46167</v>
      </c>
      <c r="P1" s="46">
        <f t="shared" ref="P1" si="3">O1+1</f>
        <v>46168</v>
      </c>
      <c r="Q1" s="46">
        <f t="shared" ref="Q1" si="4">P1+1</f>
        <v>46169</v>
      </c>
      <c r="R1" s="46">
        <f t="shared" ref="R1" si="5">Q1+1</f>
        <v>46170</v>
      </c>
      <c r="S1" s="46">
        <f t="shared" ref="S1" si="6">R1+1</f>
        <v>46171</v>
      </c>
      <c r="T1" s="46">
        <f t="shared" ref="T1" si="7">S1+1</f>
        <v>46172</v>
      </c>
      <c r="U1" s="46">
        <f t="shared" ref="U1" si="8">T1+1</f>
        <v>46173</v>
      </c>
      <c r="V1" s="46">
        <f t="shared" ref="V1" si="9">U1+1</f>
        <v>46174</v>
      </c>
      <c r="W1" s="46">
        <f t="shared" ref="W1" si="10">V1+1</f>
        <v>46175</v>
      </c>
      <c r="X1" s="46">
        <f t="shared" ref="X1" si="11">W1+1</f>
        <v>46176</v>
      </c>
      <c r="Y1" s="46">
        <f t="shared" ref="Y1" si="12">X1+1</f>
        <v>46177</v>
      </c>
      <c r="Z1" s="46">
        <f t="shared" ref="Z1" si="13">Y1+1</f>
        <v>46178</v>
      </c>
      <c r="AA1" s="46">
        <f t="shared" ref="AA1" si="14">Z1+1</f>
        <v>46179</v>
      </c>
      <c r="AB1" s="46">
        <f t="shared" ref="AB1" si="15">AA1+1</f>
        <v>46180</v>
      </c>
      <c r="AC1" s="46">
        <f t="shared" ref="AC1" si="16">AB1+1</f>
        <v>46181</v>
      </c>
      <c r="AD1" s="46">
        <f t="shared" ref="AD1" si="17">AC1+1</f>
        <v>46182</v>
      </c>
      <c r="AE1" s="46">
        <f t="shared" ref="AE1" si="18">AD1+1</f>
        <v>46183</v>
      </c>
      <c r="AF1" s="46">
        <f t="shared" ref="AF1" si="19">AE1+1</f>
        <v>46184</v>
      </c>
      <c r="AG1" s="46">
        <f t="shared" ref="AG1" si="20">AF1+1</f>
        <v>46185</v>
      </c>
      <c r="AH1" s="46">
        <f t="shared" ref="AH1" si="21">AG1+1</f>
        <v>46186</v>
      </c>
      <c r="AI1" s="46">
        <f t="shared" ref="AI1" si="22">AH1+1</f>
        <v>46187</v>
      </c>
      <c r="AJ1" s="46">
        <f t="shared" ref="AJ1" si="23">AI1+1</f>
        <v>46188</v>
      </c>
      <c r="AK1" s="46">
        <f t="shared" ref="AK1" si="24">AJ1+1</f>
        <v>46189</v>
      </c>
      <c r="AL1" s="46">
        <f t="shared" ref="AL1" si="25">AK1+1</f>
        <v>46190</v>
      </c>
      <c r="AM1" s="46">
        <f t="shared" ref="AM1" si="26">AL1+1</f>
        <v>46191</v>
      </c>
      <c r="AN1" s="46">
        <f t="shared" ref="AN1:AS1" si="27">AM1+1</f>
        <v>46192</v>
      </c>
      <c r="AO1" s="46">
        <f t="shared" si="27"/>
        <v>46193</v>
      </c>
      <c r="AP1" s="46">
        <f t="shared" si="27"/>
        <v>46194</v>
      </c>
      <c r="AQ1" s="46">
        <f t="shared" si="27"/>
        <v>46195</v>
      </c>
      <c r="AR1" s="46">
        <f t="shared" si="27"/>
        <v>46196</v>
      </c>
      <c r="AS1" s="46">
        <f t="shared" si="27"/>
        <v>46197</v>
      </c>
    </row>
    <row r="2" spans="1:45" s="84" customFormat="1" ht="11.25" x14ac:dyDescent="0.15">
      <c r="A2" s="45"/>
      <c r="B2" s="44">
        <f>SUM(C2:AO2)</f>
        <v>6139</v>
      </c>
      <c r="C2" s="43">
        <v>0</v>
      </c>
      <c r="D2" s="43">
        <v>0</v>
      </c>
      <c r="E2" s="43">
        <v>1169</v>
      </c>
      <c r="F2" s="43">
        <v>0</v>
      </c>
      <c r="G2" s="43">
        <v>0</v>
      </c>
      <c r="H2" s="43">
        <v>1925</v>
      </c>
      <c r="I2" s="43">
        <v>0</v>
      </c>
      <c r="J2" s="43">
        <v>0</v>
      </c>
      <c r="K2" s="43">
        <v>0</v>
      </c>
      <c r="L2" s="43">
        <v>1702</v>
      </c>
      <c r="M2" s="43">
        <f t="shared" ref="J2:AM2" si="28">SUM(M15,M27,M39,M51,M63,M75,M87,M99,M111,M123,M135,M147,M159,M171,M183,M195,M207,M219,M231,M245)</f>
        <v>0</v>
      </c>
      <c r="N2" s="43">
        <f t="shared" si="28"/>
        <v>0</v>
      </c>
      <c r="O2" s="43">
        <f t="shared" si="28"/>
        <v>1343</v>
      </c>
      <c r="P2" s="43">
        <f t="shared" si="28"/>
        <v>0</v>
      </c>
      <c r="Q2" s="43">
        <f t="shared" si="28"/>
        <v>0</v>
      </c>
      <c r="R2" s="43">
        <f t="shared" si="28"/>
        <v>0</v>
      </c>
      <c r="S2" s="43">
        <f t="shared" si="28"/>
        <v>0</v>
      </c>
      <c r="T2" s="43">
        <f t="shared" si="28"/>
        <v>0</v>
      </c>
      <c r="U2" s="43">
        <f t="shared" si="28"/>
        <v>0</v>
      </c>
      <c r="V2" s="43">
        <f t="shared" si="28"/>
        <v>0</v>
      </c>
      <c r="W2" s="43">
        <f t="shared" si="28"/>
        <v>0</v>
      </c>
      <c r="X2" s="43">
        <f t="shared" si="28"/>
        <v>0</v>
      </c>
      <c r="Y2" s="43">
        <f t="shared" si="28"/>
        <v>0</v>
      </c>
      <c r="Z2" s="43">
        <f t="shared" si="28"/>
        <v>0</v>
      </c>
      <c r="AA2" s="43">
        <f t="shared" si="28"/>
        <v>0</v>
      </c>
      <c r="AB2" s="43">
        <f t="shared" si="28"/>
        <v>0</v>
      </c>
      <c r="AC2" s="43">
        <f t="shared" si="28"/>
        <v>0</v>
      </c>
      <c r="AD2" s="43">
        <f t="shared" si="28"/>
        <v>0</v>
      </c>
      <c r="AE2" s="43">
        <f t="shared" si="28"/>
        <v>0</v>
      </c>
      <c r="AF2" s="43">
        <f t="shared" si="28"/>
        <v>0</v>
      </c>
      <c r="AG2" s="43">
        <f t="shared" si="28"/>
        <v>0</v>
      </c>
      <c r="AH2" s="43">
        <f t="shared" si="28"/>
        <v>0</v>
      </c>
      <c r="AI2" s="43">
        <f t="shared" si="28"/>
        <v>0</v>
      </c>
      <c r="AJ2" s="43">
        <f t="shared" si="28"/>
        <v>0</v>
      </c>
      <c r="AK2" s="43">
        <f t="shared" si="28"/>
        <v>0</v>
      </c>
      <c r="AL2" s="43">
        <f t="shared" si="28"/>
        <v>0</v>
      </c>
      <c r="AM2" s="43">
        <f t="shared" si="28"/>
        <v>0</v>
      </c>
      <c r="AN2" s="43">
        <f t="shared" ref="AN2:AS2" si="29">SUM(AN15,AN27,AN39,AN51,AN63,AN75,AN87,AN99,AN111,AN123,AN135,AN147,AN159,AN171,AN183,AN195,AN207,AN219,AN231,AN245)</f>
        <v>0</v>
      </c>
      <c r="AO2" s="43">
        <f t="shared" si="29"/>
        <v>0</v>
      </c>
      <c r="AP2" s="43">
        <f t="shared" si="29"/>
        <v>0</v>
      </c>
      <c r="AQ2" s="43">
        <f t="shared" si="29"/>
        <v>0</v>
      </c>
      <c r="AR2" s="43">
        <f t="shared" si="29"/>
        <v>0</v>
      </c>
      <c r="AS2" s="43">
        <f t="shared" si="29"/>
        <v>0</v>
      </c>
    </row>
    <row r="3" spans="1:45" s="388" customFormat="1" ht="11.25" x14ac:dyDescent="0.15">
      <c r="A3" s="385" t="s">
        <v>342</v>
      </c>
      <c r="B3" s="386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7"/>
      <c r="AJ3" s="387"/>
      <c r="AK3" s="387"/>
      <c r="AL3" s="387"/>
      <c r="AM3" s="387"/>
      <c r="AN3" s="387"/>
      <c r="AO3" s="387"/>
      <c r="AP3" s="387"/>
      <c r="AQ3" s="387"/>
      <c r="AR3" s="387"/>
      <c r="AS3" s="387"/>
    </row>
    <row r="4" spans="1:45" s="388" customFormat="1" ht="11.25" x14ac:dyDescent="0.15">
      <c r="A4" s="385" t="s">
        <v>343</v>
      </c>
      <c r="B4" s="386"/>
      <c r="C4" s="387"/>
      <c r="D4" s="387"/>
      <c r="E4" s="387"/>
      <c r="F4" s="387"/>
      <c r="G4" s="387"/>
      <c r="H4" s="387"/>
      <c r="I4" s="387"/>
      <c r="J4" s="387"/>
      <c r="K4" s="387"/>
      <c r="L4" s="387"/>
      <c r="M4" s="387"/>
      <c r="N4" s="387"/>
      <c r="O4" s="387"/>
      <c r="P4" s="387"/>
      <c r="Q4" s="387"/>
      <c r="R4" s="387"/>
      <c r="S4" s="387"/>
      <c r="T4" s="387"/>
      <c r="U4" s="387"/>
      <c r="V4" s="387"/>
      <c r="W4" s="387"/>
      <c r="X4" s="387"/>
      <c r="Y4" s="387"/>
      <c r="Z4" s="387"/>
      <c r="AA4" s="387"/>
      <c r="AB4" s="387"/>
      <c r="AC4" s="387"/>
      <c r="AD4" s="387"/>
      <c r="AE4" s="387"/>
      <c r="AF4" s="387"/>
      <c r="AG4" s="387"/>
      <c r="AH4" s="387"/>
      <c r="AI4" s="387"/>
      <c r="AJ4" s="387"/>
      <c r="AK4" s="387"/>
      <c r="AL4" s="387"/>
      <c r="AM4" s="387"/>
      <c r="AN4" s="387"/>
      <c r="AO4" s="387"/>
      <c r="AP4" s="387"/>
      <c r="AQ4" s="387"/>
      <c r="AR4" s="387"/>
      <c r="AS4" s="387"/>
    </row>
    <row r="5" spans="1:45" s="388" customFormat="1" ht="11.25" x14ac:dyDescent="0.15">
      <c r="A5" s="385" t="s">
        <v>344</v>
      </c>
      <c r="B5" s="386"/>
      <c r="C5" s="387"/>
      <c r="D5" s="387"/>
      <c r="E5" s="387">
        <v>1915</v>
      </c>
      <c r="F5" s="387"/>
      <c r="G5" s="387"/>
      <c r="H5" s="387">
        <v>3660</v>
      </c>
      <c r="I5" s="387"/>
      <c r="J5" s="387"/>
      <c r="K5" s="387"/>
      <c r="L5" s="387">
        <v>6505</v>
      </c>
      <c r="M5" s="387"/>
      <c r="N5" s="387"/>
      <c r="O5" s="387">
        <v>8165</v>
      </c>
      <c r="P5" s="387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  <c r="AK5" s="387"/>
      <c r="AL5" s="387"/>
      <c r="AM5" s="387"/>
      <c r="AN5" s="387"/>
      <c r="AO5" s="387"/>
      <c r="AP5" s="387"/>
      <c r="AQ5" s="387"/>
      <c r="AR5" s="387"/>
      <c r="AS5" s="387"/>
    </row>
    <row r="6" spans="1:45" s="388" customFormat="1" ht="11.25" x14ac:dyDescent="0.15">
      <c r="A6" s="385" t="s">
        <v>345</v>
      </c>
      <c r="B6" s="386"/>
      <c r="C6" s="387"/>
      <c r="D6" s="387"/>
      <c r="E6" s="387">
        <v>144</v>
      </c>
      <c r="F6" s="387"/>
      <c r="G6" s="387"/>
      <c r="H6" s="387">
        <v>272</v>
      </c>
      <c r="I6" s="387"/>
      <c r="J6" s="387"/>
      <c r="K6" s="387"/>
      <c r="L6" s="387">
        <v>499</v>
      </c>
      <c r="M6" s="387"/>
      <c r="N6" s="387"/>
      <c r="O6" s="387">
        <v>626</v>
      </c>
      <c r="P6" s="387"/>
      <c r="Q6" s="387"/>
      <c r="R6" s="387"/>
      <c r="S6" s="387"/>
      <c r="T6" s="387"/>
      <c r="U6" s="387"/>
      <c r="V6" s="387"/>
      <c r="W6" s="387"/>
      <c r="X6" s="387"/>
      <c r="Y6" s="387"/>
      <c r="Z6" s="387"/>
      <c r="AA6" s="387"/>
      <c r="AB6" s="387"/>
      <c r="AC6" s="387"/>
      <c r="AD6" s="387"/>
      <c r="AE6" s="387"/>
      <c r="AF6" s="387"/>
      <c r="AG6" s="387"/>
      <c r="AH6" s="387"/>
      <c r="AI6" s="387"/>
      <c r="AJ6" s="387"/>
      <c r="AK6" s="387"/>
      <c r="AL6" s="387"/>
      <c r="AM6" s="387"/>
      <c r="AN6" s="387"/>
      <c r="AO6" s="387"/>
      <c r="AP6" s="387"/>
      <c r="AQ6" s="387"/>
      <c r="AR6" s="387"/>
      <c r="AS6" s="387"/>
    </row>
    <row r="7" spans="1:45" s="388" customFormat="1" ht="12" thickBot="1" x14ac:dyDescent="0.2">
      <c r="A7" s="385" t="s">
        <v>346</v>
      </c>
      <c r="B7" s="386"/>
      <c r="C7" s="387"/>
      <c r="D7" s="387"/>
      <c r="E7" s="387">
        <v>95</v>
      </c>
      <c r="F7" s="387"/>
      <c r="G7" s="387"/>
      <c r="H7" s="387">
        <v>188</v>
      </c>
      <c r="I7" s="387"/>
      <c r="J7" s="387"/>
      <c r="K7" s="387"/>
      <c r="L7" s="387">
        <v>303</v>
      </c>
      <c r="M7" s="387"/>
      <c r="N7" s="387"/>
      <c r="O7" s="387">
        <v>381</v>
      </c>
      <c r="P7" s="387"/>
      <c r="Q7" s="387"/>
      <c r="R7" s="387"/>
      <c r="S7" s="387"/>
      <c r="T7" s="387"/>
      <c r="U7" s="387"/>
      <c r="V7" s="387"/>
      <c r="W7" s="387"/>
      <c r="X7" s="387"/>
      <c r="Y7" s="387"/>
      <c r="Z7" s="387"/>
      <c r="AA7" s="387"/>
      <c r="AB7" s="387"/>
      <c r="AC7" s="387"/>
      <c r="AD7" s="387"/>
      <c r="AE7" s="387"/>
      <c r="AF7" s="387"/>
      <c r="AG7" s="387"/>
      <c r="AH7" s="387"/>
      <c r="AI7" s="387"/>
      <c r="AJ7" s="387"/>
      <c r="AK7" s="387"/>
      <c r="AL7" s="387"/>
      <c r="AM7" s="387"/>
      <c r="AN7" s="387"/>
      <c r="AO7" s="387"/>
      <c r="AP7" s="387"/>
      <c r="AQ7" s="387"/>
      <c r="AR7" s="387"/>
      <c r="AS7" s="387"/>
    </row>
    <row r="8" spans="1:45" s="84" customFormat="1" ht="11.25" x14ac:dyDescent="0.15">
      <c r="A8" s="22" t="s">
        <v>83</v>
      </c>
      <c r="B8" s="21" t="s">
        <v>2</v>
      </c>
      <c r="C8" s="20">
        <v>36383</v>
      </c>
      <c r="D8" s="20">
        <v>36383</v>
      </c>
      <c r="E8" s="20">
        <v>36430</v>
      </c>
      <c r="F8" s="20">
        <v>36430</v>
      </c>
      <c r="G8" s="20">
        <v>36430</v>
      </c>
      <c r="H8" s="20">
        <v>36517</v>
      </c>
      <c r="I8" s="20">
        <v>36517</v>
      </c>
      <c r="J8" s="20">
        <v>36517</v>
      </c>
      <c r="K8" s="20">
        <v>36517</v>
      </c>
      <c r="L8" s="20">
        <v>36663</v>
      </c>
      <c r="M8" s="20">
        <v>36663</v>
      </c>
      <c r="N8" s="20">
        <v>36663</v>
      </c>
      <c r="O8" s="20">
        <v>36770</v>
      </c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</row>
    <row r="9" spans="1:45" s="84" customFormat="1" ht="11.25" x14ac:dyDescent="0.15">
      <c r="A9" s="16" t="s">
        <v>3</v>
      </c>
      <c r="B9" s="9" t="s">
        <v>4</v>
      </c>
      <c r="C9" s="8">
        <v>691</v>
      </c>
      <c r="D9" s="8">
        <v>691</v>
      </c>
      <c r="E9" s="8">
        <v>692</v>
      </c>
      <c r="F9" s="8">
        <v>692</v>
      </c>
      <c r="G9" s="8">
        <v>692</v>
      </c>
      <c r="H9" s="8">
        <v>694</v>
      </c>
      <c r="I9" s="8">
        <v>694</v>
      </c>
      <c r="J9" s="8">
        <v>694</v>
      </c>
      <c r="K9" s="8">
        <v>694</v>
      </c>
      <c r="L9" s="8">
        <v>697</v>
      </c>
      <c r="M9" s="8">
        <f t="shared" ref="M9" si="30">IF(M$8="","",L9)</f>
        <v>697</v>
      </c>
      <c r="N9" s="8">
        <f t="shared" ref="N9" si="31">IF(N$8="","",M9)</f>
        <v>697</v>
      </c>
      <c r="O9" s="8">
        <v>699</v>
      </c>
      <c r="P9" s="8" t="str">
        <f>IF(P$8="","",O9)</f>
        <v/>
      </c>
      <c r="Q9" s="8" t="str">
        <f t="shared" ref="Q9" si="32">IF(Q$8="","",P9)</f>
        <v/>
      </c>
      <c r="R9" s="8" t="str">
        <f t="shared" ref="R9" si="33">IF(R$8="","",Q9)</f>
        <v/>
      </c>
      <c r="S9" s="8" t="str">
        <f>IF(S$8="","",R9)</f>
        <v/>
      </c>
      <c r="T9" s="8" t="str">
        <f t="shared" ref="T9" si="34">IF(T$8="","",S9)</f>
        <v/>
      </c>
      <c r="U9" s="8" t="str">
        <f t="shared" ref="U9" si="35">IF(U$8="","",T9)</f>
        <v/>
      </c>
      <c r="V9" s="8" t="str">
        <f>IF(V$8="","",U9)</f>
        <v/>
      </c>
      <c r="W9" s="8" t="str">
        <f t="shared" ref="W9" si="36">IF(W$8="","",V9)</f>
        <v/>
      </c>
      <c r="X9" s="8" t="str">
        <f t="shared" ref="X9" si="37">IF(X$8="","",W9)</f>
        <v/>
      </c>
      <c r="Y9" s="8" t="str">
        <f t="shared" ref="Y9" si="38">IF(Y$8="","",X9)</f>
        <v/>
      </c>
      <c r="Z9" s="8" t="str">
        <f>IF(Z$8="","",Y9)</f>
        <v/>
      </c>
      <c r="AA9" s="8" t="str">
        <f t="shared" ref="AA9" si="39">IF(AA$8="","",Z9)</f>
        <v/>
      </c>
      <c r="AB9" s="8" t="str">
        <f t="shared" ref="AB9" si="40">IF(AB$8="","",AA9)</f>
        <v/>
      </c>
      <c r="AC9" s="8" t="str">
        <f t="shared" ref="AC9" si="41">IF(AC$8="","",AB9)</f>
        <v/>
      </c>
      <c r="AD9" s="8" t="str">
        <f>IF(AD$8="","",AC9)</f>
        <v/>
      </c>
      <c r="AE9" s="8" t="str">
        <f t="shared" ref="AE9" si="42">IF(AE$8="","",AD9)</f>
        <v/>
      </c>
      <c r="AF9" s="8" t="str">
        <f t="shared" ref="AF9" si="43">IF(AF$8="","",AE9)</f>
        <v/>
      </c>
      <c r="AG9" s="8" t="str">
        <f>IF(AG$8="","",AF9)</f>
        <v/>
      </c>
      <c r="AH9" s="8" t="str">
        <f t="shared" ref="AH9" si="44">IF(AH$8="","",AG9)</f>
        <v/>
      </c>
      <c r="AI9" s="8" t="str">
        <f t="shared" ref="AI9" si="45">IF(AI$8="","",AH9)</f>
        <v/>
      </c>
      <c r="AJ9" s="8" t="str">
        <f>IF(AJ$8="","",AI9)</f>
        <v/>
      </c>
      <c r="AK9" s="8" t="str">
        <f t="shared" ref="AK9" si="46">IF(AK$8="","",AJ9)</f>
        <v/>
      </c>
      <c r="AL9" s="8" t="str">
        <f t="shared" ref="AL9" si="47">IF(AL$8="","",AK9)</f>
        <v/>
      </c>
      <c r="AM9" s="8" t="str">
        <f t="shared" ref="AM9" si="48">IF(AM$8="","",AL9)</f>
        <v/>
      </c>
      <c r="AN9" s="8" t="str">
        <f>IF(AN$8="","",AM9)</f>
        <v/>
      </c>
      <c r="AO9" s="8" t="str">
        <f t="shared" ref="AN9:AS9" si="49">IF(AO$8="","",AN9)</f>
        <v/>
      </c>
      <c r="AP9" s="8" t="str">
        <f t="shared" si="49"/>
        <v/>
      </c>
      <c r="AQ9" s="8" t="str">
        <f t="shared" si="49"/>
        <v/>
      </c>
      <c r="AR9" s="8" t="str">
        <f t="shared" si="49"/>
        <v/>
      </c>
      <c r="AS9" s="8" t="str">
        <f t="shared" si="49"/>
        <v/>
      </c>
    </row>
    <row r="10" spans="1:45" s="84" customFormat="1" ht="11.25" x14ac:dyDescent="0.15">
      <c r="A10" s="15">
        <v>1</v>
      </c>
      <c r="B10" s="9" t="s">
        <v>5</v>
      </c>
      <c r="C10" s="8">
        <v>6</v>
      </c>
      <c r="D10" s="8">
        <v>6</v>
      </c>
      <c r="E10" s="8">
        <v>5</v>
      </c>
      <c r="F10" s="8">
        <v>9</v>
      </c>
      <c r="G10" s="8">
        <v>9</v>
      </c>
      <c r="H10" s="8">
        <v>8</v>
      </c>
      <c r="I10" s="8">
        <v>8</v>
      </c>
      <c r="J10" s="8">
        <v>8</v>
      </c>
      <c r="K10" s="8">
        <v>8</v>
      </c>
      <c r="L10" s="8">
        <v>5</v>
      </c>
      <c r="M10" s="8">
        <f t="shared" ref="M10" si="50">IF(M8="","",(L10+L11))</f>
        <v>5</v>
      </c>
      <c r="N10" s="8">
        <f t="shared" ref="N10" si="51">IF(N8="","",(M10+M11))</f>
        <v>5</v>
      </c>
      <c r="O10" s="8">
        <v>6</v>
      </c>
      <c r="P10" s="8" t="str">
        <f>IF(P8="","",(O10+O11))</f>
        <v/>
      </c>
      <c r="Q10" s="8" t="str">
        <f t="shared" ref="Q10" si="52">IF(Q8="","",(P10+P11))</f>
        <v/>
      </c>
      <c r="R10" s="8" t="str">
        <f t="shared" ref="R10" si="53">IF(R8="","",(Q10+Q11))</f>
        <v/>
      </c>
      <c r="S10" s="8" t="str">
        <f>IF(S8="","",(R10+R11))</f>
        <v/>
      </c>
      <c r="T10" s="8" t="str">
        <f t="shared" ref="T10" si="54">IF(T8="","",(S10+S11))</f>
        <v/>
      </c>
      <c r="U10" s="8" t="str">
        <f t="shared" ref="U10" si="55">IF(U8="","",(T10+T11))</f>
        <v/>
      </c>
      <c r="V10" s="8" t="str">
        <f>IF(V8="","",(U10+U11))</f>
        <v/>
      </c>
      <c r="W10" s="8" t="str">
        <f t="shared" ref="W10" si="56">IF(W8="","",(V10+V11))</f>
        <v/>
      </c>
      <c r="X10" s="8" t="str">
        <f t="shared" ref="X10" si="57">IF(X8="","",(W10+W11))</f>
        <v/>
      </c>
      <c r="Y10" s="8" t="str">
        <f t="shared" ref="Y10" si="58">IF(Y8="","",(X10+X11))</f>
        <v/>
      </c>
      <c r="Z10" s="8" t="str">
        <f>IF(Z8="","",(Y10+Y11))</f>
        <v/>
      </c>
      <c r="AA10" s="8" t="str">
        <f t="shared" ref="AA10" si="59">IF(AA8="","",(Z10+Z11))</f>
        <v/>
      </c>
      <c r="AB10" s="8" t="str">
        <f t="shared" ref="AB10" si="60">IF(AB8="","",(AA10+AA11))</f>
        <v/>
      </c>
      <c r="AC10" s="8" t="str">
        <f t="shared" ref="AC10" si="61">IF(AC8="","",(AB10+AB11))</f>
        <v/>
      </c>
      <c r="AD10" s="8" t="str">
        <f>IF(AD8="","",(AC10+AC11))</f>
        <v/>
      </c>
      <c r="AE10" s="8" t="str">
        <f t="shared" ref="AE10" si="62">IF(AE8="","",(AD10+AD11))</f>
        <v/>
      </c>
      <c r="AF10" s="8" t="str">
        <f t="shared" ref="AF10" si="63">IF(AF8="","",(AE10+AE11))</f>
        <v/>
      </c>
      <c r="AG10" s="8" t="str">
        <f>IF(AG8="","",(AF10+AF11))</f>
        <v/>
      </c>
      <c r="AH10" s="8" t="str">
        <f t="shared" ref="AH10" si="64">IF(AH8="","",(AG10+AG11))</f>
        <v/>
      </c>
      <c r="AI10" s="8" t="str">
        <f t="shared" ref="AI10" si="65">IF(AI8="","",(AH10+AH11))</f>
        <v/>
      </c>
      <c r="AJ10" s="8" t="str">
        <f>IF(AJ8="","",(AI10+AI11))</f>
        <v/>
      </c>
      <c r="AK10" s="8" t="str">
        <f t="shared" ref="AK10" si="66">IF(AK8="","",(AJ10+AJ11))</f>
        <v/>
      </c>
      <c r="AL10" s="8" t="str">
        <f t="shared" ref="AL10" si="67">IF(AL8="","",(AK10+AK11))</f>
        <v/>
      </c>
      <c r="AM10" s="8" t="str">
        <f t="shared" ref="AM10" si="68">IF(AM8="","",(AL10+AL11))</f>
        <v/>
      </c>
      <c r="AN10" s="8" t="str">
        <f>IF(AN8="","",(AM10+AM11))</f>
        <v/>
      </c>
      <c r="AO10" s="8" t="str">
        <f t="shared" ref="AN10:AS10" si="69">IF(AO8="","",(AN10+AN11))</f>
        <v/>
      </c>
      <c r="AP10" s="8" t="str">
        <f t="shared" si="69"/>
        <v/>
      </c>
      <c r="AQ10" s="8" t="str">
        <f t="shared" si="69"/>
        <v/>
      </c>
      <c r="AR10" s="8" t="str">
        <f t="shared" si="69"/>
        <v/>
      </c>
      <c r="AS10" s="8" t="str">
        <f t="shared" si="69"/>
        <v/>
      </c>
    </row>
    <row r="11" spans="1:45" s="84" customFormat="1" ht="11.25" x14ac:dyDescent="0.15">
      <c r="A11" s="92" t="s">
        <v>6</v>
      </c>
      <c r="B11" s="9" t="s">
        <v>7</v>
      </c>
      <c r="C11" s="8"/>
      <c r="D11" s="8"/>
      <c r="E11" s="8">
        <v>4</v>
      </c>
      <c r="F11" s="8"/>
      <c r="G11" s="8"/>
      <c r="H11" s="8"/>
      <c r="I11" s="8"/>
      <c r="J11" s="8"/>
      <c r="K11" s="8"/>
      <c r="L11" s="8"/>
      <c r="M11" s="8"/>
      <c r="N11" s="8">
        <v>3</v>
      </c>
      <c r="O11" s="8">
        <v>5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</row>
    <row r="12" spans="1:45" s="84" customFormat="1" ht="11.25" x14ac:dyDescent="0.15">
      <c r="A12" s="93">
        <f>+(A15+A27+A39+A51)*100</f>
        <v>119400</v>
      </c>
      <c r="B12" s="9" t="s">
        <v>8</v>
      </c>
      <c r="C12" s="8">
        <v>800</v>
      </c>
      <c r="D12" s="8">
        <v>800</v>
      </c>
      <c r="E12" s="8">
        <v>800</v>
      </c>
      <c r="F12" s="8">
        <v>800</v>
      </c>
      <c r="G12" s="8">
        <v>800</v>
      </c>
      <c r="H12" s="8">
        <v>800</v>
      </c>
      <c r="I12" s="8">
        <v>800</v>
      </c>
      <c r="J12" s="8">
        <v>800</v>
      </c>
      <c r="K12" s="8">
        <v>800</v>
      </c>
      <c r="L12" s="8">
        <v>800</v>
      </c>
      <c r="M12" s="8">
        <f t="shared" ref="M12" si="70">IF(M8="","",L12)</f>
        <v>800</v>
      </c>
      <c r="N12" s="8">
        <f t="shared" ref="N12" si="71">IF(N8="","",M12)</f>
        <v>800</v>
      </c>
      <c r="O12" s="8">
        <f t="shared" ref="O12" si="72">IF(O8="","",N12)</f>
        <v>800</v>
      </c>
      <c r="P12" s="8" t="str">
        <f t="shared" ref="P12" si="73">IF(P8="","",O12)</f>
        <v/>
      </c>
      <c r="Q12" s="8" t="str">
        <f t="shared" ref="Q12" si="74">IF(Q8="","",P12)</f>
        <v/>
      </c>
      <c r="R12" s="8" t="str">
        <f t="shared" ref="R12" si="75">IF(R8="","",Q12)</f>
        <v/>
      </c>
      <c r="S12" s="8" t="str">
        <f t="shared" ref="S12" si="76">IF(S8="","",R12)</f>
        <v/>
      </c>
      <c r="T12" s="8" t="str">
        <f t="shared" ref="T12" si="77">IF(T8="","",S12)</f>
        <v/>
      </c>
      <c r="U12" s="8" t="str">
        <f t="shared" ref="U12" si="78">IF(U8="","",T12)</f>
        <v/>
      </c>
      <c r="V12" s="8" t="str">
        <f t="shared" ref="V12" si="79">IF(V8="","",U12)</f>
        <v/>
      </c>
      <c r="W12" s="8" t="str">
        <f t="shared" ref="W12" si="80">IF(W8="","",V12)</f>
        <v/>
      </c>
      <c r="X12" s="8" t="str">
        <f t="shared" ref="X12" si="81">IF(X8="","",W12)</f>
        <v/>
      </c>
      <c r="Y12" s="8" t="str">
        <f t="shared" ref="Y12" si="82">IF(Y8="","",X12)</f>
        <v/>
      </c>
      <c r="Z12" s="8" t="str">
        <f t="shared" ref="Z12" si="83">IF(Z8="","",Y12)</f>
        <v/>
      </c>
      <c r="AA12" s="8" t="str">
        <f t="shared" ref="AA12" si="84">IF(AA8="","",Z12)</f>
        <v/>
      </c>
      <c r="AB12" s="8" t="str">
        <f t="shared" ref="AB12" si="85">IF(AB8="","",AA12)</f>
        <v/>
      </c>
      <c r="AC12" s="8" t="str">
        <f t="shared" ref="AC12" si="86">IF(AC8="","",AB12)</f>
        <v/>
      </c>
      <c r="AD12" s="8" t="str">
        <f t="shared" ref="AD12" si="87">IF(AD8="","",AC12)</f>
        <v/>
      </c>
      <c r="AE12" s="8" t="str">
        <f t="shared" ref="AE12" si="88">IF(AE8="","",AD12)</f>
        <v/>
      </c>
      <c r="AF12" s="8" t="str">
        <f t="shared" ref="AF12" si="89">IF(AF8="","",AE12)</f>
        <v/>
      </c>
      <c r="AG12" s="8" t="str">
        <f t="shared" ref="AG12" si="90">IF(AG8="","",AF12)</f>
        <v/>
      </c>
      <c r="AH12" s="8" t="str">
        <f t="shared" ref="AH12" si="91">IF(AH8="","",AG12)</f>
        <v/>
      </c>
      <c r="AI12" s="8" t="str">
        <f t="shared" ref="AI12" si="92">IF(AI8="","",AH12)</f>
        <v/>
      </c>
      <c r="AJ12" s="8" t="str">
        <f t="shared" ref="AJ12" si="93">IF(AJ8="","",AI12)</f>
        <v/>
      </c>
      <c r="AK12" s="8" t="str">
        <f t="shared" ref="AK12" si="94">IF(AK8="","",AJ12)</f>
        <v/>
      </c>
      <c r="AL12" s="8" t="str">
        <f t="shared" ref="AL12" si="95">IF(AL8="","",AK12)</f>
        <v/>
      </c>
      <c r="AM12" s="8" t="str">
        <f t="shared" ref="AM12" si="96">IF(AM8="","",AL12)</f>
        <v/>
      </c>
      <c r="AN12" s="8" t="str">
        <f t="shared" ref="AN12:AS12" si="97">IF(AN8="","",AM12)</f>
        <v/>
      </c>
      <c r="AO12" s="8" t="str">
        <f t="shared" si="97"/>
        <v/>
      </c>
      <c r="AP12" s="8" t="str">
        <f t="shared" si="97"/>
        <v/>
      </c>
      <c r="AQ12" s="8" t="str">
        <f t="shared" si="97"/>
        <v/>
      </c>
      <c r="AR12" s="8" t="str">
        <f t="shared" si="97"/>
        <v/>
      </c>
      <c r="AS12" s="8" t="str">
        <f t="shared" si="97"/>
        <v/>
      </c>
    </row>
    <row r="13" spans="1:45" s="85" customFormat="1" ht="11.25" x14ac:dyDescent="0.15">
      <c r="A13" s="14" t="s">
        <v>9</v>
      </c>
      <c r="B13" s="13" t="s">
        <v>10</v>
      </c>
      <c r="C13" s="12" t="s">
        <v>357</v>
      </c>
      <c r="D13" s="12" t="s">
        <v>357</v>
      </c>
      <c r="E13" s="12" t="s">
        <v>357</v>
      </c>
      <c r="F13" s="12" t="s">
        <v>357</v>
      </c>
      <c r="G13" s="12" t="s">
        <v>357</v>
      </c>
      <c r="H13" s="12" t="s">
        <v>357</v>
      </c>
      <c r="I13" s="12" t="s">
        <v>357</v>
      </c>
      <c r="J13" s="12" t="s">
        <v>357</v>
      </c>
      <c r="K13" s="12" t="s">
        <v>357</v>
      </c>
      <c r="L13" s="12" t="s">
        <v>357</v>
      </c>
      <c r="M13" s="12" t="str">
        <f t="shared" ref="M13" si="98">IF(M8="","",L13)</f>
        <v>たまごっちミニポシェット</v>
      </c>
      <c r="N13" s="12" t="str">
        <f t="shared" ref="N13" si="99">IF(N8="","",M13)</f>
        <v>たまごっちミニポシェット</v>
      </c>
      <c r="O13" s="12" t="str">
        <f t="shared" ref="O13" si="100">IF(O8="","",N13)</f>
        <v>たまごっちミニポシェット</v>
      </c>
      <c r="P13" s="12" t="str">
        <f t="shared" ref="P13" si="101">IF(P8="","",O13)</f>
        <v/>
      </c>
      <c r="Q13" s="12" t="str">
        <f t="shared" ref="Q13" si="102">IF(Q8="","",P13)</f>
        <v/>
      </c>
      <c r="R13" s="12" t="str">
        <f t="shared" ref="R13" si="103">IF(R8="","",Q13)</f>
        <v/>
      </c>
      <c r="S13" s="12" t="str">
        <f>IF(S8="","",R13)</f>
        <v/>
      </c>
      <c r="T13" s="12" t="str">
        <f t="shared" ref="T13" si="104">IF(T8="","",S13)</f>
        <v/>
      </c>
      <c r="U13" s="12" t="str">
        <f t="shared" ref="U13" si="105">IF(U8="","",T13)</f>
        <v/>
      </c>
      <c r="V13" s="12" t="str">
        <f t="shared" ref="V13" si="106">IF(V8="","",U13)</f>
        <v/>
      </c>
      <c r="W13" s="12" t="str">
        <f t="shared" ref="W13" si="107">IF(W8="","",V13)</f>
        <v/>
      </c>
      <c r="X13" s="12" t="str">
        <f t="shared" ref="X13" si="108">IF(X8="","",W13)</f>
        <v/>
      </c>
      <c r="Y13" s="12" t="str">
        <f t="shared" ref="Y13" si="109">IF(Y8="","",X13)</f>
        <v/>
      </c>
      <c r="Z13" s="12" t="str">
        <f t="shared" ref="Z13" si="110">IF(Z8="","",Y13)</f>
        <v/>
      </c>
      <c r="AA13" s="12" t="str">
        <f t="shared" ref="AA13" si="111">IF(AA8="","",Z13)</f>
        <v/>
      </c>
      <c r="AB13" s="12" t="str">
        <f t="shared" ref="AB13" si="112">IF(AB8="","",AA13)</f>
        <v/>
      </c>
      <c r="AC13" s="12" t="str">
        <f t="shared" ref="AC13" si="113">IF(AC8="","",AB13)</f>
        <v/>
      </c>
      <c r="AD13" s="12" t="str">
        <f t="shared" ref="AD13" si="114">IF(AD8="","",AC13)</f>
        <v/>
      </c>
      <c r="AE13" s="12" t="str">
        <f t="shared" ref="AE13" si="115">IF(AE8="","",AD13)</f>
        <v/>
      </c>
      <c r="AF13" s="12" t="str">
        <f t="shared" ref="AF13" si="116">IF(AF8="","",AE13)</f>
        <v/>
      </c>
      <c r="AG13" s="12" t="str">
        <f t="shared" ref="AG13" si="117">IF(AG8="","",AF13)</f>
        <v/>
      </c>
      <c r="AH13" s="12" t="str">
        <f t="shared" ref="AH13" si="118">IF(AH8="","",AG13)</f>
        <v/>
      </c>
      <c r="AI13" s="12" t="str">
        <f t="shared" ref="AI13" si="119">IF(AI8="","",AH13)</f>
        <v/>
      </c>
      <c r="AJ13" s="12" t="str">
        <f t="shared" ref="AJ13" si="120">IF(AJ8="","",AI13)</f>
        <v/>
      </c>
      <c r="AK13" s="12" t="str">
        <f t="shared" ref="AK13" si="121">IF(AK8="","",AJ13)</f>
        <v/>
      </c>
      <c r="AL13" s="12" t="str">
        <f t="shared" ref="AL13" si="122">IF(AL8="","",AK13)</f>
        <v/>
      </c>
      <c r="AM13" s="12" t="str">
        <f t="shared" ref="AM13" si="123">IF(AM8="","",AL13)</f>
        <v/>
      </c>
      <c r="AN13" s="12" t="str">
        <f t="shared" ref="AN13:AS13" si="124">IF(AN8="","",AM13)</f>
        <v/>
      </c>
      <c r="AO13" s="12" t="str">
        <f t="shared" si="124"/>
        <v/>
      </c>
      <c r="AP13" s="12" t="str">
        <f t="shared" si="124"/>
        <v/>
      </c>
      <c r="AQ13" s="12" t="str">
        <f t="shared" si="124"/>
        <v/>
      </c>
      <c r="AR13" s="12" t="str">
        <f t="shared" si="124"/>
        <v/>
      </c>
      <c r="AS13" s="12" t="str">
        <f t="shared" si="124"/>
        <v/>
      </c>
    </row>
    <row r="14" spans="1:45" s="84" customFormat="1" ht="11.25" x14ac:dyDescent="0.15">
      <c r="A14" s="7">
        <f>AVERAGE(C15:AS15)*30*100</f>
        <v>89307.692307692312</v>
      </c>
      <c r="B14" s="9" t="s">
        <v>12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</row>
    <row r="15" spans="1:45" s="84" customFormat="1" ht="11.25" x14ac:dyDescent="0.15">
      <c r="A15" s="7">
        <f>SUM(C15:AS15)</f>
        <v>387</v>
      </c>
      <c r="B15" s="6" t="s">
        <v>13</v>
      </c>
      <c r="C15" s="5">
        <v>0</v>
      </c>
      <c r="D15" s="5">
        <v>0</v>
      </c>
      <c r="E15" s="5">
        <v>47</v>
      </c>
      <c r="F15" s="5">
        <v>0</v>
      </c>
      <c r="G15" s="5">
        <v>0</v>
      </c>
      <c r="H15" s="5">
        <v>87</v>
      </c>
      <c r="I15" s="5">
        <v>0</v>
      </c>
      <c r="J15" s="5">
        <v>0</v>
      </c>
      <c r="K15" s="5">
        <v>0</v>
      </c>
      <c r="L15" s="5">
        <v>146</v>
      </c>
      <c r="M15" s="5">
        <f t="shared" ref="M15:M16" si="125">IF(M8="","",M8-L8)</f>
        <v>0</v>
      </c>
      <c r="N15" s="5">
        <f t="shared" ref="N15:N16" si="126">IF(N8="","",N8-M8)</f>
        <v>0</v>
      </c>
      <c r="O15" s="5">
        <f t="shared" ref="O15:O16" si="127">IF(O8="","",O8-N8)</f>
        <v>107</v>
      </c>
      <c r="P15" s="5" t="str">
        <f t="shared" ref="P15:P16" si="128">IF(P8="","",P8-O8)</f>
        <v/>
      </c>
      <c r="Q15" s="5" t="str">
        <f t="shared" ref="Q15:Q16" si="129">IF(Q8="","",Q8-P8)</f>
        <v/>
      </c>
      <c r="R15" s="5" t="str">
        <f t="shared" ref="R15:R16" si="130">IF(R8="","",R8-Q8)</f>
        <v/>
      </c>
      <c r="S15" s="5" t="str">
        <f t="shared" ref="S15:S16" si="131">IF(S8="","",S8-R8)</f>
        <v/>
      </c>
      <c r="T15" s="5" t="str">
        <f t="shared" ref="T15:T16" si="132">IF(T8="","",T8-S8)</f>
        <v/>
      </c>
      <c r="U15" s="5" t="str">
        <f t="shared" ref="U15:U16" si="133">IF(U8="","",U8-T8)</f>
        <v/>
      </c>
      <c r="V15" s="5" t="str">
        <f t="shared" ref="V15:V16" si="134">IF(V8="","",V8-U8)</f>
        <v/>
      </c>
      <c r="W15" s="5" t="str">
        <f t="shared" ref="W15:W16" si="135">IF(W8="","",W8-V8)</f>
        <v/>
      </c>
      <c r="X15" s="5" t="str">
        <f t="shared" ref="X15:X16" si="136">IF(X8="","",X8-W8)</f>
        <v/>
      </c>
      <c r="Y15" s="5" t="str">
        <f t="shared" ref="Y15:Y16" si="137">IF(Y8="","",Y8-X8)</f>
        <v/>
      </c>
      <c r="Z15" s="5" t="str">
        <f t="shared" ref="Z15:Z16" si="138">IF(Z8="","",Z8-Y8)</f>
        <v/>
      </c>
      <c r="AA15" s="5" t="str">
        <f t="shared" ref="AA15:AA16" si="139">IF(AA8="","",AA8-Z8)</f>
        <v/>
      </c>
      <c r="AB15" s="5" t="str">
        <f t="shared" ref="AB15:AB16" si="140">IF(AB8="","",AB8-AA8)</f>
        <v/>
      </c>
      <c r="AC15" s="5" t="str">
        <f t="shared" ref="AC15:AC16" si="141">IF(AC8="","",AC8-AB8)</f>
        <v/>
      </c>
      <c r="AD15" s="5" t="str">
        <f t="shared" ref="AD15:AD16" si="142">IF(AD8="","",AD8-AC8)</f>
        <v/>
      </c>
      <c r="AE15" s="5" t="str">
        <f t="shared" ref="AE15:AE16" si="143">IF(AE8="","",AE8-AD8)</f>
        <v/>
      </c>
      <c r="AF15" s="5" t="str">
        <f t="shared" ref="AF15:AF16" si="144">IF(AF8="","",AF8-AE8)</f>
        <v/>
      </c>
      <c r="AG15" s="5" t="str">
        <f t="shared" ref="AG15:AG16" si="145">IF(AG8="","",AG8-AF8)</f>
        <v/>
      </c>
      <c r="AH15" s="5" t="str">
        <f t="shared" ref="AH15:AH16" si="146">IF(AH8="","",AH8-AG8)</f>
        <v/>
      </c>
      <c r="AI15" s="5" t="str">
        <f t="shared" ref="AI15:AI16" si="147">IF(AI8="","",AI8-AH8)</f>
        <v/>
      </c>
      <c r="AJ15" s="5" t="str">
        <f t="shared" ref="AJ15:AJ16" si="148">IF(AJ8="","",AJ8-AI8)</f>
        <v/>
      </c>
      <c r="AK15" s="5" t="str">
        <f t="shared" ref="AK15:AK16" si="149">IF(AK8="","",AK8-AJ8)</f>
        <v/>
      </c>
      <c r="AL15" s="5" t="str">
        <f t="shared" ref="AL15:AL16" si="150">IF(AL8="","",AL8-AK8)</f>
        <v/>
      </c>
      <c r="AM15" s="5" t="str">
        <f t="shared" ref="AM15:AM16" si="151">IF(AM8="","",AM8-AL8)</f>
        <v/>
      </c>
      <c r="AN15" s="5" t="str">
        <f t="shared" ref="AN15:AS15" si="152">IF(AN8="","",AN8-AM8)</f>
        <v/>
      </c>
      <c r="AO15" s="5" t="str">
        <f t="shared" si="152"/>
        <v/>
      </c>
      <c r="AP15" s="5" t="str">
        <f t="shared" si="152"/>
        <v/>
      </c>
      <c r="AQ15" s="5" t="str">
        <f t="shared" si="152"/>
        <v/>
      </c>
      <c r="AR15" s="5" t="str">
        <f t="shared" si="152"/>
        <v/>
      </c>
      <c r="AS15" s="5" t="str">
        <f t="shared" si="152"/>
        <v/>
      </c>
    </row>
    <row r="16" spans="1:45" s="84" customFormat="1" ht="11.25" x14ac:dyDescent="0.15">
      <c r="A16" s="7">
        <f>SUM(C16:AS16)</f>
        <v>8</v>
      </c>
      <c r="B16" s="6" t="s">
        <v>14</v>
      </c>
      <c r="C16" s="5">
        <v>0</v>
      </c>
      <c r="D16" s="5">
        <v>0</v>
      </c>
      <c r="E16" s="5">
        <v>1</v>
      </c>
      <c r="F16" s="5">
        <v>0</v>
      </c>
      <c r="G16" s="5">
        <v>0</v>
      </c>
      <c r="H16" s="5">
        <v>2</v>
      </c>
      <c r="I16" s="5">
        <v>0</v>
      </c>
      <c r="J16" s="5">
        <v>0</v>
      </c>
      <c r="K16" s="5">
        <v>0</v>
      </c>
      <c r="L16" s="5">
        <v>3</v>
      </c>
      <c r="M16" s="5">
        <f t="shared" si="125"/>
        <v>0</v>
      </c>
      <c r="N16" s="5">
        <f t="shared" si="126"/>
        <v>0</v>
      </c>
      <c r="O16" s="5">
        <f t="shared" si="127"/>
        <v>2</v>
      </c>
      <c r="P16" s="5" t="str">
        <f t="shared" si="128"/>
        <v/>
      </c>
      <c r="Q16" s="5" t="str">
        <f t="shared" si="129"/>
        <v/>
      </c>
      <c r="R16" s="5" t="str">
        <f t="shared" si="130"/>
        <v/>
      </c>
      <c r="S16" s="5" t="str">
        <f t="shared" si="131"/>
        <v/>
      </c>
      <c r="T16" s="5" t="str">
        <f t="shared" si="132"/>
        <v/>
      </c>
      <c r="U16" s="5" t="str">
        <f t="shared" si="133"/>
        <v/>
      </c>
      <c r="V16" s="5" t="str">
        <f t="shared" si="134"/>
        <v/>
      </c>
      <c r="W16" s="5" t="str">
        <f t="shared" si="135"/>
        <v/>
      </c>
      <c r="X16" s="5" t="str">
        <f t="shared" si="136"/>
        <v/>
      </c>
      <c r="Y16" s="5" t="str">
        <f t="shared" si="137"/>
        <v/>
      </c>
      <c r="Z16" s="5" t="str">
        <f t="shared" si="138"/>
        <v/>
      </c>
      <c r="AA16" s="5" t="str">
        <f t="shared" si="139"/>
        <v/>
      </c>
      <c r="AB16" s="5" t="str">
        <f t="shared" si="140"/>
        <v/>
      </c>
      <c r="AC16" s="5" t="str">
        <f t="shared" si="141"/>
        <v/>
      </c>
      <c r="AD16" s="5" t="str">
        <f t="shared" si="142"/>
        <v/>
      </c>
      <c r="AE16" s="5" t="str">
        <f t="shared" si="143"/>
        <v/>
      </c>
      <c r="AF16" s="5" t="str">
        <f t="shared" si="144"/>
        <v/>
      </c>
      <c r="AG16" s="5" t="str">
        <f t="shared" si="145"/>
        <v/>
      </c>
      <c r="AH16" s="5" t="str">
        <f t="shared" si="146"/>
        <v/>
      </c>
      <c r="AI16" s="5" t="str">
        <f t="shared" si="147"/>
        <v/>
      </c>
      <c r="AJ16" s="5" t="str">
        <f t="shared" si="148"/>
        <v/>
      </c>
      <c r="AK16" s="5" t="str">
        <f t="shared" si="149"/>
        <v/>
      </c>
      <c r="AL16" s="5" t="str">
        <f t="shared" si="150"/>
        <v/>
      </c>
      <c r="AM16" s="5" t="str">
        <f t="shared" si="151"/>
        <v/>
      </c>
      <c r="AN16" s="5" t="str">
        <f t="shared" ref="AN16:AS16" si="153">IF(AN9="","",AN9-AM9)</f>
        <v/>
      </c>
      <c r="AO16" s="5" t="str">
        <f t="shared" si="153"/>
        <v/>
      </c>
      <c r="AP16" s="5" t="str">
        <f t="shared" si="153"/>
        <v/>
      </c>
      <c r="AQ16" s="5" t="str">
        <f t="shared" si="153"/>
        <v/>
      </c>
      <c r="AR16" s="5" t="str">
        <f t="shared" si="153"/>
        <v/>
      </c>
      <c r="AS16" s="5" t="str">
        <f t="shared" si="153"/>
        <v/>
      </c>
    </row>
    <row r="17" spans="1:45" s="84" customFormat="1" ht="11.25" x14ac:dyDescent="0.15">
      <c r="A17" s="7">
        <f>SUM(C17:AS17)</f>
        <v>7</v>
      </c>
      <c r="B17" s="6" t="s">
        <v>15</v>
      </c>
      <c r="C17" s="5">
        <v>0</v>
      </c>
      <c r="D17" s="5">
        <v>0</v>
      </c>
      <c r="E17" s="5">
        <v>1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3</v>
      </c>
      <c r="M17" s="5">
        <f t="shared" ref="M17" si="154">IF(M10="","",L10+L11-M10)</f>
        <v>0</v>
      </c>
      <c r="N17" s="5">
        <f t="shared" ref="N17" si="155">IF(N10="","",M10+M11-N10)</f>
        <v>0</v>
      </c>
      <c r="O17" s="5">
        <f t="shared" ref="O17" si="156">IF(O10="","",N10+N11-O10)</f>
        <v>2</v>
      </c>
      <c r="P17" s="5" t="str">
        <f t="shared" ref="P17" si="157">IF(P10="","",O10+O11-P10)</f>
        <v/>
      </c>
      <c r="Q17" s="5" t="str">
        <f t="shared" ref="Q17" si="158">IF(Q10="","",P10+P11-Q10)</f>
        <v/>
      </c>
      <c r="R17" s="5" t="str">
        <f t="shared" ref="R17" si="159">IF(R10="","",Q10+Q11-R10)</f>
        <v/>
      </c>
      <c r="S17" s="5" t="str">
        <f t="shared" ref="S17" si="160">IF(S10="","",R10+R11-S10)</f>
        <v/>
      </c>
      <c r="T17" s="5" t="str">
        <f t="shared" ref="T17" si="161">IF(T10="","",S10+S11-T10)</f>
        <v/>
      </c>
      <c r="U17" s="5" t="str">
        <f t="shared" ref="U17" si="162">IF(U10="","",T10+T11-U10)</f>
        <v/>
      </c>
      <c r="V17" s="5" t="str">
        <f t="shared" ref="V17" si="163">IF(V10="","",U10+U11-V10)</f>
        <v/>
      </c>
      <c r="W17" s="5" t="str">
        <f t="shared" ref="W17" si="164">IF(W10="","",V10+V11-W10)</f>
        <v/>
      </c>
      <c r="X17" s="5" t="str">
        <f t="shared" ref="X17" si="165">IF(X10="","",W10+W11-X10)</f>
        <v/>
      </c>
      <c r="Y17" s="5" t="str">
        <f t="shared" ref="Y17" si="166">IF(Y10="","",X10+X11-Y10)</f>
        <v/>
      </c>
      <c r="Z17" s="5" t="str">
        <f t="shared" ref="Z17" si="167">IF(Z10="","",Y10+Y11-Z10)</f>
        <v/>
      </c>
      <c r="AA17" s="5" t="str">
        <f t="shared" ref="AA17" si="168">IF(AA10="","",Z10+Z11-AA10)</f>
        <v/>
      </c>
      <c r="AB17" s="5" t="str">
        <f t="shared" ref="AB17" si="169">IF(AB10="","",AA10+AA11-AB10)</f>
        <v/>
      </c>
      <c r="AC17" s="5" t="str">
        <f t="shared" ref="AC17" si="170">IF(AC10="","",AB10+AB11-AC10)</f>
        <v/>
      </c>
      <c r="AD17" s="5" t="str">
        <f t="shared" ref="AD17" si="171">IF(AD10="","",AC10+AC11-AD10)</f>
        <v/>
      </c>
      <c r="AE17" s="5" t="str">
        <f t="shared" ref="AE17" si="172">IF(AE10="","",AD10+AD11-AE10)</f>
        <v/>
      </c>
      <c r="AF17" s="5" t="str">
        <f t="shared" ref="AF17" si="173">IF(AF10="","",AE10+AE11-AF10)</f>
        <v/>
      </c>
      <c r="AG17" s="5" t="str">
        <f t="shared" ref="AG17" si="174">IF(AG10="","",AF10+AF11-AG10)</f>
        <v/>
      </c>
      <c r="AH17" s="5" t="str">
        <f t="shared" ref="AH17" si="175">IF(AH10="","",AG10+AG11-AH10)</f>
        <v/>
      </c>
      <c r="AI17" s="5" t="str">
        <f t="shared" ref="AI17" si="176">IF(AI10="","",AH10+AH11-AI10)</f>
        <v/>
      </c>
      <c r="AJ17" s="5" t="str">
        <f t="shared" ref="AJ17" si="177">IF(AJ10="","",AI10+AI11-AJ10)</f>
        <v/>
      </c>
      <c r="AK17" s="5" t="str">
        <f t="shared" ref="AK17" si="178">IF(AK10="","",AJ10+AJ11-AK10)</f>
        <v/>
      </c>
      <c r="AL17" s="5" t="str">
        <f t="shared" ref="AL17" si="179">IF(AL10="","",AK10+AK11-AL10)</f>
        <v/>
      </c>
      <c r="AM17" s="5" t="str">
        <f t="shared" ref="AM17" si="180">IF(AM10="","",AL10+AL11-AM10)</f>
        <v/>
      </c>
      <c r="AN17" s="5" t="str">
        <f t="shared" ref="AN17:AS17" si="181">IF(AN10="","",AM10+AM11-AN10)</f>
        <v/>
      </c>
      <c r="AO17" s="5" t="str">
        <f t="shared" si="181"/>
        <v/>
      </c>
      <c r="AP17" s="5" t="str">
        <f t="shared" si="181"/>
        <v/>
      </c>
      <c r="AQ17" s="5" t="str">
        <f t="shared" si="181"/>
        <v/>
      </c>
      <c r="AR17" s="5" t="str">
        <f t="shared" si="181"/>
        <v/>
      </c>
      <c r="AS17" s="5" t="str">
        <f t="shared" si="181"/>
        <v/>
      </c>
    </row>
    <row r="18" spans="1:45" s="84" customFormat="1" ht="11.25" x14ac:dyDescent="0.15">
      <c r="A18" s="7">
        <f>SUM(C18:AS18)</f>
        <v>5600</v>
      </c>
      <c r="B18" s="6" t="s">
        <v>16</v>
      </c>
      <c r="C18" s="5">
        <v>0</v>
      </c>
      <c r="D18" s="5">
        <v>0</v>
      </c>
      <c r="E18" s="5">
        <v>800</v>
      </c>
      <c r="F18" s="5">
        <v>0</v>
      </c>
      <c r="G18" s="5">
        <v>0</v>
      </c>
      <c r="H18" s="5">
        <v>800</v>
      </c>
      <c r="I18" s="5">
        <v>0</v>
      </c>
      <c r="J18" s="5">
        <v>0</v>
      </c>
      <c r="K18" s="5">
        <v>0</v>
      </c>
      <c r="L18" s="5">
        <v>2400</v>
      </c>
      <c r="M18" s="5">
        <f t="shared" ref="J18:AM18" si="182">IF(M8="","",M17*M12)</f>
        <v>0</v>
      </c>
      <c r="N18" s="5">
        <f t="shared" si="182"/>
        <v>0</v>
      </c>
      <c r="O18" s="5">
        <f t="shared" si="182"/>
        <v>1600</v>
      </c>
      <c r="P18" s="5" t="str">
        <f t="shared" si="182"/>
        <v/>
      </c>
      <c r="Q18" s="5" t="str">
        <f t="shared" si="182"/>
        <v/>
      </c>
      <c r="R18" s="5" t="str">
        <f t="shared" si="182"/>
        <v/>
      </c>
      <c r="S18" s="5" t="str">
        <f t="shared" si="182"/>
        <v/>
      </c>
      <c r="T18" s="5" t="str">
        <f t="shared" si="182"/>
        <v/>
      </c>
      <c r="U18" s="5" t="str">
        <f t="shared" si="182"/>
        <v/>
      </c>
      <c r="V18" s="5" t="str">
        <f t="shared" si="182"/>
        <v/>
      </c>
      <c r="W18" s="5" t="str">
        <f t="shared" si="182"/>
        <v/>
      </c>
      <c r="X18" s="5" t="str">
        <f t="shared" si="182"/>
        <v/>
      </c>
      <c r="Y18" s="5" t="str">
        <f t="shared" si="182"/>
        <v/>
      </c>
      <c r="Z18" s="5" t="str">
        <f t="shared" si="182"/>
        <v/>
      </c>
      <c r="AA18" s="5" t="str">
        <f t="shared" si="182"/>
        <v/>
      </c>
      <c r="AB18" s="5" t="str">
        <f t="shared" si="182"/>
        <v/>
      </c>
      <c r="AC18" s="5" t="str">
        <f t="shared" si="182"/>
        <v/>
      </c>
      <c r="AD18" s="5" t="str">
        <f t="shared" si="182"/>
        <v/>
      </c>
      <c r="AE18" s="5" t="str">
        <f t="shared" si="182"/>
        <v/>
      </c>
      <c r="AF18" s="5" t="str">
        <f t="shared" si="182"/>
        <v/>
      </c>
      <c r="AG18" s="5" t="str">
        <f t="shared" si="182"/>
        <v/>
      </c>
      <c r="AH18" s="5" t="str">
        <f t="shared" si="182"/>
        <v/>
      </c>
      <c r="AI18" s="5" t="str">
        <f t="shared" si="182"/>
        <v/>
      </c>
      <c r="AJ18" s="5" t="str">
        <f t="shared" si="182"/>
        <v/>
      </c>
      <c r="AK18" s="5" t="str">
        <f t="shared" si="182"/>
        <v/>
      </c>
      <c r="AL18" s="5" t="str">
        <f t="shared" si="182"/>
        <v/>
      </c>
      <c r="AM18" s="5" t="str">
        <f t="shared" si="182"/>
        <v/>
      </c>
      <c r="AN18" s="5" t="str">
        <f t="shared" ref="AN18:AS18" si="183">IF(AN8="","",AN17*AN12)</f>
        <v/>
      </c>
      <c r="AO18" s="5" t="str">
        <f t="shared" si="183"/>
        <v/>
      </c>
      <c r="AP18" s="5" t="str">
        <f t="shared" si="183"/>
        <v/>
      </c>
      <c r="AQ18" s="5" t="str">
        <f t="shared" si="183"/>
        <v/>
      </c>
      <c r="AR18" s="5" t="str">
        <f t="shared" si="183"/>
        <v/>
      </c>
      <c r="AS18" s="5" t="str">
        <f t="shared" si="183"/>
        <v/>
      </c>
    </row>
    <row r="19" spans="1:45" s="84" customFormat="1" ht="12" thickBot="1" x14ac:dyDescent="0.2">
      <c r="A19" s="4">
        <f>IF(A18="","",A18/(A15*100))</f>
        <v>0.14470284237726097</v>
      </c>
      <c r="B19" s="6" t="s">
        <v>18</v>
      </c>
      <c r="C19" s="18" t="s">
        <v>19</v>
      </c>
      <c r="D19" s="18" t="s">
        <v>19</v>
      </c>
      <c r="E19" s="18">
        <v>0.1702127659574468</v>
      </c>
      <c r="F19" s="18" t="s">
        <v>19</v>
      </c>
      <c r="G19" s="18" t="s">
        <v>19</v>
      </c>
      <c r="H19" s="18">
        <v>9.1954022988505746E-2</v>
      </c>
      <c r="I19" s="18" t="s">
        <v>19</v>
      </c>
      <c r="J19" s="18" t="s">
        <v>19</v>
      </c>
      <c r="K19" s="18" t="s">
        <v>19</v>
      </c>
      <c r="L19" s="18">
        <v>0.16438356164383561</v>
      </c>
      <c r="M19" s="18" t="str">
        <f t="shared" ref="J19:AM19" si="184">IF(M18="","",IF(M18=0,"",M18/(M15*100)))</f>
        <v/>
      </c>
      <c r="N19" s="18" t="str">
        <f t="shared" si="184"/>
        <v/>
      </c>
      <c r="O19" s="18">
        <f t="shared" si="184"/>
        <v>0.14953271028037382</v>
      </c>
      <c r="P19" s="18" t="str">
        <f t="shared" si="184"/>
        <v/>
      </c>
      <c r="Q19" s="18" t="str">
        <f t="shared" si="184"/>
        <v/>
      </c>
      <c r="R19" s="18" t="str">
        <f t="shared" si="184"/>
        <v/>
      </c>
      <c r="S19" s="18" t="str">
        <f t="shared" si="184"/>
        <v/>
      </c>
      <c r="T19" s="18" t="str">
        <f t="shared" si="184"/>
        <v/>
      </c>
      <c r="U19" s="18" t="str">
        <f t="shared" si="184"/>
        <v/>
      </c>
      <c r="V19" s="18" t="str">
        <f t="shared" si="184"/>
        <v/>
      </c>
      <c r="W19" s="18" t="str">
        <f t="shared" si="184"/>
        <v/>
      </c>
      <c r="X19" s="18" t="str">
        <f t="shared" si="184"/>
        <v/>
      </c>
      <c r="Y19" s="18" t="str">
        <f t="shared" si="184"/>
        <v/>
      </c>
      <c r="Z19" s="18" t="str">
        <f t="shared" si="184"/>
        <v/>
      </c>
      <c r="AA19" s="18" t="str">
        <f t="shared" si="184"/>
        <v/>
      </c>
      <c r="AB19" s="18" t="str">
        <f t="shared" si="184"/>
        <v/>
      </c>
      <c r="AC19" s="18" t="str">
        <f t="shared" si="184"/>
        <v/>
      </c>
      <c r="AD19" s="18" t="str">
        <f t="shared" si="184"/>
        <v/>
      </c>
      <c r="AE19" s="18" t="str">
        <f t="shared" si="184"/>
        <v/>
      </c>
      <c r="AF19" s="18" t="str">
        <f t="shared" si="184"/>
        <v/>
      </c>
      <c r="AG19" s="18" t="str">
        <f t="shared" si="184"/>
        <v/>
      </c>
      <c r="AH19" s="18" t="str">
        <f t="shared" si="184"/>
        <v/>
      </c>
      <c r="AI19" s="18" t="str">
        <f t="shared" si="184"/>
        <v/>
      </c>
      <c r="AJ19" s="18" t="str">
        <f t="shared" si="184"/>
        <v/>
      </c>
      <c r="AK19" s="18" t="str">
        <f t="shared" si="184"/>
        <v/>
      </c>
      <c r="AL19" s="18" t="str">
        <f t="shared" si="184"/>
        <v/>
      </c>
      <c r="AM19" s="18" t="str">
        <f t="shared" si="184"/>
        <v/>
      </c>
      <c r="AN19" s="18" t="str">
        <f t="shared" ref="AN19:AS19" si="185">IF(AN18="","",IF(AN18=0,"",AN18/(AN15*100)))</f>
        <v/>
      </c>
      <c r="AO19" s="18" t="str">
        <f t="shared" si="185"/>
        <v/>
      </c>
      <c r="AP19" s="18" t="str">
        <f t="shared" si="185"/>
        <v/>
      </c>
      <c r="AQ19" s="18" t="str">
        <f t="shared" si="185"/>
        <v/>
      </c>
      <c r="AR19" s="18" t="str">
        <f t="shared" si="185"/>
        <v/>
      </c>
      <c r="AS19" s="18" t="str">
        <f t="shared" si="185"/>
        <v/>
      </c>
    </row>
    <row r="20" spans="1:45" s="84" customFormat="1" ht="11.25" x14ac:dyDescent="0.15">
      <c r="A20" s="17" t="s">
        <v>83</v>
      </c>
      <c r="B20" s="9" t="s">
        <v>2</v>
      </c>
      <c r="C20" s="8">
        <v>39810</v>
      </c>
      <c r="D20" s="8">
        <v>39810</v>
      </c>
      <c r="E20" s="8">
        <v>39817</v>
      </c>
      <c r="F20" s="8">
        <v>39817</v>
      </c>
      <c r="G20" s="8">
        <v>39817</v>
      </c>
      <c r="H20" s="8">
        <v>39828</v>
      </c>
      <c r="I20" s="8">
        <v>39828</v>
      </c>
      <c r="J20" s="8">
        <v>39828</v>
      </c>
      <c r="K20" s="8">
        <v>39828</v>
      </c>
      <c r="L20" s="8">
        <v>39845</v>
      </c>
      <c r="M20" s="8">
        <f t="shared" ref="M20:M21" si="186">IF(M$8="","",L20)</f>
        <v>39845</v>
      </c>
      <c r="N20" s="8">
        <f t="shared" ref="N20:N21" si="187">IF(N$8="","",M20)</f>
        <v>39845</v>
      </c>
      <c r="O20" s="8">
        <v>39850</v>
      </c>
      <c r="P20" s="8" t="str">
        <f>IF(P$8="","",O20)</f>
        <v/>
      </c>
      <c r="Q20" s="8" t="str">
        <f t="shared" ref="Q20:Q21" si="188">IF(Q$8="","",P20)</f>
        <v/>
      </c>
      <c r="R20" s="8" t="str">
        <f t="shared" ref="R20:R21" si="189">IF(R$8="","",Q20)</f>
        <v/>
      </c>
      <c r="S20" s="8" t="str">
        <f>IF(S$8="","",R20)</f>
        <v/>
      </c>
      <c r="T20" s="8" t="str">
        <f t="shared" ref="T20:T21" si="190">IF(T$8="","",S20)</f>
        <v/>
      </c>
      <c r="U20" s="8" t="str">
        <f t="shared" ref="U20:U21" si="191">IF(U$8="","",T20)</f>
        <v/>
      </c>
      <c r="V20" s="8" t="str">
        <f>IF(V$8="","",U20)</f>
        <v/>
      </c>
      <c r="W20" s="8" t="str">
        <f t="shared" ref="W20:W21" si="192">IF(W$8="","",V20)</f>
        <v/>
      </c>
      <c r="X20" s="8" t="str">
        <f t="shared" ref="X20:X21" si="193">IF(X$8="","",W20)</f>
        <v/>
      </c>
      <c r="Y20" s="8" t="str">
        <f t="shared" ref="Y20:Y21" si="194">IF(Y$8="","",X20)</f>
        <v/>
      </c>
      <c r="Z20" s="8" t="str">
        <f>IF(Z$8="","",Y20)</f>
        <v/>
      </c>
      <c r="AA20" s="8" t="str">
        <f t="shared" ref="AA20:AA21" si="195">IF(AA$8="","",Z20)</f>
        <v/>
      </c>
      <c r="AB20" s="8" t="str">
        <f t="shared" ref="AB20:AB21" si="196">IF(AB$8="","",AA20)</f>
        <v/>
      </c>
      <c r="AC20" s="8" t="str">
        <f t="shared" ref="AC20:AC21" si="197">IF(AC$8="","",AB20)</f>
        <v/>
      </c>
      <c r="AD20" s="8" t="str">
        <f>IF(AD$8="","",AC20)</f>
        <v/>
      </c>
      <c r="AE20" s="8" t="str">
        <f t="shared" ref="AE20:AE21" si="198">IF(AE$8="","",AD20)</f>
        <v/>
      </c>
      <c r="AF20" s="8" t="str">
        <f t="shared" ref="AF20:AF21" si="199">IF(AF$8="","",AE20)</f>
        <v/>
      </c>
      <c r="AG20" s="8" t="str">
        <f>IF(AG$8="","",AF20)</f>
        <v/>
      </c>
      <c r="AH20" s="8" t="str">
        <f t="shared" ref="AH20:AH21" si="200">IF(AH$8="","",AG20)</f>
        <v/>
      </c>
      <c r="AI20" s="8" t="str">
        <f t="shared" ref="AI20:AI21" si="201">IF(AI$8="","",AH20)</f>
        <v/>
      </c>
      <c r="AJ20" s="8" t="str">
        <f>IF(AJ$8="","",AI20)</f>
        <v/>
      </c>
      <c r="AK20" s="8" t="str">
        <f t="shared" ref="AK20:AK21" si="202">IF(AK$8="","",AJ20)</f>
        <v/>
      </c>
      <c r="AL20" s="8" t="str">
        <f t="shared" ref="AL20:AL21" si="203">IF(AL$8="","",AK20)</f>
        <v/>
      </c>
      <c r="AM20" s="8" t="str">
        <f t="shared" ref="AM20:AM21" si="204">IF(AM$8="","",AL20)</f>
        <v/>
      </c>
      <c r="AN20" s="8" t="str">
        <f>IF(AN$8="","",AM20)</f>
        <v/>
      </c>
      <c r="AO20" s="8" t="str">
        <f t="shared" ref="AN20:AS20" si="205">IF(AO$8="","",AN20)</f>
        <v/>
      </c>
      <c r="AP20" s="8" t="str">
        <f t="shared" si="205"/>
        <v/>
      </c>
      <c r="AQ20" s="8" t="str">
        <f t="shared" si="205"/>
        <v/>
      </c>
      <c r="AR20" s="8" t="str">
        <f t="shared" si="205"/>
        <v/>
      </c>
      <c r="AS20" s="8" t="str">
        <f t="shared" si="205"/>
        <v/>
      </c>
    </row>
    <row r="21" spans="1:45" s="84" customFormat="1" ht="11.25" x14ac:dyDescent="0.15">
      <c r="A21" s="16" t="s">
        <v>3</v>
      </c>
      <c r="B21" s="9" t="s">
        <v>4</v>
      </c>
      <c r="C21" s="8">
        <v>936</v>
      </c>
      <c r="D21" s="8">
        <v>936</v>
      </c>
      <c r="E21" s="8">
        <v>936</v>
      </c>
      <c r="F21" s="8">
        <v>936</v>
      </c>
      <c r="G21" s="8">
        <v>936</v>
      </c>
      <c r="H21" s="8">
        <v>936</v>
      </c>
      <c r="I21" s="8">
        <v>936</v>
      </c>
      <c r="J21" s="8">
        <v>936</v>
      </c>
      <c r="K21" s="8">
        <v>936</v>
      </c>
      <c r="L21" s="8">
        <v>937</v>
      </c>
      <c r="M21" s="8">
        <f t="shared" si="186"/>
        <v>937</v>
      </c>
      <c r="N21" s="8">
        <f t="shared" si="187"/>
        <v>937</v>
      </c>
      <c r="O21" s="8">
        <f>IF(O$8="","",N21)</f>
        <v>937</v>
      </c>
      <c r="P21" s="8" t="str">
        <f t="shared" ref="P21" si="206">IF(P$8="","",O21)</f>
        <v/>
      </c>
      <c r="Q21" s="8" t="str">
        <f t="shared" si="188"/>
        <v/>
      </c>
      <c r="R21" s="8" t="str">
        <f t="shared" si="189"/>
        <v/>
      </c>
      <c r="S21" s="8" t="str">
        <f t="shared" ref="S21:U21" si="207">IF(S$8="","",R21)</f>
        <v/>
      </c>
      <c r="T21" s="8" t="str">
        <f t="shared" si="190"/>
        <v/>
      </c>
      <c r="U21" s="8" t="str">
        <f t="shared" si="191"/>
        <v/>
      </c>
      <c r="V21" s="8" t="str">
        <f>IF(V$8="","",U21)</f>
        <v/>
      </c>
      <c r="W21" s="8" t="str">
        <f t="shared" si="192"/>
        <v/>
      </c>
      <c r="X21" s="8" t="str">
        <f t="shared" si="193"/>
        <v/>
      </c>
      <c r="Y21" s="8" t="str">
        <f t="shared" si="194"/>
        <v/>
      </c>
      <c r="Z21" s="8" t="str">
        <f>IF(Z$8="","",Y21)</f>
        <v/>
      </c>
      <c r="AA21" s="8" t="str">
        <f t="shared" si="195"/>
        <v/>
      </c>
      <c r="AB21" s="8" t="str">
        <f t="shared" si="196"/>
        <v/>
      </c>
      <c r="AC21" s="8" t="str">
        <f t="shared" si="197"/>
        <v/>
      </c>
      <c r="AD21" s="8" t="str">
        <f>IF(AD$8="","",AC21)</f>
        <v/>
      </c>
      <c r="AE21" s="8" t="str">
        <f t="shared" si="198"/>
        <v/>
      </c>
      <c r="AF21" s="8" t="str">
        <f t="shared" si="199"/>
        <v/>
      </c>
      <c r="AG21" s="8" t="str">
        <f>IF(AG$8="","",AF21)</f>
        <v/>
      </c>
      <c r="AH21" s="8" t="str">
        <f t="shared" si="200"/>
        <v/>
      </c>
      <c r="AI21" s="8" t="str">
        <f t="shared" si="201"/>
        <v/>
      </c>
      <c r="AJ21" s="8" t="str">
        <f t="shared" ref="AJ20:AJ21" si="208">IF(AJ$8="","",AI21)</f>
        <v/>
      </c>
      <c r="AK21" s="8" t="str">
        <f t="shared" si="202"/>
        <v/>
      </c>
      <c r="AL21" s="8" t="str">
        <f t="shared" si="203"/>
        <v/>
      </c>
      <c r="AM21" s="8" t="str">
        <f t="shared" si="204"/>
        <v/>
      </c>
      <c r="AN21" s="8" t="str">
        <f>IF(AN$8="","",AM21)</f>
        <v/>
      </c>
      <c r="AO21" s="8" t="str">
        <f t="shared" ref="AN21:AS21" si="209">IF(AO$8="","",AN21)</f>
        <v/>
      </c>
      <c r="AP21" s="8" t="str">
        <f t="shared" si="209"/>
        <v/>
      </c>
      <c r="AQ21" s="8" t="str">
        <f t="shared" si="209"/>
        <v/>
      </c>
      <c r="AR21" s="8" t="str">
        <f t="shared" si="209"/>
        <v/>
      </c>
      <c r="AS21" s="8" t="str">
        <f t="shared" si="209"/>
        <v/>
      </c>
    </row>
    <row r="22" spans="1:45" s="84" customFormat="1" ht="11.25" x14ac:dyDescent="0.15">
      <c r="A22" s="15">
        <v>2</v>
      </c>
      <c r="B22" s="9" t="s">
        <v>5</v>
      </c>
      <c r="C22" s="8">
        <v>5</v>
      </c>
      <c r="D22" s="8">
        <v>5</v>
      </c>
      <c r="E22" s="8">
        <v>5</v>
      </c>
      <c r="F22" s="8">
        <v>5</v>
      </c>
      <c r="G22" s="8">
        <v>5</v>
      </c>
      <c r="H22" s="8">
        <v>9</v>
      </c>
      <c r="I22" s="8">
        <v>10</v>
      </c>
      <c r="J22" s="8">
        <v>10</v>
      </c>
      <c r="K22" s="8">
        <v>10</v>
      </c>
      <c r="L22" s="8">
        <v>10</v>
      </c>
      <c r="M22" s="8">
        <f t="shared" ref="M22" si="210">IF(M20="","",(L22+L23))</f>
        <v>10</v>
      </c>
      <c r="N22" s="8">
        <f t="shared" ref="N22" si="211">IF(N20="","",(M22+M23))</f>
        <v>10</v>
      </c>
      <c r="O22" s="8">
        <v>24</v>
      </c>
      <c r="P22" s="8" t="str">
        <f t="shared" ref="P22" si="212">IF(P20="","",(O22+O23))</f>
        <v/>
      </c>
      <c r="Q22" s="8" t="str">
        <f t="shared" ref="Q22" si="213">IF(Q20="","",(P22+P23))</f>
        <v/>
      </c>
      <c r="R22" s="8" t="str">
        <f t="shared" ref="R22" si="214">IF(R20="","",(Q22+Q23))</f>
        <v/>
      </c>
      <c r="S22" s="8" t="str">
        <f t="shared" ref="S22:U22" si="215">IF(S20="","",(R22+R23))</f>
        <v/>
      </c>
      <c r="T22" s="8" t="str">
        <f t="shared" ref="T22" si="216">IF(T20="","",(S22+S23))</f>
        <v/>
      </c>
      <c r="U22" s="8" t="str">
        <f t="shared" ref="U22" si="217">IF(U20="","",(T22+T23))</f>
        <v/>
      </c>
      <c r="V22" s="8" t="str">
        <f>IF(V20="","",(U22+U23))</f>
        <v/>
      </c>
      <c r="W22" s="8" t="str">
        <f t="shared" ref="W22" si="218">IF(W20="","",(V22+V23))</f>
        <v/>
      </c>
      <c r="X22" s="8" t="str">
        <f t="shared" ref="X22" si="219">IF(X20="","",(W22+W23))</f>
        <v/>
      </c>
      <c r="Y22" s="8" t="str">
        <f t="shared" ref="Y22" si="220">IF(Y20="","",(X22+X23))</f>
        <v/>
      </c>
      <c r="Z22" s="8" t="str">
        <f>IF(Z20="","",(Y22+Y23))</f>
        <v/>
      </c>
      <c r="AA22" s="8" t="str">
        <f t="shared" ref="AA22" si="221">IF(AA20="","",(Z22+Z23))</f>
        <v/>
      </c>
      <c r="AB22" s="8" t="str">
        <f t="shared" ref="AB22" si="222">IF(AB20="","",(AA22+AA23))</f>
        <v/>
      </c>
      <c r="AC22" s="8" t="str">
        <f t="shared" ref="AC22" si="223">IF(AC20="","",(AB22+AB23))</f>
        <v/>
      </c>
      <c r="AD22" s="8" t="str">
        <f>IF(AD20="","",(AC22+AC23))</f>
        <v/>
      </c>
      <c r="AE22" s="8" t="str">
        <f t="shared" ref="AE22" si="224">IF(AE20="","",(AD22+AD23))</f>
        <v/>
      </c>
      <c r="AF22" s="8" t="str">
        <f t="shared" ref="AF22" si="225">IF(AF20="","",(AE22+AE23))</f>
        <v/>
      </c>
      <c r="AG22" s="8" t="str">
        <f t="shared" ref="AG22" si="226">IF(AG20="","",(AF22+AF23))</f>
        <v/>
      </c>
      <c r="AH22" s="8" t="str">
        <f t="shared" ref="AH22" si="227">IF(AH20="","",(AG22+AG23))</f>
        <v/>
      </c>
      <c r="AI22" s="8" t="str">
        <f t="shared" ref="AI22" si="228">IF(AI20="","",(AH22+AH23))</f>
        <v/>
      </c>
      <c r="AJ22" s="8" t="str">
        <f>IF(AJ20="","",(AI22+AI23))</f>
        <v/>
      </c>
      <c r="AK22" s="8" t="str">
        <f t="shared" ref="AK22" si="229">IF(AK20="","",(AJ22+AJ23))</f>
        <v/>
      </c>
      <c r="AL22" s="8" t="str">
        <f t="shared" ref="AL22" si="230">IF(AL20="","",(AK22+AK23))</f>
        <v/>
      </c>
      <c r="AM22" s="8" t="str">
        <f t="shared" ref="AM22" si="231">IF(AM20="","",(AL22+AL23))</f>
        <v/>
      </c>
      <c r="AN22" s="8" t="str">
        <f t="shared" ref="AN22:AS22" si="232">IF(AN20="","",(AM22+AM23))</f>
        <v/>
      </c>
      <c r="AO22" s="8" t="str">
        <f t="shared" si="232"/>
        <v/>
      </c>
      <c r="AP22" s="8" t="str">
        <f t="shared" si="232"/>
        <v/>
      </c>
      <c r="AQ22" s="8" t="str">
        <f t="shared" si="232"/>
        <v/>
      </c>
      <c r="AR22" s="8" t="str">
        <f t="shared" si="232"/>
        <v/>
      </c>
      <c r="AS22" s="8" t="str">
        <f t="shared" si="232"/>
        <v/>
      </c>
    </row>
    <row r="23" spans="1:45" s="84" customFormat="1" ht="11.25" x14ac:dyDescent="0.15">
      <c r="A23" s="14"/>
      <c r="B23" s="9" t="s">
        <v>7</v>
      </c>
      <c r="C23" s="8"/>
      <c r="D23" s="8"/>
      <c r="E23" s="8"/>
      <c r="F23" s="8"/>
      <c r="G23" s="8">
        <v>4</v>
      </c>
      <c r="H23" s="8">
        <v>1</v>
      </c>
      <c r="I23" s="8"/>
      <c r="J23" s="8"/>
      <c r="K23" s="8"/>
      <c r="L23" s="8"/>
      <c r="M23" s="8"/>
      <c r="N23" s="8">
        <v>14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</row>
    <row r="24" spans="1:45" s="84" customFormat="1" ht="11.25" x14ac:dyDescent="0.15">
      <c r="A24" s="7"/>
      <c r="B24" s="9" t="s">
        <v>8</v>
      </c>
      <c r="C24" s="8">
        <v>750</v>
      </c>
      <c r="D24" s="8">
        <v>750</v>
      </c>
      <c r="E24" s="8">
        <v>750</v>
      </c>
      <c r="F24" s="8">
        <v>750</v>
      </c>
      <c r="G24" s="8">
        <v>750</v>
      </c>
      <c r="H24" s="8">
        <v>750</v>
      </c>
      <c r="I24" s="8">
        <v>750</v>
      </c>
      <c r="J24" s="8">
        <v>750</v>
      </c>
      <c r="K24" s="8">
        <v>750</v>
      </c>
      <c r="L24" s="8">
        <v>750</v>
      </c>
      <c r="M24" s="8">
        <f t="shared" ref="M24" si="233">IF(M20="","",L24)</f>
        <v>750</v>
      </c>
      <c r="N24" s="8">
        <f t="shared" ref="N24" si="234">IF(N20="","",M24)</f>
        <v>750</v>
      </c>
      <c r="O24" s="8">
        <f t="shared" ref="O24" si="235">IF(O20="","",N24)</f>
        <v>750</v>
      </c>
      <c r="P24" s="8" t="str">
        <f t="shared" ref="P24" si="236">IF(P20="","",O24)</f>
        <v/>
      </c>
      <c r="Q24" s="8" t="str">
        <f t="shared" ref="Q24" si="237">IF(Q20="","",P24)</f>
        <v/>
      </c>
      <c r="R24" s="8" t="str">
        <f t="shared" ref="R24" si="238">IF(R20="","",Q24)</f>
        <v/>
      </c>
      <c r="S24" s="8" t="str">
        <f t="shared" ref="S24" si="239">IF(S20="","",R24)</f>
        <v/>
      </c>
      <c r="T24" s="8" t="str">
        <f t="shared" ref="T24" si="240">IF(T20="","",S24)</f>
        <v/>
      </c>
      <c r="U24" s="8" t="str">
        <f t="shared" ref="U24" si="241">IF(U20="","",T24)</f>
        <v/>
      </c>
      <c r="V24" s="8" t="str">
        <f t="shared" ref="V24" si="242">IF(V20="","",U24)</f>
        <v/>
      </c>
      <c r="W24" s="8" t="str">
        <f t="shared" ref="W24" si="243">IF(W20="","",V24)</f>
        <v/>
      </c>
      <c r="X24" s="8" t="str">
        <f t="shared" ref="X24" si="244">IF(X20="","",W24)</f>
        <v/>
      </c>
      <c r="Y24" s="8" t="str">
        <f t="shared" ref="Y24" si="245">IF(Y20="","",X24)</f>
        <v/>
      </c>
      <c r="Z24" s="8" t="str">
        <f t="shared" ref="Z24" si="246">IF(Z20="","",Y24)</f>
        <v/>
      </c>
      <c r="AA24" s="8" t="str">
        <f t="shared" ref="AA24" si="247">IF(AA20="","",Z24)</f>
        <v/>
      </c>
      <c r="AB24" s="8" t="str">
        <f t="shared" ref="AB24" si="248">IF(AB20="","",AA24)</f>
        <v/>
      </c>
      <c r="AC24" s="8" t="str">
        <f t="shared" ref="AC24" si="249">IF(AC20="","",AB24)</f>
        <v/>
      </c>
      <c r="AD24" s="8" t="str">
        <f t="shared" ref="AD24" si="250">IF(AD20="","",AC24)</f>
        <v/>
      </c>
      <c r="AE24" s="8" t="str">
        <f t="shared" ref="AE24" si="251">IF(AE20="","",AD24)</f>
        <v/>
      </c>
      <c r="AF24" s="8" t="str">
        <f t="shared" ref="AF24" si="252">IF(AF20="","",AE24)</f>
        <v/>
      </c>
      <c r="AG24" s="8" t="str">
        <f t="shared" ref="AG24" si="253">IF(AG20="","",AF24)</f>
        <v/>
      </c>
      <c r="AH24" s="8" t="str">
        <f t="shared" ref="AH24" si="254">IF(AH20="","",AG24)</f>
        <v/>
      </c>
      <c r="AI24" s="8" t="str">
        <f t="shared" ref="AI24" si="255">IF(AI20="","",AH24)</f>
        <v/>
      </c>
      <c r="AJ24" s="8" t="str">
        <f t="shared" ref="AJ24" si="256">IF(AJ20="","",AI24)</f>
        <v/>
      </c>
      <c r="AK24" s="8" t="str">
        <f t="shared" ref="AK24" si="257">IF(AK20="","",AJ24)</f>
        <v/>
      </c>
      <c r="AL24" s="8" t="str">
        <f t="shared" ref="AL24" si="258">IF(AL20="","",AK24)</f>
        <v/>
      </c>
      <c r="AM24" s="8" t="str">
        <f t="shared" ref="AM24" si="259">IF(AM20="","",AL24)</f>
        <v/>
      </c>
      <c r="AN24" s="8" t="str">
        <f t="shared" ref="AN24:AS24" si="260">IF(AN20="","",AM24)</f>
        <v/>
      </c>
      <c r="AO24" s="8" t="str">
        <f t="shared" si="260"/>
        <v/>
      </c>
      <c r="AP24" s="8" t="str">
        <f t="shared" si="260"/>
        <v/>
      </c>
      <c r="AQ24" s="8" t="str">
        <f t="shared" si="260"/>
        <v/>
      </c>
      <c r="AR24" s="8" t="str">
        <f t="shared" si="260"/>
        <v/>
      </c>
      <c r="AS24" s="8" t="str">
        <f t="shared" si="260"/>
        <v/>
      </c>
    </row>
    <row r="25" spans="1:45" s="85" customFormat="1" ht="11.25" x14ac:dyDescent="0.15">
      <c r="A25" s="14" t="s">
        <v>9</v>
      </c>
      <c r="B25" s="13" t="s">
        <v>10</v>
      </c>
      <c r="C25" s="12" t="s">
        <v>84</v>
      </c>
      <c r="D25" s="12" t="s">
        <v>84</v>
      </c>
      <c r="E25" s="12" t="s">
        <v>84</v>
      </c>
      <c r="F25" s="12" t="s">
        <v>84</v>
      </c>
      <c r="G25" s="12" t="s">
        <v>84</v>
      </c>
      <c r="H25" s="12" t="s">
        <v>366</v>
      </c>
      <c r="I25" s="12" t="s">
        <v>366</v>
      </c>
      <c r="J25" s="12" t="s">
        <v>366</v>
      </c>
      <c r="K25" s="12" t="s">
        <v>366</v>
      </c>
      <c r="L25" s="12" t="s">
        <v>366</v>
      </c>
      <c r="M25" s="12" t="str">
        <f t="shared" ref="M25" si="261">IF(M20="","",L25)</f>
        <v>アニマルアイシャドウ</v>
      </c>
      <c r="N25" s="12" t="str">
        <f t="shared" ref="N25" si="262">IF(N20="","",M25)</f>
        <v>アニマルアイシャドウ</v>
      </c>
      <c r="O25" s="12" t="s">
        <v>370</v>
      </c>
      <c r="P25" s="12" t="str">
        <f t="shared" ref="P25" si="263">IF(P20="","",O25)</f>
        <v/>
      </c>
      <c r="Q25" s="12" t="str">
        <f t="shared" ref="Q25" si="264">IF(Q20="","",P25)</f>
        <v/>
      </c>
      <c r="R25" s="12" t="str">
        <f t="shared" ref="R25" si="265">IF(R20="","",Q25)</f>
        <v/>
      </c>
      <c r="S25" s="12" t="str">
        <f>IF(S20="","",R25)</f>
        <v/>
      </c>
      <c r="T25" s="12" t="str">
        <f t="shared" ref="T25" si="266">IF(T20="","",S25)</f>
        <v/>
      </c>
      <c r="U25" s="12" t="str">
        <f t="shared" ref="U25" si="267">IF(U20="","",T25)</f>
        <v/>
      </c>
      <c r="V25" s="12" t="str">
        <f t="shared" ref="V25" si="268">IF(V20="","",U25)</f>
        <v/>
      </c>
      <c r="W25" s="12" t="str">
        <f t="shared" ref="W25" si="269">IF(W20="","",V25)</f>
        <v/>
      </c>
      <c r="X25" s="12" t="str">
        <f t="shared" ref="X25" si="270">IF(X20="","",W25)</f>
        <v/>
      </c>
      <c r="Y25" s="12" t="str">
        <f t="shared" ref="Y25" si="271">IF(Y20="","",X25)</f>
        <v/>
      </c>
      <c r="Z25" s="12" t="str">
        <f t="shared" ref="Z25" si="272">IF(Z20="","",Y25)</f>
        <v/>
      </c>
      <c r="AA25" s="12" t="str">
        <f t="shared" ref="AA25" si="273">IF(AA20="","",Z25)</f>
        <v/>
      </c>
      <c r="AB25" s="12" t="str">
        <f t="shared" ref="AB25" si="274">IF(AB20="","",AA25)</f>
        <v/>
      </c>
      <c r="AC25" s="12" t="str">
        <f t="shared" ref="AC25" si="275">IF(AC20="","",AB25)</f>
        <v/>
      </c>
      <c r="AD25" s="12" t="str">
        <f t="shared" ref="AD25" si="276">IF(AD20="","",AC25)</f>
        <v/>
      </c>
      <c r="AE25" s="12" t="str">
        <f t="shared" ref="AE25" si="277">IF(AE20="","",AD25)</f>
        <v/>
      </c>
      <c r="AF25" s="12" t="str">
        <f t="shared" ref="AF25" si="278">IF(AF20="","",AE25)</f>
        <v/>
      </c>
      <c r="AG25" s="12" t="str">
        <f t="shared" ref="AG25" si="279">IF(AG20="","",AF25)</f>
        <v/>
      </c>
      <c r="AH25" s="12" t="str">
        <f t="shared" ref="AH25" si="280">IF(AH20="","",AG25)</f>
        <v/>
      </c>
      <c r="AI25" s="12" t="str">
        <f t="shared" ref="AI25" si="281">IF(AI20="","",AH25)</f>
        <v/>
      </c>
      <c r="AJ25" s="12" t="str">
        <f>IF(AJ20="","",AI25)</f>
        <v/>
      </c>
      <c r="AK25" s="12" t="str">
        <f t="shared" ref="AK25" si="282">IF(AK20="","",AJ25)</f>
        <v/>
      </c>
      <c r="AL25" s="12" t="str">
        <f t="shared" ref="AL25" si="283">IF(AL20="","",AK25)</f>
        <v/>
      </c>
      <c r="AM25" s="12" t="str">
        <f t="shared" ref="AM25" si="284">IF(AM20="","",AL25)</f>
        <v/>
      </c>
      <c r="AN25" s="12" t="str">
        <f t="shared" ref="AN25:AS25" si="285">IF(AN20="","",AM25)</f>
        <v/>
      </c>
      <c r="AO25" s="12" t="str">
        <f t="shared" si="285"/>
        <v/>
      </c>
      <c r="AP25" s="12" t="str">
        <f t="shared" si="285"/>
        <v/>
      </c>
      <c r="AQ25" s="12" t="str">
        <f t="shared" si="285"/>
        <v/>
      </c>
      <c r="AR25" s="12" t="str">
        <f t="shared" si="285"/>
        <v/>
      </c>
      <c r="AS25" s="12" t="str">
        <f t="shared" si="285"/>
        <v/>
      </c>
    </row>
    <row r="26" spans="1:45" s="84" customFormat="1" ht="11.25" x14ac:dyDescent="0.15">
      <c r="A26" s="7">
        <f>AVERAGE(C27:AS27)*30*100</f>
        <v>9230.7692307692305</v>
      </c>
      <c r="B26" s="9" t="s">
        <v>12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</row>
    <row r="27" spans="1:45" s="84" customFormat="1" ht="11.25" x14ac:dyDescent="0.15">
      <c r="A27" s="7">
        <f>SUM(C27:AS27)</f>
        <v>40</v>
      </c>
      <c r="B27" s="6" t="s">
        <v>13</v>
      </c>
      <c r="C27" s="5">
        <v>0</v>
      </c>
      <c r="D27" s="5">
        <v>0</v>
      </c>
      <c r="E27" s="5">
        <v>7</v>
      </c>
      <c r="F27" s="5">
        <v>0</v>
      </c>
      <c r="G27" s="5">
        <v>0</v>
      </c>
      <c r="H27" s="5">
        <v>11</v>
      </c>
      <c r="I27" s="5">
        <v>0</v>
      </c>
      <c r="J27" s="5">
        <v>0</v>
      </c>
      <c r="K27" s="5">
        <v>0</v>
      </c>
      <c r="L27" s="5">
        <v>17</v>
      </c>
      <c r="M27" s="5">
        <f t="shared" ref="M27:M28" si="286">IF(M20="","",M20-L20)</f>
        <v>0</v>
      </c>
      <c r="N27" s="5">
        <f t="shared" ref="N27:N28" si="287">IF(N20="","",N20-M20)</f>
        <v>0</v>
      </c>
      <c r="O27" s="5">
        <f t="shared" ref="O27:O28" si="288">IF(O20="","",O20-N20)</f>
        <v>5</v>
      </c>
      <c r="P27" s="5" t="str">
        <f t="shared" ref="P27:P28" si="289">IF(P20="","",P20-O20)</f>
        <v/>
      </c>
      <c r="Q27" s="5" t="str">
        <f t="shared" ref="Q27:Q28" si="290">IF(Q20="","",Q20-P20)</f>
        <v/>
      </c>
      <c r="R27" s="5" t="str">
        <f t="shared" ref="R27:R28" si="291">IF(R20="","",R20-Q20)</f>
        <v/>
      </c>
      <c r="S27" s="5" t="str">
        <f t="shared" ref="S27:S28" si="292">IF(S20="","",S20-R20)</f>
        <v/>
      </c>
      <c r="T27" s="5" t="str">
        <f t="shared" ref="T27:T28" si="293">IF(T20="","",T20-S20)</f>
        <v/>
      </c>
      <c r="U27" s="5" t="str">
        <f t="shared" ref="U27:U28" si="294">IF(U20="","",U20-T20)</f>
        <v/>
      </c>
      <c r="V27" s="5" t="str">
        <f t="shared" ref="V27:V28" si="295">IF(V20="","",V20-U20)</f>
        <v/>
      </c>
      <c r="W27" s="5" t="str">
        <f t="shared" ref="W27:W28" si="296">IF(W20="","",W20-V20)</f>
        <v/>
      </c>
      <c r="X27" s="5" t="str">
        <f t="shared" ref="X27:X28" si="297">IF(X20="","",X20-W20)</f>
        <v/>
      </c>
      <c r="Y27" s="5" t="str">
        <f t="shared" ref="Y27:Y28" si="298">IF(Y20="","",Y20-X20)</f>
        <v/>
      </c>
      <c r="Z27" s="5" t="str">
        <f t="shared" ref="Z27:Z28" si="299">IF(Z20="","",Z20-Y20)</f>
        <v/>
      </c>
      <c r="AA27" s="5" t="str">
        <f t="shared" ref="AA27:AA28" si="300">IF(AA20="","",AA20-Z20)</f>
        <v/>
      </c>
      <c r="AB27" s="5" t="str">
        <f t="shared" ref="AB27:AB28" si="301">IF(AB20="","",AB20-AA20)</f>
        <v/>
      </c>
      <c r="AC27" s="5" t="str">
        <f t="shared" ref="AC27:AC28" si="302">IF(AC20="","",AC20-AB20)</f>
        <v/>
      </c>
      <c r="AD27" s="5" t="str">
        <f t="shared" ref="AD27:AD28" si="303">IF(AD20="","",AD20-AC20)</f>
        <v/>
      </c>
      <c r="AE27" s="5" t="str">
        <f t="shared" ref="AE27:AE28" si="304">IF(AE20="","",AE20-AD20)</f>
        <v/>
      </c>
      <c r="AF27" s="5" t="str">
        <f t="shared" ref="AF27:AF28" si="305">IF(AF20="","",AF20-AE20)</f>
        <v/>
      </c>
      <c r="AG27" s="5" t="str">
        <f t="shared" ref="AG27:AG28" si="306">IF(AG20="","",AG20-AF20)</f>
        <v/>
      </c>
      <c r="AH27" s="5" t="str">
        <f t="shared" ref="AH27:AH28" si="307">IF(AH20="","",AH20-AG20)</f>
        <v/>
      </c>
      <c r="AI27" s="5" t="str">
        <f t="shared" ref="AI27:AI28" si="308">IF(AI20="","",AI20-AH20)</f>
        <v/>
      </c>
      <c r="AJ27" s="5" t="str">
        <f t="shared" ref="AJ27:AJ28" si="309">IF(AJ20="","",AJ20-AI20)</f>
        <v/>
      </c>
      <c r="AK27" s="5" t="str">
        <f t="shared" ref="AK27:AK28" si="310">IF(AK20="","",AK20-AJ20)</f>
        <v/>
      </c>
      <c r="AL27" s="5" t="str">
        <f t="shared" ref="AL27:AL28" si="311">IF(AL20="","",AL20-AK20)</f>
        <v/>
      </c>
      <c r="AM27" s="5" t="str">
        <f t="shared" ref="AM27:AM28" si="312">IF(AM20="","",AM20-AL20)</f>
        <v/>
      </c>
      <c r="AN27" s="5" t="str">
        <f t="shared" ref="AN27:AS27" si="313">IF(AN20="","",AN20-AM20)</f>
        <v/>
      </c>
      <c r="AO27" s="5" t="str">
        <f t="shared" si="313"/>
        <v/>
      </c>
      <c r="AP27" s="5" t="str">
        <f t="shared" si="313"/>
        <v/>
      </c>
      <c r="AQ27" s="5" t="str">
        <f t="shared" si="313"/>
        <v/>
      </c>
      <c r="AR27" s="5" t="str">
        <f t="shared" si="313"/>
        <v/>
      </c>
      <c r="AS27" s="5" t="str">
        <f t="shared" si="313"/>
        <v/>
      </c>
    </row>
    <row r="28" spans="1:45" s="84" customFormat="1" ht="11.25" x14ac:dyDescent="0.15">
      <c r="A28" s="7">
        <f>SUM(C28:AS28)</f>
        <v>1</v>
      </c>
      <c r="B28" s="6" t="s">
        <v>14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f t="shared" si="286"/>
        <v>0</v>
      </c>
      <c r="N28" s="5">
        <f t="shared" si="287"/>
        <v>0</v>
      </c>
      <c r="O28" s="5">
        <f t="shared" si="288"/>
        <v>0</v>
      </c>
      <c r="P28" s="5" t="str">
        <f t="shared" si="289"/>
        <v/>
      </c>
      <c r="Q28" s="5" t="str">
        <f t="shared" si="290"/>
        <v/>
      </c>
      <c r="R28" s="5" t="str">
        <f t="shared" si="291"/>
        <v/>
      </c>
      <c r="S28" s="5" t="str">
        <f t="shared" si="292"/>
        <v/>
      </c>
      <c r="T28" s="5" t="str">
        <f t="shared" si="293"/>
        <v/>
      </c>
      <c r="U28" s="5" t="str">
        <f t="shared" si="294"/>
        <v/>
      </c>
      <c r="V28" s="5" t="str">
        <f t="shared" si="295"/>
        <v/>
      </c>
      <c r="W28" s="5" t="str">
        <f t="shared" si="296"/>
        <v/>
      </c>
      <c r="X28" s="5" t="str">
        <f t="shared" si="297"/>
        <v/>
      </c>
      <c r="Y28" s="5" t="str">
        <f t="shared" si="298"/>
        <v/>
      </c>
      <c r="Z28" s="5" t="str">
        <f t="shared" si="299"/>
        <v/>
      </c>
      <c r="AA28" s="5" t="str">
        <f t="shared" si="300"/>
        <v/>
      </c>
      <c r="AB28" s="5" t="str">
        <f t="shared" si="301"/>
        <v/>
      </c>
      <c r="AC28" s="5" t="str">
        <f t="shared" si="302"/>
        <v/>
      </c>
      <c r="AD28" s="5" t="str">
        <f t="shared" si="303"/>
        <v/>
      </c>
      <c r="AE28" s="5" t="str">
        <f t="shared" si="304"/>
        <v/>
      </c>
      <c r="AF28" s="5" t="str">
        <f t="shared" si="305"/>
        <v/>
      </c>
      <c r="AG28" s="5" t="str">
        <f t="shared" si="306"/>
        <v/>
      </c>
      <c r="AH28" s="5" t="str">
        <f t="shared" si="307"/>
        <v/>
      </c>
      <c r="AI28" s="5" t="str">
        <f t="shared" si="308"/>
        <v/>
      </c>
      <c r="AJ28" s="5" t="str">
        <f t="shared" si="309"/>
        <v/>
      </c>
      <c r="AK28" s="5" t="str">
        <f t="shared" si="310"/>
        <v/>
      </c>
      <c r="AL28" s="5" t="str">
        <f t="shared" si="311"/>
        <v/>
      </c>
      <c r="AM28" s="5" t="str">
        <f t="shared" si="312"/>
        <v/>
      </c>
      <c r="AN28" s="5" t="str">
        <f t="shared" ref="AN28:AS28" si="314">IF(AN21="","",AN21-AM21)</f>
        <v/>
      </c>
      <c r="AO28" s="5" t="str">
        <f t="shared" si="314"/>
        <v/>
      </c>
      <c r="AP28" s="5" t="str">
        <f t="shared" si="314"/>
        <v/>
      </c>
      <c r="AQ28" s="5" t="str">
        <f t="shared" si="314"/>
        <v/>
      </c>
      <c r="AR28" s="5" t="str">
        <f t="shared" si="314"/>
        <v/>
      </c>
      <c r="AS28" s="5" t="str">
        <f t="shared" si="314"/>
        <v/>
      </c>
    </row>
    <row r="29" spans="1:45" s="84" customFormat="1" ht="11.25" x14ac:dyDescent="0.15">
      <c r="A29" s="7">
        <f>SUM(C29:AS29)</f>
        <v>0</v>
      </c>
      <c r="B29" s="6" t="s">
        <v>15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f t="shared" ref="M29" si="315">IF(M22="","",L22+L23-M22)</f>
        <v>0</v>
      </c>
      <c r="N29" s="5">
        <f t="shared" ref="N29" si="316">IF(N22="","",M22+M23-N22)</f>
        <v>0</v>
      </c>
      <c r="O29" s="5">
        <f t="shared" ref="O29" si="317">IF(O22="","",N22+N23-O22)</f>
        <v>0</v>
      </c>
      <c r="P29" s="5" t="str">
        <f t="shared" ref="P29" si="318">IF(P22="","",O22+O23-P22)</f>
        <v/>
      </c>
      <c r="Q29" s="5" t="str">
        <f t="shared" ref="Q29" si="319">IF(Q22="","",P22+P23-Q22)</f>
        <v/>
      </c>
      <c r="R29" s="5" t="str">
        <f t="shared" ref="R29" si="320">IF(R22="","",Q22+Q23-R22)</f>
        <v/>
      </c>
      <c r="S29" s="5" t="str">
        <f t="shared" ref="S29" si="321">IF(S22="","",R22+R23-S22)</f>
        <v/>
      </c>
      <c r="T29" s="5" t="str">
        <f t="shared" ref="T29" si="322">IF(T22="","",S22+S23-T22)</f>
        <v/>
      </c>
      <c r="U29" s="5" t="str">
        <f t="shared" ref="U29" si="323">IF(U22="","",T22+T23-U22)</f>
        <v/>
      </c>
      <c r="V29" s="5" t="str">
        <f t="shared" ref="V29" si="324">IF(V22="","",U22+U23-V22)</f>
        <v/>
      </c>
      <c r="W29" s="5" t="str">
        <f t="shared" ref="W29" si="325">IF(W22="","",V22+V23-W22)</f>
        <v/>
      </c>
      <c r="X29" s="5" t="str">
        <f t="shared" ref="X29" si="326">IF(X22="","",W22+W23-X22)</f>
        <v/>
      </c>
      <c r="Y29" s="5" t="str">
        <f t="shared" ref="Y29" si="327">IF(Y22="","",X22+X23-Y22)</f>
        <v/>
      </c>
      <c r="Z29" s="5" t="str">
        <f t="shared" ref="Z29" si="328">IF(Z22="","",Y22+Y23-Z22)</f>
        <v/>
      </c>
      <c r="AA29" s="5" t="str">
        <f t="shared" ref="AA29" si="329">IF(AA22="","",Z22+Z23-AA22)</f>
        <v/>
      </c>
      <c r="AB29" s="5" t="str">
        <f t="shared" ref="AB29" si="330">IF(AB22="","",AA22+AA23-AB22)</f>
        <v/>
      </c>
      <c r="AC29" s="5" t="str">
        <f t="shared" ref="AC29" si="331">IF(AC22="","",AB22+AB23-AC22)</f>
        <v/>
      </c>
      <c r="AD29" s="5" t="str">
        <f t="shared" ref="AD29" si="332">IF(AD22="","",AC22+AC23-AD22)</f>
        <v/>
      </c>
      <c r="AE29" s="5" t="str">
        <f t="shared" ref="AE29" si="333">IF(AE22="","",AD22+AD23-AE22)</f>
        <v/>
      </c>
      <c r="AF29" s="5" t="str">
        <f t="shared" ref="AF29" si="334">IF(AF22="","",AE22+AE23-AF22)</f>
        <v/>
      </c>
      <c r="AG29" s="5" t="str">
        <f t="shared" ref="AG29" si="335">IF(AG22="","",AF22+AF23-AG22)</f>
        <v/>
      </c>
      <c r="AH29" s="5" t="str">
        <f t="shared" ref="AH29" si="336">IF(AH22="","",AG22+AG23-AH22)</f>
        <v/>
      </c>
      <c r="AI29" s="5" t="str">
        <f t="shared" ref="AI29" si="337">IF(AI22="","",AH22+AH23-AI22)</f>
        <v/>
      </c>
      <c r="AJ29" s="5" t="str">
        <f t="shared" ref="AJ29" si="338">IF(AJ22="","",AI22+AI23-AJ22)</f>
        <v/>
      </c>
      <c r="AK29" s="5" t="str">
        <f t="shared" ref="AK29" si="339">IF(AK22="","",AJ22+AJ23-AK22)</f>
        <v/>
      </c>
      <c r="AL29" s="5" t="str">
        <f t="shared" ref="AL29" si="340">IF(AL22="","",AK22+AK23-AL22)</f>
        <v/>
      </c>
      <c r="AM29" s="5" t="str">
        <f t="shared" ref="AM29" si="341">IF(AM22="","",AL22+AL23-AM22)</f>
        <v/>
      </c>
      <c r="AN29" s="5" t="str">
        <f t="shared" ref="AN29:AS29" si="342">IF(AN22="","",AM22+AM23-AN22)</f>
        <v/>
      </c>
      <c r="AO29" s="5" t="str">
        <f t="shared" si="342"/>
        <v/>
      </c>
      <c r="AP29" s="5" t="str">
        <f t="shared" si="342"/>
        <v/>
      </c>
      <c r="AQ29" s="5" t="str">
        <f t="shared" si="342"/>
        <v/>
      </c>
      <c r="AR29" s="5" t="str">
        <f t="shared" si="342"/>
        <v/>
      </c>
      <c r="AS29" s="5" t="str">
        <f t="shared" si="342"/>
        <v/>
      </c>
    </row>
    <row r="30" spans="1:45" s="84" customFormat="1" ht="11.25" x14ac:dyDescent="0.15">
      <c r="A30" s="7">
        <f>SUM(C30:AS30)</f>
        <v>0</v>
      </c>
      <c r="B30" s="6" t="s">
        <v>16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f t="shared" ref="J30:AM30" si="343">IF(M20="","",M29*M24)</f>
        <v>0</v>
      </c>
      <c r="N30" s="5">
        <f t="shared" si="343"/>
        <v>0</v>
      </c>
      <c r="O30" s="5">
        <f t="shared" si="343"/>
        <v>0</v>
      </c>
      <c r="P30" s="5" t="str">
        <f t="shared" si="343"/>
        <v/>
      </c>
      <c r="Q30" s="5" t="str">
        <f t="shared" si="343"/>
        <v/>
      </c>
      <c r="R30" s="5" t="str">
        <f t="shared" si="343"/>
        <v/>
      </c>
      <c r="S30" s="5" t="str">
        <f t="shared" si="343"/>
        <v/>
      </c>
      <c r="T30" s="5" t="str">
        <f t="shared" si="343"/>
        <v/>
      </c>
      <c r="U30" s="5" t="str">
        <f t="shared" si="343"/>
        <v/>
      </c>
      <c r="V30" s="5" t="str">
        <f t="shared" si="343"/>
        <v/>
      </c>
      <c r="W30" s="5" t="str">
        <f t="shared" si="343"/>
        <v/>
      </c>
      <c r="X30" s="5" t="str">
        <f t="shared" si="343"/>
        <v/>
      </c>
      <c r="Y30" s="5" t="str">
        <f t="shared" si="343"/>
        <v/>
      </c>
      <c r="Z30" s="5" t="str">
        <f t="shared" si="343"/>
        <v/>
      </c>
      <c r="AA30" s="5" t="str">
        <f t="shared" si="343"/>
        <v/>
      </c>
      <c r="AB30" s="5" t="str">
        <f t="shared" si="343"/>
        <v/>
      </c>
      <c r="AC30" s="5" t="str">
        <f t="shared" si="343"/>
        <v/>
      </c>
      <c r="AD30" s="5" t="str">
        <f t="shared" si="343"/>
        <v/>
      </c>
      <c r="AE30" s="5" t="str">
        <f t="shared" si="343"/>
        <v/>
      </c>
      <c r="AF30" s="5" t="str">
        <f t="shared" si="343"/>
        <v/>
      </c>
      <c r="AG30" s="5" t="str">
        <f t="shared" si="343"/>
        <v/>
      </c>
      <c r="AH30" s="5" t="str">
        <f t="shared" si="343"/>
        <v/>
      </c>
      <c r="AI30" s="5" t="str">
        <f t="shared" si="343"/>
        <v/>
      </c>
      <c r="AJ30" s="5" t="str">
        <f t="shared" si="343"/>
        <v/>
      </c>
      <c r="AK30" s="5" t="str">
        <f t="shared" si="343"/>
        <v/>
      </c>
      <c r="AL30" s="5" t="str">
        <f t="shared" si="343"/>
        <v/>
      </c>
      <c r="AM30" s="5" t="str">
        <f t="shared" si="343"/>
        <v/>
      </c>
      <c r="AN30" s="5" t="str">
        <f t="shared" ref="AN30:AS30" si="344">IF(AN20="","",AN29*AN24)</f>
        <v/>
      </c>
      <c r="AO30" s="5" t="str">
        <f t="shared" si="344"/>
        <v/>
      </c>
      <c r="AP30" s="5" t="str">
        <f t="shared" si="344"/>
        <v/>
      </c>
      <c r="AQ30" s="5" t="str">
        <f t="shared" si="344"/>
        <v/>
      </c>
      <c r="AR30" s="5" t="str">
        <f t="shared" si="344"/>
        <v/>
      </c>
      <c r="AS30" s="5" t="str">
        <f t="shared" si="344"/>
        <v/>
      </c>
    </row>
    <row r="31" spans="1:45" s="84" customFormat="1" ht="12" thickBot="1" x14ac:dyDescent="0.2">
      <c r="A31" s="4">
        <f>IF(A30="","",A30/(A27*100))</f>
        <v>0</v>
      </c>
      <c r="B31" s="6" t="s">
        <v>18</v>
      </c>
      <c r="C31" s="18" t="s">
        <v>19</v>
      </c>
      <c r="D31" s="18" t="s">
        <v>19</v>
      </c>
      <c r="E31" s="18" t="s">
        <v>19</v>
      </c>
      <c r="F31" s="18" t="s">
        <v>19</v>
      </c>
      <c r="G31" s="18" t="s">
        <v>19</v>
      </c>
      <c r="H31" s="18" t="s">
        <v>19</v>
      </c>
      <c r="I31" s="18" t="s">
        <v>19</v>
      </c>
      <c r="J31" s="18" t="s">
        <v>19</v>
      </c>
      <c r="K31" s="18" t="s">
        <v>19</v>
      </c>
      <c r="L31" s="18" t="s">
        <v>19</v>
      </c>
      <c r="M31" s="18" t="str">
        <f t="shared" ref="J31:AM31" si="345">IF(M30="","",IF(M30=0,"",M30/(M27*100)))</f>
        <v/>
      </c>
      <c r="N31" s="18" t="str">
        <f t="shared" si="345"/>
        <v/>
      </c>
      <c r="O31" s="18" t="str">
        <f t="shared" si="345"/>
        <v/>
      </c>
      <c r="P31" s="18" t="str">
        <f t="shared" si="345"/>
        <v/>
      </c>
      <c r="Q31" s="18" t="str">
        <f t="shared" si="345"/>
        <v/>
      </c>
      <c r="R31" s="18" t="str">
        <f t="shared" si="345"/>
        <v/>
      </c>
      <c r="S31" s="18" t="str">
        <f t="shared" si="345"/>
        <v/>
      </c>
      <c r="T31" s="18" t="str">
        <f t="shared" si="345"/>
        <v/>
      </c>
      <c r="U31" s="18" t="str">
        <f t="shared" si="345"/>
        <v/>
      </c>
      <c r="V31" s="18" t="str">
        <f t="shared" si="345"/>
        <v/>
      </c>
      <c r="W31" s="18" t="str">
        <f t="shared" si="345"/>
        <v/>
      </c>
      <c r="X31" s="18" t="str">
        <f t="shared" si="345"/>
        <v/>
      </c>
      <c r="Y31" s="18" t="str">
        <f t="shared" si="345"/>
        <v/>
      </c>
      <c r="Z31" s="18" t="str">
        <f t="shared" si="345"/>
        <v/>
      </c>
      <c r="AA31" s="18" t="str">
        <f t="shared" si="345"/>
        <v/>
      </c>
      <c r="AB31" s="18" t="str">
        <f t="shared" si="345"/>
        <v/>
      </c>
      <c r="AC31" s="18" t="str">
        <f t="shared" si="345"/>
        <v/>
      </c>
      <c r="AD31" s="18" t="str">
        <f t="shared" si="345"/>
        <v/>
      </c>
      <c r="AE31" s="18" t="str">
        <f t="shared" si="345"/>
        <v/>
      </c>
      <c r="AF31" s="18" t="str">
        <f t="shared" si="345"/>
        <v/>
      </c>
      <c r="AG31" s="18" t="str">
        <f t="shared" si="345"/>
        <v/>
      </c>
      <c r="AH31" s="18" t="str">
        <f t="shared" si="345"/>
        <v/>
      </c>
      <c r="AI31" s="18" t="str">
        <f t="shared" si="345"/>
        <v/>
      </c>
      <c r="AJ31" s="18" t="str">
        <f t="shared" si="345"/>
        <v/>
      </c>
      <c r="AK31" s="18" t="str">
        <f t="shared" si="345"/>
        <v/>
      </c>
      <c r="AL31" s="18" t="str">
        <f t="shared" si="345"/>
        <v/>
      </c>
      <c r="AM31" s="18" t="str">
        <f t="shared" si="345"/>
        <v/>
      </c>
      <c r="AN31" s="18" t="str">
        <f t="shared" ref="AN31:AS31" si="346">IF(AN30="","",IF(AN30=0,"",AN30/(AN27*100)))</f>
        <v/>
      </c>
      <c r="AO31" s="18" t="str">
        <f t="shared" si="346"/>
        <v/>
      </c>
      <c r="AP31" s="18" t="str">
        <f t="shared" si="346"/>
        <v/>
      </c>
      <c r="AQ31" s="18" t="str">
        <f t="shared" si="346"/>
        <v/>
      </c>
      <c r="AR31" s="18" t="str">
        <f t="shared" si="346"/>
        <v/>
      </c>
      <c r="AS31" s="18" t="str">
        <f t="shared" si="346"/>
        <v/>
      </c>
    </row>
    <row r="32" spans="1:45" s="84" customFormat="1" ht="11.25" x14ac:dyDescent="0.15">
      <c r="A32" s="17" t="s">
        <v>83</v>
      </c>
      <c r="B32" s="9" t="s">
        <v>2</v>
      </c>
      <c r="C32" s="8">
        <v>36998</v>
      </c>
      <c r="D32" s="8">
        <v>36998</v>
      </c>
      <c r="E32" s="8">
        <v>37018</v>
      </c>
      <c r="F32" s="8">
        <v>37018</v>
      </c>
      <c r="G32" s="8">
        <v>37018</v>
      </c>
      <c r="H32" s="8">
        <v>37079</v>
      </c>
      <c r="I32" s="8">
        <v>37079</v>
      </c>
      <c r="J32" s="8">
        <v>37079</v>
      </c>
      <c r="K32" s="8">
        <v>37079</v>
      </c>
      <c r="L32" s="8">
        <v>37087</v>
      </c>
      <c r="M32" s="8">
        <f t="shared" ref="M32:M33" si="347">IF(M$8="","",L32)</f>
        <v>37087</v>
      </c>
      <c r="N32" s="8">
        <f t="shared" ref="N32:N33" si="348">IF(N$8="","",M32)</f>
        <v>37087</v>
      </c>
      <c r="O32" s="8">
        <v>37102</v>
      </c>
      <c r="P32" s="8" t="str">
        <f>IF(P$8="","",O32)</f>
        <v/>
      </c>
      <c r="Q32" s="8" t="str">
        <f t="shared" ref="Q32:Q33" si="349">IF(Q$8="","",P32)</f>
        <v/>
      </c>
      <c r="R32" s="8" t="str">
        <f t="shared" ref="R32:R33" si="350">IF(R$8="","",Q32)</f>
        <v/>
      </c>
      <c r="S32" s="8" t="str">
        <f>IF(S$8="","",R32)</f>
        <v/>
      </c>
      <c r="T32" s="8" t="str">
        <f t="shared" ref="T32:T33" si="351">IF(T$8="","",S32)</f>
        <v/>
      </c>
      <c r="U32" s="8" t="str">
        <f t="shared" ref="U32:U33" si="352">IF(U$8="","",T32)</f>
        <v/>
      </c>
      <c r="V32" s="8" t="str">
        <f>IF(V$8="","",U32)</f>
        <v/>
      </c>
      <c r="W32" s="8" t="str">
        <f t="shared" ref="W32:W33" si="353">IF(W$8="","",V32)</f>
        <v/>
      </c>
      <c r="X32" s="8" t="str">
        <f t="shared" ref="X32:X33" si="354">IF(X$8="","",W32)</f>
        <v/>
      </c>
      <c r="Y32" s="8" t="str">
        <f t="shared" ref="Y32:Y33" si="355">IF(Y$8="","",X32)</f>
        <v/>
      </c>
      <c r="Z32" s="8" t="str">
        <f>IF(Z$8="","",Y32)</f>
        <v/>
      </c>
      <c r="AA32" s="8" t="str">
        <f t="shared" ref="AA32:AA33" si="356">IF(AA$8="","",Z32)</f>
        <v/>
      </c>
      <c r="AB32" s="8" t="str">
        <f t="shared" ref="AB32:AB33" si="357">IF(AB$8="","",AA32)</f>
        <v/>
      </c>
      <c r="AC32" s="8" t="str">
        <f t="shared" ref="AC32:AC33" si="358">IF(AC$8="","",AB32)</f>
        <v/>
      </c>
      <c r="AD32" s="8" t="str">
        <f>IF(AD$8="","",AC32)</f>
        <v/>
      </c>
      <c r="AE32" s="8" t="str">
        <f t="shared" ref="AE32:AE33" si="359">IF(AE$8="","",AD32)</f>
        <v/>
      </c>
      <c r="AF32" s="8" t="str">
        <f t="shared" ref="AF32:AF33" si="360">IF(AF$8="","",AE32)</f>
        <v/>
      </c>
      <c r="AG32" s="8" t="str">
        <f>IF(AG$8="","",AF32)</f>
        <v/>
      </c>
      <c r="AH32" s="8" t="str">
        <f t="shared" ref="AH32:AH33" si="361">IF(AH$8="","",AG32)</f>
        <v/>
      </c>
      <c r="AI32" s="8" t="str">
        <f t="shared" ref="AI32:AI33" si="362">IF(AI$8="","",AH32)</f>
        <v/>
      </c>
      <c r="AJ32" s="8" t="str">
        <f>IF(AJ$8="","",AI32)</f>
        <v/>
      </c>
      <c r="AK32" s="8" t="str">
        <f t="shared" ref="AK32:AK33" si="363">IF(AK$8="","",AJ32)</f>
        <v/>
      </c>
      <c r="AL32" s="8" t="str">
        <f t="shared" ref="AL32:AL33" si="364">IF(AL$8="","",AK32)</f>
        <v/>
      </c>
      <c r="AM32" s="8" t="str">
        <f t="shared" ref="AM32:AM33" si="365">IF(AM$8="","",AL32)</f>
        <v/>
      </c>
      <c r="AN32" s="8" t="str">
        <f>IF(AN$8="","",AM32)</f>
        <v/>
      </c>
      <c r="AO32" s="8" t="str">
        <f t="shared" ref="AN32:AS32" si="366">IF(AO$8="","",AN32)</f>
        <v/>
      </c>
      <c r="AP32" s="8" t="str">
        <f t="shared" si="366"/>
        <v/>
      </c>
      <c r="AQ32" s="8" t="str">
        <f t="shared" si="366"/>
        <v/>
      </c>
      <c r="AR32" s="8" t="str">
        <f t="shared" si="366"/>
        <v/>
      </c>
      <c r="AS32" s="8" t="str">
        <f t="shared" si="366"/>
        <v/>
      </c>
    </row>
    <row r="33" spans="1:45" s="84" customFormat="1" ht="11.25" x14ac:dyDescent="0.15">
      <c r="A33" s="16" t="s">
        <v>3</v>
      </c>
      <c r="B33" s="9" t="s">
        <v>4</v>
      </c>
      <c r="C33" s="8">
        <v>1659</v>
      </c>
      <c r="D33" s="8">
        <v>1659</v>
      </c>
      <c r="E33" s="8">
        <v>1661</v>
      </c>
      <c r="F33" s="8">
        <v>1661</v>
      </c>
      <c r="G33" s="8">
        <v>1661</v>
      </c>
      <c r="H33" s="8">
        <v>1663</v>
      </c>
      <c r="I33" s="8">
        <v>1663</v>
      </c>
      <c r="J33" s="8">
        <v>1663</v>
      </c>
      <c r="K33" s="8">
        <v>1663</v>
      </c>
      <c r="L33" s="8">
        <v>1663</v>
      </c>
      <c r="M33" s="8">
        <f t="shared" si="347"/>
        <v>1663</v>
      </c>
      <c r="N33" s="8">
        <f t="shared" si="348"/>
        <v>1663</v>
      </c>
      <c r="O33" s="8">
        <v>1664</v>
      </c>
      <c r="P33" s="8" t="str">
        <f>IF(P$8="","",O33)</f>
        <v/>
      </c>
      <c r="Q33" s="8" t="str">
        <f t="shared" si="349"/>
        <v/>
      </c>
      <c r="R33" s="8" t="str">
        <f t="shared" si="350"/>
        <v/>
      </c>
      <c r="S33" s="8" t="str">
        <f>IF(S$8="","",R33)</f>
        <v/>
      </c>
      <c r="T33" s="8" t="str">
        <f t="shared" si="351"/>
        <v/>
      </c>
      <c r="U33" s="8" t="str">
        <f t="shared" si="352"/>
        <v/>
      </c>
      <c r="V33" s="8" t="str">
        <f>IF(V$8="","",U33)</f>
        <v/>
      </c>
      <c r="W33" s="8" t="str">
        <f t="shared" si="353"/>
        <v/>
      </c>
      <c r="X33" s="8" t="str">
        <f t="shared" si="354"/>
        <v/>
      </c>
      <c r="Y33" s="8" t="str">
        <f t="shared" si="355"/>
        <v/>
      </c>
      <c r="Z33" s="8" t="str">
        <f>IF(Z$8="","",Y33)</f>
        <v/>
      </c>
      <c r="AA33" s="8" t="str">
        <f t="shared" si="356"/>
        <v/>
      </c>
      <c r="AB33" s="8" t="str">
        <f t="shared" si="357"/>
        <v/>
      </c>
      <c r="AC33" s="8" t="str">
        <f t="shared" si="358"/>
        <v/>
      </c>
      <c r="AD33" s="8" t="str">
        <f>IF(AD$8="","",AC33)</f>
        <v/>
      </c>
      <c r="AE33" s="8" t="str">
        <f t="shared" si="359"/>
        <v/>
      </c>
      <c r="AF33" s="8" t="str">
        <f t="shared" si="360"/>
        <v/>
      </c>
      <c r="AG33" s="8" t="str">
        <f>IF(AG$8="","",AF33)</f>
        <v/>
      </c>
      <c r="AH33" s="8" t="str">
        <f t="shared" si="361"/>
        <v/>
      </c>
      <c r="AI33" s="8" t="str">
        <f t="shared" si="362"/>
        <v/>
      </c>
      <c r="AJ33" s="8" t="str">
        <f>IF(AJ$8="","",AI33)</f>
        <v/>
      </c>
      <c r="AK33" s="8" t="str">
        <f>IF(AK$8="","",AJ33)</f>
        <v/>
      </c>
      <c r="AL33" s="8" t="str">
        <f t="shared" si="364"/>
        <v/>
      </c>
      <c r="AM33" s="8" t="str">
        <f t="shared" si="365"/>
        <v/>
      </c>
      <c r="AN33" s="8" t="str">
        <f t="shared" ref="AN33:AS33" si="367">IF(AN$8="","",AM33)</f>
        <v/>
      </c>
      <c r="AO33" s="8" t="str">
        <f t="shared" si="367"/>
        <v/>
      </c>
      <c r="AP33" s="8" t="str">
        <f t="shared" si="367"/>
        <v/>
      </c>
      <c r="AQ33" s="8" t="str">
        <f t="shared" si="367"/>
        <v/>
      </c>
      <c r="AR33" s="8" t="str">
        <f t="shared" si="367"/>
        <v/>
      </c>
      <c r="AS33" s="8" t="str">
        <f t="shared" si="367"/>
        <v/>
      </c>
    </row>
    <row r="34" spans="1:45" s="84" customFormat="1" ht="11.25" x14ac:dyDescent="0.15">
      <c r="A34" s="15">
        <v>3</v>
      </c>
      <c r="B34" s="9" t="s">
        <v>5</v>
      </c>
      <c r="C34" s="8">
        <v>26</v>
      </c>
      <c r="D34" s="8">
        <v>26</v>
      </c>
      <c r="E34" s="8">
        <v>38</v>
      </c>
      <c r="F34" s="8">
        <v>38</v>
      </c>
      <c r="G34" s="8">
        <v>38</v>
      </c>
      <c r="H34" s="8">
        <v>36</v>
      </c>
      <c r="I34" s="8">
        <v>36</v>
      </c>
      <c r="J34" s="8">
        <v>36</v>
      </c>
      <c r="K34" s="8">
        <v>36</v>
      </c>
      <c r="L34" s="8">
        <v>36</v>
      </c>
      <c r="M34" s="8">
        <f t="shared" ref="M34" si="368">IF(M32="","",(L34+L35))</f>
        <v>36</v>
      </c>
      <c r="N34" s="8">
        <f t="shared" ref="N34" si="369">IF(N32="","",(M34+M35))</f>
        <v>36</v>
      </c>
      <c r="O34" s="8">
        <v>35</v>
      </c>
      <c r="P34" s="8" t="str">
        <f>IF(P32="","",(O34+O35))</f>
        <v/>
      </c>
      <c r="Q34" s="8" t="str">
        <f t="shared" ref="Q34" si="370">IF(Q32="","",(P34+P35))</f>
        <v/>
      </c>
      <c r="R34" s="8" t="str">
        <f t="shared" ref="R34" si="371">IF(R32="","",(Q34+Q35))</f>
        <v/>
      </c>
      <c r="S34" s="8" t="str">
        <f>IF(S32="","",(R34+R35))</f>
        <v/>
      </c>
      <c r="T34" s="8" t="str">
        <f t="shared" ref="T34" si="372">IF(T32="","",(S34+S35))</f>
        <v/>
      </c>
      <c r="U34" s="8" t="str">
        <f t="shared" ref="U34" si="373">IF(U32="","",(T34+T35))</f>
        <v/>
      </c>
      <c r="V34" s="8" t="str">
        <f>IF(V32="","",(U34+U35))</f>
        <v/>
      </c>
      <c r="W34" s="8" t="str">
        <f t="shared" ref="W34" si="374">IF(W32="","",(V34+V35))</f>
        <v/>
      </c>
      <c r="X34" s="8" t="str">
        <f t="shared" ref="X34" si="375">IF(X32="","",(W34+W35))</f>
        <v/>
      </c>
      <c r="Y34" s="8" t="str">
        <f t="shared" ref="Y34" si="376">IF(Y32="","",(X34+X35))</f>
        <v/>
      </c>
      <c r="Z34" s="8" t="str">
        <f>IF(Z32="","",(Y34+Y35))</f>
        <v/>
      </c>
      <c r="AA34" s="8" t="str">
        <f t="shared" ref="AA34" si="377">IF(AA32="","",(Z34+Z35))</f>
        <v/>
      </c>
      <c r="AB34" s="8" t="str">
        <f t="shared" ref="AB34" si="378">IF(AB32="","",(AA34+AA35))</f>
        <v/>
      </c>
      <c r="AC34" s="8" t="str">
        <f t="shared" ref="AC34" si="379">IF(AC32="","",(AB34+AB35))</f>
        <v/>
      </c>
      <c r="AD34" s="8" t="str">
        <f>IF(AD32="","",(AC34+AC35))</f>
        <v/>
      </c>
      <c r="AE34" s="8" t="str">
        <f t="shared" ref="AE34" si="380">IF(AE32="","",(AD34+AD35))</f>
        <v/>
      </c>
      <c r="AF34" s="8" t="str">
        <f t="shared" ref="AF34" si="381">IF(AF32="","",(AE34+AE35))</f>
        <v/>
      </c>
      <c r="AG34" s="8" t="str">
        <f>IF(AG32="","",(AF34+AF35))</f>
        <v/>
      </c>
      <c r="AH34" s="8" t="str">
        <f t="shared" ref="AH34" si="382">IF(AH32="","",(AG34+AG35))</f>
        <v/>
      </c>
      <c r="AI34" s="8" t="str">
        <f t="shared" ref="AI34" si="383">IF(AI32="","",(AH34+AH35))</f>
        <v/>
      </c>
      <c r="AJ34" s="8" t="str">
        <f>IF(AJ32="","",(AI34+AI35))</f>
        <v/>
      </c>
      <c r="AK34" s="8" t="str">
        <f t="shared" ref="AK34" si="384">IF(AK32="","",(AJ34+AJ35))</f>
        <v/>
      </c>
      <c r="AL34" s="8" t="str">
        <f t="shared" ref="AL34" si="385">IF(AL32="","",(AK34+AK35))</f>
        <v/>
      </c>
      <c r="AM34" s="8" t="str">
        <f t="shared" ref="AM34" si="386">IF(AM32="","",(AL34+AL35))</f>
        <v/>
      </c>
      <c r="AN34" s="8" t="str">
        <f t="shared" ref="AN34:AS34" si="387">IF(AN32="","",(AM34+AM35))</f>
        <v/>
      </c>
      <c r="AO34" s="8" t="str">
        <f t="shared" si="387"/>
        <v/>
      </c>
      <c r="AP34" s="8" t="str">
        <f t="shared" si="387"/>
        <v/>
      </c>
      <c r="AQ34" s="8" t="str">
        <f t="shared" si="387"/>
        <v/>
      </c>
      <c r="AR34" s="8" t="str">
        <f t="shared" si="387"/>
        <v/>
      </c>
      <c r="AS34" s="8" t="str">
        <f t="shared" si="387"/>
        <v/>
      </c>
    </row>
    <row r="35" spans="1:45" s="84" customFormat="1" ht="11.25" x14ac:dyDescent="0.15">
      <c r="A35" s="14"/>
      <c r="B35" s="9" t="s">
        <v>7</v>
      </c>
      <c r="C35" s="8"/>
      <c r="D35" s="8">
        <v>12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</row>
    <row r="36" spans="1:45" s="84" customFormat="1" ht="11.25" x14ac:dyDescent="0.15">
      <c r="A36" s="7"/>
      <c r="B36" s="9" t="s">
        <v>8</v>
      </c>
      <c r="C36" s="8">
        <v>360</v>
      </c>
      <c r="D36" s="8">
        <v>360</v>
      </c>
      <c r="E36" s="8">
        <v>360</v>
      </c>
      <c r="F36" s="8">
        <v>360</v>
      </c>
      <c r="G36" s="8">
        <v>360</v>
      </c>
      <c r="H36" s="8">
        <v>360</v>
      </c>
      <c r="I36" s="8">
        <v>360</v>
      </c>
      <c r="J36" s="8">
        <v>360</v>
      </c>
      <c r="K36" s="8">
        <v>360</v>
      </c>
      <c r="L36" s="8">
        <v>360</v>
      </c>
      <c r="M36" s="8">
        <f t="shared" ref="M36" si="388">IF(M32="","",L36)</f>
        <v>360</v>
      </c>
      <c r="N36" s="8">
        <f t="shared" ref="N36" si="389">IF(N32="","",M36)</f>
        <v>360</v>
      </c>
      <c r="O36" s="8">
        <f t="shared" ref="O36" si="390">IF(O32="","",N36)</f>
        <v>360</v>
      </c>
      <c r="P36" s="8" t="str">
        <f t="shared" ref="P36" si="391">IF(P32="","",O36)</f>
        <v/>
      </c>
      <c r="Q36" s="8" t="str">
        <f t="shared" ref="Q36" si="392">IF(Q32="","",P36)</f>
        <v/>
      </c>
      <c r="R36" s="8" t="str">
        <f t="shared" ref="R36" si="393">IF(R32="","",Q36)</f>
        <v/>
      </c>
      <c r="S36" s="8" t="str">
        <f t="shared" ref="S36" si="394">IF(S32="","",R36)</f>
        <v/>
      </c>
      <c r="T36" s="8" t="str">
        <f t="shared" ref="T36" si="395">IF(T32="","",S36)</f>
        <v/>
      </c>
      <c r="U36" s="8" t="str">
        <f t="shared" ref="U36" si="396">IF(U32="","",T36)</f>
        <v/>
      </c>
      <c r="V36" s="8" t="str">
        <f t="shared" ref="V36" si="397">IF(V32="","",U36)</f>
        <v/>
      </c>
      <c r="W36" s="8" t="str">
        <f t="shared" ref="W36" si="398">IF(W32="","",V36)</f>
        <v/>
      </c>
      <c r="X36" s="8" t="str">
        <f t="shared" ref="X36" si="399">IF(X32="","",W36)</f>
        <v/>
      </c>
      <c r="Y36" s="8" t="str">
        <f t="shared" ref="Y36" si="400">IF(Y32="","",X36)</f>
        <v/>
      </c>
      <c r="Z36" s="8" t="str">
        <f t="shared" ref="Z36" si="401">IF(Z32="","",Y36)</f>
        <v/>
      </c>
      <c r="AA36" s="8" t="str">
        <f t="shared" ref="AA36" si="402">IF(AA32="","",Z36)</f>
        <v/>
      </c>
      <c r="AB36" s="8" t="str">
        <f t="shared" ref="AB36" si="403">IF(AB32="","",AA36)</f>
        <v/>
      </c>
      <c r="AC36" s="8" t="str">
        <f t="shared" ref="AC36" si="404">IF(AC32="","",AB36)</f>
        <v/>
      </c>
      <c r="AD36" s="8" t="str">
        <f t="shared" ref="AD36" si="405">IF(AD32="","",AC36)</f>
        <v/>
      </c>
      <c r="AE36" s="8" t="str">
        <f t="shared" ref="AE36" si="406">IF(AE32="","",AD36)</f>
        <v/>
      </c>
      <c r="AF36" s="8" t="str">
        <f t="shared" ref="AF36" si="407">IF(AF32="","",AE36)</f>
        <v/>
      </c>
      <c r="AG36" s="8" t="str">
        <f t="shared" ref="AG36" si="408">IF(AG32="","",AF36)</f>
        <v/>
      </c>
      <c r="AH36" s="8" t="str">
        <f t="shared" ref="AH36" si="409">IF(AH32="","",AG36)</f>
        <v/>
      </c>
      <c r="AI36" s="8" t="str">
        <f t="shared" ref="AI36" si="410">IF(AI32="","",AH36)</f>
        <v/>
      </c>
      <c r="AJ36" s="8" t="str">
        <f t="shared" ref="AJ36" si="411">IF(AJ32="","",AI36)</f>
        <v/>
      </c>
      <c r="AK36" s="8" t="str">
        <f t="shared" ref="AK36" si="412">IF(AK32="","",AJ36)</f>
        <v/>
      </c>
      <c r="AL36" s="8" t="str">
        <f t="shared" ref="AL36" si="413">IF(AL32="","",AK36)</f>
        <v/>
      </c>
      <c r="AM36" s="8" t="str">
        <f t="shared" ref="AM36" si="414">IF(AM32="","",AL36)</f>
        <v/>
      </c>
      <c r="AN36" s="8" t="str">
        <f t="shared" ref="AN36:AS36" si="415">IF(AN32="","",AM36)</f>
        <v/>
      </c>
      <c r="AO36" s="8" t="str">
        <f t="shared" si="415"/>
        <v/>
      </c>
      <c r="AP36" s="8" t="str">
        <f t="shared" si="415"/>
        <v/>
      </c>
      <c r="AQ36" s="8" t="str">
        <f t="shared" si="415"/>
        <v/>
      </c>
      <c r="AR36" s="8" t="str">
        <f t="shared" si="415"/>
        <v/>
      </c>
      <c r="AS36" s="8" t="str">
        <f t="shared" si="415"/>
        <v/>
      </c>
    </row>
    <row r="37" spans="1:45" s="85" customFormat="1" ht="11.25" x14ac:dyDescent="0.15">
      <c r="A37" s="14" t="s">
        <v>9</v>
      </c>
      <c r="B37" s="13" t="s">
        <v>10</v>
      </c>
      <c r="C37" s="12" t="s">
        <v>85</v>
      </c>
      <c r="D37" s="12" t="s">
        <v>85</v>
      </c>
      <c r="E37" s="12" t="s">
        <v>85</v>
      </c>
      <c r="F37" s="12" t="s">
        <v>85</v>
      </c>
      <c r="G37" s="12" t="s">
        <v>85</v>
      </c>
      <c r="H37" s="12" t="s">
        <v>85</v>
      </c>
      <c r="I37" s="12" t="s">
        <v>85</v>
      </c>
      <c r="J37" s="12" t="s">
        <v>85</v>
      </c>
      <c r="K37" s="12" t="s">
        <v>85</v>
      </c>
      <c r="L37" s="12" t="s">
        <v>85</v>
      </c>
      <c r="M37" s="12" t="str">
        <f t="shared" ref="M37" si="416">IF(M32="","",L37)</f>
        <v>　サンリオブレスレット</v>
      </c>
      <c r="N37" s="12" t="str">
        <f t="shared" ref="N37" si="417">IF(N32="","",M37)</f>
        <v>　サンリオブレスレット</v>
      </c>
      <c r="O37" s="12" t="str">
        <f t="shared" ref="O37" si="418">IF(O32="","",N37)</f>
        <v>　サンリオブレスレット</v>
      </c>
      <c r="P37" s="12" t="str">
        <f t="shared" ref="P37" si="419">IF(P32="","",O37)</f>
        <v/>
      </c>
      <c r="Q37" s="12" t="str">
        <f t="shared" ref="Q37" si="420">IF(Q32="","",P37)</f>
        <v/>
      </c>
      <c r="R37" s="12" t="str">
        <f t="shared" ref="R37" si="421">IF(R32="","",Q37)</f>
        <v/>
      </c>
      <c r="S37" s="12" t="str">
        <f t="shared" ref="S37" si="422">IF(S32="","",R37)</f>
        <v/>
      </c>
      <c r="T37" s="12" t="str">
        <f t="shared" ref="T37" si="423">IF(T32="","",S37)</f>
        <v/>
      </c>
      <c r="U37" s="12" t="str">
        <f t="shared" ref="U37" si="424">IF(U32="","",T37)</f>
        <v/>
      </c>
      <c r="V37" s="12" t="str">
        <f t="shared" ref="V37" si="425">IF(V32="","",U37)</f>
        <v/>
      </c>
      <c r="W37" s="12" t="str">
        <f t="shared" ref="W37" si="426">IF(W32="","",V37)</f>
        <v/>
      </c>
      <c r="X37" s="12" t="str">
        <f t="shared" ref="X37" si="427">IF(X32="","",W37)</f>
        <v/>
      </c>
      <c r="Y37" s="12" t="str">
        <f t="shared" ref="Y37" si="428">IF(Y32="","",X37)</f>
        <v/>
      </c>
      <c r="Z37" s="12" t="str">
        <f t="shared" ref="Z37" si="429">IF(Z32="","",Y37)</f>
        <v/>
      </c>
      <c r="AA37" s="12" t="str">
        <f t="shared" ref="AA37" si="430">IF(AA32="","",Z37)</f>
        <v/>
      </c>
      <c r="AB37" s="12" t="str">
        <f t="shared" ref="AB37" si="431">IF(AB32="","",AA37)</f>
        <v/>
      </c>
      <c r="AC37" s="12" t="str">
        <f t="shared" ref="AC37" si="432">IF(AC32="","",AB37)</f>
        <v/>
      </c>
      <c r="AD37" s="12" t="str">
        <f t="shared" ref="AD37" si="433">IF(AD32="","",AC37)</f>
        <v/>
      </c>
      <c r="AE37" s="12" t="str">
        <f t="shared" ref="AE37" si="434">IF(AE32="","",AD37)</f>
        <v/>
      </c>
      <c r="AF37" s="12" t="str">
        <f t="shared" ref="AF37" si="435">IF(AF32="","",AE37)</f>
        <v/>
      </c>
      <c r="AG37" s="12" t="str">
        <f t="shared" ref="AG37" si="436">IF(AG32="","",AF37)</f>
        <v/>
      </c>
      <c r="AH37" s="12" t="str">
        <f t="shared" ref="AH37" si="437">IF(AH32="","",AG37)</f>
        <v/>
      </c>
      <c r="AI37" s="12" t="str">
        <f t="shared" ref="AI37" si="438">IF(AI32="","",AH37)</f>
        <v/>
      </c>
      <c r="AJ37" s="12" t="str">
        <f t="shared" ref="AJ37" si="439">IF(AJ32="","",AI37)</f>
        <v/>
      </c>
      <c r="AK37" s="12" t="str">
        <f t="shared" ref="AK37" si="440">IF(AK32="","",AJ37)</f>
        <v/>
      </c>
      <c r="AL37" s="12" t="str">
        <f t="shared" ref="AL37" si="441">IF(AL32="","",AK37)</f>
        <v/>
      </c>
      <c r="AM37" s="12" t="str">
        <f t="shared" ref="AM37" si="442">IF(AM32="","",AL37)</f>
        <v/>
      </c>
      <c r="AN37" s="12" t="str">
        <f t="shared" ref="AN37:AS37" si="443">IF(AN32="","",AM37)</f>
        <v/>
      </c>
      <c r="AO37" s="12" t="str">
        <f t="shared" si="443"/>
        <v/>
      </c>
      <c r="AP37" s="12" t="str">
        <f t="shared" si="443"/>
        <v/>
      </c>
      <c r="AQ37" s="12" t="str">
        <f t="shared" si="443"/>
        <v/>
      </c>
      <c r="AR37" s="12" t="str">
        <f t="shared" si="443"/>
        <v/>
      </c>
      <c r="AS37" s="12" t="str">
        <f t="shared" si="443"/>
        <v/>
      </c>
    </row>
    <row r="38" spans="1:45" s="84" customFormat="1" ht="11.25" x14ac:dyDescent="0.15">
      <c r="A38" s="7">
        <f>AVERAGE(C39:AS39)*30*100</f>
        <v>24000</v>
      </c>
      <c r="B38" s="9" t="s">
        <v>12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1:45" s="84" customFormat="1" ht="11.25" x14ac:dyDescent="0.15">
      <c r="A39" s="7">
        <f>SUM(C39:AS39)</f>
        <v>104</v>
      </c>
      <c r="B39" s="6" t="s">
        <v>13</v>
      </c>
      <c r="C39" s="5">
        <v>0</v>
      </c>
      <c r="D39" s="5">
        <v>0</v>
      </c>
      <c r="E39" s="5">
        <v>20</v>
      </c>
      <c r="F39" s="5">
        <v>0</v>
      </c>
      <c r="G39" s="5">
        <v>0</v>
      </c>
      <c r="H39" s="5">
        <v>61</v>
      </c>
      <c r="I39" s="5">
        <v>0</v>
      </c>
      <c r="J39" s="5">
        <v>0</v>
      </c>
      <c r="K39" s="5">
        <v>0</v>
      </c>
      <c r="L39" s="5">
        <v>8</v>
      </c>
      <c r="M39" s="5">
        <f t="shared" ref="M39:M40" si="444">IF(M32="","",M32-L32)</f>
        <v>0</v>
      </c>
      <c r="N39" s="5">
        <f t="shared" ref="N39:N40" si="445">IF(N32="","",N32-M32)</f>
        <v>0</v>
      </c>
      <c r="O39" s="5">
        <f t="shared" ref="O39:O40" si="446">IF(O32="","",O32-N32)</f>
        <v>15</v>
      </c>
      <c r="P39" s="5" t="str">
        <f t="shared" ref="P39:P40" si="447">IF(P32="","",P32-O32)</f>
        <v/>
      </c>
      <c r="Q39" s="5" t="str">
        <f t="shared" ref="Q39:Q40" si="448">IF(Q32="","",Q32-P32)</f>
        <v/>
      </c>
      <c r="R39" s="5" t="str">
        <f t="shared" ref="R39:R40" si="449">IF(R32="","",R32-Q32)</f>
        <v/>
      </c>
      <c r="S39" s="5" t="str">
        <f t="shared" ref="S39:S40" si="450">IF(S32="","",S32-R32)</f>
        <v/>
      </c>
      <c r="T39" s="5" t="str">
        <f t="shared" ref="T39:T40" si="451">IF(T32="","",T32-S32)</f>
        <v/>
      </c>
      <c r="U39" s="5" t="str">
        <f t="shared" ref="U39:U40" si="452">IF(U32="","",U32-T32)</f>
        <v/>
      </c>
      <c r="V39" s="5" t="str">
        <f t="shared" ref="V39:V40" si="453">IF(V32="","",V32-U32)</f>
        <v/>
      </c>
      <c r="W39" s="5" t="str">
        <f t="shared" ref="W39:W40" si="454">IF(W32="","",W32-V32)</f>
        <v/>
      </c>
      <c r="X39" s="5" t="str">
        <f t="shared" ref="X39:X40" si="455">IF(X32="","",X32-W32)</f>
        <v/>
      </c>
      <c r="Y39" s="5" t="str">
        <f t="shared" ref="Y39:Y40" si="456">IF(Y32="","",Y32-X32)</f>
        <v/>
      </c>
      <c r="Z39" s="5" t="str">
        <f t="shared" ref="Z39:Z40" si="457">IF(Z32="","",Z32-Y32)</f>
        <v/>
      </c>
      <c r="AA39" s="5" t="str">
        <f t="shared" ref="AA39:AA40" si="458">IF(AA32="","",AA32-Z32)</f>
        <v/>
      </c>
      <c r="AB39" s="5" t="str">
        <f t="shared" ref="AB39:AB40" si="459">IF(AB32="","",AB32-AA32)</f>
        <v/>
      </c>
      <c r="AC39" s="5" t="str">
        <f t="shared" ref="AC39:AC40" si="460">IF(AC32="","",AC32-AB32)</f>
        <v/>
      </c>
      <c r="AD39" s="5" t="str">
        <f t="shared" ref="AD39:AD40" si="461">IF(AD32="","",AD32-AC32)</f>
        <v/>
      </c>
      <c r="AE39" s="5" t="str">
        <f t="shared" ref="AE39:AE40" si="462">IF(AE32="","",AE32-AD32)</f>
        <v/>
      </c>
      <c r="AF39" s="5" t="str">
        <f t="shared" ref="AF39:AF40" si="463">IF(AF32="","",AF32-AE32)</f>
        <v/>
      </c>
      <c r="AG39" s="5" t="str">
        <f t="shared" ref="AG39:AG40" si="464">IF(AG32="","",AG32-AF32)</f>
        <v/>
      </c>
      <c r="AH39" s="5" t="str">
        <f t="shared" ref="AH39:AH40" si="465">IF(AH32="","",AH32-AG32)</f>
        <v/>
      </c>
      <c r="AI39" s="5" t="str">
        <f t="shared" ref="AI39:AI40" si="466">IF(AI32="","",AI32-AH32)</f>
        <v/>
      </c>
      <c r="AJ39" s="5" t="str">
        <f t="shared" ref="AJ39:AJ40" si="467">IF(AJ32="","",AJ32-AI32)</f>
        <v/>
      </c>
      <c r="AK39" s="5" t="str">
        <f t="shared" ref="AK39:AK40" si="468">IF(AK32="","",AK32-AJ32)</f>
        <v/>
      </c>
      <c r="AL39" s="5" t="str">
        <f t="shared" ref="AL39:AL40" si="469">IF(AL32="","",AL32-AK32)</f>
        <v/>
      </c>
      <c r="AM39" s="5" t="str">
        <f t="shared" ref="AM39:AM40" si="470">IF(AM32="","",AM32-AL32)</f>
        <v/>
      </c>
      <c r="AN39" s="5" t="str">
        <f t="shared" ref="AN39:AS39" si="471">IF(AN32="","",AN32-AM32)</f>
        <v/>
      </c>
      <c r="AO39" s="5" t="str">
        <f t="shared" si="471"/>
        <v/>
      </c>
      <c r="AP39" s="5" t="str">
        <f t="shared" si="471"/>
        <v/>
      </c>
      <c r="AQ39" s="5" t="str">
        <f t="shared" si="471"/>
        <v/>
      </c>
      <c r="AR39" s="5" t="str">
        <f t="shared" si="471"/>
        <v/>
      </c>
      <c r="AS39" s="5" t="str">
        <f t="shared" si="471"/>
        <v/>
      </c>
    </row>
    <row r="40" spans="1:45" s="84" customFormat="1" ht="11.25" x14ac:dyDescent="0.15">
      <c r="A40" s="7">
        <f>SUM(C40:AS40)</f>
        <v>5</v>
      </c>
      <c r="B40" s="6" t="s">
        <v>14</v>
      </c>
      <c r="C40" s="5">
        <v>0</v>
      </c>
      <c r="D40" s="5">
        <v>0</v>
      </c>
      <c r="E40" s="5">
        <v>2</v>
      </c>
      <c r="F40" s="5">
        <v>0</v>
      </c>
      <c r="G40" s="5">
        <v>0</v>
      </c>
      <c r="H40" s="5">
        <v>2</v>
      </c>
      <c r="I40" s="5">
        <v>0</v>
      </c>
      <c r="J40" s="5">
        <v>0</v>
      </c>
      <c r="K40" s="5">
        <v>0</v>
      </c>
      <c r="L40" s="5">
        <v>0</v>
      </c>
      <c r="M40" s="5">
        <f t="shared" si="444"/>
        <v>0</v>
      </c>
      <c r="N40" s="5">
        <f t="shared" si="445"/>
        <v>0</v>
      </c>
      <c r="O40" s="5">
        <f t="shared" si="446"/>
        <v>1</v>
      </c>
      <c r="P40" s="5" t="str">
        <f t="shared" si="447"/>
        <v/>
      </c>
      <c r="Q40" s="5" t="str">
        <f t="shared" si="448"/>
        <v/>
      </c>
      <c r="R40" s="5" t="str">
        <f t="shared" si="449"/>
        <v/>
      </c>
      <c r="S40" s="5" t="str">
        <f t="shared" si="450"/>
        <v/>
      </c>
      <c r="T40" s="5" t="str">
        <f t="shared" si="451"/>
        <v/>
      </c>
      <c r="U40" s="5" t="str">
        <f t="shared" si="452"/>
        <v/>
      </c>
      <c r="V40" s="5" t="str">
        <f t="shared" si="453"/>
        <v/>
      </c>
      <c r="W40" s="5" t="str">
        <f t="shared" si="454"/>
        <v/>
      </c>
      <c r="X40" s="5" t="str">
        <f t="shared" si="455"/>
        <v/>
      </c>
      <c r="Y40" s="5" t="str">
        <f t="shared" si="456"/>
        <v/>
      </c>
      <c r="Z40" s="5" t="str">
        <f t="shared" si="457"/>
        <v/>
      </c>
      <c r="AA40" s="5" t="str">
        <f t="shared" si="458"/>
        <v/>
      </c>
      <c r="AB40" s="5" t="str">
        <f t="shared" si="459"/>
        <v/>
      </c>
      <c r="AC40" s="5" t="str">
        <f t="shared" si="460"/>
        <v/>
      </c>
      <c r="AD40" s="5" t="str">
        <f t="shared" si="461"/>
        <v/>
      </c>
      <c r="AE40" s="5" t="str">
        <f t="shared" si="462"/>
        <v/>
      </c>
      <c r="AF40" s="5" t="str">
        <f t="shared" si="463"/>
        <v/>
      </c>
      <c r="AG40" s="5" t="str">
        <f t="shared" si="464"/>
        <v/>
      </c>
      <c r="AH40" s="5" t="str">
        <f t="shared" si="465"/>
        <v/>
      </c>
      <c r="AI40" s="5" t="str">
        <f t="shared" si="466"/>
        <v/>
      </c>
      <c r="AJ40" s="5" t="str">
        <f t="shared" si="467"/>
        <v/>
      </c>
      <c r="AK40" s="5" t="str">
        <f t="shared" si="468"/>
        <v/>
      </c>
      <c r="AL40" s="5" t="str">
        <f t="shared" si="469"/>
        <v/>
      </c>
      <c r="AM40" s="5" t="str">
        <f t="shared" si="470"/>
        <v/>
      </c>
      <c r="AN40" s="5" t="str">
        <f t="shared" ref="AN40:AS40" si="472">IF(AN33="","",AN33-AM33)</f>
        <v/>
      </c>
      <c r="AO40" s="5" t="str">
        <f t="shared" si="472"/>
        <v/>
      </c>
      <c r="AP40" s="5" t="str">
        <f t="shared" si="472"/>
        <v/>
      </c>
      <c r="AQ40" s="5" t="str">
        <f t="shared" si="472"/>
        <v/>
      </c>
      <c r="AR40" s="5" t="str">
        <f t="shared" si="472"/>
        <v/>
      </c>
      <c r="AS40" s="5" t="str">
        <f t="shared" si="472"/>
        <v/>
      </c>
    </row>
    <row r="41" spans="1:45" s="84" customFormat="1" ht="11.25" x14ac:dyDescent="0.15">
      <c r="A41" s="7">
        <f>SUM(C41:AS41)</f>
        <v>3</v>
      </c>
      <c r="B41" s="6" t="s">
        <v>15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f t="shared" ref="M41" si="473">IF(M34="","",L34+L35-M34)</f>
        <v>0</v>
      </c>
      <c r="N41" s="5">
        <f t="shared" ref="N41" si="474">IF(N34="","",M34+M35-N34)</f>
        <v>0</v>
      </c>
      <c r="O41" s="5">
        <f t="shared" ref="O41" si="475">IF(O34="","",N34+N35-O34)</f>
        <v>1</v>
      </c>
      <c r="P41" s="5" t="str">
        <f t="shared" ref="P41" si="476">IF(P34="","",O34+O35-P34)</f>
        <v/>
      </c>
      <c r="Q41" s="5" t="str">
        <f t="shared" ref="Q41" si="477">IF(Q34="","",P34+P35-Q34)</f>
        <v/>
      </c>
      <c r="R41" s="5" t="str">
        <f t="shared" ref="R41" si="478">IF(R34="","",Q34+Q35-R34)</f>
        <v/>
      </c>
      <c r="S41" s="5" t="str">
        <f t="shared" ref="S41" si="479">IF(S34="","",R34+R35-S34)</f>
        <v/>
      </c>
      <c r="T41" s="5" t="str">
        <f t="shared" ref="T41" si="480">IF(T34="","",S34+S35-T34)</f>
        <v/>
      </c>
      <c r="U41" s="5" t="str">
        <f t="shared" ref="U41" si="481">IF(U34="","",T34+T35-U34)</f>
        <v/>
      </c>
      <c r="V41" s="5" t="str">
        <f t="shared" ref="V41" si="482">IF(V34="","",U34+U35-V34)</f>
        <v/>
      </c>
      <c r="W41" s="5" t="str">
        <f t="shared" ref="W41" si="483">IF(W34="","",V34+V35-W34)</f>
        <v/>
      </c>
      <c r="X41" s="5" t="str">
        <f t="shared" ref="X41" si="484">IF(X34="","",W34+W35-X34)</f>
        <v/>
      </c>
      <c r="Y41" s="5" t="str">
        <f t="shared" ref="Y41" si="485">IF(Y34="","",X34+X35-Y34)</f>
        <v/>
      </c>
      <c r="Z41" s="5" t="str">
        <f t="shared" ref="Z41" si="486">IF(Z34="","",Y34+Y35-Z34)</f>
        <v/>
      </c>
      <c r="AA41" s="5" t="str">
        <f t="shared" ref="AA41" si="487">IF(AA34="","",Z34+Z35-AA34)</f>
        <v/>
      </c>
      <c r="AB41" s="5" t="str">
        <f t="shared" ref="AB41" si="488">IF(AB34="","",AA34+AA35-AB34)</f>
        <v/>
      </c>
      <c r="AC41" s="5" t="str">
        <f t="shared" ref="AC41" si="489">IF(AC34="","",AB34+AB35-AC34)</f>
        <v/>
      </c>
      <c r="AD41" s="5" t="str">
        <f t="shared" ref="AD41" si="490">IF(AD34="","",AC34+AC35-AD34)</f>
        <v/>
      </c>
      <c r="AE41" s="5" t="str">
        <f t="shared" ref="AE41" si="491">IF(AE34="","",AD34+AD35-AE34)</f>
        <v/>
      </c>
      <c r="AF41" s="5" t="str">
        <f t="shared" ref="AF41" si="492">IF(AF34="","",AE34+AE35-AF34)</f>
        <v/>
      </c>
      <c r="AG41" s="5" t="str">
        <f t="shared" ref="AG41" si="493">IF(AG34="","",AF34+AF35-AG34)</f>
        <v/>
      </c>
      <c r="AH41" s="5" t="str">
        <f t="shared" ref="AH41" si="494">IF(AH34="","",AG34+AG35-AH34)</f>
        <v/>
      </c>
      <c r="AI41" s="5" t="str">
        <f t="shared" ref="AI41" si="495">IF(AI34="","",AH34+AH35-AI34)</f>
        <v/>
      </c>
      <c r="AJ41" s="5" t="str">
        <f t="shared" ref="AJ41" si="496">IF(AJ34="","",AI34+AI35-AJ34)</f>
        <v/>
      </c>
      <c r="AK41" s="5" t="str">
        <f t="shared" ref="AK41" si="497">IF(AK34="","",AJ34+AJ35-AK34)</f>
        <v/>
      </c>
      <c r="AL41" s="5" t="str">
        <f t="shared" ref="AL41" si="498">IF(AL34="","",AK34+AK35-AL34)</f>
        <v/>
      </c>
      <c r="AM41" s="5" t="str">
        <f t="shared" ref="AM41" si="499">IF(AM34="","",AL34+AL35-AM34)</f>
        <v/>
      </c>
      <c r="AN41" s="5" t="str">
        <f t="shared" ref="AN41:AS41" si="500">IF(AN34="","",AM34+AM35-AN34)</f>
        <v/>
      </c>
      <c r="AO41" s="5" t="str">
        <f t="shared" si="500"/>
        <v/>
      </c>
      <c r="AP41" s="5" t="str">
        <f t="shared" si="500"/>
        <v/>
      </c>
      <c r="AQ41" s="5" t="str">
        <f t="shared" si="500"/>
        <v/>
      </c>
      <c r="AR41" s="5" t="str">
        <f t="shared" si="500"/>
        <v/>
      </c>
      <c r="AS41" s="5" t="str">
        <f t="shared" si="500"/>
        <v/>
      </c>
    </row>
    <row r="42" spans="1:45" s="84" customFormat="1" ht="11.25" x14ac:dyDescent="0.15">
      <c r="A42" s="7">
        <f>SUM(C42:AS42)</f>
        <v>1080</v>
      </c>
      <c r="B42" s="6" t="s">
        <v>16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720</v>
      </c>
      <c r="I42" s="5">
        <v>0</v>
      </c>
      <c r="J42" s="5">
        <v>0</v>
      </c>
      <c r="K42" s="5">
        <v>0</v>
      </c>
      <c r="L42" s="5">
        <v>0</v>
      </c>
      <c r="M42" s="5">
        <f t="shared" ref="J42:AM42" si="501">IF(M32="","",M41*M36)</f>
        <v>0</v>
      </c>
      <c r="N42" s="5">
        <f t="shared" si="501"/>
        <v>0</v>
      </c>
      <c r="O42" s="5">
        <f t="shared" si="501"/>
        <v>360</v>
      </c>
      <c r="P42" s="5" t="str">
        <f t="shared" si="501"/>
        <v/>
      </c>
      <c r="Q42" s="5" t="str">
        <f t="shared" si="501"/>
        <v/>
      </c>
      <c r="R42" s="5" t="str">
        <f t="shared" si="501"/>
        <v/>
      </c>
      <c r="S42" s="5" t="str">
        <f t="shared" si="501"/>
        <v/>
      </c>
      <c r="T42" s="5" t="str">
        <f t="shared" si="501"/>
        <v/>
      </c>
      <c r="U42" s="5" t="str">
        <f t="shared" si="501"/>
        <v/>
      </c>
      <c r="V42" s="5" t="str">
        <f t="shared" si="501"/>
        <v/>
      </c>
      <c r="W42" s="5" t="str">
        <f t="shared" si="501"/>
        <v/>
      </c>
      <c r="X42" s="5" t="str">
        <f t="shared" si="501"/>
        <v/>
      </c>
      <c r="Y42" s="5" t="str">
        <f t="shared" si="501"/>
        <v/>
      </c>
      <c r="Z42" s="5" t="str">
        <f t="shared" si="501"/>
        <v/>
      </c>
      <c r="AA42" s="5" t="str">
        <f t="shared" si="501"/>
        <v/>
      </c>
      <c r="AB42" s="5" t="str">
        <f t="shared" si="501"/>
        <v/>
      </c>
      <c r="AC42" s="5" t="str">
        <f t="shared" si="501"/>
        <v/>
      </c>
      <c r="AD42" s="5" t="str">
        <f t="shared" si="501"/>
        <v/>
      </c>
      <c r="AE42" s="5" t="str">
        <f t="shared" si="501"/>
        <v/>
      </c>
      <c r="AF42" s="5" t="str">
        <f t="shared" si="501"/>
        <v/>
      </c>
      <c r="AG42" s="5" t="str">
        <f t="shared" si="501"/>
        <v/>
      </c>
      <c r="AH42" s="5" t="str">
        <f t="shared" si="501"/>
        <v/>
      </c>
      <c r="AI42" s="5" t="str">
        <f t="shared" si="501"/>
        <v/>
      </c>
      <c r="AJ42" s="5" t="str">
        <f t="shared" si="501"/>
        <v/>
      </c>
      <c r="AK42" s="5" t="str">
        <f t="shared" si="501"/>
        <v/>
      </c>
      <c r="AL42" s="5" t="str">
        <f t="shared" si="501"/>
        <v/>
      </c>
      <c r="AM42" s="5" t="str">
        <f t="shared" si="501"/>
        <v/>
      </c>
      <c r="AN42" s="5" t="str">
        <f t="shared" ref="AN42:AS42" si="502">IF(AN32="","",AN41*AN36)</f>
        <v/>
      </c>
      <c r="AO42" s="5" t="str">
        <f t="shared" si="502"/>
        <v/>
      </c>
      <c r="AP42" s="5" t="str">
        <f t="shared" si="502"/>
        <v/>
      </c>
      <c r="AQ42" s="5" t="str">
        <f t="shared" si="502"/>
        <v/>
      </c>
      <c r="AR42" s="5" t="str">
        <f t="shared" si="502"/>
        <v/>
      </c>
      <c r="AS42" s="5" t="str">
        <f t="shared" si="502"/>
        <v/>
      </c>
    </row>
    <row r="43" spans="1:45" s="84" customFormat="1" ht="12" thickBot="1" x14ac:dyDescent="0.2">
      <c r="A43" s="4">
        <f>IF(A42="","",A42/(A39*100))</f>
        <v>0.10384615384615385</v>
      </c>
      <c r="B43" s="6" t="s">
        <v>18</v>
      </c>
      <c r="C43" s="18" t="s">
        <v>19</v>
      </c>
      <c r="D43" s="18" t="s">
        <v>19</v>
      </c>
      <c r="E43" s="18" t="s">
        <v>19</v>
      </c>
      <c r="F43" s="18" t="s">
        <v>19</v>
      </c>
      <c r="G43" s="18" t="s">
        <v>19</v>
      </c>
      <c r="H43" s="18">
        <v>0.11803278688524591</v>
      </c>
      <c r="I43" s="18" t="s">
        <v>19</v>
      </c>
      <c r="J43" s="18" t="s">
        <v>19</v>
      </c>
      <c r="K43" s="18" t="s">
        <v>19</v>
      </c>
      <c r="L43" s="18" t="s">
        <v>19</v>
      </c>
      <c r="M43" s="18" t="str">
        <f t="shared" ref="J43:AM43" si="503">IF(M42="","",IF(M42=0,"",M42/(M39*100)))</f>
        <v/>
      </c>
      <c r="N43" s="18" t="str">
        <f t="shared" si="503"/>
        <v/>
      </c>
      <c r="O43" s="18">
        <f t="shared" si="503"/>
        <v>0.24</v>
      </c>
      <c r="P43" s="18" t="str">
        <f t="shared" si="503"/>
        <v/>
      </c>
      <c r="Q43" s="18" t="str">
        <f t="shared" si="503"/>
        <v/>
      </c>
      <c r="R43" s="18" t="str">
        <f t="shared" si="503"/>
        <v/>
      </c>
      <c r="S43" s="18" t="str">
        <f t="shared" si="503"/>
        <v/>
      </c>
      <c r="T43" s="18" t="str">
        <f t="shared" si="503"/>
        <v/>
      </c>
      <c r="U43" s="18" t="str">
        <f t="shared" si="503"/>
        <v/>
      </c>
      <c r="V43" s="18" t="str">
        <f t="shared" si="503"/>
        <v/>
      </c>
      <c r="W43" s="18" t="str">
        <f t="shared" si="503"/>
        <v/>
      </c>
      <c r="X43" s="18" t="str">
        <f t="shared" si="503"/>
        <v/>
      </c>
      <c r="Y43" s="18" t="str">
        <f t="shared" si="503"/>
        <v/>
      </c>
      <c r="Z43" s="18" t="str">
        <f t="shared" si="503"/>
        <v/>
      </c>
      <c r="AA43" s="18" t="str">
        <f t="shared" si="503"/>
        <v/>
      </c>
      <c r="AB43" s="18" t="str">
        <f t="shared" si="503"/>
        <v/>
      </c>
      <c r="AC43" s="18" t="str">
        <f t="shared" si="503"/>
        <v/>
      </c>
      <c r="AD43" s="18" t="str">
        <f t="shared" si="503"/>
        <v/>
      </c>
      <c r="AE43" s="18" t="str">
        <f t="shared" si="503"/>
        <v/>
      </c>
      <c r="AF43" s="18" t="str">
        <f t="shared" si="503"/>
        <v/>
      </c>
      <c r="AG43" s="18" t="str">
        <f t="shared" si="503"/>
        <v/>
      </c>
      <c r="AH43" s="18" t="str">
        <f t="shared" si="503"/>
        <v/>
      </c>
      <c r="AI43" s="18" t="str">
        <f t="shared" si="503"/>
        <v/>
      </c>
      <c r="AJ43" s="18" t="str">
        <f t="shared" si="503"/>
        <v/>
      </c>
      <c r="AK43" s="18" t="str">
        <f t="shared" si="503"/>
        <v/>
      </c>
      <c r="AL43" s="18" t="str">
        <f t="shared" si="503"/>
        <v/>
      </c>
      <c r="AM43" s="18" t="str">
        <f t="shared" si="503"/>
        <v/>
      </c>
      <c r="AN43" s="18" t="str">
        <f t="shared" ref="AN43:AS43" si="504">IF(AN42="","",IF(AN42=0,"",AN42/(AN39*100)))</f>
        <v/>
      </c>
      <c r="AO43" s="18" t="str">
        <f t="shared" si="504"/>
        <v/>
      </c>
      <c r="AP43" s="18" t="str">
        <f t="shared" si="504"/>
        <v/>
      </c>
      <c r="AQ43" s="18" t="str">
        <f t="shared" si="504"/>
        <v/>
      </c>
      <c r="AR43" s="18" t="str">
        <f t="shared" si="504"/>
        <v/>
      </c>
      <c r="AS43" s="18" t="str">
        <f t="shared" si="504"/>
        <v/>
      </c>
    </row>
    <row r="44" spans="1:45" s="84" customFormat="1" ht="11.25" x14ac:dyDescent="0.15">
      <c r="A44" s="17" t="s">
        <v>83</v>
      </c>
      <c r="B44" s="9" t="s">
        <v>2</v>
      </c>
      <c r="C44" s="8">
        <v>38885</v>
      </c>
      <c r="D44" s="8">
        <v>38885</v>
      </c>
      <c r="E44" s="8">
        <v>38999</v>
      </c>
      <c r="F44" s="8">
        <v>38999</v>
      </c>
      <c r="G44" s="8">
        <v>38999</v>
      </c>
      <c r="H44" s="8">
        <v>39260</v>
      </c>
      <c r="I44" s="8">
        <v>39260</v>
      </c>
      <c r="J44" s="8">
        <v>39260</v>
      </c>
      <c r="K44" s="8">
        <v>39260</v>
      </c>
      <c r="L44" s="8">
        <v>39411</v>
      </c>
      <c r="M44" s="8">
        <f t="shared" ref="M44:M45" si="505">IF(M$8="","",L44)</f>
        <v>39411</v>
      </c>
      <c r="N44" s="8">
        <f t="shared" ref="N44:N45" si="506">IF(N$8="","",M44)</f>
        <v>39411</v>
      </c>
      <c r="O44" s="8">
        <v>39548</v>
      </c>
      <c r="P44" s="8" t="str">
        <f>IF(P$8="","",O44)</f>
        <v/>
      </c>
      <c r="Q44" s="8" t="str">
        <f t="shared" ref="Q44:Q45" si="507">IF(Q$8="","",P44)</f>
        <v/>
      </c>
      <c r="R44" s="8" t="str">
        <f t="shared" ref="R44:R45" si="508">IF(R$8="","",Q44)</f>
        <v/>
      </c>
      <c r="S44" s="8" t="str">
        <f>IF(S$8="","",R44)</f>
        <v/>
      </c>
      <c r="T44" s="8" t="str">
        <f t="shared" ref="T44:T45" si="509">IF(T$8="","",S44)</f>
        <v/>
      </c>
      <c r="U44" s="8" t="str">
        <f t="shared" ref="U44:U45" si="510">IF(U$8="","",T44)</f>
        <v/>
      </c>
      <c r="V44" s="8" t="str">
        <f>IF(V$8="","",U44)</f>
        <v/>
      </c>
      <c r="W44" s="8" t="str">
        <f t="shared" ref="W44:W45" si="511">IF(W$8="","",V44)</f>
        <v/>
      </c>
      <c r="X44" s="8" t="str">
        <f t="shared" ref="X44:X45" si="512">IF(X$8="","",W44)</f>
        <v/>
      </c>
      <c r="Y44" s="8" t="str">
        <f t="shared" ref="Y44:Y45" si="513">IF(Y$8="","",X44)</f>
        <v/>
      </c>
      <c r="Z44" s="8" t="str">
        <f>IF(Z$8="","",Y44)</f>
        <v/>
      </c>
      <c r="AA44" s="8" t="str">
        <f t="shared" ref="AA44:AA45" si="514">IF(AA$8="","",Z44)</f>
        <v/>
      </c>
      <c r="AB44" s="8" t="str">
        <f t="shared" ref="AB44:AB45" si="515">IF(AB$8="","",AA44)</f>
        <v/>
      </c>
      <c r="AC44" s="8" t="str">
        <f t="shared" ref="AC44:AC45" si="516">IF(AC$8="","",AB44)</f>
        <v/>
      </c>
      <c r="AD44" s="8" t="str">
        <f>IF(AD$8="","",AC44)</f>
        <v/>
      </c>
      <c r="AE44" s="8" t="str">
        <f t="shared" ref="AE44:AE45" si="517">IF(AE$8="","",AD44)</f>
        <v/>
      </c>
      <c r="AF44" s="8" t="str">
        <f t="shared" ref="AF44:AF45" si="518">IF(AF$8="","",AE44)</f>
        <v/>
      </c>
      <c r="AG44" s="8" t="str">
        <f>IF(AG$8="","",AF44)</f>
        <v/>
      </c>
      <c r="AH44" s="8" t="str">
        <f t="shared" ref="AH44:AH45" si="519">IF(AH$8="","",AG44)</f>
        <v/>
      </c>
      <c r="AI44" s="8" t="str">
        <f t="shared" ref="AI44:AI45" si="520">IF(AI$8="","",AH44)</f>
        <v/>
      </c>
      <c r="AJ44" s="8" t="str">
        <f>IF(AJ$8="","",AI44)</f>
        <v/>
      </c>
      <c r="AK44" s="8" t="str">
        <f t="shared" ref="AK44:AK45" si="521">IF(AK$8="","",AJ44)</f>
        <v/>
      </c>
      <c r="AL44" s="8" t="str">
        <f t="shared" ref="AL44:AL45" si="522">IF(AL$8="","",AK44)</f>
        <v/>
      </c>
      <c r="AM44" s="8" t="str">
        <f t="shared" ref="AM44:AM45" si="523">IF(AM$8="","",AL44)</f>
        <v/>
      </c>
      <c r="AN44" s="8" t="str">
        <f>IF(AN$8="","",AM44)</f>
        <v/>
      </c>
      <c r="AO44" s="8" t="str">
        <f t="shared" ref="AN44:AS44" si="524">IF(AO$8="","",AN44)</f>
        <v/>
      </c>
      <c r="AP44" s="8" t="str">
        <f t="shared" si="524"/>
        <v/>
      </c>
      <c r="AQ44" s="8" t="str">
        <f t="shared" si="524"/>
        <v/>
      </c>
      <c r="AR44" s="8" t="str">
        <f t="shared" si="524"/>
        <v/>
      </c>
      <c r="AS44" s="8" t="str">
        <f t="shared" si="524"/>
        <v/>
      </c>
    </row>
    <row r="45" spans="1:45" s="84" customFormat="1" ht="11.25" x14ac:dyDescent="0.15">
      <c r="A45" s="16" t="s">
        <v>3</v>
      </c>
      <c r="B45" s="9" t="s">
        <v>4</v>
      </c>
      <c r="C45" s="8">
        <v>968</v>
      </c>
      <c r="D45" s="8">
        <v>968</v>
      </c>
      <c r="E45" s="8">
        <v>995</v>
      </c>
      <c r="F45" s="8">
        <v>995</v>
      </c>
      <c r="G45" s="8">
        <v>995</v>
      </c>
      <c r="H45" s="8">
        <v>1005</v>
      </c>
      <c r="I45" s="8">
        <v>1005</v>
      </c>
      <c r="J45" s="8">
        <v>1005</v>
      </c>
      <c r="K45" s="8">
        <v>1005</v>
      </c>
      <c r="L45" s="8">
        <v>1008</v>
      </c>
      <c r="M45" s="8">
        <f t="shared" si="505"/>
        <v>1008</v>
      </c>
      <c r="N45" s="8">
        <f t="shared" si="506"/>
        <v>1008</v>
      </c>
      <c r="O45" s="8">
        <v>1013</v>
      </c>
      <c r="P45" s="8" t="str">
        <f>IF(P$8="","",O45)</f>
        <v/>
      </c>
      <c r="Q45" s="8" t="str">
        <f t="shared" si="507"/>
        <v/>
      </c>
      <c r="R45" s="8" t="str">
        <f t="shared" si="508"/>
        <v/>
      </c>
      <c r="S45" s="8" t="str">
        <f>IF(S$8="","",R45)</f>
        <v/>
      </c>
      <c r="T45" s="8" t="str">
        <f t="shared" si="509"/>
        <v/>
      </c>
      <c r="U45" s="8" t="str">
        <f t="shared" si="510"/>
        <v/>
      </c>
      <c r="V45" s="8" t="str">
        <f>IF(V$8="","",U45)</f>
        <v/>
      </c>
      <c r="W45" s="8" t="str">
        <f t="shared" si="511"/>
        <v/>
      </c>
      <c r="X45" s="8" t="str">
        <f t="shared" si="512"/>
        <v/>
      </c>
      <c r="Y45" s="8" t="str">
        <f t="shared" si="513"/>
        <v/>
      </c>
      <c r="Z45" s="8" t="str">
        <f t="shared" ref="Z45" si="525">IF(Z$8="","",Y45)</f>
        <v/>
      </c>
      <c r="AA45" s="8" t="str">
        <f t="shared" si="514"/>
        <v/>
      </c>
      <c r="AB45" s="8" t="str">
        <f t="shared" si="515"/>
        <v/>
      </c>
      <c r="AC45" s="8" t="str">
        <f t="shared" si="516"/>
        <v/>
      </c>
      <c r="AD45" s="8" t="str">
        <f>IF(AD$8="","",AC45)</f>
        <v/>
      </c>
      <c r="AE45" s="8" t="str">
        <f t="shared" si="517"/>
        <v/>
      </c>
      <c r="AF45" s="8" t="str">
        <f t="shared" si="518"/>
        <v/>
      </c>
      <c r="AG45" s="8" t="str">
        <f>IF(AG$8="","",AF45)</f>
        <v/>
      </c>
      <c r="AH45" s="8" t="str">
        <f t="shared" si="519"/>
        <v/>
      </c>
      <c r="AI45" s="8" t="str">
        <f t="shared" si="520"/>
        <v/>
      </c>
      <c r="AJ45" s="8" t="str">
        <f>IF(AJ$8="","",AI45)</f>
        <v/>
      </c>
      <c r="AK45" s="8" t="str">
        <f t="shared" si="521"/>
        <v/>
      </c>
      <c r="AL45" s="8" t="str">
        <f t="shared" si="522"/>
        <v/>
      </c>
      <c r="AM45" s="8" t="str">
        <f t="shared" si="523"/>
        <v/>
      </c>
      <c r="AN45" s="8" t="str">
        <f>IF(AN$8="","",AM45)</f>
        <v/>
      </c>
      <c r="AO45" s="8" t="str">
        <f t="shared" ref="AN45:AS45" si="526">IF(AO$8="","",AN45)</f>
        <v/>
      </c>
      <c r="AP45" s="8" t="str">
        <f t="shared" si="526"/>
        <v/>
      </c>
      <c r="AQ45" s="8" t="str">
        <f t="shared" si="526"/>
        <v/>
      </c>
      <c r="AR45" s="8" t="str">
        <f t="shared" si="526"/>
        <v/>
      </c>
      <c r="AS45" s="8" t="str">
        <f t="shared" si="526"/>
        <v/>
      </c>
    </row>
    <row r="46" spans="1:45" s="84" customFormat="1" ht="11.25" x14ac:dyDescent="0.15">
      <c r="A46" s="15">
        <v>4</v>
      </c>
      <c r="B46" s="9" t="s">
        <v>5</v>
      </c>
      <c r="C46" s="8">
        <v>72</v>
      </c>
      <c r="D46" s="8">
        <v>72</v>
      </c>
      <c r="E46" s="8">
        <v>45</v>
      </c>
      <c r="F46" s="8">
        <v>45</v>
      </c>
      <c r="G46" s="8">
        <v>45</v>
      </c>
      <c r="H46" s="8">
        <v>30</v>
      </c>
      <c r="I46" s="8">
        <v>30</v>
      </c>
      <c r="J46" s="8">
        <v>30</v>
      </c>
      <c r="K46" s="8">
        <v>30</v>
      </c>
      <c r="L46" s="8">
        <v>27</v>
      </c>
      <c r="M46" s="8">
        <f t="shared" ref="M46" si="527">IF(M44="","",(L46+L47))</f>
        <v>27</v>
      </c>
      <c r="N46" s="8">
        <f t="shared" ref="N46" si="528">IF(N44="","",(M46+M47))</f>
        <v>27</v>
      </c>
      <c r="O46" s="8">
        <v>22</v>
      </c>
      <c r="P46" s="8" t="str">
        <f>IF(P44="","",(O46+O47))</f>
        <v/>
      </c>
      <c r="Q46" s="8" t="str">
        <f t="shared" ref="Q46" si="529">IF(Q44="","",(P46+P47))</f>
        <v/>
      </c>
      <c r="R46" s="8" t="str">
        <f t="shared" ref="R46" si="530">IF(R44="","",(Q46+Q47))</f>
        <v/>
      </c>
      <c r="S46" s="8" t="str">
        <f>IF(S44="","",(R46+R47))</f>
        <v/>
      </c>
      <c r="T46" s="8" t="str">
        <f t="shared" ref="T46" si="531">IF(T44="","",(S46+S47))</f>
        <v/>
      </c>
      <c r="U46" s="8" t="str">
        <f t="shared" ref="U46" si="532">IF(U44="","",(T46+T47))</f>
        <v/>
      </c>
      <c r="V46" s="8" t="str">
        <f>IF(V44="","",(U46+U47))</f>
        <v/>
      </c>
      <c r="W46" s="8" t="str">
        <f t="shared" ref="W46" si="533">IF(W44="","",(V46+V47))</f>
        <v/>
      </c>
      <c r="X46" s="8" t="str">
        <f t="shared" ref="X46" si="534">IF(X44="","",(W46+W47))</f>
        <v/>
      </c>
      <c r="Y46" s="8" t="str">
        <f t="shared" ref="Y46" si="535">IF(Y44="","",(X46+X47))</f>
        <v/>
      </c>
      <c r="Z46" s="8" t="str">
        <f t="shared" ref="Z46" si="536">IF(Z44="","",(Y46+Y47))</f>
        <v/>
      </c>
      <c r="AA46" s="8" t="str">
        <f t="shared" ref="AA46" si="537">IF(AA44="","",(Z46+Z47))</f>
        <v/>
      </c>
      <c r="AB46" s="8" t="str">
        <f t="shared" ref="AB46" si="538">IF(AB44="","",(AA46+AA47))</f>
        <v/>
      </c>
      <c r="AC46" s="8" t="str">
        <f t="shared" ref="AC46" si="539">IF(AC44="","",(AB46+AB47))</f>
        <v/>
      </c>
      <c r="AD46" s="8" t="str">
        <f>IF(AD44="","",(AC46+AC47))</f>
        <v/>
      </c>
      <c r="AE46" s="8" t="str">
        <f t="shared" ref="AE46" si="540">IF(AE44="","",(AD46+AD47))</f>
        <v/>
      </c>
      <c r="AF46" s="8" t="str">
        <f t="shared" ref="AF46" si="541">IF(AF44="","",(AE46+AE47))</f>
        <v/>
      </c>
      <c r="AG46" s="8" t="str">
        <f>IF(AG44="","",(AF46+AF47))</f>
        <v/>
      </c>
      <c r="AH46" s="8" t="str">
        <f t="shared" ref="AH46" si="542">IF(AH44="","",(AG46+AG47))</f>
        <v/>
      </c>
      <c r="AI46" s="8" t="str">
        <f t="shared" ref="AI46" si="543">IF(AI44="","",(AH46+AH47))</f>
        <v/>
      </c>
      <c r="AJ46" s="8" t="str">
        <f>IF(AJ44="","",(AI46+AI47))</f>
        <v/>
      </c>
      <c r="AK46" s="8" t="str">
        <f t="shared" ref="AK46" si="544">IF(AK44="","",(AJ46+AJ47))</f>
        <v/>
      </c>
      <c r="AL46" s="8" t="str">
        <f t="shared" ref="AL46" si="545">IF(AL44="","",(AK46+AK47))</f>
        <v/>
      </c>
      <c r="AM46" s="8" t="str">
        <f t="shared" ref="AM46" si="546">IF(AM44="","",(AL46+AL47))</f>
        <v/>
      </c>
      <c r="AN46" s="8" t="str">
        <f>IF(AN44="","",(AM46+AM47))</f>
        <v/>
      </c>
      <c r="AO46" s="8" t="str">
        <f t="shared" ref="AN46:AS46" si="547">IF(AO44="","",(AN46+AN47))</f>
        <v/>
      </c>
      <c r="AP46" s="8" t="str">
        <f t="shared" si="547"/>
        <v/>
      </c>
      <c r="AQ46" s="8" t="str">
        <f t="shared" si="547"/>
        <v/>
      </c>
      <c r="AR46" s="8" t="str">
        <f t="shared" si="547"/>
        <v/>
      </c>
      <c r="AS46" s="8" t="str">
        <f t="shared" si="547"/>
        <v/>
      </c>
    </row>
    <row r="47" spans="1:45" s="84" customFormat="1" ht="11.25" x14ac:dyDescent="0.15">
      <c r="A47" s="14"/>
      <c r="B47" s="9" t="s">
        <v>7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</row>
    <row r="48" spans="1:45" s="84" customFormat="1" ht="11.25" x14ac:dyDescent="0.15">
      <c r="A48" s="7"/>
      <c r="B48" s="9" t="s">
        <v>8</v>
      </c>
      <c r="C48" s="8">
        <v>300</v>
      </c>
      <c r="D48" s="8">
        <v>300</v>
      </c>
      <c r="E48" s="8">
        <v>300</v>
      </c>
      <c r="F48" s="8">
        <v>300</v>
      </c>
      <c r="G48" s="8">
        <v>300</v>
      </c>
      <c r="H48" s="8">
        <v>300</v>
      </c>
      <c r="I48" s="8">
        <v>300</v>
      </c>
      <c r="J48" s="8">
        <v>300</v>
      </c>
      <c r="K48" s="8">
        <v>300</v>
      </c>
      <c r="L48" s="8">
        <v>300</v>
      </c>
      <c r="M48" s="8">
        <f t="shared" ref="M48" si="548">IF(M44="","",L48)</f>
        <v>300</v>
      </c>
      <c r="N48" s="8">
        <f t="shared" ref="N48" si="549">IF(N44="","",M48)</f>
        <v>300</v>
      </c>
      <c r="O48" s="8">
        <f t="shared" ref="O48" si="550">IF(O44="","",N48)</f>
        <v>300</v>
      </c>
      <c r="P48" s="8" t="str">
        <f t="shared" ref="P48" si="551">IF(P44="","",O48)</f>
        <v/>
      </c>
      <c r="Q48" s="8" t="str">
        <f t="shared" ref="Q48" si="552">IF(Q44="","",P48)</f>
        <v/>
      </c>
      <c r="R48" s="8" t="str">
        <f t="shared" ref="R48" si="553">IF(R44="","",Q48)</f>
        <v/>
      </c>
      <c r="S48" s="8" t="str">
        <f t="shared" ref="S48" si="554">IF(S44="","",R48)</f>
        <v/>
      </c>
      <c r="T48" s="8" t="str">
        <f t="shared" ref="T48" si="555">IF(T44="","",S48)</f>
        <v/>
      </c>
      <c r="U48" s="8" t="str">
        <f t="shared" ref="U48" si="556">IF(U44="","",T48)</f>
        <v/>
      </c>
      <c r="V48" s="8" t="str">
        <f t="shared" ref="V48" si="557">IF(V44="","",U48)</f>
        <v/>
      </c>
      <c r="W48" s="8" t="str">
        <f t="shared" ref="W48" si="558">IF(W44="","",V48)</f>
        <v/>
      </c>
      <c r="X48" s="8" t="str">
        <f t="shared" ref="X48" si="559">IF(X44="","",W48)</f>
        <v/>
      </c>
      <c r="Y48" s="8" t="str">
        <f t="shared" ref="Y48" si="560">IF(Y44="","",X48)</f>
        <v/>
      </c>
      <c r="Z48" s="8" t="str">
        <f t="shared" ref="Z48" si="561">IF(Z44="","",Y48)</f>
        <v/>
      </c>
      <c r="AA48" s="8" t="str">
        <f t="shared" ref="AA48" si="562">IF(AA44="","",Z48)</f>
        <v/>
      </c>
      <c r="AB48" s="8" t="str">
        <f t="shared" ref="AB48" si="563">IF(AB44="","",AA48)</f>
        <v/>
      </c>
      <c r="AC48" s="8" t="str">
        <f t="shared" ref="AC48" si="564">IF(AC44="","",AB48)</f>
        <v/>
      </c>
      <c r="AD48" s="8" t="str">
        <f t="shared" ref="AD48" si="565">IF(AD44="","",AC48)</f>
        <v/>
      </c>
      <c r="AE48" s="8" t="str">
        <f t="shared" ref="AE48" si="566">IF(AE44="","",AD48)</f>
        <v/>
      </c>
      <c r="AF48" s="8" t="str">
        <f t="shared" ref="AF48" si="567">IF(AF44="","",AE48)</f>
        <v/>
      </c>
      <c r="AG48" s="8" t="str">
        <f t="shared" ref="AG48" si="568">IF(AG44="","",AF48)</f>
        <v/>
      </c>
      <c r="AH48" s="8" t="str">
        <f t="shared" ref="AH48" si="569">IF(AH44="","",AG48)</f>
        <v/>
      </c>
      <c r="AI48" s="8" t="str">
        <f t="shared" ref="AI48" si="570">IF(AI44="","",AH48)</f>
        <v/>
      </c>
      <c r="AJ48" s="8" t="str">
        <f t="shared" ref="AJ48" si="571">IF(AJ44="","",AI48)</f>
        <v/>
      </c>
      <c r="AK48" s="8" t="str">
        <f t="shared" ref="AK48" si="572">IF(AK44="","",AJ48)</f>
        <v/>
      </c>
      <c r="AL48" s="8" t="str">
        <f t="shared" ref="AL48" si="573">IF(AL44="","",AK48)</f>
        <v/>
      </c>
      <c r="AM48" s="8" t="str">
        <f t="shared" ref="AM48" si="574">IF(AM44="","",AL48)</f>
        <v/>
      </c>
      <c r="AN48" s="8" t="str">
        <f t="shared" ref="AN48:AS48" si="575">IF(AN44="","",AM48)</f>
        <v/>
      </c>
      <c r="AO48" s="8" t="str">
        <f t="shared" si="575"/>
        <v/>
      </c>
      <c r="AP48" s="8" t="str">
        <f t="shared" si="575"/>
        <v/>
      </c>
      <c r="AQ48" s="8" t="str">
        <f t="shared" si="575"/>
        <v/>
      </c>
      <c r="AR48" s="8" t="str">
        <f t="shared" si="575"/>
        <v/>
      </c>
      <c r="AS48" s="8" t="str">
        <f t="shared" si="575"/>
        <v/>
      </c>
    </row>
    <row r="49" spans="1:45" s="85" customFormat="1" ht="11.25" x14ac:dyDescent="0.15">
      <c r="A49" s="14" t="s">
        <v>9</v>
      </c>
      <c r="B49" s="13" t="s">
        <v>10</v>
      </c>
      <c r="C49" s="12" t="s">
        <v>348</v>
      </c>
      <c r="D49" s="12" t="s">
        <v>348</v>
      </c>
      <c r="E49" s="12" t="s">
        <v>348</v>
      </c>
      <c r="F49" s="12" t="s">
        <v>348</v>
      </c>
      <c r="G49" s="12" t="s">
        <v>348</v>
      </c>
      <c r="H49" s="12" t="s">
        <v>348</v>
      </c>
      <c r="I49" s="12" t="s">
        <v>348</v>
      </c>
      <c r="J49" s="12" t="s">
        <v>348</v>
      </c>
      <c r="K49" s="12" t="s">
        <v>348</v>
      </c>
      <c r="L49" s="12" t="s">
        <v>348</v>
      </c>
      <c r="M49" s="12" t="str">
        <f t="shared" ref="M49" si="576">IF(M44="","",L49)</f>
        <v>ベーカリースクイーズ</v>
      </c>
      <c r="N49" s="12" t="str">
        <f t="shared" ref="N49" si="577">IF(N44="","",M49)</f>
        <v>ベーカリースクイーズ</v>
      </c>
      <c r="O49" s="12" t="str">
        <f t="shared" ref="O49" si="578">IF(O44="","",N49)</f>
        <v>ベーカリースクイーズ</v>
      </c>
      <c r="P49" s="12" t="str">
        <f t="shared" ref="P49" si="579">IF(P44="","",O49)</f>
        <v/>
      </c>
      <c r="Q49" s="12" t="str">
        <f t="shared" ref="Q49" si="580">IF(Q44="","",P49)</f>
        <v/>
      </c>
      <c r="R49" s="12" t="str">
        <f t="shared" ref="R49" si="581">IF(R44="","",Q49)</f>
        <v/>
      </c>
      <c r="S49" s="12" t="str">
        <f t="shared" ref="S49" si="582">IF(S44="","",R49)</f>
        <v/>
      </c>
      <c r="T49" s="12" t="str">
        <f t="shared" ref="T49" si="583">IF(T44="","",S49)</f>
        <v/>
      </c>
      <c r="U49" s="12" t="str">
        <f t="shared" ref="U49" si="584">IF(U44="","",T49)</f>
        <v/>
      </c>
      <c r="V49" s="12" t="str">
        <f t="shared" ref="V49" si="585">IF(V44="","",U49)</f>
        <v/>
      </c>
      <c r="W49" s="12" t="str">
        <f t="shared" ref="W49" si="586">IF(W44="","",V49)</f>
        <v/>
      </c>
      <c r="X49" s="12" t="str">
        <f t="shared" ref="X49" si="587">IF(X44="","",W49)</f>
        <v/>
      </c>
      <c r="Y49" s="12" t="str">
        <f t="shared" ref="Y49" si="588">IF(Y44="","",X49)</f>
        <v/>
      </c>
      <c r="Z49" s="12" t="str">
        <f t="shared" ref="Z49" si="589">IF(Z44="","",Y49)</f>
        <v/>
      </c>
      <c r="AA49" s="12" t="str">
        <f t="shared" ref="AA49" si="590">IF(AA44="","",Z49)</f>
        <v/>
      </c>
      <c r="AB49" s="12" t="str">
        <f t="shared" ref="AB49" si="591">IF(AB44="","",AA49)</f>
        <v/>
      </c>
      <c r="AC49" s="12" t="str">
        <f t="shared" ref="AC49" si="592">IF(AC44="","",AB49)</f>
        <v/>
      </c>
      <c r="AD49" s="12" t="str">
        <f t="shared" ref="AD49" si="593">IF(AD44="","",AC49)</f>
        <v/>
      </c>
      <c r="AE49" s="12" t="str">
        <f t="shared" ref="AE49" si="594">IF(AE44="","",AD49)</f>
        <v/>
      </c>
      <c r="AF49" s="12" t="str">
        <f t="shared" ref="AF49" si="595">IF(AF44="","",AE49)</f>
        <v/>
      </c>
      <c r="AG49" s="12" t="str">
        <f>IF(AG44="","",AF49)</f>
        <v/>
      </c>
      <c r="AH49" s="12" t="str">
        <f t="shared" ref="AH49" si="596">IF(AH44="","",AG49)</f>
        <v/>
      </c>
      <c r="AI49" s="12" t="str">
        <f t="shared" ref="AI49" si="597">IF(AI44="","",AH49)</f>
        <v/>
      </c>
      <c r="AJ49" s="12" t="str">
        <f t="shared" ref="AJ49" si="598">IF(AJ44="","",AI49)</f>
        <v/>
      </c>
      <c r="AK49" s="12" t="str">
        <f t="shared" ref="AK49" si="599">IF(AK44="","",AJ49)</f>
        <v/>
      </c>
      <c r="AL49" s="12" t="str">
        <f t="shared" ref="AL49" si="600">IF(AL44="","",AK49)</f>
        <v/>
      </c>
      <c r="AM49" s="12" t="str">
        <f t="shared" ref="AM49" si="601">IF(AM44="","",AL49)</f>
        <v/>
      </c>
      <c r="AN49" s="12" t="str">
        <f t="shared" ref="AN49:AS49" si="602">IF(AN44="","",AM49)</f>
        <v/>
      </c>
      <c r="AO49" s="12" t="str">
        <f t="shared" si="602"/>
        <v/>
      </c>
      <c r="AP49" s="12" t="str">
        <f t="shared" si="602"/>
        <v/>
      </c>
      <c r="AQ49" s="12" t="str">
        <f t="shared" si="602"/>
        <v/>
      </c>
      <c r="AR49" s="12" t="str">
        <f t="shared" si="602"/>
        <v/>
      </c>
      <c r="AS49" s="12" t="str">
        <f t="shared" si="602"/>
        <v/>
      </c>
    </row>
    <row r="50" spans="1:45" s="84" customFormat="1" ht="11.25" x14ac:dyDescent="0.15">
      <c r="A50" s="7">
        <f>AVERAGE(C51:AS51)*30*100</f>
        <v>153000</v>
      </c>
      <c r="B50" s="9" t="s">
        <v>12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1:45" s="84" customFormat="1" ht="11.25" x14ac:dyDescent="0.15">
      <c r="A51" s="7">
        <f>SUM(C51:AS51)</f>
        <v>663</v>
      </c>
      <c r="B51" s="6" t="s">
        <v>13</v>
      </c>
      <c r="C51" s="5">
        <v>0</v>
      </c>
      <c r="D51" s="5">
        <v>0</v>
      </c>
      <c r="E51" s="5">
        <v>114</v>
      </c>
      <c r="F51" s="5">
        <v>0</v>
      </c>
      <c r="G51" s="5">
        <v>0</v>
      </c>
      <c r="H51" s="5">
        <v>261</v>
      </c>
      <c r="I51" s="5">
        <v>0</v>
      </c>
      <c r="J51" s="5">
        <v>0</v>
      </c>
      <c r="K51" s="5">
        <v>0</v>
      </c>
      <c r="L51" s="5">
        <v>151</v>
      </c>
      <c r="M51" s="5">
        <f t="shared" ref="M51:M52" si="603">IF(M44="","",M44-L44)</f>
        <v>0</v>
      </c>
      <c r="N51" s="5">
        <f t="shared" ref="N51:N52" si="604">IF(N44="","",N44-M44)</f>
        <v>0</v>
      </c>
      <c r="O51" s="5">
        <f t="shared" ref="O51:O52" si="605">IF(O44="","",O44-N44)</f>
        <v>137</v>
      </c>
      <c r="P51" s="5" t="str">
        <f t="shared" ref="P51:P52" si="606">IF(P44="","",P44-O44)</f>
        <v/>
      </c>
      <c r="Q51" s="5" t="str">
        <f t="shared" ref="Q51:Q52" si="607">IF(Q44="","",Q44-P44)</f>
        <v/>
      </c>
      <c r="R51" s="5" t="str">
        <f t="shared" ref="R51:R52" si="608">IF(R44="","",R44-Q44)</f>
        <v/>
      </c>
      <c r="S51" s="5" t="str">
        <f t="shared" ref="S51:S52" si="609">IF(S44="","",S44-R44)</f>
        <v/>
      </c>
      <c r="T51" s="5" t="str">
        <f t="shared" ref="T51:T52" si="610">IF(T44="","",T44-S44)</f>
        <v/>
      </c>
      <c r="U51" s="5" t="str">
        <f t="shared" ref="U51:U52" si="611">IF(U44="","",U44-T44)</f>
        <v/>
      </c>
      <c r="V51" s="5" t="str">
        <f t="shared" ref="V51:V52" si="612">IF(V44="","",V44-U44)</f>
        <v/>
      </c>
      <c r="W51" s="5" t="str">
        <f t="shared" ref="W51:W52" si="613">IF(W44="","",W44-V44)</f>
        <v/>
      </c>
      <c r="X51" s="5" t="str">
        <f t="shared" ref="X51:X52" si="614">IF(X44="","",X44-W44)</f>
        <v/>
      </c>
      <c r="Y51" s="5" t="str">
        <f t="shared" ref="Y51:Y52" si="615">IF(Y44="","",Y44-X44)</f>
        <v/>
      </c>
      <c r="Z51" s="5" t="str">
        <f t="shared" ref="Z51:Z52" si="616">IF(Z44="","",Z44-Y44)</f>
        <v/>
      </c>
      <c r="AA51" s="5" t="str">
        <f t="shared" ref="AA51:AA52" si="617">IF(AA44="","",AA44-Z44)</f>
        <v/>
      </c>
      <c r="AB51" s="5" t="str">
        <f t="shared" ref="AB51:AB52" si="618">IF(AB44="","",AB44-AA44)</f>
        <v/>
      </c>
      <c r="AC51" s="5" t="str">
        <f t="shared" ref="AC51:AC52" si="619">IF(AC44="","",AC44-AB44)</f>
        <v/>
      </c>
      <c r="AD51" s="5" t="str">
        <f t="shared" ref="AD51:AD52" si="620">IF(AD44="","",AD44-AC44)</f>
        <v/>
      </c>
      <c r="AE51" s="5" t="str">
        <f t="shared" ref="AE51:AE52" si="621">IF(AE44="","",AE44-AD44)</f>
        <v/>
      </c>
      <c r="AF51" s="5" t="str">
        <f t="shared" ref="AF51:AF52" si="622">IF(AF44="","",AF44-AE44)</f>
        <v/>
      </c>
      <c r="AG51" s="5" t="str">
        <f t="shared" ref="AG51:AG52" si="623">IF(AG44="","",AG44-AF44)</f>
        <v/>
      </c>
      <c r="AH51" s="5" t="str">
        <f t="shared" ref="AH51:AH52" si="624">IF(AH44="","",AH44-AG44)</f>
        <v/>
      </c>
      <c r="AI51" s="5" t="str">
        <f t="shared" ref="AI51:AI52" si="625">IF(AI44="","",AI44-AH44)</f>
        <v/>
      </c>
      <c r="AJ51" s="5" t="str">
        <f t="shared" ref="AJ51:AJ52" si="626">IF(AJ44="","",AJ44-AI44)</f>
        <v/>
      </c>
      <c r="AK51" s="5" t="str">
        <f t="shared" ref="AK51:AK52" si="627">IF(AK44="","",AK44-AJ44)</f>
        <v/>
      </c>
      <c r="AL51" s="5" t="str">
        <f t="shared" ref="AL51:AL52" si="628">IF(AL44="","",AL44-AK44)</f>
        <v/>
      </c>
      <c r="AM51" s="5" t="str">
        <f t="shared" ref="AM51:AM52" si="629">IF(AM44="","",AM44-AL44)</f>
        <v/>
      </c>
      <c r="AN51" s="5" t="str">
        <f t="shared" ref="AN51:AS51" si="630">IF(AN44="","",AN44-AM44)</f>
        <v/>
      </c>
      <c r="AO51" s="5" t="str">
        <f t="shared" si="630"/>
        <v/>
      </c>
      <c r="AP51" s="5" t="str">
        <f t="shared" si="630"/>
        <v/>
      </c>
      <c r="AQ51" s="5" t="str">
        <f t="shared" si="630"/>
        <v/>
      </c>
      <c r="AR51" s="5" t="str">
        <f t="shared" si="630"/>
        <v/>
      </c>
      <c r="AS51" s="5" t="str">
        <f t="shared" si="630"/>
        <v/>
      </c>
    </row>
    <row r="52" spans="1:45" s="84" customFormat="1" ht="11.25" x14ac:dyDescent="0.15">
      <c r="A52" s="7">
        <f>SUM(C52:AS52)</f>
        <v>45</v>
      </c>
      <c r="B52" s="6" t="s">
        <v>14</v>
      </c>
      <c r="C52" s="5">
        <v>0</v>
      </c>
      <c r="D52" s="5">
        <v>0</v>
      </c>
      <c r="E52" s="5">
        <v>27</v>
      </c>
      <c r="F52" s="5">
        <v>0</v>
      </c>
      <c r="G52" s="5">
        <v>0</v>
      </c>
      <c r="H52" s="5">
        <v>10</v>
      </c>
      <c r="I52" s="5">
        <v>0</v>
      </c>
      <c r="J52" s="5">
        <v>0</v>
      </c>
      <c r="K52" s="5">
        <v>0</v>
      </c>
      <c r="L52" s="5">
        <v>3</v>
      </c>
      <c r="M52" s="5">
        <f t="shared" si="603"/>
        <v>0</v>
      </c>
      <c r="N52" s="5">
        <f t="shared" si="604"/>
        <v>0</v>
      </c>
      <c r="O52" s="5">
        <f t="shared" si="605"/>
        <v>5</v>
      </c>
      <c r="P52" s="5" t="str">
        <f t="shared" si="606"/>
        <v/>
      </c>
      <c r="Q52" s="5" t="str">
        <f t="shared" si="607"/>
        <v/>
      </c>
      <c r="R52" s="5" t="str">
        <f t="shared" si="608"/>
        <v/>
      </c>
      <c r="S52" s="5" t="str">
        <f t="shared" si="609"/>
        <v/>
      </c>
      <c r="T52" s="5" t="str">
        <f t="shared" si="610"/>
        <v/>
      </c>
      <c r="U52" s="5" t="str">
        <f t="shared" si="611"/>
        <v/>
      </c>
      <c r="V52" s="5" t="str">
        <f t="shared" si="612"/>
        <v/>
      </c>
      <c r="W52" s="5" t="str">
        <f t="shared" si="613"/>
        <v/>
      </c>
      <c r="X52" s="5" t="str">
        <f t="shared" si="614"/>
        <v/>
      </c>
      <c r="Y52" s="5" t="str">
        <f t="shared" si="615"/>
        <v/>
      </c>
      <c r="Z52" s="5" t="str">
        <f t="shared" si="616"/>
        <v/>
      </c>
      <c r="AA52" s="5" t="str">
        <f t="shared" si="617"/>
        <v/>
      </c>
      <c r="AB52" s="5" t="str">
        <f t="shared" si="618"/>
        <v/>
      </c>
      <c r="AC52" s="5" t="str">
        <f t="shared" si="619"/>
        <v/>
      </c>
      <c r="AD52" s="5" t="str">
        <f t="shared" si="620"/>
        <v/>
      </c>
      <c r="AE52" s="5" t="str">
        <f t="shared" si="621"/>
        <v/>
      </c>
      <c r="AF52" s="5" t="str">
        <f t="shared" si="622"/>
        <v/>
      </c>
      <c r="AG52" s="5" t="str">
        <f t="shared" si="623"/>
        <v/>
      </c>
      <c r="AH52" s="5" t="str">
        <f t="shared" si="624"/>
        <v/>
      </c>
      <c r="AI52" s="5" t="str">
        <f t="shared" si="625"/>
        <v/>
      </c>
      <c r="AJ52" s="5" t="str">
        <f t="shared" si="626"/>
        <v/>
      </c>
      <c r="AK52" s="5" t="str">
        <f t="shared" si="627"/>
        <v/>
      </c>
      <c r="AL52" s="5" t="str">
        <f t="shared" si="628"/>
        <v/>
      </c>
      <c r="AM52" s="5" t="str">
        <f t="shared" si="629"/>
        <v/>
      </c>
      <c r="AN52" s="5" t="str">
        <f t="shared" ref="AN52:AS52" si="631">IF(AN45="","",AN45-AM45)</f>
        <v/>
      </c>
      <c r="AO52" s="5" t="str">
        <f t="shared" si="631"/>
        <v/>
      </c>
      <c r="AP52" s="5" t="str">
        <f t="shared" si="631"/>
        <v/>
      </c>
      <c r="AQ52" s="5" t="str">
        <f t="shared" si="631"/>
        <v/>
      </c>
      <c r="AR52" s="5" t="str">
        <f t="shared" si="631"/>
        <v/>
      </c>
      <c r="AS52" s="5" t="str">
        <f t="shared" si="631"/>
        <v/>
      </c>
    </row>
    <row r="53" spans="1:45" s="84" customFormat="1" ht="11.25" x14ac:dyDescent="0.15">
      <c r="A53" s="7">
        <f>SUM(C53:AS53)</f>
        <v>50</v>
      </c>
      <c r="B53" s="6" t="s">
        <v>15</v>
      </c>
      <c r="C53" s="5">
        <v>0</v>
      </c>
      <c r="D53" s="5">
        <v>0</v>
      </c>
      <c r="E53" s="5">
        <v>27</v>
      </c>
      <c r="F53" s="5">
        <v>0</v>
      </c>
      <c r="G53" s="5">
        <v>0</v>
      </c>
      <c r="H53" s="5">
        <v>15</v>
      </c>
      <c r="I53" s="5">
        <v>0</v>
      </c>
      <c r="J53" s="5">
        <v>0</v>
      </c>
      <c r="K53" s="5">
        <v>0</v>
      </c>
      <c r="L53" s="5">
        <v>3</v>
      </c>
      <c r="M53" s="5">
        <f t="shared" ref="M53" si="632">IF(M46="","",L46+L47-M46)</f>
        <v>0</v>
      </c>
      <c r="N53" s="5">
        <f t="shared" ref="N53" si="633">IF(N46="","",M46+M47-N46)</f>
        <v>0</v>
      </c>
      <c r="O53" s="5">
        <f t="shared" ref="O53" si="634">IF(O46="","",N46+N47-O46)</f>
        <v>5</v>
      </c>
      <c r="P53" s="5" t="str">
        <f t="shared" ref="P53" si="635">IF(P46="","",O46+O47-P46)</f>
        <v/>
      </c>
      <c r="Q53" s="5" t="str">
        <f t="shared" ref="Q53" si="636">IF(Q46="","",P46+P47-Q46)</f>
        <v/>
      </c>
      <c r="R53" s="5" t="str">
        <f t="shared" ref="R53" si="637">IF(R46="","",Q46+Q47-R46)</f>
        <v/>
      </c>
      <c r="S53" s="5" t="str">
        <f t="shared" ref="S53" si="638">IF(S46="","",R46+R47-S46)</f>
        <v/>
      </c>
      <c r="T53" s="5" t="str">
        <f t="shared" ref="T53" si="639">IF(T46="","",S46+S47-T46)</f>
        <v/>
      </c>
      <c r="U53" s="5" t="str">
        <f t="shared" ref="U53" si="640">IF(U46="","",T46+T47-U46)</f>
        <v/>
      </c>
      <c r="V53" s="5" t="str">
        <f t="shared" ref="V53" si="641">IF(V46="","",U46+U47-V46)</f>
        <v/>
      </c>
      <c r="W53" s="5" t="str">
        <f t="shared" ref="W53" si="642">IF(W46="","",V46+V47-W46)</f>
        <v/>
      </c>
      <c r="X53" s="5" t="str">
        <f t="shared" ref="X53" si="643">IF(X46="","",W46+W47-X46)</f>
        <v/>
      </c>
      <c r="Y53" s="5" t="str">
        <f t="shared" ref="Y53" si="644">IF(Y46="","",X46+X47-Y46)</f>
        <v/>
      </c>
      <c r="Z53" s="5" t="str">
        <f t="shared" ref="Z53" si="645">IF(Z46="","",Y46+Y47-Z46)</f>
        <v/>
      </c>
      <c r="AA53" s="5" t="str">
        <f t="shared" ref="AA53" si="646">IF(AA46="","",Z46+Z47-AA46)</f>
        <v/>
      </c>
      <c r="AB53" s="5" t="str">
        <f t="shared" ref="AB53" si="647">IF(AB46="","",AA46+AA47-AB46)</f>
        <v/>
      </c>
      <c r="AC53" s="5" t="str">
        <f t="shared" ref="AC53" si="648">IF(AC46="","",AB46+AB47-AC46)</f>
        <v/>
      </c>
      <c r="AD53" s="5" t="str">
        <f t="shared" ref="AD53" si="649">IF(AD46="","",AC46+AC47-AD46)</f>
        <v/>
      </c>
      <c r="AE53" s="5" t="str">
        <f t="shared" ref="AE53" si="650">IF(AE46="","",AD46+AD47-AE46)</f>
        <v/>
      </c>
      <c r="AF53" s="5" t="str">
        <f t="shared" ref="AF53" si="651">IF(AF46="","",AE46+AE47-AF46)</f>
        <v/>
      </c>
      <c r="AG53" s="5" t="str">
        <f t="shared" ref="AG53" si="652">IF(AG46="","",AF46+AF47-AG46)</f>
        <v/>
      </c>
      <c r="AH53" s="5" t="str">
        <f t="shared" ref="AH53" si="653">IF(AH46="","",AG46+AG47-AH46)</f>
        <v/>
      </c>
      <c r="AI53" s="5" t="str">
        <f t="shared" ref="AI53" si="654">IF(AI46="","",AH46+AH47-AI46)</f>
        <v/>
      </c>
      <c r="AJ53" s="5" t="str">
        <f t="shared" ref="AJ53" si="655">IF(AJ46="","",AI46+AI47-AJ46)</f>
        <v/>
      </c>
      <c r="AK53" s="5" t="str">
        <f t="shared" ref="AK53" si="656">IF(AK46="","",AJ46+AJ47-AK46)</f>
        <v/>
      </c>
      <c r="AL53" s="5" t="str">
        <f t="shared" ref="AL53" si="657">IF(AL46="","",AK46+AK47-AL46)</f>
        <v/>
      </c>
      <c r="AM53" s="5" t="str">
        <f t="shared" ref="AM53" si="658">IF(AM46="","",AL46+AL47-AM46)</f>
        <v/>
      </c>
      <c r="AN53" s="5" t="str">
        <f t="shared" ref="AN53:AS53" si="659">IF(AN46="","",AM46+AM47-AN46)</f>
        <v/>
      </c>
      <c r="AO53" s="5" t="str">
        <f t="shared" si="659"/>
        <v/>
      </c>
      <c r="AP53" s="5" t="str">
        <f t="shared" si="659"/>
        <v/>
      </c>
      <c r="AQ53" s="5" t="str">
        <f t="shared" si="659"/>
        <v/>
      </c>
      <c r="AR53" s="5" t="str">
        <f t="shared" si="659"/>
        <v/>
      </c>
      <c r="AS53" s="5" t="str">
        <f t="shared" si="659"/>
        <v/>
      </c>
    </row>
    <row r="54" spans="1:45" s="84" customFormat="1" ht="11.25" x14ac:dyDescent="0.15">
      <c r="A54" s="7">
        <f>SUM(C54:AS54)</f>
        <v>15000</v>
      </c>
      <c r="B54" s="6" t="s">
        <v>16</v>
      </c>
      <c r="C54" s="5">
        <v>0</v>
      </c>
      <c r="D54" s="5">
        <v>0</v>
      </c>
      <c r="E54" s="5">
        <v>8100</v>
      </c>
      <c r="F54" s="5">
        <v>0</v>
      </c>
      <c r="G54" s="5">
        <v>0</v>
      </c>
      <c r="H54" s="5">
        <v>4500</v>
      </c>
      <c r="I54" s="5">
        <v>0</v>
      </c>
      <c r="J54" s="5">
        <v>0</v>
      </c>
      <c r="K54" s="5">
        <v>0</v>
      </c>
      <c r="L54" s="5">
        <v>900</v>
      </c>
      <c r="M54" s="5">
        <f t="shared" ref="J54:AM54" si="660">IF(M44="","",M53*M48)</f>
        <v>0</v>
      </c>
      <c r="N54" s="5">
        <f t="shared" si="660"/>
        <v>0</v>
      </c>
      <c r="O54" s="5">
        <f t="shared" si="660"/>
        <v>1500</v>
      </c>
      <c r="P54" s="5" t="str">
        <f t="shared" si="660"/>
        <v/>
      </c>
      <c r="Q54" s="5" t="str">
        <f t="shared" si="660"/>
        <v/>
      </c>
      <c r="R54" s="5" t="str">
        <f t="shared" si="660"/>
        <v/>
      </c>
      <c r="S54" s="5" t="str">
        <f t="shared" si="660"/>
        <v/>
      </c>
      <c r="T54" s="5" t="str">
        <f t="shared" si="660"/>
        <v/>
      </c>
      <c r="U54" s="5" t="str">
        <f t="shared" si="660"/>
        <v/>
      </c>
      <c r="V54" s="5" t="str">
        <f t="shared" si="660"/>
        <v/>
      </c>
      <c r="W54" s="5" t="str">
        <f t="shared" si="660"/>
        <v/>
      </c>
      <c r="X54" s="5" t="str">
        <f t="shared" si="660"/>
        <v/>
      </c>
      <c r="Y54" s="5" t="str">
        <f t="shared" si="660"/>
        <v/>
      </c>
      <c r="Z54" s="5" t="str">
        <f t="shared" si="660"/>
        <v/>
      </c>
      <c r="AA54" s="5" t="str">
        <f t="shared" si="660"/>
        <v/>
      </c>
      <c r="AB54" s="5" t="str">
        <f t="shared" si="660"/>
        <v/>
      </c>
      <c r="AC54" s="5" t="str">
        <f t="shared" si="660"/>
        <v/>
      </c>
      <c r="AD54" s="5" t="str">
        <f t="shared" si="660"/>
        <v/>
      </c>
      <c r="AE54" s="5" t="str">
        <f t="shared" si="660"/>
        <v/>
      </c>
      <c r="AF54" s="5" t="str">
        <f t="shared" si="660"/>
        <v/>
      </c>
      <c r="AG54" s="5" t="str">
        <f t="shared" si="660"/>
        <v/>
      </c>
      <c r="AH54" s="5" t="str">
        <f t="shared" si="660"/>
        <v/>
      </c>
      <c r="AI54" s="5" t="str">
        <f t="shared" si="660"/>
        <v/>
      </c>
      <c r="AJ54" s="5" t="str">
        <f t="shared" si="660"/>
        <v/>
      </c>
      <c r="AK54" s="5" t="str">
        <f t="shared" si="660"/>
        <v/>
      </c>
      <c r="AL54" s="5" t="str">
        <f t="shared" si="660"/>
        <v/>
      </c>
      <c r="AM54" s="5" t="str">
        <f t="shared" si="660"/>
        <v/>
      </c>
      <c r="AN54" s="5" t="str">
        <f t="shared" ref="AN54:AS54" si="661">IF(AN44="","",AN53*AN48)</f>
        <v/>
      </c>
      <c r="AO54" s="5" t="str">
        <f t="shared" si="661"/>
        <v/>
      </c>
      <c r="AP54" s="5" t="str">
        <f t="shared" si="661"/>
        <v/>
      </c>
      <c r="AQ54" s="5" t="str">
        <f t="shared" si="661"/>
        <v/>
      </c>
      <c r="AR54" s="5" t="str">
        <f t="shared" si="661"/>
        <v/>
      </c>
      <c r="AS54" s="5" t="str">
        <f t="shared" si="661"/>
        <v/>
      </c>
    </row>
    <row r="55" spans="1:45" s="84" customFormat="1" ht="12" thickBot="1" x14ac:dyDescent="0.2">
      <c r="A55" s="4">
        <f>IF(A54="","",A54/(A51*100))</f>
        <v>0.22624434389140272</v>
      </c>
      <c r="B55" s="3" t="s">
        <v>18</v>
      </c>
      <c r="C55" s="2" t="s">
        <v>19</v>
      </c>
      <c r="D55" s="2" t="s">
        <v>19</v>
      </c>
      <c r="E55" s="2">
        <v>0.71052631578947367</v>
      </c>
      <c r="F55" s="2" t="s">
        <v>19</v>
      </c>
      <c r="G55" s="2" t="s">
        <v>19</v>
      </c>
      <c r="H55" s="2">
        <v>0.17241379310344829</v>
      </c>
      <c r="I55" s="2" t="s">
        <v>19</v>
      </c>
      <c r="J55" s="2" t="s">
        <v>19</v>
      </c>
      <c r="K55" s="2" t="s">
        <v>19</v>
      </c>
      <c r="L55" s="2">
        <v>5.9602649006622516E-2</v>
      </c>
      <c r="M55" s="2" t="str">
        <f t="shared" ref="J55:AM55" si="662">IF(M54="","",IF(M54=0,"",M54/(M51*100)))</f>
        <v/>
      </c>
      <c r="N55" s="2" t="str">
        <f t="shared" si="662"/>
        <v/>
      </c>
      <c r="O55" s="2">
        <f t="shared" si="662"/>
        <v>0.10948905109489052</v>
      </c>
      <c r="P55" s="2" t="str">
        <f t="shared" si="662"/>
        <v/>
      </c>
      <c r="Q55" s="2" t="str">
        <f t="shared" si="662"/>
        <v/>
      </c>
      <c r="R55" s="2" t="str">
        <f t="shared" si="662"/>
        <v/>
      </c>
      <c r="S55" s="2" t="str">
        <f t="shared" si="662"/>
        <v/>
      </c>
      <c r="T55" s="2" t="str">
        <f t="shared" si="662"/>
        <v/>
      </c>
      <c r="U55" s="2" t="str">
        <f t="shared" si="662"/>
        <v/>
      </c>
      <c r="V55" s="2" t="str">
        <f t="shared" si="662"/>
        <v/>
      </c>
      <c r="W55" s="2" t="str">
        <f t="shared" si="662"/>
        <v/>
      </c>
      <c r="X55" s="2" t="str">
        <f t="shared" si="662"/>
        <v/>
      </c>
      <c r="Y55" s="2" t="str">
        <f t="shared" si="662"/>
        <v/>
      </c>
      <c r="Z55" s="2" t="str">
        <f t="shared" si="662"/>
        <v/>
      </c>
      <c r="AA55" s="2" t="str">
        <f t="shared" si="662"/>
        <v/>
      </c>
      <c r="AB55" s="2" t="str">
        <f t="shared" si="662"/>
        <v/>
      </c>
      <c r="AC55" s="2" t="str">
        <f t="shared" si="662"/>
        <v/>
      </c>
      <c r="AD55" s="2" t="str">
        <f t="shared" si="662"/>
        <v/>
      </c>
      <c r="AE55" s="2" t="str">
        <f t="shared" si="662"/>
        <v/>
      </c>
      <c r="AF55" s="2" t="str">
        <f t="shared" si="662"/>
        <v/>
      </c>
      <c r="AG55" s="2" t="str">
        <f t="shared" si="662"/>
        <v/>
      </c>
      <c r="AH55" s="2" t="str">
        <f t="shared" si="662"/>
        <v/>
      </c>
      <c r="AI55" s="2" t="str">
        <f t="shared" si="662"/>
        <v/>
      </c>
      <c r="AJ55" s="2" t="str">
        <f t="shared" si="662"/>
        <v/>
      </c>
      <c r="AK55" s="2" t="str">
        <f t="shared" si="662"/>
        <v/>
      </c>
      <c r="AL55" s="2" t="str">
        <f t="shared" si="662"/>
        <v/>
      </c>
      <c r="AM55" s="2" t="str">
        <f t="shared" si="662"/>
        <v/>
      </c>
      <c r="AN55" s="2" t="str">
        <f t="shared" ref="AN55:AS55" si="663">IF(AN54="","",IF(AN54=0,"",AN54/(AN51*100)))</f>
        <v/>
      </c>
      <c r="AO55" s="2" t="str">
        <f t="shared" si="663"/>
        <v/>
      </c>
      <c r="AP55" s="2" t="str">
        <f t="shared" si="663"/>
        <v/>
      </c>
      <c r="AQ55" s="2" t="str">
        <f t="shared" si="663"/>
        <v/>
      </c>
      <c r="AR55" s="2" t="str">
        <f t="shared" si="663"/>
        <v/>
      </c>
      <c r="AS55" s="2" t="str">
        <f t="shared" si="663"/>
        <v/>
      </c>
    </row>
    <row r="56" spans="1:45" s="84" customFormat="1" ht="11.25" x14ac:dyDescent="0.15">
      <c r="A56" s="22" t="s">
        <v>83</v>
      </c>
      <c r="B56" s="21" t="s">
        <v>2</v>
      </c>
      <c r="C56" s="20">
        <v>37822</v>
      </c>
      <c r="D56" s="20">
        <v>37822</v>
      </c>
      <c r="E56" s="20">
        <v>37846</v>
      </c>
      <c r="F56" s="20">
        <v>37846</v>
      </c>
      <c r="G56" s="20">
        <v>37846</v>
      </c>
      <c r="H56" s="20">
        <v>37921</v>
      </c>
      <c r="I56" s="20">
        <v>37921</v>
      </c>
      <c r="J56" s="20">
        <v>37921</v>
      </c>
      <c r="K56" s="20">
        <v>37921</v>
      </c>
      <c r="L56" s="20">
        <v>38045</v>
      </c>
      <c r="M56" s="20">
        <f t="shared" ref="M56:M57" si="664">IF(M$8="","",L56)</f>
        <v>38045</v>
      </c>
      <c r="N56" s="20">
        <f t="shared" ref="N56:N57" si="665">IF(N$8="","",M56)</f>
        <v>38045</v>
      </c>
      <c r="O56" s="20">
        <v>38078</v>
      </c>
      <c r="P56" s="20" t="str">
        <f>IF(P$8="","",O56)</f>
        <v/>
      </c>
      <c r="Q56" s="20" t="str">
        <f t="shared" ref="Q56:Q57" si="666">IF(Q$8="","",P56)</f>
        <v/>
      </c>
      <c r="R56" s="20" t="str">
        <f t="shared" ref="R56:R57" si="667">IF(R$8="","",Q56)</f>
        <v/>
      </c>
      <c r="S56" s="20" t="str">
        <f>IF(S$8="","",R56)</f>
        <v/>
      </c>
      <c r="T56" s="20" t="str">
        <f t="shared" ref="T56:T57" si="668">IF(T$8="","",S56)</f>
        <v/>
      </c>
      <c r="U56" s="20" t="str">
        <f t="shared" ref="U56:U57" si="669">IF(U$8="","",T56)</f>
        <v/>
      </c>
      <c r="V56" s="20" t="str">
        <f>IF(V$8="","",U56)</f>
        <v/>
      </c>
      <c r="W56" s="20" t="str">
        <f t="shared" ref="W56:W57" si="670">IF(W$8="","",V56)</f>
        <v/>
      </c>
      <c r="X56" s="20" t="str">
        <f t="shared" ref="X56:X57" si="671">IF(X$8="","",W56)</f>
        <v/>
      </c>
      <c r="Y56" s="20" t="str">
        <f t="shared" ref="Y56:Y57" si="672">IF(Y$8="","",X56)</f>
        <v/>
      </c>
      <c r="Z56" s="20" t="str">
        <f>IF(Z$8="","",Y56)</f>
        <v/>
      </c>
      <c r="AA56" s="20" t="str">
        <f t="shared" ref="AA56:AA57" si="673">IF(AA$8="","",Z56)</f>
        <v/>
      </c>
      <c r="AB56" s="20" t="str">
        <f t="shared" ref="AB56:AB57" si="674">IF(AB$8="","",AA56)</f>
        <v/>
      </c>
      <c r="AC56" s="20" t="str">
        <f t="shared" ref="AC56:AC57" si="675">IF(AC$8="","",AB56)</f>
        <v/>
      </c>
      <c r="AD56" s="20" t="str">
        <f>IF(AD$8="","",AC56)</f>
        <v/>
      </c>
      <c r="AE56" s="20" t="str">
        <f t="shared" ref="AE56:AE57" si="676">IF(AE$8="","",AD56)</f>
        <v/>
      </c>
      <c r="AF56" s="20" t="str">
        <f t="shared" ref="AF56:AF57" si="677">IF(AF$8="","",AE56)</f>
        <v/>
      </c>
      <c r="AG56" s="20" t="str">
        <f>IF(AG$8="","",AF56)</f>
        <v/>
      </c>
      <c r="AH56" s="20" t="str">
        <f t="shared" ref="AH56:AH57" si="678">IF(AH$8="","",AG56)</f>
        <v/>
      </c>
      <c r="AI56" s="20" t="str">
        <f t="shared" ref="AI56:AI57" si="679">IF(AI$8="","",AH56)</f>
        <v/>
      </c>
      <c r="AJ56" s="20" t="str">
        <f>IF(AJ$8="","",AI56)</f>
        <v/>
      </c>
      <c r="AK56" s="20" t="str">
        <f t="shared" ref="AK56:AK57" si="680">IF(AK$8="","",AJ56)</f>
        <v/>
      </c>
      <c r="AL56" s="20" t="str">
        <f t="shared" ref="AL56:AL57" si="681">IF(AL$8="","",AK56)</f>
        <v/>
      </c>
      <c r="AM56" s="20" t="str">
        <f t="shared" ref="AM56:AM57" si="682">IF(AM$8="","",AL56)</f>
        <v/>
      </c>
      <c r="AN56" s="20" t="str">
        <f>IF(AN$8="","",AM56)</f>
        <v/>
      </c>
      <c r="AO56" s="20" t="str">
        <f t="shared" ref="AN56:AS56" si="683">IF(AO$8="","",AN56)</f>
        <v/>
      </c>
      <c r="AP56" s="20" t="str">
        <f t="shared" si="683"/>
        <v/>
      </c>
      <c r="AQ56" s="20" t="str">
        <f t="shared" si="683"/>
        <v/>
      </c>
      <c r="AR56" s="20" t="str">
        <f t="shared" si="683"/>
        <v/>
      </c>
      <c r="AS56" s="20" t="str">
        <f t="shared" si="683"/>
        <v/>
      </c>
    </row>
    <row r="57" spans="1:45" s="84" customFormat="1" ht="11.25" x14ac:dyDescent="0.15">
      <c r="A57" s="16" t="s">
        <v>22</v>
      </c>
      <c r="B57" s="9" t="s">
        <v>4</v>
      </c>
      <c r="C57" s="8">
        <v>1719</v>
      </c>
      <c r="D57" s="8">
        <v>1719</v>
      </c>
      <c r="E57" s="8">
        <v>1720</v>
      </c>
      <c r="F57" s="8">
        <v>1720</v>
      </c>
      <c r="G57" s="8">
        <v>1720</v>
      </c>
      <c r="H57" s="8">
        <v>1720</v>
      </c>
      <c r="I57" s="8">
        <v>1720</v>
      </c>
      <c r="J57" s="8">
        <v>1720</v>
      </c>
      <c r="K57" s="8">
        <v>1720</v>
      </c>
      <c r="L57" s="8">
        <v>1724</v>
      </c>
      <c r="M57" s="8">
        <f t="shared" si="664"/>
        <v>1724</v>
      </c>
      <c r="N57" s="8">
        <f t="shared" si="665"/>
        <v>1724</v>
      </c>
      <c r="O57" s="8">
        <v>1724</v>
      </c>
      <c r="P57" s="8" t="str">
        <f>IF(P$8="","",O57)</f>
        <v/>
      </c>
      <c r="Q57" s="8" t="str">
        <f t="shared" si="666"/>
        <v/>
      </c>
      <c r="R57" s="8" t="str">
        <f t="shared" si="667"/>
        <v/>
      </c>
      <c r="S57" s="8" t="str">
        <f>IF(S$8="","",R57)</f>
        <v/>
      </c>
      <c r="T57" s="8" t="str">
        <f t="shared" si="668"/>
        <v/>
      </c>
      <c r="U57" s="8" t="str">
        <f t="shared" si="669"/>
        <v/>
      </c>
      <c r="V57" s="8" t="str">
        <f>IF(V$8="","",U57)</f>
        <v/>
      </c>
      <c r="W57" s="8" t="str">
        <f t="shared" si="670"/>
        <v/>
      </c>
      <c r="X57" s="8" t="str">
        <f t="shared" si="671"/>
        <v/>
      </c>
      <c r="Y57" s="8" t="str">
        <f t="shared" si="672"/>
        <v/>
      </c>
      <c r="Z57" s="8" t="str">
        <f>IF(Z$8="","",Y57)</f>
        <v/>
      </c>
      <c r="AA57" s="8" t="str">
        <f t="shared" si="673"/>
        <v/>
      </c>
      <c r="AB57" s="8" t="str">
        <f t="shared" si="674"/>
        <v/>
      </c>
      <c r="AC57" s="8" t="str">
        <f t="shared" si="675"/>
        <v/>
      </c>
      <c r="AD57" s="8" t="str">
        <f>IF(AD$8="","",AC57)</f>
        <v/>
      </c>
      <c r="AE57" s="8" t="str">
        <f t="shared" si="676"/>
        <v/>
      </c>
      <c r="AF57" s="8" t="str">
        <f t="shared" si="677"/>
        <v/>
      </c>
      <c r="AG57" s="8" t="str">
        <f>IF(AG$8="","",AF57)</f>
        <v/>
      </c>
      <c r="AH57" s="8" t="str">
        <f t="shared" si="678"/>
        <v/>
      </c>
      <c r="AI57" s="8" t="str">
        <f t="shared" si="679"/>
        <v/>
      </c>
      <c r="AJ57" s="8" t="str">
        <f t="shared" ref="AJ56:AJ57" si="684">IF(AJ$8="","",AI57)</f>
        <v/>
      </c>
      <c r="AK57" s="8" t="str">
        <f t="shared" si="680"/>
        <v/>
      </c>
      <c r="AL57" s="8" t="str">
        <f t="shared" si="681"/>
        <v/>
      </c>
      <c r="AM57" s="8" t="str">
        <f t="shared" si="682"/>
        <v/>
      </c>
      <c r="AN57" s="8" t="str">
        <f>IF(AN$8="","",AM57)</f>
        <v/>
      </c>
      <c r="AO57" s="8" t="str">
        <f t="shared" ref="AN57:AS57" si="685">IF(AO$8="","",AN57)</f>
        <v/>
      </c>
      <c r="AP57" s="8" t="str">
        <f t="shared" si="685"/>
        <v/>
      </c>
      <c r="AQ57" s="8" t="str">
        <f t="shared" si="685"/>
        <v/>
      </c>
      <c r="AR57" s="8" t="str">
        <f t="shared" si="685"/>
        <v/>
      </c>
      <c r="AS57" s="8" t="str">
        <f t="shared" si="685"/>
        <v/>
      </c>
    </row>
    <row r="58" spans="1:45" s="84" customFormat="1" ht="11.25" x14ac:dyDescent="0.15">
      <c r="A58" s="15">
        <v>1</v>
      </c>
      <c r="B58" s="9" t="s">
        <v>5</v>
      </c>
      <c r="C58" s="8">
        <v>7</v>
      </c>
      <c r="D58" s="8">
        <v>7</v>
      </c>
      <c r="E58" s="8">
        <v>6</v>
      </c>
      <c r="F58" s="8">
        <v>12</v>
      </c>
      <c r="G58" s="8">
        <v>12</v>
      </c>
      <c r="H58" s="8">
        <v>12</v>
      </c>
      <c r="I58" s="8">
        <v>12</v>
      </c>
      <c r="J58" s="8">
        <v>12</v>
      </c>
      <c r="K58" s="8">
        <v>12</v>
      </c>
      <c r="L58" s="8">
        <v>7</v>
      </c>
      <c r="M58" s="8">
        <f t="shared" ref="M58" si="686">IF(M56="","",(L58+L59))</f>
        <v>7</v>
      </c>
      <c r="N58" s="8">
        <f t="shared" ref="N58" si="687">IF(N56="","",(M58+M59))</f>
        <v>7</v>
      </c>
      <c r="O58" s="8">
        <f>IF(O56="","",(N58+N59))</f>
        <v>7</v>
      </c>
      <c r="P58" s="8" t="str">
        <f>IF(P56="","",(O58+O59))</f>
        <v/>
      </c>
      <c r="Q58" s="8" t="str">
        <f>IF(Q56="","",(P58+P59))</f>
        <v/>
      </c>
      <c r="R58" s="8" t="str">
        <f t="shared" ref="R58" si="688">IF(R56="","",(Q58+Q59))</f>
        <v/>
      </c>
      <c r="S58" s="8" t="str">
        <f>IF(S56="","",(R58+R59))</f>
        <v/>
      </c>
      <c r="T58" s="8" t="str">
        <f>IF(T56="","",(S58+S59))</f>
        <v/>
      </c>
      <c r="U58" s="8" t="str">
        <f t="shared" ref="U58" si="689">IF(U56="","",(T58+T59))</f>
        <v/>
      </c>
      <c r="V58" s="8" t="str">
        <f>IF(V56="","",(U58+U59))</f>
        <v/>
      </c>
      <c r="W58" s="8" t="str">
        <f t="shared" ref="W58" si="690">IF(W56="","",(V58+V59))</f>
        <v/>
      </c>
      <c r="X58" s="8" t="str">
        <f t="shared" ref="X58" si="691">IF(X56="","",(W58+W59))</f>
        <v/>
      </c>
      <c r="Y58" s="8" t="str">
        <f t="shared" ref="Y58" si="692">IF(Y56="","",(X58+X59))</f>
        <v/>
      </c>
      <c r="Z58" s="8" t="str">
        <f>IF(Z56="","",(Y58+Y59))</f>
        <v/>
      </c>
      <c r="AA58" s="8" t="str">
        <f t="shared" ref="AA58" si="693">IF(AA56="","",(Z58+Z59))</f>
        <v/>
      </c>
      <c r="AB58" s="8" t="str">
        <f t="shared" ref="AB58" si="694">IF(AB56="","",(AA58+AA59))</f>
        <v/>
      </c>
      <c r="AC58" s="8" t="str">
        <f t="shared" ref="AC58" si="695">IF(AC56="","",(AB58+AB59))</f>
        <v/>
      </c>
      <c r="AD58" s="8" t="str">
        <f>IF(AD56="","",(AC58+AC59))</f>
        <v/>
      </c>
      <c r="AE58" s="8" t="str">
        <f t="shared" ref="AE58" si="696">IF(AE56="","",(AD58+AD59))</f>
        <v/>
      </c>
      <c r="AF58" s="8" t="str">
        <f t="shared" ref="AF58" si="697">IF(AF56="","",(AE58+AE59))</f>
        <v/>
      </c>
      <c r="AG58" s="8" t="str">
        <f>IF(AG56="","",(AF58+AF59))</f>
        <v/>
      </c>
      <c r="AH58" s="8" t="str">
        <f t="shared" ref="AH58" si="698">IF(AH56="","",(AG58+AG59))</f>
        <v/>
      </c>
      <c r="AI58" s="8" t="str">
        <f t="shared" ref="AI58" si="699">IF(AI56="","",(AH58+AH59))</f>
        <v/>
      </c>
      <c r="AJ58" s="8" t="str">
        <f t="shared" ref="AJ58" si="700">IF(AJ56="","",(AI58+AI59))</f>
        <v/>
      </c>
      <c r="AK58" s="8" t="str">
        <f t="shared" ref="AK58" si="701">IF(AK56="","",(AJ58+AJ59))</f>
        <v/>
      </c>
      <c r="AL58" s="8" t="str">
        <f t="shared" ref="AL58" si="702">IF(AL56="","",(AK58+AK59))</f>
        <v/>
      </c>
      <c r="AM58" s="8" t="str">
        <f t="shared" ref="AM58" si="703">IF(AM56="","",(AL58+AL59))</f>
        <v/>
      </c>
      <c r="AN58" s="8" t="str">
        <f>IF(AN56="","",(AM58+AM59))</f>
        <v/>
      </c>
      <c r="AO58" s="8" t="str">
        <f t="shared" ref="AN58:AS58" si="704">IF(AO56="","",(AN58+AN59))</f>
        <v/>
      </c>
      <c r="AP58" s="8" t="str">
        <f t="shared" si="704"/>
        <v/>
      </c>
      <c r="AQ58" s="8" t="str">
        <f t="shared" si="704"/>
        <v/>
      </c>
      <c r="AR58" s="8" t="str">
        <f t="shared" si="704"/>
        <v/>
      </c>
      <c r="AS58" s="8" t="str">
        <f t="shared" si="704"/>
        <v/>
      </c>
    </row>
    <row r="59" spans="1:45" s="84" customFormat="1" ht="11.25" x14ac:dyDescent="0.15">
      <c r="A59" s="92" t="s">
        <v>6</v>
      </c>
      <c r="B59" s="9" t="s">
        <v>7</v>
      </c>
      <c r="C59" s="8"/>
      <c r="D59" s="8"/>
      <c r="E59" s="8">
        <v>6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1:45" s="84" customFormat="1" ht="11.25" x14ac:dyDescent="0.15">
      <c r="A60" s="93">
        <f>+(A63+A75+A87+A99)*100</f>
        <v>129600</v>
      </c>
      <c r="B60" s="9" t="s">
        <v>8</v>
      </c>
      <c r="C60" s="8">
        <v>750</v>
      </c>
      <c r="D60" s="8">
        <v>750</v>
      </c>
      <c r="E60" s="8">
        <v>750</v>
      </c>
      <c r="F60" s="8">
        <v>750</v>
      </c>
      <c r="G60" s="8">
        <v>750</v>
      </c>
      <c r="H60" s="8">
        <v>750</v>
      </c>
      <c r="I60" s="8">
        <v>750</v>
      </c>
      <c r="J60" s="8">
        <v>750</v>
      </c>
      <c r="K60" s="8">
        <v>750</v>
      </c>
      <c r="L60" s="8">
        <v>750</v>
      </c>
      <c r="M60" s="8">
        <f t="shared" ref="M60" si="705">IF(M56="","",L60)</f>
        <v>750</v>
      </c>
      <c r="N60" s="8">
        <f t="shared" ref="N60" si="706">IF(N56="","",M60)</f>
        <v>750</v>
      </c>
      <c r="O60" s="8">
        <f t="shared" ref="O60" si="707">IF(O56="","",N60)</f>
        <v>750</v>
      </c>
      <c r="P60" s="8" t="str">
        <f t="shared" ref="P60" si="708">IF(P56="","",O60)</f>
        <v/>
      </c>
      <c r="Q60" s="8" t="str">
        <f t="shared" ref="Q60" si="709">IF(Q56="","",P60)</f>
        <v/>
      </c>
      <c r="R60" s="8" t="str">
        <f t="shared" ref="R60" si="710">IF(R56="","",Q60)</f>
        <v/>
      </c>
      <c r="S60" s="8" t="str">
        <f t="shared" ref="S60" si="711">IF(S56="","",R60)</f>
        <v/>
      </c>
      <c r="T60" s="8" t="str">
        <f t="shared" ref="T60" si="712">IF(T56="","",S60)</f>
        <v/>
      </c>
      <c r="U60" s="8" t="str">
        <f t="shared" ref="U60" si="713">IF(U56="","",T60)</f>
        <v/>
      </c>
      <c r="V60" s="8" t="str">
        <f t="shared" ref="V60" si="714">IF(V56="","",U60)</f>
        <v/>
      </c>
      <c r="W60" s="8" t="str">
        <f t="shared" ref="W60" si="715">IF(W56="","",V60)</f>
        <v/>
      </c>
      <c r="X60" s="8" t="str">
        <f t="shared" ref="X60" si="716">IF(X56="","",W60)</f>
        <v/>
      </c>
      <c r="Y60" s="8" t="str">
        <f t="shared" ref="Y60" si="717">IF(Y56="","",X60)</f>
        <v/>
      </c>
      <c r="Z60" s="8" t="str">
        <f t="shared" ref="Z60" si="718">IF(Z56="","",Y60)</f>
        <v/>
      </c>
      <c r="AA60" s="8" t="str">
        <f t="shared" ref="AA60" si="719">IF(AA56="","",Z60)</f>
        <v/>
      </c>
      <c r="AB60" s="8" t="str">
        <f t="shared" ref="AB60" si="720">IF(AB56="","",AA60)</f>
        <v/>
      </c>
      <c r="AC60" s="8" t="str">
        <f t="shared" ref="AC60" si="721">IF(AC56="","",AB60)</f>
        <v/>
      </c>
      <c r="AD60" s="8" t="str">
        <f t="shared" ref="AD60" si="722">IF(AD56="","",AC60)</f>
        <v/>
      </c>
      <c r="AE60" s="8" t="str">
        <f t="shared" ref="AE60" si="723">IF(AE56="","",AD60)</f>
        <v/>
      </c>
      <c r="AF60" s="8" t="str">
        <f t="shared" ref="AF60" si="724">IF(AF56="","",AE60)</f>
        <v/>
      </c>
      <c r="AG60" s="8" t="str">
        <f t="shared" ref="AG60" si="725">IF(AG56="","",AF60)</f>
        <v/>
      </c>
      <c r="AH60" s="8" t="str">
        <f t="shared" ref="AH60" si="726">IF(AH56="","",AG60)</f>
        <v/>
      </c>
      <c r="AI60" s="8" t="str">
        <f t="shared" ref="AI60" si="727">IF(AI56="","",AH60)</f>
        <v/>
      </c>
      <c r="AJ60" s="8" t="str">
        <f t="shared" ref="AJ60" si="728">IF(AJ56="","",AI60)</f>
        <v/>
      </c>
      <c r="AK60" s="8" t="str">
        <f t="shared" ref="AK60" si="729">IF(AK56="","",AJ60)</f>
        <v/>
      </c>
      <c r="AL60" s="8" t="str">
        <f t="shared" ref="AL60" si="730">IF(AL56="","",AK60)</f>
        <v/>
      </c>
      <c r="AM60" s="8" t="str">
        <f t="shared" ref="AM60" si="731">IF(AM56="","",AL60)</f>
        <v/>
      </c>
      <c r="AN60" s="8" t="str">
        <f t="shared" ref="AN60:AS60" si="732">IF(AN56="","",AM60)</f>
        <v/>
      </c>
      <c r="AO60" s="8" t="str">
        <f t="shared" si="732"/>
        <v/>
      </c>
      <c r="AP60" s="8" t="str">
        <f t="shared" si="732"/>
        <v/>
      </c>
      <c r="AQ60" s="8" t="str">
        <f t="shared" si="732"/>
        <v/>
      </c>
      <c r="AR60" s="8" t="str">
        <f t="shared" si="732"/>
        <v/>
      </c>
      <c r="AS60" s="8" t="str">
        <f t="shared" si="732"/>
        <v/>
      </c>
    </row>
    <row r="61" spans="1:45" s="85" customFormat="1" ht="11.25" x14ac:dyDescent="0.15">
      <c r="A61" s="14" t="s">
        <v>9</v>
      </c>
      <c r="B61" s="13" t="s">
        <v>10</v>
      </c>
      <c r="C61" s="12" t="s">
        <v>86</v>
      </c>
      <c r="D61" s="12" t="s">
        <v>86</v>
      </c>
      <c r="E61" s="12" t="s">
        <v>86</v>
      </c>
      <c r="F61" s="12" t="s">
        <v>86</v>
      </c>
      <c r="G61" s="12" t="s">
        <v>86</v>
      </c>
      <c r="H61" s="12" t="s">
        <v>86</v>
      </c>
      <c r="I61" s="12" t="s">
        <v>86</v>
      </c>
      <c r="J61" s="12" t="s">
        <v>86</v>
      </c>
      <c r="K61" s="12" t="s">
        <v>86</v>
      </c>
      <c r="L61" s="12" t="s">
        <v>86</v>
      </c>
      <c r="M61" s="12" t="str">
        <f t="shared" ref="M61" si="733">IF(M56="","",L61)</f>
        <v>ジャグラーサウンドフラッシュボタン</v>
      </c>
      <c r="N61" s="12" t="str">
        <f t="shared" ref="N61" si="734">IF(N56="","",M61)</f>
        <v>ジャグラーサウンドフラッシュボタン</v>
      </c>
      <c r="O61" s="12" t="str">
        <f t="shared" ref="O61" si="735">IF(O56="","",N61)</f>
        <v>ジャグラーサウンドフラッシュボタン</v>
      </c>
      <c r="P61" s="12" t="str">
        <f t="shared" ref="P61" si="736">IF(P56="","",O61)</f>
        <v/>
      </c>
      <c r="Q61" s="12" t="str">
        <f t="shared" ref="Q61" si="737">IF(Q56="","",P61)</f>
        <v/>
      </c>
      <c r="R61" s="12" t="str">
        <f t="shared" ref="R61" si="738">IF(R56="","",Q61)</f>
        <v/>
      </c>
      <c r="S61" s="12" t="str">
        <f t="shared" ref="S61" si="739">IF(S56="","",R61)</f>
        <v/>
      </c>
      <c r="T61" s="12" t="str">
        <f t="shared" ref="T61" si="740">IF(T56="","",S61)</f>
        <v/>
      </c>
      <c r="U61" s="12" t="str">
        <f t="shared" ref="U61" si="741">IF(U56="","",T61)</f>
        <v/>
      </c>
      <c r="V61" s="12" t="str">
        <f t="shared" ref="V61" si="742">IF(V56="","",U61)</f>
        <v/>
      </c>
      <c r="W61" s="12" t="str">
        <f t="shared" ref="W61" si="743">IF(W56="","",V61)</f>
        <v/>
      </c>
      <c r="X61" s="12" t="str">
        <f t="shared" ref="X61" si="744">IF(X56="","",W61)</f>
        <v/>
      </c>
      <c r="Y61" s="12" t="str">
        <f t="shared" ref="Y61" si="745">IF(Y56="","",X61)</f>
        <v/>
      </c>
      <c r="Z61" s="12" t="str">
        <f t="shared" ref="Z61" si="746">IF(Z56="","",Y61)</f>
        <v/>
      </c>
      <c r="AA61" s="12" t="str">
        <f t="shared" ref="AA61" si="747">IF(AA56="","",Z61)</f>
        <v/>
      </c>
      <c r="AB61" s="12" t="str">
        <f t="shared" ref="AB61" si="748">IF(AB56="","",AA61)</f>
        <v/>
      </c>
      <c r="AC61" s="12" t="str">
        <f t="shared" ref="AC61" si="749">IF(AC56="","",AB61)</f>
        <v/>
      </c>
      <c r="AD61" s="12" t="str">
        <f t="shared" ref="AD61" si="750">IF(AD56="","",AC61)</f>
        <v/>
      </c>
      <c r="AE61" s="12" t="str">
        <f t="shared" ref="AE61" si="751">IF(AE56="","",AD61)</f>
        <v/>
      </c>
      <c r="AF61" s="12" t="str">
        <f t="shared" ref="AF61" si="752">IF(AF56="","",AE61)</f>
        <v/>
      </c>
      <c r="AG61" s="12" t="str">
        <f t="shared" ref="AG61" si="753">IF(AG56="","",AF61)</f>
        <v/>
      </c>
      <c r="AH61" s="12" t="str">
        <f t="shared" ref="AH61" si="754">IF(AH56="","",AG61)</f>
        <v/>
      </c>
      <c r="AI61" s="12" t="str">
        <f t="shared" ref="AI61" si="755">IF(AI56="","",AH61)</f>
        <v/>
      </c>
      <c r="AJ61" s="12" t="str">
        <f t="shared" ref="AJ61" si="756">IF(AJ56="","",AI61)</f>
        <v/>
      </c>
      <c r="AK61" s="12" t="str">
        <f t="shared" ref="AK61" si="757">IF(AK56="","",AJ61)</f>
        <v/>
      </c>
      <c r="AL61" s="12" t="str">
        <f t="shared" ref="AL61" si="758">IF(AL56="","",AK61)</f>
        <v/>
      </c>
      <c r="AM61" s="12" t="str">
        <f t="shared" ref="AM61" si="759">IF(AM56="","",AL61)</f>
        <v/>
      </c>
      <c r="AN61" s="12" t="str">
        <f t="shared" ref="AN61:AS61" si="760">IF(AN56="","",AM61)</f>
        <v/>
      </c>
      <c r="AO61" s="12" t="str">
        <f t="shared" si="760"/>
        <v/>
      </c>
      <c r="AP61" s="12" t="str">
        <f t="shared" si="760"/>
        <v/>
      </c>
      <c r="AQ61" s="12" t="str">
        <f t="shared" si="760"/>
        <v/>
      </c>
      <c r="AR61" s="12" t="str">
        <f t="shared" si="760"/>
        <v/>
      </c>
      <c r="AS61" s="12" t="str">
        <f t="shared" si="760"/>
        <v/>
      </c>
    </row>
    <row r="62" spans="1:45" s="84" customFormat="1" ht="11.25" x14ac:dyDescent="0.15">
      <c r="A62" s="7">
        <f>AVERAGE(C63:AS63)*30*100</f>
        <v>59076.923076923085</v>
      </c>
      <c r="B62" s="9" t="s">
        <v>12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</row>
    <row r="63" spans="1:45" s="84" customFormat="1" ht="11.25" x14ac:dyDescent="0.15">
      <c r="A63" s="7">
        <f>SUM(C63:AS63)</f>
        <v>256</v>
      </c>
      <c r="B63" s="6" t="s">
        <v>13</v>
      </c>
      <c r="C63" s="5">
        <v>0</v>
      </c>
      <c r="D63" s="5">
        <v>0</v>
      </c>
      <c r="E63" s="5">
        <v>24</v>
      </c>
      <c r="F63" s="5">
        <v>0</v>
      </c>
      <c r="G63" s="5">
        <v>0</v>
      </c>
      <c r="H63" s="5">
        <v>75</v>
      </c>
      <c r="I63" s="5">
        <v>0</v>
      </c>
      <c r="J63" s="5">
        <v>0</v>
      </c>
      <c r="K63" s="5">
        <v>0</v>
      </c>
      <c r="L63" s="5">
        <v>124</v>
      </c>
      <c r="M63" s="5">
        <f t="shared" ref="M63:M64" si="761">IF(M56="","",M56-L56)</f>
        <v>0</v>
      </c>
      <c r="N63" s="5">
        <f t="shared" ref="N63:N64" si="762">IF(N56="","",N56-M56)</f>
        <v>0</v>
      </c>
      <c r="O63" s="5">
        <f t="shared" ref="O63:O64" si="763">IF(O56="","",O56-N56)</f>
        <v>33</v>
      </c>
      <c r="P63" s="5" t="str">
        <f t="shared" ref="P63:P64" si="764">IF(P56="","",P56-O56)</f>
        <v/>
      </c>
      <c r="Q63" s="5" t="str">
        <f t="shared" ref="Q63:Q64" si="765">IF(Q56="","",Q56-P56)</f>
        <v/>
      </c>
      <c r="R63" s="5" t="str">
        <f t="shared" ref="R63:R64" si="766">IF(R56="","",R56-Q56)</f>
        <v/>
      </c>
      <c r="S63" s="5" t="str">
        <f t="shared" ref="S63:S64" si="767">IF(S56="","",S56-R56)</f>
        <v/>
      </c>
      <c r="T63" s="5" t="str">
        <f t="shared" ref="T63:T64" si="768">IF(T56="","",T56-S56)</f>
        <v/>
      </c>
      <c r="U63" s="5" t="str">
        <f t="shared" ref="U63:U64" si="769">IF(U56="","",U56-T56)</f>
        <v/>
      </c>
      <c r="V63" s="5" t="str">
        <f t="shared" ref="V63:V64" si="770">IF(V56="","",V56-U56)</f>
        <v/>
      </c>
      <c r="W63" s="5" t="str">
        <f t="shared" ref="W63:W64" si="771">IF(W56="","",W56-V56)</f>
        <v/>
      </c>
      <c r="X63" s="5" t="str">
        <f t="shared" ref="X63:X64" si="772">IF(X56="","",X56-W56)</f>
        <v/>
      </c>
      <c r="Y63" s="5" t="str">
        <f t="shared" ref="Y63:Y64" si="773">IF(Y56="","",Y56-X56)</f>
        <v/>
      </c>
      <c r="Z63" s="5" t="str">
        <f t="shared" ref="Z63:Z64" si="774">IF(Z56="","",Z56-Y56)</f>
        <v/>
      </c>
      <c r="AA63" s="5" t="str">
        <f t="shared" ref="AA63:AA64" si="775">IF(AA56="","",AA56-Z56)</f>
        <v/>
      </c>
      <c r="AB63" s="5" t="str">
        <f t="shared" ref="AB63:AB64" si="776">IF(AB56="","",AB56-AA56)</f>
        <v/>
      </c>
      <c r="AC63" s="5" t="str">
        <f t="shared" ref="AC63:AC64" si="777">IF(AC56="","",AC56-AB56)</f>
        <v/>
      </c>
      <c r="AD63" s="5" t="str">
        <f t="shared" ref="AD63:AD64" si="778">IF(AD56="","",AD56-AC56)</f>
        <v/>
      </c>
      <c r="AE63" s="5" t="str">
        <f t="shared" ref="AE63:AE64" si="779">IF(AE56="","",AE56-AD56)</f>
        <v/>
      </c>
      <c r="AF63" s="5" t="str">
        <f t="shared" ref="AF63:AF64" si="780">IF(AF56="","",AF56-AE56)</f>
        <v/>
      </c>
      <c r="AG63" s="5" t="str">
        <f t="shared" ref="AG63:AG64" si="781">IF(AG56="","",AG56-AF56)</f>
        <v/>
      </c>
      <c r="AH63" s="5" t="str">
        <f t="shared" ref="AH63:AH64" si="782">IF(AH56="","",AH56-AG56)</f>
        <v/>
      </c>
      <c r="AI63" s="5" t="str">
        <f t="shared" ref="AI63:AI64" si="783">IF(AI56="","",AI56-AH56)</f>
        <v/>
      </c>
      <c r="AJ63" s="5" t="str">
        <f t="shared" ref="AJ63:AJ64" si="784">IF(AJ56="","",AJ56-AI56)</f>
        <v/>
      </c>
      <c r="AK63" s="5" t="str">
        <f t="shared" ref="AK63:AK64" si="785">IF(AK56="","",AK56-AJ56)</f>
        <v/>
      </c>
      <c r="AL63" s="5" t="str">
        <f t="shared" ref="AL63:AL64" si="786">IF(AL56="","",AL56-AK56)</f>
        <v/>
      </c>
      <c r="AM63" s="5" t="str">
        <f t="shared" ref="AM63:AM64" si="787">IF(AM56="","",AM56-AL56)</f>
        <v/>
      </c>
      <c r="AN63" s="5" t="str">
        <f t="shared" ref="AN63:AS63" si="788">IF(AN56="","",AN56-AM56)</f>
        <v/>
      </c>
      <c r="AO63" s="5" t="str">
        <f t="shared" si="788"/>
        <v/>
      </c>
      <c r="AP63" s="5" t="str">
        <f t="shared" si="788"/>
        <v/>
      </c>
      <c r="AQ63" s="5" t="str">
        <f t="shared" si="788"/>
        <v/>
      </c>
      <c r="AR63" s="5" t="str">
        <f t="shared" si="788"/>
        <v/>
      </c>
      <c r="AS63" s="5" t="str">
        <f t="shared" si="788"/>
        <v/>
      </c>
    </row>
    <row r="64" spans="1:45" s="84" customFormat="1" ht="11.25" x14ac:dyDescent="0.15">
      <c r="A64" s="7">
        <f>SUM(C64:AS64)</f>
        <v>5</v>
      </c>
      <c r="B64" s="6" t="s">
        <v>14</v>
      </c>
      <c r="C64" s="5">
        <v>0</v>
      </c>
      <c r="D64" s="5">
        <v>0</v>
      </c>
      <c r="E64" s="5">
        <v>1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4</v>
      </c>
      <c r="M64" s="5">
        <f t="shared" si="761"/>
        <v>0</v>
      </c>
      <c r="N64" s="5">
        <f t="shared" si="762"/>
        <v>0</v>
      </c>
      <c r="O64" s="5">
        <f t="shared" si="763"/>
        <v>0</v>
      </c>
      <c r="P64" s="5" t="str">
        <f t="shared" si="764"/>
        <v/>
      </c>
      <c r="Q64" s="5" t="str">
        <f t="shared" si="765"/>
        <v/>
      </c>
      <c r="R64" s="5" t="str">
        <f t="shared" si="766"/>
        <v/>
      </c>
      <c r="S64" s="5" t="str">
        <f t="shared" si="767"/>
        <v/>
      </c>
      <c r="T64" s="5" t="str">
        <f t="shared" si="768"/>
        <v/>
      </c>
      <c r="U64" s="5" t="str">
        <f t="shared" si="769"/>
        <v/>
      </c>
      <c r="V64" s="5" t="str">
        <f t="shared" si="770"/>
        <v/>
      </c>
      <c r="W64" s="5" t="str">
        <f t="shared" si="771"/>
        <v/>
      </c>
      <c r="X64" s="5" t="str">
        <f t="shared" si="772"/>
        <v/>
      </c>
      <c r="Y64" s="5" t="str">
        <f t="shared" si="773"/>
        <v/>
      </c>
      <c r="Z64" s="5" t="str">
        <f t="shared" si="774"/>
        <v/>
      </c>
      <c r="AA64" s="5" t="str">
        <f t="shared" si="775"/>
        <v/>
      </c>
      <c r="AB64" s="5" t="str">
        <f t="shared" si="776"/>
        <v/>
      </c>
      <c r="AC64" s="5" t="str">
        <f t="shared" si="777"/>
        <v/>
      </c>
      <c r="AD64" s="5" t="str">
        <f t="shared" si="778"/>
        <v/>
      </c>
      <c r="AE64" s="5" t="str">
        <f t="shared" si="779"/>
        <v/>
      </c>
      <c r="AF64" s="5" t="str">
        <f t="shared" si="780"/>
        <v/>
      </c>
      <c r="AG64" s="5" t="str">
        <f t="shared" si="781"/>
        <v/>
      </c>
      <c r="AH64" s="5" t="str">
        <f t="shared" si="782"/>
        <v/>
      </c>
      <c r="AI64" s="5" t="str">
        <f t="shared" si="783"/>
        <v/>
      </c>
      <c r="AJ64" s="5" t="str">
        <f t="shared" si="784"/>
        <v/>
      </c>
      <c r="AK64" s="5" t="str">
        <f t="shared" si="785"/>
        <v/>
      </c>
      <c r="AL64" s="5" t="str">
        <f t="shared" si="786"/>
        <v/>
      </c>
      <c r="AM64" s="5" t="str">
        <f t="shared" si="787"/>
        <v/>
      </c>
      <c r="AN64" s="5" t="str">
        <f t="shared" ref="AN64:AS64" si="789">IF(AN57="","",AN57-AM57)</f>
        <v/>
      </c>
      <c r="AO64" s="5" t="str">
        <f t="shared" si="789"/>
        <v/>
      </c>
      <c r="AP64" s="5" t="str">
        <f t="shared" si="789"/>
        <v/>
      </c>
      <c r="AQ64" s="5" t="str">
        <f t="shared" si="789"/>
        <v/>
      </c>
      <c r="AR64" s="5" t="str">
        <f t="shared" si="789"/>
        <v/>
      </c>
      <c r="AS64" s="5" t="str">
        <f t="shared" si="789"/>
        <v/>
      </c>
    </row>
    <row r="65" spans="1:45" s="84" customFormat="1" ht="11.25" x14ac:dyDescent="0.15">
      <c r="A65" s="7">
        <f>SUM(C65:AS65)</f>
        <v>6</v>
      </c>
      <c r="B65" s="6" t="s">
        <v>15</v>
      </c>
      <c r="C65" s="5">
        <v>0</v>
      </c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5</v>
      </c>
      <c r="M65" s="5">
        <f t="shared" ref="M65" si="790">IF(M58="","",L58+L59-M58)</f>
        <v>0</v>
      </c>
      <c r="N65" s="5">
        <f t="shared" ref="N65" si="791">IF(N58="","",M58+M59-N58)</f>
        <v>0</v>
      </c>
      <c r="O65" s="5">
        <f t="shared" ref="O65" si="792">IF(O58="","",N58+N59-O58)</f>
        <v>0</v>
      </c>
      <c r="P65" s="5" t="str">
        <f t="shared" ref="P65" si="793">IF(P58="","",O58+O59-P58)</f>
        <v/>
      </c>
      <c r="Q65" s="5" t="str">
        <f t="shared" ref="Q65" si="794">IF(Q58="","",P58+P59-Q58)</f>
        <v/>
      </c>
      <c r="R65" s="5" t="str">
        <f t="shared" ref="R65" si="795">IF(R58="","",Q58+Q59-R58)</f>
        <v/>
      </c>
      <c r="S65" s="5" t="str">
        <f t="shared" ref="S65" si="796">IF(S58="","",R58+R59-S58)</f>
        <v/>
      </c>
      <c r="T65" s="5" t="str">
        <f t="shared" ref="T65" si="797">IF(T58="","",S58+S59-T58)</f>
        <v/>
      </c>
      <c r="U65" s="5" t="str">
        <f t="shared" ref="U65" si="798">IF(U58="","",T58+T59-U58)</f>
        <v/>
      </c>
      <c r="V65" s="5" t="str">
        <f t="shared" ref="V65" si="799">IF(V58="","",U58+U59-V58)</f>
        <v/>
      </c>
      <c r="W65" s="5" t="str">
        <f t="shared" ref="W65" si="800">IF(W58="","",V58+V59-W58)</f>
        <v/>
      </c>
      <c r="X65" s="5" t="str">
        <f t="shared" ref="X65" si="801">IF(X58="","",W58+W59-X58)</f>
        <v/>
      </c>
      <c r="Y65" s="5" t="str">
        <f t="shared" ref="Y65" si="802">IF(Y58="","",X58+X59-Y58)</f>
        <v/>
      </c>
      <c r="Z65" s="5" t="str">
        <f t="shared" ref="Z65" si="803">IF(Z58="","",Y58+Y59-Z58)</f>
        <v/>
      </c>
      <c r="AA65" s="5" t="str">
        <f t="shared" ref="AA65" si="804">IF(AA58="","",Z58+Z59-AA58)</f>
        <v/>
      </c>
      <c r="AB65" s="5" t="str">
        <f t="shared" ref="AB65" si="805">IF(AB58="","",AA58+AA59-AB58)</f>
        <v/>
      </c>
      <c r="AC65" s="5" t="str">
        <f t="shared" ref="AC65" si="806">IF(AC58="","",AB58+AB59-AC58)</f>
        <v/>
      </c>
      <c r="AD65" s="5" t="str">
        <f t="shared" ref="AD65" si="807">IF(AD58="","",AC58+AC59-AD58)</f>
        <v/>
      </c>
      <c r="AE65" s="5" t="str">
        <f t="shared" ref="AE65" si="808">IF(AE58="","",AD58+AD59-AE58)</f>
        <v/>
      </c>
      <c r="AF65" s="5" t="str">
        <f t="shared" ref="AF65" si="809">IF(AF58="","",AE58+AE59-AF58)</f>
        <v/>
      </c>
      <c r="AG65" s="5" t="str">
        <f t="shared" ref="AG65" si="810">IF(AG58="","",AF58+AF59-AG58)</f>
        <v/>
      </c>
      <c r="AH65" s="5" t="str">
        <f t="shared" ref="AH65" si="811">IF(AH58="","",AG58+AG59-AH58)</f>
        <v/>
      </c>
      <c r="AI65" s="5" t="str">
        <f t="shared" ref="AI65" si="812">IF(AI58="","",AH58+AH59-AI58)</f>
        <v/>
      </c>
      <c r="AJ65" s="5" t="str">
        <f t="shared" ref="AJ65" si="813">IF(AJ58="","",AI58+AI59-AJ58)</f>
        <v/>
      </c>
      <c r="AK65" s="5" t="str">
        <f t="shared" ref="AK65" si="814">IF(AK58="","",AJ58+AJ59-AK58)</f>
        <v/>
      </c>
      <c r="AL65" s="5" t="str">
        <f t="shared" ref="AL65" si="815">IF(AL58="","",AK58+AK59-AL58)</f>
        <v/>
      </c>
      <c r="AM65" s="5" t="str">
        <f t="shared" ref="AM65" si="816">IF(AM58="","",AL58+AL59-AM58)</f>
        <v/>
      </c>
      <c r="AN65" s="5" t="str">
        <f t="shared" ref="AN65:AS65" si="817">IF(AN58="","",AM58+AM59-AN58)</f>
        <v/>
      </c>
      <c r="AO65" s="5" t="str">
        <f t="shared" si="817"/>
        <v/>
      </c>
      <c r="AP65" s="5" t="str">
        <f t="shared" si="817"/>
        <v/>
      </c>
      <c r="AQ65" s="5" t="str">
        <f t="shared" si="817"/>
        <v/>
      </c>
      <c r="AR65" s="5" t="str">
        <f t="shared" si="817"/>
        <v/>
      </c>
      <c r="AS65" s="5" t="str">
        <f t="shared" si="817"/>
        <v/>
      </c>
    </row>
    <row r="66" spans="1:45" s="84" customFormat="1" ht="11.25" x14ac:dyDescent="0.15">
      <c r="A66" s="7">
        <f>SUM(C66:AS66)</f>
        <v>4500</v>
      </c>
      <c r="B66" s="6" t="s">
        <v>16</v>
      </c>
      <c r="C66" s="5">
        <v>0</v>
      </c>
      <c r="D66" s="5">
        <v>0</v>
      </c>
      <c r="E66" s="5">
        <v>750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3750</v>
      </c>
      <c r="M66" s="5">
        <f t="shared" ref="J66:AM66" si="818">IF(M56="","",M65*M60)</f>
        <v>0</v>
      </c>
      <c r="N66" s="5">
        <f t="shared" si="818"/>
        <v>0</v>
      </c>
      <c r="O66" s="5">
        <f t="shared" si="818"/>
        <v>0</v>
      </c>
      <c r="P66" s="5" t="str">
        <f t="shared" si="818"/>
        <v/>
      </c>
      <c r="Q66" s="5" t="str">
        <f t="shared" si="818"/>
        <v/>
      </c>
      <c r="R66" s="5" t="str">
        <f t="shared" si="818"/>
        <v/>
      </c>
      <c r="S66" s="5" t="str">
        <f t="shared" si="818"/>
        <v/>
      </c>
      <c r="T66" s="5" t="str">
        <f t="shared" si="818"/>
        <v/>
      </c>
      <c r="U66" s="5" t="str">
        <f t="shared" si="818"/>
        <v/>
      </c>
      <c r="V66" s="5" t="str">
        <f t="shared" si="818"/>
        <v/>
      </c>
      <c r="W66" s="5" t="str">
        <f t="shared" si="818"/>
        <v/>
      </c>
      <c r="X66" s="5" t="str">
        <f t="shared" si="818"/>
        <v/>
      </c>
      <c r="Y66" s="5" t="str">
        <f t="shared" si="818"/>
        <v/>
      </c>
      <c r="Z66" s="5" t="str">
        <f t="shared" si="818"/>
        <v/>
      </c>
      <c r="AA66" s="5" t="str">
        <f t="shared" si="818"/>
        <v/>
      </c>
      <c r="AB66" s="5" t="str">
        <f t="shared" si="818"/>
        <v/>
      </c>
      <c r="AC66" s="5" t="str">
        <f t="shared" si="818"/>
        <v/>
      </c>
      <c r="AD66" s="5" t="str">
        <f t="shared" si="818"/>
        <v/>
      </c>
      <c r="AE66" s="5" t="str">
        <f t="shared" si="818"/>
        <v/>
      </c>
      <c r="AF66" s="5" t="str">
        <f t="shared" si="818"/>
        <v/>
      </c>
      <c r="AG66" s="5" t="str">
        <f t="shared" si="818"/>
        <v/>
      </c>
      <c r="AH66" s="5" t="str">
        <f t="shared" si="818"/>
        <v/>
      </c>
      <c r="AI66" s="5" t="str">
        <f t="shared" si="818"/>
        <v/>
      </c>
      <c r="AJ66" s="5" t="str">
        <f t="shared" si="818"/>
        <v/>
      </c>
      <c r="AK66" s="5" t="str">
        <f t="shared" si="818"/>
        <v/>
      </c>
      <c r="AL66" s="5" t="str">
        <f t="shared" si="818"/>
        <v/>
      </c>
      <c r="AM66" s="5" t="str">
        <f t="shared" si="818"/>
        <v/>
      </c>
      <c r="AN66" s="5" t="str">
        <f t="shared" ref="AN66:AS66" si="819">IF(AN56="","",AN65*AN60)</f>
        <v/>
      </c>
      <c r="AO66" s="5" t="str">
        <f t="shared" si="819"/>
        <v/>
      </c>
      <c r="AP66" s="5" t="str">
        <f t="shared" si="819"/>
        <v/>
      </c>
      <c r="AQ66" s="5" t="str">
        <f t="shared" si="819"/>
        <v/>
      </c>
      <c r="AR66" s="5" t="str">
        <f t="shared" si="819"/>
        <v/>
      </c>
      <c r="AS66" s="5" t="str">
        <f t="shared" si="819"/>
        <v/>
      </c>
    </row>
    <row r="67" spans="1:45" s="84" customFormat="1" ht="12" thickBot="1" x14ac:dyDescent="0.2">
      <c r="A67" s="4">
        <f>IF(A66="","",A66/(A63*100))</f>
        <v>0.17578125</v>
      </c>
      <c r="B67" s="6" t="s">
        <v>18</v>
      </c>
      <c r="C67" s="18" t="s">
        <v>19</v>
      </c>
      <c r="D67" s="18" t="s">
        <v>19</v>
      </c>
      <c r="E67" s="18">
        <v>0.3125</v>
      </c>
      <c r="F67" s="18" t="s">
        <v>19</v>
      </c>
      <c r="G67" s="18" t="s">
        <v>19</v>
      </c>
      <c r="H67" s="18" t="s">
        <v>19</v>
      </c>
      <c r="I67" s="18" t="s">
        <v>19</v>
      </c>
      <c r="J67" s="18" t="s">
        <v>19</v>
      </c>
      <c r="K67" s="18" t="s">
        <v>19</v>
      </c>
      <c r="L67" s="18">
        <v>0.30241935483870969</v>
      </c>
      <c r="M67" s="18" t="str">
        <f t="shared" ref="J67:AM67" si="820">IF(M66="","",IF(M66=0,"",M66/(M63*100)))</f>
        <v/>
      </c>
      <c r="N67" s="18" t="str">
        <f t="shared" si="820"/>
        <v/>
      </c>
      <c r="O67" s="18" t="str">
        <f t="shared" si="820"/>
        <v/>
      </c>
      <c r="P67" s="18" t="str">
        <f t="shared" si="820"/>
        <v/>
      </c>
      <c r="Q67" s="18" t="str">
        <f t="shared" si="820"/>
        <v/>
      </c>
      <c r="R67" s="18" t="str">
        <f t="shared" si="820"/>
        <v/>
      </c>
      <c r="S67" s="18" t="str">
        <f t="shared" si="820"/>
        <v/>
      </c>
      <c r="T67" s="18" t="str">
        <f t="shared" si="820"/>
        <v/>
      </c>
      <c r="U67" s="18" t="str">
        <f t="shared" si="820"/>
        <v/>
      </c>
      <c r="V67" s="18" t="str">
        <f t="shared" si="820"/>
        <v/>
      </c>
      <c r="W67" s="18" t="str">
        <f t="shared" si="820"/>
        <v/>
      </c>
      <c r="X67" s="18" t="str">
        <f t="shared" si="820"/>
        <v/>
      </c>
      <c r="Y67" s="18" t="str">
        <f t="shared" si="820"/>
        <v/>
      </c>
      <c r="Z67" s="18" t="str">
        <f t="shared" si="820"/>
        <v/>
      </c>
      <c r="AA67" s="18" t="str">
        <f t="shared" si="820"/>
        <v/>
      </c>
      <c r="AB67" s="18" t="str">
        <f t="shared" si="820"/>
        <v/>
      </c>
      <c r="AC67" s="18" t="str">
        <f t="shared" si="820"/>
        <v/>
      </c>
      <c r="AD67" s="18" t="str">
        <f t="shared" si="820"/>
        <v/>
      </c>
      <c r="AE67" s="18" t="str">
        <f t="shared" si="820"/>
        <v/>
      </c>
      <c r="AF67" s="18" t="str">
        <f t="shared" si="820"/>
        <v/>
      </c>
      <c r="AG67" s="18" t="str">
        <f t="shared" si="820"/>
        <v/>
      </c>
      <c r="AH67" s="18" t="str">
        <f t="shared" si="820"/>
        <v/>
      </c>
      <c r="AI67" s="18" t="str">
        <f t="shared" si="820"/>
        <v/>
      </c>
      <c r="AJ67" s="18" t="str">
        <f t="shared" si="820"/>
        <v/>
      </c>
      <c r="AK67" s="18" t="str">
        <f t="shared" si="820"/>
        <v/>
      </c>
      <c r="AL67" s="18" t="str">
        <f t="shared" si="820"/>
        <v/>
      </c>
      <c r="AM67" s="18" t="str">
        <f t="shared" si="820"/>
        <v/>
      </c>
      <c r="AN67" s="18" t="str">
        <f t="shared" ref="AN67:AS67" si="821">IF(AN66="","",IF(AN66=0,"",AN66/(AN63*100)))</f>
        <v/>
      </c>
      <c r="AO67" s="18" t="str">
        <f t="shared" si="821"/>
        <v/>
      </c>
      <c r="AP67" s="18" t="str">
        <f t="shared" si="821"/>
        <v/>
      </c>
      <c r="AQ67" s="18" t="str">
        <f t="shared" si="821"/>
        <v/>
      </c>
      <c r="AR67" s="18" t="str">
        <f t="shared" si="821"/>
        <v/>
      </c>
      <c r="AS67" s="18" t="str">
        <f t="shared" si="821"/>
        <v/>
      </c>
    </row>
    <row r="68" spans="1:45" s="84" customFormat="1" ht="11.25" x14ac:dyDescent="0.15">
      <c r="A68" s="17" t="s">
        <v>83</v>
      </c>
      <c r="B68" s="9" t="s">
        <v>2</v>
      </c>
      <c r="C68" s="8">
        <v>37314</v>
      </c>
      <c r="D68" s="8">
        <v>37314</v>
      </c>
      <c r="E68" s="8">
        <v>37344</v>
      </c>
      <c r="F68" s="8">
        <v>37344</v>
      </c>
      <c r="G68" s="8">
        <v>37344</v>
      </c>
      <c r="H68" s="8">
        <v>37424</v>
      </c>
      <c r="I68" s="8">
        <v>37424</v>
      </c>
      <c r="J68" s="8">
        <v>37424</v>
      </c>
      <c r="K68" s="8">
        <v>37424</v>
      </c>
      <c r="L68" s="8">
        <v>37582</v>
      </c>
      <c r="M68" s="8">
        <f t="shared" ref="M68:M69" si="822">IF(M$8="","",L68)</f>
        <v>37582</v>
      </c>
      <c r="N68" s="8">
        <f t="shared" ref="N68:N69" si="823">IF(N$8="","",M68)</f>
        <v>37582</v>
      </c>
      <c r="O68" s="8">
        <v>37631</v>
      </c>
      <c r="P68" s="8" t="str">
        <f>IF(P$8="","",O68)</f>
        <v/>
      </c>
      <c r="Q68" s="8" t="str">
        <f t="shared" ref="Q68:Q69" si="824">IF(Q$8="","",P68)</f>
        <v/>
      </c>
      <c r="R68" s="8" t="str">
        <f t="shared" ref="R68:R69" si="825">IF(R$8="","",Q68)</f>
        <v/>
      </c>
      <c r="S68" s="8" t="str">
        <f>IF(S$8="","",R68)</f>
        <v/>
      </c>
      <c r="T68" s="8" t="str">
        <f t="shared" ref="T68:T69" si="826">IF(T$8="","",S68)</f>
        <v/>
      </c>
      <c r="U68" s="8" t="str">
        <f t="shared" ref="U68:U69" si="827">IF(U$8="","",T68)</f>
        <v/>
      </c>
      <c r="V68" s="8" t="str">
        <f>IF(V$8="","",U68)</f>
        <v/>
      </c>
      <c r="W68" s="8" t="str">
        <f t="shared" ref="W68:W69" si="828">IF(W$8="","",V68)</f>
        <v/>
      </c>
      <c r="X68" s="8" t="str">
        <f t="shared" ref="X68:X69" si="829">IF(X$8="","",W68)</f>
        <v/>
      </c>
      <c r="Y68" s="8" t="str">
        <f t="shared" ref="Y68:Y69" si="830">IF(Y$8="","",X68)</f>
        <v/>
      </c>
      <c r="Z68" s="8" t="str">
        <f>IF(Z$8="","",Y68)</f>
        <v/>
      </c>
      <c r="AA68" s="8" t="str">
        <f t="shared" ref="AA68:AA69" si="831">IF(AA$8="","",Z68)</f>
        <v/>
      </c>
      <c r="AB68" s="8" t="str">
        <f t="shared" ref="AB68:AB69" si="832">IF(AB$8="","",AA68)</f>
        <v/>
      </c>
      <c r="AC68" s="8" t="str">
        <f t="shared" ref="AC68:AC69" si="833">IF(AC$8="","",AB68)</f>
        <v/>
      </c>
      <c r="AD68" s="8" t="str">
        <f>IF(AD$8="","",AC68)</f>
        <v/>
      </c>
      <c r="AE68" s="8" t="str">
        <f t="shared" ref="AE68:AE69" si="834">IF(AE$8="","",AD68)</f>
        <v/>
      </c>
      <c r="AF68" s="8" t="str">
        <f t="shared" ref="AF68:AF69" si="835">IF(AF$8="","",AE68)</f>
        <v/>
      </c>
      <c r="AG68" s="8" t="str">
        <f>IF(AG$8="","",AF68)</f>
        <v/>
      </c>
      <c r="AH68" s="8" t="str">
        <f t="shared" ref="AH68:AH69" si="836">IF(AH$8="","",AG68)</f>
        <v/>
      </c>
      <c r="AI68" s="8" t="str">
        <f t="shared" ref="AI68:AI69" si="837">IF(AI$8="","",AH68)</f>
        <v/>
      </c>
      <c r="AJ68" s="8" t="str">
        <f>IF(AJ$8="","",AI68)</f>
        <v/>
      </c>
      <c r="AK68" s="8" t="str">
        <f t="shared" ref="AK68:AK69" si="838">IF(AK$8="","",AJ68)</f>
        <v/>
      </c>
      <c r="AL68" s="8" t="str">
        <f t="shared" ref="AL68:AL69" si="839">IF(AL$8="","",AK68)</f>
        <v/>
      </c>
      <c r="AM68" s="8" t="str">
        <f t="shared" ref="AM68:AM69" si="840">IF(AM$8="","",AL68)</f>
        <v/>
      </c>
      <c r="AN68" s="8" t="str">
        <f>IF(AN$8="","",AM68)</f>
        <v/>
      </c>
      <c r="AO68" s="8" t="str">
        <f t="shared" ref="AN68:AS68" si="841">IF(AO$8="","",AN68)</f>
        <v/>
      </c>
      <c r="AP68" s="8" t="str">
        <f t="shared" si="841"/>
        <v/>
      </c>
      <c r="AQ68" s="8" t="str">
        <f t="shared" si="841"/>
        <v/>
      </c>
      <c r="AR68" s="8" t="str">
        <f t="shared" si="841"/>
        <v/>
      </c>
      <c r="AS68" s="8" t="str">
        <f t="shared" si="841"/>
        <v/>
      </c>
    </row>
    <row r="69" spans="1:45" s="84" customFormat="1" ht="11.25" x14ac:dyDescent="0.15">
      <c r="A69" s="16" t="s">
        <v>24</v>
      </c>
      <c r="B69" s="9" t="s">
        <v>4</v>
      </c>
      <c r="C69" s="8">
        <v>1550</v>
      </c>
      <c r="D69" s="8">
        <v>1550</v>
      </c>
      <c r="E69" s="8">
        <v>1551</v>
      </c>
      <c r="F69" s="8">
        <v>1551</v>
      </c>
      <c r="G69" s="8">
        <v>1551</v>
      </c>
      <c r="H69" s="8">
        <v>1559</v>
      </c>
      <c r="I69" s="8">
        <v>1559</v>
      </c>
      <c r="J69" s="8">
        <v>1559</v>
      </c>
      <c r="K69" s="8">
        <v>1559</v>
      </c>
      <c r="L69" s="8">
        <v>1562</v>
      </c>
      <c r="M69" s="8">
        <f t="shared" si="822"/>
        <v>1562</v>
      </c>
      <c r="N69" s="8">
        <f t="shared" si="823"/>
        <v>1562</v>
      </c>
      <c r="O69" s="8">
        <v>1563</v>
      </c>
      <c r="P69" s="8" t="str">
        <f>IF(P$8="","",O69)</f>
        <v/>
      </c>
      <c r="Q69" s="8" t="str">
        <f t="shared" si="824"/>
        <v/>
      </c>
      <c r="R69" s="8" t="str">
        <f t="shared" si="825"/>
        <v/>
      </c>
      <c r="S69" s="8" t="str">
        <f>IF(S$8="","",R69)</f>
        <v/>
      </c>
      <c r="T69" s="8" t="str">
        <f t="shared" si="826"/>
        <v/>
      </c>
      <c r="U69" s="8" t="str">
        <f t="shared" si="827"/>
        <v/>
      </c>
      <c r="V69" s="8" t="str">
        <f>IF(V$8="","",U69)</f>
        <v/>
      </c>
      <c r="W69" s="8" t="str">
        <f t="shared" si="828"/>
        <v/>
      </c>
      <c r="X69" s="8" t="str">
        <f t="shared" si="829"/>
        <v/>
      </c>
      <c r="Y69" s="8" t="str">
        <f t="shared" si="830"/>
        <v/>
      </c>
      <c r="Z69" s="8" t="str">
        <f>IF(Z$8="","",Y69)</f>
        <v/>
      </c>
      <c r="AA69" s="8" t="str">
        <f t="shared" si="831"/>
        <v/>
      </c>
      <c r="AB69" s="8" t="str">
        <f t="shared" si="832"/>
        <v/>
      </c>
      <c r="AC69" s="8" t="str">
        <f t="shared" si="833"/>
        <v/>
      </c>
      <c r="AD69" s="8" t="str">
        <f>IF(AD$8="","",AC69)</f>
        <v/>
      </c>
      <c r="AE69" s="8" t="str">
        <f t="shared" si="834"/>
        <v/>
      </c>
      <c r="AF69" s="8" t="str">
        <f t="shared" si="835"/>
        <v/>
      </c>
      <c r="AG69" s="8" t="str">
        <f>IF(AG$8="","",AF69)</f>
        <v/>
      </c>
      <c r="AH69" s="8" t="str">
        <f t="shared" si="836"/>
        <v/>
      </c>
      <c r="AI69" s="8" t="str">
        <f t="shared" si="837"/>
        <v/>
      </c>
      <c r="AJ69" s="8" t="str">
        <f>IF(AJ$8="","",AI69)</f>
        <v/>
      </c>
      <c r="AK69" s="8" t="str">
        <f t="shared" si="838"/>
        <v/>
      </c>
      <c r="AL69" s="8" t="str">
        <f t="shared" si="839"/>
        <v/>
      </c>
      <c r="AM69" s="8" t="str">
        <f t="shared" si="840"/>
        <v/>
      </c>
      <c r="AN69" s="8" t="str">
        <f>IF(AN$8="","",AM69)</f>
        <v/>
      </c>
      <c r="AO69" s="8" t="str">
        <f t="shared" ref="AN69:AS69" si="842">IF(AO$8="","",AN69)</f>
        <v/>
      </c>
      <c r="AP69" s="8" t="str">
        <f t="shared" si="842"/>
        <v/>
      </c>
      <c r="AQ69" s="8" t="str">
        <f t="shared" si="842"/>
        <v/>
      </c>
      <c r="AR69" s="8" t="str">
        <f t="shared" si="842"/>
        <v/>
      </c>
      <c r="AS69" s="8" t="str">
        <f t="shared" si="842"/>
        <v/>
      </c>
    </row>
    <row r="70" spans="1:45" s="84" customFormat="1" ht="11.25" x14ac:dyDescent="0.15">
      <c r="A70" s="15">
        <v>2</v>
      </c>
      <c r="B70" s="9" t="s">
        <v>5</v>
      </c>
      <c r="C70" s="8">
        <v>5</v>
      </c>
      <c r="D70" s="8">
        <v>5</v>
      </c>
      <c r="E70" s="8">
        <v>4</v>
      </c>
      <c r="F70" s="8">
        <v>10</v>
      </c>
      <c r="G70" s="8">
        <v>10</v>
      </c>
      <c r="H70" s="8">
        <v>10</v>
      </c>
      <c r="I70" s="8">
        <v>10</v>
      </c>
      <c r="J70" s="8">
        <v>10</v>
      </c>
      <c r="K70" s="8">
        <v>10</v>
      </c>
      <c r="L70" s="8">
        <v>7</v>
      </c>
      <c r="M70" s="8">
        <f t="shared" ref="M70" si="843">IF(M68="","",(L70+L71))</f>
        <v>7</v>
      </c>
      <c r="N70" s="8">
        <f t="shared" ref="N70" si="844">IF(N68="","",(M70+M71))</f>
        <v>7</v>
      </c>
      <c r="O70" s="8">
        <v>6</v>
      </c>
      <c r="P70" s="8" t="str">
        <f>IF(P68="","",(O70+O71))</f>
        <v/>
      </c>
      <c r="Q70" s="8" t="str">
        <f t="shared" ref="Q70" si="845">IF(Q68="","",(P70+P71))</f>
        <v/>
      </c>
      <c r="R70" s="8" t="str">
        <f t="shared" ref="R70" si="846">IF(R68="","",(Q70+Q71))</f>
        <v/>
      </c>
      <c r="S70" s="8" t="str">
        <f>IF(S68="","",(R70+R71))</f>
        <v/>
      </c>
      <c r="T70" s="8" t="str">
        <f t="shared" ref="T70" si="847">IF(T68="","",(S70+S71))</f>
        <v/>
      </c>
      <c r="U70" s="8" t="str">
        <f t="shared" ref="U70" si="848">IF(U68="","",(T70+T71))</f>
        <v/>
      </c>
      <c r="V70" s="8" t="str">
        <f>IF(V68="","",(U70+U71))</f>
        <v/>
      </c>
      <c r="W70" s="8" t="str">
        <f t="shared" ref="W70" si="849">IF(W68="","",(V70+V71))</f>
        <v/>
      </c>
      <c r="X70" s="8" t="str">
        <f t="shared" ref="X70" si="850">IF(X68="","",(W70+W71))</f>
        <v/>
      </c>
      <c r="Y70" s="8" t="str">
        <f t="shared" ref="Y70" si="851">IF(Y68="","",(X70+X71))</f>
        <v/>
      </c>
      <c r="Z70" s="8" t="str">
        <f>IF(Z68="","",(Y70+Y71))</f>
        <v/>
      </c>
      <c r="AA70" s="8" t="str">
        <f t="shared" ref="AA70" si="852">IF(AA68="","",(Z70+Z71))</f>
        <v/>
      </c>
      <c r="AB70" s="8" t="str">
        <f t="shared" ref="AB70" si="853">IF(AB68="","",(AA70+AA71))</f>
        <v/>
      </c>
      <c r="AC70" s="8" t="str">
        <f t="shared" ref="AC70" si="854">IF(AC68="","",(AB70+AB71))</f>
        <v/>
      </c>
      <c r="AD70" s="8" t="str">
        <f>IF(AD68="","",(AC70+AC71))</f>
        <v/>
      </c>
      <c r="AE70" s="8" t="str">
        <f t="shared" ref="AE70" si="855">IF(AE68="","",(AD70+AD71))</f>
        <v/>
      </c>
      <c r="AF70" s="8" t="str">
        <f t="shared" ref="AF70" si="856">IF(AF68="","",(AE70+AE71))</f>
        <v/>
      </c>
      <c r="AG70" s="8" t="str">
        <f>IF(AG68="","",(AF70+AF71))</f>
        <v/>
      </c>
      <c r="AH70" s="8" t="str">
        <f t="shared" ref="AH70" si="857">IF(AH68="","",(AG70+AG71))</f>
        <v/>
      </c>
      <c r="AI70" s="8" t="str">
        <f t="shared" ref="AI70" si="858">IF(AI68="","",(AH70+AH71))</f>
        <v/>
      </c>
      <c r="AJ70" s="8" t="str">
        <f t="shared" ref="AJ70" si="859">IF(AJ68="","",(AI70+AI71))</f>
        <v/>
      </c>
      <c r="AK70" s="8" t="str">
        <f t="shared" ref="AK70" si="860">IF(AK68="","",(AJ70+AJ71))</f>
        <v/>
      </c>
      <c r="AL70" s="8" t="str">
        <f t="shared" ref="AL70" si="861">IF(AL68="","",(AK70+AK71))</f>
        <v/>
      </c>
      <c r="AM70" s="8" t="str">
        <f t="shared" ref="AM70" si="862">IF(AM68="","",(AL70+AL71))</f>
        <v/>
      </c>
      <c r="AN70" s="8" t="str">
        <f>IF(AN68="","",(AM70+AM71))</f>
        <v/>
      </c>
      <c r="AO70" s="8" t="str">
        <f t="shared" ref="AN70:AS70" si="863">IF(AO68="","",(AN70+AN71))</f>
        <v/>
      </c>
      <c r="AP70" s="8" t="str">
        <f t="shared" si="863"/>
        <v/>
      </c>
      <c r="AQ70" s="8" t="str">
        <f t="shared" si="863"/>
        <v/>
      </c>
      <c r="AR70" s="8" t="str">
        <f t="shared" si="863"/>
        <v/>
      </c>
      <c r="AS70" s="8" t="str">
        <f t="shared" si="863"/>
        <v/>
      </c>
    </row>
    <row r="71" spans="1:45" s="84" customFormat="1" ht="11.25" x14ac:dyDescent="0.15">
      <c r="A71" s="14"/>
      <c r="B71" s="9" t="s">
        <v>7</v>
      </c>
      <c r="C71" s="8"/>
      <c r="D71" s="8"/>
      <c r="E71" s="8">
        <v>6</v>
      </c>
      <c r="F71" s="8"/>
      <c r="G71" s="8"/>
      <c r="H71" s="8"/>
      <c r="I71" s="8"/>
      <c r="J71" s="8"/>
      <c r="K71" s="8"/>
      <c r="L71" s="8"/>
      <c r="M71" s="8"/>
      <c r="N71" s="8"/>
      <c r="O71" s="8">
        <v>6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</row>
    <row r="72" spans="1:45" s="84" customFormat="1" ht="11.25" x14ac:dyDescent="0.15">
      <c r="A72" s="7"/>
      <c r="B72" s="9" t="s">
        <v>8</v>
      </c>
      <c r="C72" s="8">
        <v>750</v>
      </c>
      <c r="D72" s="8">
        <v>750</v>
      </c>
      <c r="E72" s="8">
        <v>750</v>
      </c>
      <c r="F72" s="8">
        <v>750</v>
      </c>
      <c r="G72" s="8">
        <v>750</v>
      </c>
      <c r="H72" s="8">
        <v>750</v>
      </c>
      <c r="I72" s="8">
        <v>750</v>
      </c>
      <c r="J72" s="8">
        <v>750</v>
      </c>
      <c r="K72" s="8">
        <v>750</v>
      </c>
      <c r="L72" s="8">
        <v>750</v>
      </c>
      <c r="M72" s="8">
        <f t="shared" ref="M72" si="864">IF(M68="","",L72)</f>
        <v>750</v>
      </c>
      <c r="N72" s="8">
        <f t="shared" ref="N72" si="865">IF(N68="","",M72)</f>
        <v>750</v>
      </c>
      <c r="O72" s="8">
        <f t="shared" ref="O72" si="866">IF(O68="","",N72)</f>
        <v>750</v>
      </c>
      <c r="P72" s="8" t="str">
        <f t="shared" ref="P72" si="867">IF(P68="","",O72)</f>
        <v/>
      </c>
      <c r="Q72" s="8" t="str">
        <f t="shared" ref="Q72" si="868">IF(Q68="","",P72)</f>
        <v/>
      </c>
      <c r="R72" s="8" t="str">
        <f t="shared" ref="R72" si="869">IF(R68="","",Q72)</f>
        <v/>
      </c>
      <c r="S72" s="8" t="str">
        <f t="shared" ref="S72" si="870">IF(S68="","",R72)</f>
        <v/>
      </c>
      <c r="T72" s="8" t="str">
        <f t="shared" ref="T72" si="871">IF(T68="","",S72)</f>
        <v/>
      </c>
      <c r="U72" s="8" t="str">
        <f t="shared" ref="U72" si="872">IF(U68="","",T72)</f>
        <v/>
      </c>
      <c r="V72" s="8" t="str">
        <f t="shared" ref="V72" si="873">IF(V68="","",U72)</f>
        <v/>
      </c>
      <c r="W72" s="8" t="str">
        <f t="shared" ref="W72" si="874">IF(W68="","",V72)</f>
        <v/>
      </c>
      <c r="X72" s="8" t="str">
        <f t="shared" ref="X72" si="875">IF(X68="","",W72)</f>
        <v/>
      </c>
      <c r="Y72" s="8" t="str">
        <f t="shared" ref="Y72" si="876">IF(Y68="","",X72)</f>
        <v/>
      </c>
      <c r="Z72" s="8" t="str">
        <f t="shared" ref="Z72" si="877">IF(Z68="","",Y72)</f>
        <v/>
      </c>
      <c r="AA72" s="8" t="str">
        <f t="shared" ref="AA72" si="878">IF(AA68="","",Z72)</f>
        <v/>
      </c>
      <c r="AB72" s="8" t="str">
        <f t="shared" ref="AB72" si="879">IF(AB68="","",AA72)</f>
        <v/>
      </c>
      <c r="AC72" s="8" t="str">
        <f t="shared" ref="AC72" si="880">IF(AC68="","",AB72)</f>
        <v/>
      </c>
      <c r="AD72" s="8" t="str">
        <f t="shared" ref="AD72" si="881">IF(AD68="","",AC72)</f>
        <v/>
      </c>
      <c r="AE72" s="8" t="str">
        <f t="shared" ref="AE72" si="882">IF(AE68="","",AD72)</f>
        <v/>
      </c>
      <c r="AF72" s="8" t="str">
        <f t="shared" ref="AF72" si="883">IF(AF68="","",AE72)</f>
        <v/>
      </c>
      <c r="AG72" s="8" t="str">
        <f t="shared" ref="AG72" si="884">IF(AG68="","",AF72)</f>
        <v/>
      </c>
      <c r="AH72" s="8" t="str">
        <f t="shared" ref="AH72" si="885">IF(AH68="","",AG72)</f>
        <v/>
      </c>
      <c r="AI72" s="8" t="str">
        <f t="shared" ref="AI72" si="886">IF(AI68="","",AH72)</f>
        <v/>
      </c>
      <c r="AJ72" s="8" t="str">
        <f t="shared" ref="AJ72" si="887">IF(AJ68="","",AI72)</f>
        <v/>
      </c>
      <c r="AK72" s="8" t="str">
        <f t="shared" ref="AK72" si="888">IF(AK68="","",AJ72)</f>
        <v/>
      </c>
      <c r="AL72" s="8" t="str">
        <f t="shared" ref="AL72" si="889">IF(AL68="","",AK72)</f>
        <v/>
      </c>
      <c r="AM72" s="8" t="str">
        <f t="shared" ref="AM72" si="890">IF(AM68="","",AL72)</f>
        <v/>
      </c>
      <c r="AN72" s="8" t="str">
        <f t="shared" ref="AN72:AS72" si="891">IF(AN68="","",AM72)</f>
        <v/>
      </c>
      <c r="AO72" s="8" t="str">
        <f t="shared" si="891"/>
        <v/>
      </c>
      <c r="AP72" s="8" t="str">
        <f t="shared" si="891"/>
        <v/>
      </c>
      <c r="AQ72" s="8" t="str">
        <f t="shared" si="891"/>
        <v/>
      </c>
      <c r="AR72" s="8" t="str">
        <f t="shared" si="891"/>
        <v/>
      </c>
      <c r="AS72" s="8" t="str">
        <f t="shared" si="891"/>
        <v/>
      </c>
    </row>
    <row r="73" spans="1:45" s="85" customFormat="1" ht="11.25" x14ac:dyDescent="0.15">
      <c r="A73" s="14" t="s">
        <v>9</v>
      </c>
      <c r="B73" s="13" t="s">
        <v>10</v>
      </c>
      <c r="C73" s="12" t="s">
        <v>352</v>
      </c>
      <c r="D73" s="12" t="s">
        <v>352</v>
      </c>
      <c r="E73" s="12" t="s">
        <v>352</v>
      </c>
      <c r="F73" s="12" t="s">
        <v>352</v>
      </c>
      <c r="G73" s="12" t="s">
        <v>352</v>
      </c>
      <c r="H73" s="12" t="s">
        <v>352</v>
      </c>
      <c r="I73" s="12" t="s">
        <v>352</v>
      </c>
      <c r="J73" s="12" t="s">
        <v>352</v>
      </c>
      <c r="K73" s="12" t="s">
        <v>352</v>
      </c>
      <c r="L73" s="12" t="s">
        <v>352</v>
      </c>
      <c r="M73" s="12" t="str">
        <f t="shared" ref="M73" si="892">IF(M68="","",L73)</f>
        <v>ベアブリック</v>
      </c>
      <c r="N73" s="12" t="str">
        <f t="shared" ref="N73" si="893">IF(N68="","",M73)</f>
        <v>ベアブリック</v>
      </c>
      <c r="O73" s="12" t="str">
        <f t="shared" ref="O73" si="894">IF(O68="","",N73)</f>
        <v>ベアブリック</v>
      </c>
      <c r="P73" s="12" t="str">
        <f t="shared" ref="P73" si="895">IF(P68="","",O73)</f>
        <v/>
      </c>
      <c r="Q73" s="12" t="str">
        <f t="shared" ref="Q73" si="896">IF(Q68="","",P73)</f>
        <v/>
      </c>
      <c r="R73" s="12" t="str">
        <f t="shared" ref="R73" si="897">IF(R68="","",Q73)</f>
        <v/>
      </c>
      <c r="S73" s="12" t="str">
        <f t="shared" ref="S73" si="898">IF(S68="","",R73)</f>
        <v/>
      </c>
      <c r="T73" s="12" t="str">
        <f t="shared" ref="T73" si="899">IF(T68="","",S73)</f>
        <v/>
      </c>
      <c r="U73" s="12" t="str">
        <f t="shared" ref="U73" si="900">IF(U68="","",T73)</f>
        <v/>
      </c>
      <c r="V73" s="12" t="str">
        <f t="shared" ref="V73" si="901">IF(V68="","",U73)</f>
        <v/>
      </c>
      <c r="W73" s="12" t="str">
        <f t="shared" ref="W73" si="902">IF(W68="","",V73)</f>
        <v/>
      </c>
      <c r="X73" s="12" t="str">
        <f t="shared" ref="X73" si="903">IF(X68="","",W73)</f>
        <v/>
      </c>
      <c r="Y73" s="12" t="str">
        <f t="shared" ref="Y73" si="904">IF(Y68="","",X73)</f>
        <v/>
      </c>
      <c r="Z73" s="12" t="str">
        <f t="shared" ref="Z73" si="905">IF(Z68="","",Y73)</f>
        <v/>
      </c>
      <c r="AA73" s="12" t="str">
        <f t="shared" ref="AA73" si="906">IF(AA68="","",Z73)</f>
        <v/>
      </c>
      <c r="AB73" s="12" t="str">
        <f t="shared" ref="AB73" si="907">IF(AB68="","",AA73)</f>
        <v/>
      </c>
      <c r="AC73" s="12" t="str">
        <f t="shared" ref="AC73" si="908">IF(AC68="","",AB73)</f>
        <v/>
      </c>
      <c r="AD73" s="12" t="str">
        <f t="shared" ref="AD73" si="909">IF(AD68="","",AC73)</f>
        <v/>
      </c>
      <c r="AE73" s="12" t="str">
        <f t="shared" ref="AE73" si="910">IF(AE68="","",AD73)</f>
        <v/>
      </c>
      <c r="AF73" s="12" t="str">
        <f t="shared" ref="AF73" si="911">IF(AF68="","",AE73)</f>
        <v/>
      </c>
      <c r="AG73" s="12" t="str">
        <f t="shared" ref="AG73" si="912">IF(AG68="","",AF73)</f>
        <v/>
      </c>
      <c r="AH73" s="12" t="str">
        <f t="shared" ref="AH73" si="913">IF(AH68="","",AG73)</f>
        <v/>
      </c>
      <c r="AI73" s="12" t="str">
        <f t="shared" ref="AI73" si="914">IF(AI68="","",AH73)</f>
        <v/>
      </c>
      <c r="AJ73" s="12" t="str">
        <f t="shared" ref="AJ73" si="915">IF(AJ68="","",AI73)</f>
        <v/>
      </c>
      <c r="AK73" s="12" t="str">
        <f t="shared" ref="AK73" si="916">IF(AK68="","",AJ73)</f>
        <v/>
      </c>
      <c r="AL73" s="12" t="str">
        <f t="shared" ref="AL73" si="917">IF(AL68="","",AK73)</f>
        <v/>
      </c>
      <c r="AM73" s="12" t="str">
        <f t="shared" ref="AM73" si="918">IF(AM68="","",AL73)</f>
        <v/>
      </c>
      <c r="AN73" s="12" t="str">
        <f t="shared" ref="AN73:AS73" si="919">IF(AN68="","",AM73)</f>
        <v/>
      </c>
      <c r="AO73" s="12" t="str">
        <f t="shared" si="919"/>
        <v/>
      </c>
      <c r="AP73" s="12" t="str">
        <f t="shared" si="919"/>
        <v/>
      </c>
      <c r="AQ73" s="12" t="str">
        <f t="shared" si="919"/>
        <v/>
      </c>
      <c r="AR73" s="12" t="str">
        <f t="shared" si="919"/>
        <v/>
      </c>
      <c r="AS73" s="12" t="str">
        <f t="shared" si="919"/>
        <v/>
      </c>
    </row>
    <row r="74" spans="1:45" s="84" customFormat="1" ht="11.25" x14ac:dyDescent="0.15">
      <c r="A74" s="7">
        <f>AVERAGE(C75:AS75)*30*100</f>
        <v>73153.846153846156</v>
      </c>
      <c r="B74" s="9" t="s">
        <v>12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</row>
    <row r="75" spans="1:45" s="84" customFormat="1" ht="11.25" x14ac:dyDescent="0.15">
      <c r="A75" s="7">
        <f>SUM(C75:AS75)</f>
        <v>317</v>
      </c>
      <c r="B75" s="6" t="s">
        <v>13</v>
      </c>
      <c r="C75" s="5">
        <v>0</v>
      </c>
      <c r="D75" s="5">
        <v>0</v>
      </c>
      <c r="E75" s="5">
        <v>30</v>
      </c>
      <c r="F75" s="5">
        <v>0</v>
      </c>
      <c r="G75" s="5">
        <v>0</v>
      </c>
      <c r="H75" s="5">
        <v>80</v>
      </c>
      <c r="I75" s="5">
        <v>0</v>
      </c>
      <c r="J75" s="5">
        <v>0</v>
      </c>
      <c r="K75" s="5">
        <v>0</v>
      </c>
      <c r="L75" s="5">
        <v>158</v>
      </c>
      <c r="M75" s="5">
        <f t="shared" ref="M75:M76" si="920">IF(M68="","",M68-L68)</f>
        <v>0</v>
      </c>
      <c r="N75" s="5">
        <f t="shared" ref="N75:N76" si="921">IF(N68="","",N68-M68)</f>
        <v>0</v>
      </c>
      <c r="O75" s="5">
        <f t="shared" ref="O75:O76" si="922">IF(O68="","",O68-N68)</f>
        <v>49</v>
      </c>
      <c r="P75" s="5" t="str">
        <f t="shared" ref="P75:P76" si="923">IF(P68="","",P68-O68)</f>
        <v/>
      </c>
      <c r="Q75" s="5" t="str">
        <f t="shared" ref="Q75:Q76" si="924">IF(Q68="","",Q68-P68)</f>
        <v/>
      </c>
      <c r="R75" s="5" t="str">
        <f t="shared" ref="R75:R76" si="925">IF(R68="","",R68-Q68)</f>
        <v/>
      </c>
      <c r="S75" s="5" t="str">
        <f t="shared" ref="S75:S76" si="926">IF(S68="","",S68-R68)</f>
        <v/>
      </c>
      <c r="T75" s="5" t="str">
        <f t="shared" ref="T75:T76" si="927">IF(T68="","",T68-S68)</f>
        <v/>
      </c>
      <c r="U75" s="5" t="str">
        <f t="shared" ref="U75:U76" si="928">IF(U68="","",U68-T68)</f>
        <v/>
      </c>
      <c r="V75" s="5" t="str">
        <f t="shared" ref="V75:V76" si="929">IF(V68="","",V68-U68)</f>
        <v/>
      </c>
      <c r="W75" s="5" t="str">
        <f t="shared" ref="W75:W76" si="930">IF(W68="","",W68-V68)</f>
        <v/>
      </c>
      <c r="X75" s="5" t="str">
        <f t="shared" ref="X75:X76" si="931">IF(X68="","",X68-W68)</f>
        <v/>
      </c>
      <c r="Y75" s="5" t="str">
        <f t="shared" ref="Y75:Y76" si="932">IF(Y68="","",Y68-X68)</f>
        <v/>
      </c>
      <c r="Z75" s="5" t="str">
        <f t="shared" ref="Z75:Z76" si="933">IF(Z68="","",Z68-Y68)</f>
        <v/>
      </c>
      <c r="AA75" s="5" t="str">
        <f t="shared" ref="AA75:AA76" si="934">IF(AA68="","",AA68-Z68)</f>
        <v/>
      </c>
      <c r="AB75" s="5" t="str">
        <f t="shared" ref="AB75:AB76" si="935">IF(AB68="","",AB68-AA68)</f>
        <v/>
      </c>
      <c r="AC75" s="5" t="str">
        <f t="shared" ref="AC75:AC76" si="936">IF(AC68="","",AC68-AB68)</f>
        <v/>
      </c>
      <c r="AD75" s="5" t="str">
        <f t="shared" ref="AD75:AD76" si="937">IF(AD68="","",AD68-AC68)</f>
        <v/>
      </c>
      <c r="AE75" s="5" t="str">
        <f t="shared" ref="AE75:AE76" si="938">IF(AE68="","",AE68-AD68)</f>
        <v/>
      </c>
      <c r="AF75" s="5" t="str">
        <f t="shared" ref="AF75:AF76" si="939">IF(AF68="","",AF68-AE68)</f>
        <v/>
      </c>
      <c r="AG75" s="5" t="str">
        <f t="shared" ref="AG75:AG76" si="940">IF(AG68="","",AG68-AF68)</f>
        <v/>
      </c>
      <c r="AH75" s="5" t="str">
        <f t="shared" ref="AH75:AH76" si="941">IF(AH68="","",AH68-AG68)</f>
        <v/>
      </c>
      <c r="AI75" s="5" t="str">
        <f t="shared" ref="AI75:AI76" si="942">IF(AI68="","",AI68-AH68)</f>
        <v/>
      </c>
      <c r="AJ75" s="5" t="str">
        <f t="shared" ref="AJ75:AJ76" si="943">IF(AJ68="","",AJ68-AI68)</f>
        <v/>
      </c>
      <c r="AK75" s="5" t="str">
        <f t="shared" ref="AK75:AK76" si="944">IF(AK68="","",AK68-AJ68)</f>
        <v/>
      </c>
      <c r="AL75" s="5" t="str">
        <f t="shared" ref="AL75:AL76" si="945">IF(AL68="","",AL68-AK68)</f>
        <v/>
      </c>
      <c r="AM75" s="5" t="str">
        <f t="shared" ref="AM75:AM76" si="946">IF(AM68="","",AM68-AL68)</f>
        <v/>
      </c>
      <c r="AN75" s="5" t="str">
        <f t="shared" ref="AN75:AS75" si="947">IF(AN68="","",AN68-AM68)</f>
        <v/>
      </c>
      <c r="AO75" s="5" t="str">
        <f t="shared" si="947"/>
        <v/>
      </c>
      <c r="AP75" s="5" t="str">
        <f t="shared" si="947"/>
        <v/>
      </c>
      <c r="AQ75" s="5" t="str">
        <f t="shared" si="947"/>
        <v/>
      </c>
      <c r="AR75" s="5" t="str">
        <f t="shared" si="947"/>
        <v/>
      </c>
      <c r="AS75" s="5" t="str">
        <f t="shared" si="947"/>
        <v/>
      </c>
    </row>
    <row r="76" spans="1:45" s="84" customFormat="1" ht="11.25" x14ac:dyDescent="0.15">
      <c r="A76" s="7">
        <f>SUM(C76:AS76)</f>
        <v>13</v>
      </c>
      <c r="B76" s="6" t="s">
        <v>14</v>
      </c>
      <c r="C76" s="5">
        <v>0</v>
      </c>
      <c r="D76" s="5">
        <v>0</v>
      </c>
      <c r="E76" s="5">
        <v>1</v>
      </c>
      <c r="F76" s="5">
        <v>0</v>
      </c>
      <c r="G76" s="5">
        <v>0</v>
      </c>
      <c r="H76" s="5">
        <v>8</v>
      </c>
      <c r="I76" s="5">
        <v>0</v>
      </c>
      <c r="J76" s="5">
        <v>0</v>
      </c>
      <c r="K76" s="5">
        <v>0</v>
      </c>
      <c r="L76" s="5">
        <v>3</v>
      </c>
      <c r="M76" s="5">
        <f t="shared" si="920"/>
        <v>0</v>
      </c>
      <c r="N76" s="5">
        <f t="shared" si="921"/>
        <v>0</v>
      </c>
      <c r="O76" s="5">
        <f t="shared" si="922"/>
        <v>1</v>
      </c>
      <c r="P76" s="5" t="str">
        <f t="shared" si="923"/>
        <v/>
      </c>
      <c r="Q76" s="5" t="str">
        <f t="shared" si="924"/>
        <v/>
      </c>
      <c r="R76" s="5" t="str">
        <f t="shared" si="925"/>
        <v/>
      </c>
      <c r="S76" s="5" t="str">
        <f t="shared" si="926"/>
        <v/>
      </c>
      <c r="T76" s="5" t="str">
        <f t="shared" si="927"/>
        <v/>
      </c>
      <c r="U76" s="5" t="str">
        <f t="shared" si="928"/>
        <v/>
      </c>
      <c r="V76" s="5" t="str">
        <f t="shared" si="929"/>
        <v/>
      </c>
      <c r="W76" s="5" t="str">
        <f t="shared" si="930"/>
        <v/>
      </c>
      <c r="X76" s="5" t="str">
        <f t="shared" si="931"/>
        <v/>
      </c>
      <c r="Y76" s="5" t="str">
        <f t="shared" si="932"/>
        <v/>
      </c>
      <c r="Z76" s="5" t="str">
        <f t="shared" si="933"/>
        <v/>
      </c>
      <c r="AA76" s="5" t="str">
        <f t="shared" si="934"/>
        <v/>
      </c>
      <c r="AB76" s="5" t="str">
        <f t="shared" si="935"/>
        <v/>
      </c>
      <c r="AC76" s="5" t="str">
        <f t="shared" si="936"/>
        <v/>
      </c>
      <c r="AD76" s="5" t="str">
        <f t="shared" si="937"/>
        <v/>
      </c>
      <c r="AE76" s="5" t="str">
        <f t="shared" si="938"/>
        <v/>
      </c>
      <c r="AF76" s="5" t="str">
        <f t="shared" si="939"/>
        <v/>
      </c>
      <c r="AG76" s="5" t="str">
        <f t="shared" si="940"/>
        <v/>
      </c>
      <c r="AH76" s="5" t="str">
        <f t="shared" si="941"/>
        <v/>
      </c>
      <c r="AI76" s="5" t="str">
        <f t="shared" si="942"/>
        <v/>
      </c>
      <c r="AJ76" s="5" t="str">
        <f t="shared" si="943"/>
        <v/>
      </c>
      <c r="AK76" s="5" t="str">
        <f t="shared" si="944"/>
        <v/>
      </c>
      <c r="AL76" s="5" t="str">
        <f t="shared" si="945"/>
        <v/>
      </c>
      <c r="AM76" s="5" t="str">
        <f t="shared" si="946"/>
        <v/>
      </c>
      <c r="AN76" s="5" t="str">
        <f t="shared" ref="AN76:AS76" si="948">IF(AN69="","",AN69-AM69)</f>
        <v/>
      </c>
      <c r="AO76" s="5" t="str">
        <f t="shared" si="948"/>
        <v/>
      </c>
      <c r="AP76" s="5" t="str">
        <f t="shared" si="948"/>
        <v/>
      </c>
      <c r="AQ76" s="5" t="str">
        <f t="shared" si="948"/>
        <v/>
      </c>
      <c r="AR76" s="5" t="str">
        <f t="shared" si="948"/>
        <v/>
      </c>
      <c r="AS76" s="5" t="str">
        <f t="shared" si="948"/>
        <v/>
      </c>
    </row>
    <row r="77" spans="1:45" s="84" customFormat="1" ht="11.25" x14ac:dyDescent="0.15">
      <c r="A77" s="7">
        <f>SUM(C77:AS77)</f>
        <v>5</v>
      </c>
      <c r="B77" s="6" t="s">
        <v>15</v>
      </c>
      <c r="C77" s="5">
        <v>0</v>
      </c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3</v>
      </c>
      <c r="M77" s="5">
        <f t="shared" ref="M77" si="949">IF(M70="","",L70+L71-M70)</f>
        <v>0</v>
      </c>
      <c r="N77" s="5">
        <f t="shared" ref="N77" si="950">IF(N70="","",M70+M71-N70)</f>
        <v>0</v>
      </c>
      <c r="O77" s="5">
        <f t="shared" ref="O77" si="951">IF(O70="","",N70+N71-O70)</f>
        <v>1</v>
      </c>
      <c r="P77" s="5" t="str">
        <f t="shared" ref="P77" si="952">IF(P70="","",O70+O71-P70)</f>
        <v/>
      </c>
      <c r="Q77" s="5" t="str">
        <f t="shared" ref="Q77" si="953">IF(Q70="","",P70+P71-Q70)</f>
        <v/>
      </c>
      <c r="R77" s="5" t="str">
        <f t="shared" ref="R77" si="954">IF(R70="","",Q70+Q71-R70)</f>
        <v/>
      </c>
      <c r="S77" s="5" t="str">
        <f t="shared" ref="S77" si="955">IF(S70="","",R70+R71-S70)</f>
        <v/>
      </c>
      <c r="T77" s="5" t="str">
        <f t="shared" ref="T77" si="956">IF(T70="","",S70+S71-T70)</f>
        <v/>
      </c>
      <c r="U77" s="5" t="str">
        <f t="shared" ref="U77" si="957">IF(U70="","",T70+T71-U70)</f>
        <v/>
      </c>
      <c r="V77" s="5" t="str">
        <f t="shared" ref="V77" si="958">IF(V70="","",U70+U71-V70)</f>
        <v/>
      </c>
      <c r="W77" s="5" t="str">
        <f t="shared" ref="W77" si="959">IF(W70="","",V70+V71-W70)</f>
        <v/>
      </c>
      <c r="X77" s="5" t="str">
        <f t="shared" ref="X77" si="960">IF(X70="","",W70+W71-X70)</f>
        <v/>
      </c>
      <c r="Y77" s="5" t="str">
        <f t="shared" ref="Y77" si="961">IF(Y70="","",X70+X71-Y70)</f>
        <v/>
      </c>
      <c r="Z77" s="5" t="str">
        <f t="shared" ref="Z77" si="962">IF(Z70="","",Y70+Y71-Z70)</f>
        <v/>
      </c>
      <c r="AA77" s="5" t="str">
        <f t="shared" ref="AA77" si="963">IF(AA70="","",Z70+Z71-AA70)</f>
        <v/>
      </c>
      <c r="AB77" s="5" t="str">
        <f t="shared" ref="AB77" si="964">IF(AB70="","",AA70+AA71-AB70)</f>
        <v/>
      </c>
      <c r="AC77" s="5" t="str">
        <f t="shared" ref="AC77" si="965">IF(AC70="","",AB70+AB71-AC70)</f>
        <v/>
      </c>
      <c r="AD77" s="5" t="str">
        <f t="shared" ref="AD77" si="966">IF(AD70="","",AC70+AC71-AD70)</f>
        <v/>
      </c>
      <c r="AE77" s="5" t="str">
        <f t="shared" ref="AE77" si="967">IF(AE70="","",AD70+AD71-AE70)</f>
        <v/>
      </c>
      <c r="AF77" s="5" t="str">
        <f t="shared" ref="AF77" si="968">IF(AF70="","",AE70+AE71-AF70)</f>
        <v/>
      </c>
      <c r="AG77" s="5" t="str">
        <f t="shared" ref="AG77" si="969">IF(AG70="","",AF70+AF71-AG70)</f>
        <v/>
      </c>
      <c r="AH77" s="5" t="str">
        <f t="shared" ref="AH77" si="970">IF(AH70="","",AG70+AG71-AH70)</f>
        <v/>
      </c>
      <c r="AI77" s="5" t="str">
        <f t="shared" ref="AI77" si="971">IF(AI70="","",AH70+AH71-AI70)</f>
        <v/>
      </c>
      <c r="AJ77" s="5" t="str">
        <f t="shared" ref="AJ77" si="972">IF(AJ70="","",AI70+AI71-AJ70)</f>
        <v/>
      </c>
      <c r="AK77" s="5" t="str">
        <f t="shared" ref="AK77" si="973">IF(AK70="","",AJ70+AJ71-AK70)</f>
        <v/>
      </c>
      <c r="AL77" s="5" t="str">
        <f t="shared" ref="AL77" si="974">IF(AL70="","",AK70+AK71-AL70)</f>
        <v/>
      </c>
      <c r="AM77" s="5" t="str">
        <f t="shared" ref="AM77" si="975">IF(AM70="","",AL70+AL71-AM70)</f>
        <v/>
      </c>
      <c r="AN77" s="5" t="str">
        <f t="shared" ref="AN77:AS77" si="976">IF(AN70="","",AM70+AM71-AN70)</f>
        <v/>
      </c>
      <c r="AO77" s="5" t="str">
        <f t="shared" si="976"/>
        <v/>
      </c>
      <c r="AP77" s="5" t="str">
        <f t="shared" si="976"/>
        <v/>
      </c>
      <c r="AQ77" s="5" t="str">
        <f t="shared" si="976"/>
        <v/>
      </c>
      <c r="AR77" s="5" t="str">
        <f t="shared" si="976"/>
        <v/>
      </c>
      <c r="AS77" s="5" t="str">
        <f t="shared" si="976"/>
        <v/>
      </c>
    </row>
    <row r="78" spans="1:45" s="84" customFormat="1" ht="11.25" x14ac:dyDescent="0.15">
      <c r="A78" s="7">
        <f>SUM(C78:AS78)</f>
        <v>3750</v>
      </c>
      <c r="B78" s="6" t="s">
        <v>16</v>
      </c>
      <c r="C78" s="5">
        <v>0</v>
      </c>
      <c r="D78" s="5">
        <v>0</v>
      </c>
      <c r="E78" s="5">
        <v>750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2250</v>
      </c>
      <c r="M78" s="5">
        <f t="shared" ref="J78:AM78" si="977">IF(M68="","",M77*M72)</f>
        <v>0</v>
      </c>
      <c r="N78" s="5">
        <f t="shared" si="977"/>
        <v>0</v>
      </c>
      <c r="O78" s="5">
        <f t="shared" si="977"/>
        <v>750</v>
      </c>
      <c r="P78" s="5" t="str">
        <f t="shared" si="977"/>
        <v/>
      </c>
      <c r="Q78" s="5" t="str">
        <f t="shared" si="977"/>
        <v/>
      </c>
      <c r="R78" s="5" t="str">
        <f t="shared" si="977"/>
        <v/>
      </c>
      <c r="S78" s="5" t="str">
        <f t="shared" si="977"/>
        <v/>
      </c>
      <c r="T78" s="5" t="str">
        <f t="shared" si="977"/>
        <v/>
      </c>
      <c r="U78" s="5" t="str">
        <f t="shared" si="977"/>
        <v/>
      </c>
      <c r="V78" s="5" t="str">
        <f t="shared" si="977"/>
        <v/>
      </c>
      <c r="W78" s="5" t="str">
        <f t="shared" si="977"/>
        <v/>
      </c>
      <c r="X78" s="5" t="str">
        <f t="shared" si="977"/>
        <v/>
      </c>
      <c r="Y78" s="5" t="str">
        <f t="shared" si="977"/>
        <v/>
      </c>
      <c r="Z78" s="5" t="str">
        <f t="shared" si="977"/>
        <v/>
      </c>
      <c r="AA78" s="5" t="str">
        <f t="shared" si="977"/>
        <v/>
      </c>
      <c r="AB78" s="5" t="str">
        <f t="shared" si="977"/>
        <v/>
      </c>
      <c r="AC78" s="5" t="str">
        <f t="shared" si="977"/>
        <v/>
      </c>
      <c r="AD78" s="5" t="str">
        <f t="shared" si="977"/>
        <v/>
      </c>
      <c r="AE78" s="5" t="str">
        <f t="shared" si="977"/>
        <v/>
      </c>
      <c r="AF78" s="5" t="str">
        <f t="shared" si="977"/>
        <v/>
      </c>
      <c r="AG78" s="5" t="str">
        <f t="shared" si="977"/>
        <v/>
      </c>
      <c r="AH78" s="5" t="str">
        <f t="shared" si="977"/>
        <v/>
      </c>
      <c r="AI78" s="5" t="str">
        <f t="shared" si="977"/>
        <v/>
      </c>
      <c r="AJ78" s="5" t="str">
        <f t="shared" si="977"/>
        <v/>
      </c>
      <c r="AK78" s="5" t="str">
        <f t="shared" si="977"/>
        <v/>
      </c>
      <c r="AL78" s="5" t="str">
        <f t="shared" si="977"/>
        <v/>
      </c>
      <c r="AM78" s="5" t="str">
        <f t="shared" si="977"/>
        <v/>
      </c>
      <c r="AN78" s="5" t="str">
        <f t="shared" ref="AN78:AS78" si="978">IF(AN68="","",AN77*AN72)</f>
        <v/>
      </c>
      <c r="AO78" s="5" t="str">
        <f t="shared" si="978"/>
        <v/>
      </c>
      <c r="AP78" s="5" t="str">
        <f t="shared" si="978"/>
        <v/>
      </c>
      <c r="AQ78" s="5" t="str">
        <f t="shared" si="978"/>
        <v/>
      </c>
      <c r="AR78" s="5" t="str">
        <f t="shared" si="978"/>
        <v/>
      </c>
      <c r="AS78" s="5" t="str">
        <f t="shared" si="978"/>
        <v/>
      </c>
    </row>
    <row r="79" spans="1:45" s="84" customFormat="1" ht="12" thickBot="1" x14ac:dyDescent="0.2">
      <c r="A79" s="4">
        <f>IF(A78="","",A78/(A75*100))</f>
        <v>0.11829652996845426</v>
      </c>
      <c r="B79" s="6" t="s">
        <v>18</v>
      </c>
      <c r="C79" s="18" t="s">
        <v>19</v>
      </c>
      <c r="D79" s="18" t="s">
        <v>19</v>
      </c>
      <c r="E79" s="18">
        <v>0.25</v>
      </c>
      <c r="F79" s="18" t="s">
        <v>19</v>
      </c>
      <c r="G79" s="18" t="s">
        <v>19</v>
      </c>
      <c r="H79" s="18" t="s">
        <v>19</v>
      </c>
      <c r="I79" s="18" t="s">
        <v>19</v>
      </c>
      <c r="J79" s="18" t="s">
        <v>19</v>
      </c>
      <c r="K79" s="18" t="s">
        <v>19</v>
      </c>
      <c r="L79" s="18">
        <v>0.14240506329113925</v>
      </c>
      <c r="M79" s="18" t="str">
        <f t="shared" ref="J79:AM79" si="979">IF(M78="","",IF(M78=0,"",M78/(M75*100)))</f>
        <v/>
      </c>
      <c r="N79" s="18" t="str">
        <f t="shared" si="979"/>
        <v/>
      </c>
      <c r="O79" s="18">
        <f t="shared" si="979"/>
        <v>0.15306122448979592</v>
      </c>
      <c r="P79" s="18" t="str">
        <f t="shared" si="979"/>
        <v/>
      </c>
      <c r="Q79" s="18" t="str">
        <f t="shared" si="979"/>
        <v/>
      </c>
      <c r="R79" s="18" t="str">
        <f t="shared" si="979"/>
        <v/>
      </c>
      <c r="S79" s="18" t="str">
        <f t="shared" si="979"/>
        <v/>
      </c>
      <c r="T79" s="18" t="str">
        <f t="shared" si="979"/>
        <v/>
      </c>
      <c r="U79" s="18" t="str">
        <f t="shared" si="979"/>
        <v/>
      </c>
      <c r="V79" s="18" t="str">
        <f t="shared" si="979"/>
        <v/>
      </c>
      <c r="W79" s="18" t="str">
        <f t="shared" si="979"/>
        <v/>
      </c>
      <c r="X79" s="18" t="str">
        <f t="shared" si="979"/>
        <v/>
      </c>
      <c r="Y79" s="18" t="str">
        <f t="shared" si="979"/>
        <v/>
      </c>
      <c r="Z79" s="18" t="str">
        <f t="shared" si="979"/>
        <v/>
      </c>
      <c r="AA79" s="18" t="str">
        <f t="shared" si="979"/>
        <v/>
      </c>
      <c r="AB79" s="18" t="str">
        <f t="shared" si="979"/>
        <v/>
      </c>
      <c r="AC79" s="18" t="str">
        <f t="shared" si="979"/>
        <v/>
      </c>
      <c r="AD79" s="18" t="str">
        <f t="shared" si="979"/>
        <v/>
      </c>
      <c r="AE79" s="18" t="str">
        <f t="shared" si="979"/>
        <v/>
      </c>
      <c r="AF79" s="18" t="str">
        <f t="shared" si="979"/>
        <v/>
      </c>
      <c r="AG79" s="18" t="str">
        <f t="shared" si="979"/>
        <v/>
      </c>
      <c r="AH79" s="18" t="str">
        <f t="shared" si="979"/>
        <v/>
      </c>
      <c r="AI79" s="18" t="str">
        <f t="shared" si="979"/>
        <v/>
      </c>
      <c r="AJ79" s="18" t="str">
        <f t="shared" si="979"/>
        <v/>
      </c>
      <c r="AK79" s="18" t="str">
        <f t="shared" si="979"/>
        <v/>
      </c>
      <c r="AL79" s="18" t="str">
        <f t="shared" si="979"/>
        <v/>
      </c>
      <c r="AM79" s="18" t="str">
        <f t="shared" si="979"/>
        <v/>
      </c>
      <c r="AN79" s="18" t="str">
        <f t="shared" ref="AN79:AS79" si="980">IF(AN78="","",IF(AN78=0,"",AN78/(AN75*100)))</f>
        <v/>
      </c>
      <c r="AO79" s="18" t="str">
        <f t="shared" si="980"/>
        <v/>
      </c>
      <c r="AP79" s="18" t="str">
        <f t="shared" si="980"/>
        <v/>
      </c>
      <c r="AQ79" s="18" t="str">
        <f t="shared" si="980"/>
        <v/>
      </c>
      <c r="AR79" s="18" t="str">
        <f t="shared" si="980"/>
        <v/>
      </c>
      <c r="AS79" s="18" t="str">
        <f t="shared" si="980"/>
        <v/>
      </c>
    </row>
    <row r="80" spans="1:45" s="84" customFormat="1" ht="11.25" x14ac:dyDescent="0.15">
      <c r="A80" s="17" t="s">
        <v>83</v>
      </c>
      <c r="B80" s="9" t="s">
        <v>2</v>
      </c>
      <c r="C80" s="8">
        <v>30481</v>
      </c>
      <c r="D80" s="8">
        <v>30481</v>
      </c>
      <c r="E80" s="8">
        <v>30522</v>
      </c>
      <c r="F80" s="8">
        <v>30522</v>
      </c>
      <c r="G80" s="8">
        <v>30522</v>
      </c>
      <c r="H80" s="8">
        <v>30600</v>
      </c>
      <c r="I80" s="8">
        <v>30600</v>
      </c>
      <c r="J80" s="8">
        <v>30600</v>
      </c>
      <c r="K80" s="8">
        <v>30600</v>
      </c>
      <c r="L80" s="8">
        <v>30715</v>
      </c>
      <c r="M80" s="8">
        <f t="shared" ref="M80:M81" si="981">IF(M$8="","",L80)</f>
        <v>30715</v>
      </c>
      <c r="N80" s="8">
        <f t="shared" ref="N80:N81" si="982">IF(N$8="","",M80)</f>
        <v>30715</v>
      </c>
      <c r="O80" s="8">
        <v>30770</v>
      </c>
      <c r="P80" s="8" t="str">
        <f>IF(P$8="","",O80)</f>
        <v/>
      </c>
      <c r="Q80" s="8" t="str">
        <f t="shared" ref="Q80:Q81" si="983">IF(Q$8="","",P80)</f>
        <v/>
      </c>
      <c r="R80" s="8" t="str">
        <f t="shared" ref="R80:R81" si="984">IF(R$8="","",Q80)</f>
        <v/>
      </c>
      <c r="S80" s="8" t="str">
        <f>IF(S$8="","",R80)</f>
        <v/>
      </c>
      <c r="T80" s="8" t="str">
        <f t="shared" ref="T80:T81" si="985">IF(T$8="","",S80)</f>
        <v/>
      </c>
      <c r="U80" s="8" t="str">
        <f t="shared" ref="U80:U81" si="986">IF(U$8="","",T80)</f>
        <v/>
      </c>
      <c r="V80" s="8" t="str">
        <f>IF(V$8="","",U80)</f>
        <v/>
      </c>
      <c r="W80" s="8" t="str">
        <f t="shared" ref="W80:W81" si="987">IF(W$8="","",V80)</f>
        <v/>
      </c>
      <c r="X80" s="8" t="str">
        <f t="shared" ref="X80:X81" si="988">IF(X$8="","",W80)</f>
        <v/>
      </c>
      <c r="Y80" s="8" t="str">
        <f t="shared" ref="Y80:Y81" si="989">IF(Y$8="","",X80)</f>
        <v/>
      </c>
      <c r="Z80" s="8" t="str">
        <f>IF(Z$8="","",Y80)</f>
        <v/>
      </c>
      <c r="AA80" s="8" t="str">
        <f t="shared" ref="AA80:AA81" si="990">IF(AA$8="","",Z80)</f>
        <v/>
      </c>
      <c r="AB80" s="8" t="str">
        <f t="shared" ref="AB80:AB81" si="991">IF(AB$8="","",AA80)</f>
        <v/>
      </c>
      <c r="AC80" s="8" t="str">
        <f t="shared" ref="AC80:AC81" si="992">IF(AC$8="","",AB80)</f>
        <v/>
      </c>
      <c r="AD80" s="8" t="str">
        <f>IF(AD$8="","",AC80)</f>
        <v/>
      </c>
      <c r="AE80" s="8" t="str">
        <f t="shared" ref="AE80:AE81" si="993">IF(AE$8="","",AD80)</f>
        <v/>
      </c>
      <c r="AF80" s="8" t="str">
        <f t="shared" ref="AF80:AF81" si="994">IF(AF$8="","",AE80)</f>
        <v/>
      </c>
      <c r="AG80" s="8" t="str">
        <f>IF(AG$8="","",AF80)</f>
        <v/>
      </c>
      <c r="AH80" s="8" t="str">
        <f t="shared" ref="AH80:AH81" si="995">IF(AH$8="","",AG80)</f>
        <v/>
      </c>
      <c r="AI80" s="8" t="str">
        <f t="shared" ref="AI80:AI81" si="996">IF(AI$8="","",AH80)</f>
        <v/>
      </c>
      <c r="AJ80" s="8" t="str">
        <f>IF(AJ$8="","",AI80)</f>
        <v/>
      </c>
      <c r="AK80" s="8" t="str">
        <f t="shared" ref="AK80:AK81" si="997">IF(AK$8="","",AJ80)</f>
        <v/>
      </c>
      <c r="AL80" s="8" t="str">
        <f t="shared" ref="AL80:AL81" si="998">IF(AL$8="","",AK80)</f>
        <v/>
      </c>
      <c r="AM80" s="8" t="str">
        <f t="shared" ref="AM80:AM81" si="999">IF(AM$8="","",AL80)</f>
        <v/>
      </c>
      <c r="AN80" s="8" t="str">
        <f>IF(AN$8="","",AM80)</f>
        <v/>
      </c>
      <c r="AO80" s="8" t="str">
        <f t="shared" ref="AN80:AS80" si="1000">IF(AO$8="","",AN80)</f>
        <v/>
      </c>
      <c r="AP80" s="8" t="str">
        <f t="shared" si="1000"/>
        <v/>
      </c>
      <c r="AQ80" s="8" t="str">
        <f t="shared" si="1000"/>
        <v/>
      </c>
      <c r="AR80" s="8" t="str">
        <f t="shared" si="1000"/>
        <v/>
      </c>
      <c r="AS80" s="8" t="str">
        <f t="shared" si="1000"/>
        <v/>
      </c>
    </row>
    <row r="81" spans="1:45" s="84" customFormat="1" ht="11.25" x14ac:dyDescent="0.15">
      <c r="A81" s="16" t="s">
        <v>24</v>
      </c>
      <c r="B81" s="9" t="s">
        <v>4</v>
      </c>
      <c r="C81" s="8">
        <v>1999</v>
      </c>
      <c r="D81" s="8">
        <v>1999</v>
      </c>
      <c r="E81" s="8">
        <v>2002</v>
      </c>
      <c r="F81" s="8">
        <v>2002</v>
      </c>
      <c r="G81" s="8">
        <v>2002</v>
      </c>
      <c r="H81" s="8">
        <v>2004</v>
      </c>
      <c r="I81" s="8">
        <v>2004</v>
      </c>
      <c r="J81" s="8">
        <v>2004</v>
      </c>
      <c r="K81" s="8">
        <v>2004</v>
      </c>
      <c r="L81" s="8">
        <v>2009</v>
      </c>
      <c r="M81" s="8">
        <f t="shared" si="981"/>
        <v>2009</v>
      </c>
      <c r="N81" s="8">
        <f t="shared" si="982"/>
        <v>2009</v>
      </c>
      <c r="O81" s="8">
        <v>2012</v>
      </c>
      <c r="P81" s="8" t="str">
        <f>IF(P$8="","",O81)</f>
        <v/>
      </c>
      <c r="Q81" s="8" t="str">
        <f t="shared" si="983"/>
        <v/>
      </c>
      <c r="R81" s="8" t="str">
        <f t="shared" si="984"/>
        <v/>
      </c>
      <c r="S81" s="8" t="str">
        <f>IF(S$8="","",R81)</f>
        <v/>
      </c>
      <c r="T81" s="8" t="str">
        <f t="shared" si="985"/>
        <v/>
      </c>
      <c r="U81" s="8" t="str">
        <f t="shared" si="986"/>
        <v/>
      </c>
      <c r="V81" s="8" t="str">
        <f>IF(V$8="","",U81)</f>
        <v/>
      </c>
      <c r="W81" s="8" t="str">
        <f t="shared" si="987"/>
        <v/>
      </c>
      <c r="X81" s="8" t="str">
        <f t="shared" si="988"/>
        <v/>
      </c>
      <c r="Y81" s="8" t="str">
        <f t="shared" si="989"/>
        <v/>
      </c>
      <c r="Z81" s="8" t="str">
        <f>IF(Z$8="","",Y81)</f>
        <v/>
      </c>
      <c r="AA81" s="8" t="str">
        <f t="shared" si="990"/>
        <v/>
      </c>
      <c r="AB81" s="8" t="str">
        <f t="shared" si="991"/>
        <v/>
      </c>
      <c r="AC81" s="8" t="str">
        <f t="shared" si="992"/>
        <v/>
      </c>
      <c r="AD81" s="8" t="str">
        <f>IF(AD$8="","",AC81)</f>
        <v/>
      </c>
      <c r="AE81" s="8" t="str">
        <f t="shared" si="993"/>
        <v/>
      </c>
      <c r="AF81" s="8" t="str">
        <f t="shared" si="994"/>
        <v/>
      </c>
      <c r="AG81" s="8" t="str">
        <f>IF(AG$8="","",AF81)</f>
        <v/>
      </c>
      <c r="AH81" s="8" t="str">
        <f t="shared" si="995"/>
        <v/>
      </c>
      <c r="AI81" s="8" t="str">
        <f t="shared" si="996"/>
        <v/>
      </c>
      <c r="AJ81" s="8" t="str">
        <f>IF(AJ$8="","",AI81)</f>
        <v/>
      </c>
      <c r="AK81" s="8" t="str">
        <f t="shared" si="997"/>
        <v/>
      </c>
      <c r="AL81" s="8" t="str">
        <f t="shared" si="998"/>
        <v/>
      </c>
      <c r="AM81" s="8" t="str">
        <f t="shared" si="999"/>
        <v/>
      </c>
      <c r="AN81" s="8" t="str">
        <f>IF(AN$8="","",AM81)</f>
        <v/>
      </c>
      <c r="AO81" s="8" t="str">
        <f t="shared" ref="AN81:AS81" si="1001">IF(AO$8="","",AN81)</f>
        <v/>
      </c>
      <c r="AP81" s="8" t="str">
        <f t="shared" si="1001"/>
        <v/>
      </c>
      <c r="AQ81" s="8" t="str">
        <f t="shared" si="1001"/>
        <v/>
      </c>
      <c r="AR81" s="8" t="str">
        <f t="shared" si="1001"/>
        <v/>
      </c>
      <c r="AS81" s="8" t="str">
        <f t="shared" si="1001"/>
        <v/>
      </c>
    </row>
    <row r="82" spans="1:45" s="84" customFormat="1" ht="11.25" x14ac:dyDescent="0.15">
      <c r="A82" s="15">
        <v>3</v>
      </c>
      <c r="B82" s="9" t="s">
        <v>5</v>
      </c>
      <c r="C82" s="8">
        <v>102</v>
      </c>
      <c r="D82" s="8">
        <v>102</v>
      </c>
      <c r="E82" s="8">
        <v>99</v>
      </c>
      <c r="F82" s="8">
        <v>99</v>
      </c>
      <c r="G82" s="8">
        <v>99</v>
      </c>
      <c r="H82" s="8">
        <v>97</v>
      </c>
      <c r="I82" s="8">
        <v>97</v>
      </c>
      <c r="J82" s="8">
        <v>97</v>
      </c>
      <c r="K82" s="8">
        <v>97</v>
      </c>
      <c r="L82" s="8">
        <v>92</v>
      </c>
      <c r="M82" s="8">
        <f t="shared" ref="M82" si="1002">IF(M80="","",(L82+L83))</f>
        <v>92</v>
      </c>
      <c r="N82" s="8">
        <f t="shared" ref="N82" si="1003">IF(N80="","",(M82+M83))</f>
        <v>92</v>
      </c>
      <c r="O82" s="8">
        <v>89</v>
      </c>
      <c r="P82" s="8" t="str">
        <f>IF(P80="","",(O82+O83))</f>
        <v/>
      </c>
      <c r="Q82" s="8" t="str">
        <f t="shared" ref="Q82" si="1004">IF(Q80="","",(P82+P83))</f>
        <v/>
      </c>
      <c r="R82" s="8" t="str">
        <f t="shared" ref="R82" si="1005">IF(R80="","",(Q82+Q83))</f>
        <v/>
      </c>
      <c r="S82" s="8" t="str">
        <f>IF(S80="","",(R82+R83))</f>
        <v/>
      </c>
      <c r="T82" s="8" t="str">
        <f t="shared" ref="T82" si="1006">IF(T80="","",(S82+S83))</f>
        <v/>
      </c>
      <c r="U82" s="8" t="str">
        <f t="shared" ref="U82" si="1007">IF(U80="","",(T82+T83))</f>
        <v/>
      </c>
      <c r="V82" s="8" t="str">
        <f>IF(V80="","",(U82+U83))</f>
        <v/>
      </c>
      <c r="W82" s="8" t="str">
        <f t="shared" ref="W82" si="1008">IF(W80="","",(V82+V83))</f>
        <v/>
      </c>
      <c r="X82" s="8" t="str">
        <f t="shared" ref="X82" si="1009">IF(X80="","",(W82+W83))</f>
        <v/>
      </c>
      <c r="Y82" s="8" t="str">
        <f t="shared" ref="Y82" si="1010">IF(Y80="","",(X82+X83))</f>
        <v/>
      </c>
      <c r="Z82" s="8" t="str">
        <f>IF(Z80="","",(Y82+Y83))</f>
        <v/>
      </c>
      <c r="AA82" s="8" t="str">
        <f t="shared" ref="AA82" si="1011">IF(AA80="","",(Z82+Z83))</f>
        <v/>
      </c>
      <c r="AB82" s="8" t="str">
        <f t="shared" ref="AB82" si="1012">IF(AB80="","",(AA82+AA83))</f>
        <v/>
      </c>
      <c r="AC82" s="8" t="str">
        <f t="shared" ref="AC82" si="1013">IF(AC80="","",(AB82+AB83))</f>
        <v/>
      </c>
      <c r="AD82" s="8" t="str">
        <f>IF(AD80="","",(AC82+AC83))</f>
        <v/>
      </c>
      <c r="AE82" s="8" t="str">
        <f t="shared" ref="AE82" si="1014">IF(AE80="","",(AD82+AD83))</f>
        <v/>
      </c>
      <c r="AF82" s="8" t="str">
        <f t="shared" ref="AF82" si="1015">IF(AF80="","",(AE82+AE83))</f>
        <v/>
      </c>
      <c r="AG82" s="8" t="str">
        <f>IF(AG80="","",(AF82+AF83))</f>
        <v/>
      </c>
      <c r="AH82" s="8" t="str">
        <f t="shared" ref="AH82" si="1016">IF(AH80="","",(AG82+AG83))</f>
        <v/>
      </c>
      <c r="AI82" s="8" t="str">
        <f t="shared" ref="AI82" si="1017">IF(AI80="","",(AH82+AH83))</f>
        <v/>
      </c>
      <c r="AJ82" s="8" t="str">
        <f>IF(AJ80="","",(AI82+AI83))</f>
        <v/>
      </c>
      <c r="AK82" s="8" t="str">
        <f t="shared" ref="AK82" si="1018">IF(AK80="","",(AJ82+AJ83))</f>
        <v/>
      </c>
      <c r="AL82" s="8" t="str">
        <f t="shared" ref="AL82" si="1019">IF(AL80="","",(AK82+AK83))</f>
        <v/>
      </c>
      <c r="AM82" s="8" t="str">
        <f t="shared" ref="AM82" si="1020">IF(AM80="","",(AL82+AL83))</f>
        <v/>
      </c>
      <c r="AN82" s="8" t="str">
        <f>IF(AN80="","",(AM82+AM83))</f>
        <v/>
      </c>
      <c r="AO82" s="8" t="str">
        <f t="shared" ref="AN82:AS82" si="1021">IF(AO80="","",(AN82+AN83))</f>
        <v/>
      </c>
      <c r="AP82" s="8" t="str">
        <f t="shared" si="1021"/>
        <v/>
      </c>
      <c r="AQ82" s="8" t="str">
        <f t="shared" si="1021"/>
        <v/>
      </c>
      <c r="AR82" s="8" t="str">
        <f t="shared" si="1021"/>
        <v/>
      </c>
      <c r="AS82" s="8" t="str">
        <f t="shared" si="1021"/>
        <v/>
      </c>
    </row>
    <row r="83" spans="1:45" s="84" customFormat="1" ht="11.25" x14ac:dyDescent="0.15">
      <c r="A83" s="14"/>
      <c r="B83" s="9" t="s">
        <v>7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</row>
    <row r="84" spans="1:45" s="84" customFormat="1" ht="11.25" x14ac:dyDescent="0.15">
      <c r="A84" s="7"/>
      <c r="B84" s="9" t="s">
        <v>8</v>
      </c>
      <c r="C84" s="8">
        <v>400</v>
      </c>
      <c r="D84" s="8">
        <v>400</v>
      </c>
      <c r="E84" s="8">
        <v>400</v>
      </c>
      <c r="F84" s="8">
        <v>400</v>
      </c>
      <c r="G84" s="8">
        <v>400</v>
      </c>
      <c r="H84" s="8">
        <v>400</v>
      </c>
      <c r="I84" s="8">
        <v>400</v>
      </c>
      <c r="J84" s="8">
        <v>400</v>
      </c>
      <c r="K84" s="8">
        <v>400</v>
      </c>
      <c r="L84" s="8">
        <v>400</v>
      </c>
      <c r="M84" s="8">
        <f t="shared" ref="M84" si="1022">IF(M80="","",L84)</f>
        <v>400</v>
      </c>
      <c r="N84" s="8">
        <f t="shared" ref="N84" si="1023">IF(N80="","",M84)</f>
        <v>400</v>
      </c>
      <c r="O84" s="8">
        <f t="shared" ref="O84" si="1024">IF(O80="","",N84)</f>
        <v>400</v>
      </c>
      <c r="P84" s="8" t="str">
        <f t="shared" ref="P84" si="1025">IF(P80="","",O84)</f>
        <v/>
      </c>
      <c r="Q84" s="8" t="str">
        <f t="shared" ref="Q84" si="1026">IF(Q80="","",P84)</f>
        <v/>
      </c>
      <c r="R84" s="8" t="str">
        <f t="shared" ref="R84" si="1027">IF(R80="","",Q84)</f>
        <v/>
      </c>
      <c r="S84" s="8" t="str">
        <f t="shared" ref="S84" si="1028">IF(S80="","",R84)</f>
        <v/>
      </c>
      <c r="T84" s="8" t="str">
        <f t="shared" ref="T84" si="1029">IF(T80="","",S84)</f>
        <v/>
      </c>
      <c r="U84" s="8" t="str">
        <f t="shared" ref="U84" si="1030">IF(U80="","",T84)</f>
        <v/>
      </c>
      <c r="V84" s="8" t="str">
        <f t="shared" ref="V84" si="1031">IF(V80="","",U84)</f>
        <v/>
      </c>
      <c r="W84" s="8" t="str">
        <f t="shared" ref="W84" si="1032">IF(W80="","",V84)</f>
        <v/>
      </c>
      <c r="X84" s="8" t="str">
        <f t="shared" ref="X84" si="1033">IF(X80="","",W84)</f>
        <v/>
      </c>
      <c r="Y84" s="8" t="str">
        <f t="shared" ref="Y84" si="1034">IF(Y80="","",X84)</f>
        <v/>
      </c>
      <c r="Z84" s="8" t="str">
        <f t="shared" ref="Z84" si="1035">IF(Z80="","",Y84)</f>
        <v/>
      </c>
      <c r="AA84" s="8" t="str">
        <f t="shared" ref="AA84" si="1036">IF(AA80="","",Z84)</f>
        <v/>
      </c>
      <c r="AB84" s="8" t="str">
        <f t="shared" ref="AB84" si="1037">IF(AB80="","",AA84)</f>
        <v/>
      </c>
      <c r="AC84" s="8" t="str">
        <f t="shared" ref="AC84" si="1038">IF(AC80="","",AB84)</f>
        <v/>
      </c>
      <c r="AD84" s="8" t="str">
        <f t="shared" ref="AD84" si="1039">IF(AD80="","",AC84)</f>
        <v/>
      </c>
      <c r="AE84" s="8" t="str">
        <f t="shared" ref="AE84" si="1040">IF(AE80="","",AD84)</f>
        <v/>
      </c>
      <c r="AF84" s="8" t="str">
        <f t="shared" ref="AF84" si="1041">IF(AF80="","",AE84)</f>
        <v/>
      </c>
      <c r="AG84" s="8" t="str">
        <f t="shared" ref="AG84" si="1042">IF(AG80="","",AF84)</f>
        <v/>
      </c>
      <c r="AH84" s="8" t="str">
        <f t="shared" ref="AH84" si="1043">IF(AH80="","",AG84)</f>
        <v/>
      </c>
      <c r="AI84" s="8" t="str">
        <f t="shared" ref="AI84" si="1044">IF(AI80="","",AH84)</f>
        <v/>
      </c>
      <c r="AJ84" s="8" t="str">
        <f t="shared" ref="AJ84" si="1045">IF(AJ80="","",AI84)</f>
        <v/>
      </c>
      <c r="AK84" s="8" t="str">
        <f t="shared" ref="AK84" si="1046">IF(AK80="","",AJ84)</f>
        <v/>
      </c>
      <c r="AL84" s="8" t="str">
        <f t="shared" ref="AL84" si="1047">IF(AL80="","",AK84)</f>
        <v/>
      </c>
      <c r="AM84" s="8" t="str">
        <f t="shared" ref="AM84" si="1048">IF(AM80="","",AL84)</f>
        <v/>
      </c>
      <c r="AN84" s="8" t="str">
        <f t="shared" ref="AN84:AS84" si="1049">IF(AN80="","",AM84)</f>
        <v/>
      </c>
      <c r="AO84" s="8" t="str">
        <f t="shared" si="1049"/>
        <v/>
      </c>
      <c r="AP84" s="8" t="str">
        <f t="shared" si="1049"/>
        <v/>
      </c>
      <c r="AQ84" s="8" t="str">
        <f t="shared" si="1049"/>
        <v/>
      </c>
      <c r="AR84" s="8" t="str">
        <f t="shared" si="1049"/>
        <v/>
      </c>
      <c r="AS84" s="8" t="str">
        <f t="shared" si="1049"/>
        <v/>
      </c>
    </row>
    <row r="85" spans="1:45" s="85" customFormat="1" ht="11.25" x14ac:dyDescent="0.15">
      <c r="A85" s="14" t="s">
        <v>9</v>
      </c>
      <c r="B85" s="13" t="s">
        <v>10</v>
      </c>
      <c r="C85" s="12" t="s">
        <v>87</v>
      </c>
      <c r="D85" s="12" t="s">
        <v>87</v>
      </c>
      <c r="E85" s="12" t="s">
        <v>87</v>
      </c>
      <c r="F85" s="12" t="s">
        <v>87</v>
      </c>
      <c r="G85" s="12" t="s">
        <v>87</v>
      </c>
      <c r="H85" s="12" t="s">
        <v>87</v>
      </c>
      <c r="I85" s="12" t="s">
        <v>87</v>
      </c>
      <c r="J85" s="12" t="s">
        <v>87</v>
      </c>
      <c r="K85" s="12" t="s">
        <v>87</v>
      </c>
      <c r="L85" s="12" t="s">
        <v>87</v>
      </c>
      <c r="M85" s="12" t="str">
        <f t="shared" ref="M85" si="1050">IF(M80="","",L85)</f>
        <v>サンリオスイーツマスコット</v>
      </c>
      <c r="N85" s="12" t="str">
        <f t="shared" ref="N85" si="1051">IF(N80="","",M85)</f>
        <v>サンリオスイーツマスコット</v>
      </c>
      <c r="O85" s="12" t="str">
        <f t="shared" ref="O85" si="1052">IF(O80="","",N85)</f>
        <v>サンリオスイーツマスコット</v>
      </c>
      <c r="P85" s="12" t="str">
        <f t="shared" ref="P85" si="1053">IF(P80="","",O85)</f>
        <v/>
      </c>
      <c r="Q85" s="12" t="str">
        <f t="shared" ref="Q85" si="1054">IF(Q80="","",P85)</f>
        <v/>
      </c>
      <c r="R85" s="12" t="str">
        <f t="shared" ref="R85" si="1055">IF(R80="","",Q85)</f>
        <v/>
      </c>
      <c r="S85" s="12" t="str">
        <f t="shared" ref="S85" si="1056">IF(S80="","",R85)</f>
        <v/>
      </c>
      <c r="T85" s="12" t="str">
        <f t="shared" ref="T85" si="1057">IF(T80="","",S85)</f>
        <v/>
      </c>
      <c r="U85" s="12" t="str">
        <f t="shared" ref="U85" si="1058">IF(U80="","",T85)</f>
        <v/>
      </c>
      <c r="V85" s="12" t="str">
        <f t="shared" ref="V85" si="1059">IF(V80="","",U85)</f>
        <v/>
      </c>
      <c r="W85" s="12" t="str">
        <f t="shared" ref="W85" si="1060">IF(W80="","",V85)</f>
        <v/>
      </c>
      <c r="X85" s="12" t="str">
        <f t="shared" ref="X85" si="1061">IF(X80="","",W85)</f>
        <v/>
      </c>
      <c r="Y85" s="12" t="str">
        <f t="shared" ref="Y85" si="1062">IF(Y80="","",X85)</f>
        <v/>
      </c>
      <c r="Z85" s="12" t="str">
        <f t="shared" ref="Z85" si="1063">IF(Z80="","",Y85)</f>
        <v/>
      </c>
      <c r="AA85" s="12" t="str">
        <f t="shared" ref="AA85" si="1064">IF(AA80="","",Z85)</f>
        <v/>
      </c>
      <c r="AB85" s="12" t="str">
        <f t="shared" ref="AB85" si="1065">IF(AB80="","",AA85)</f>
        <v/>
      </c>
      <c r="AC85" s="12" t="str">
        <f t="shared" ref="AC85" si="1066">IF(AC80="","",AB85)</f>
        <v/>
      </c>
      <c r="AD85" s="12" t="str">
        <f t="shared" ref="AD85" si="1067">IF(AD80="","",AC85)</f>
        <v/>
      </c>
      <c r="AE85" s="12" t="str">
        <f t="shared" ref="AE85" si="1068">IF(AE80="","",AD85)</f>
        <v/>
      </c>
      <c r="AF85" s="12" t="str">
        <f t="shared" ref="AF85" si="1069">IF(AF80="","",AE85)</f>
        <v/>
      </c>
      <c r="AG85" s="12" t="str">
        <f t="shared" ref="AG85" si="1070">IF(AG80="","",AF85)</f>
        <v/>
      </c>
      <c r="AH85" s="12" t="str">
        <f t="shared" ref="AH85" si="1071">IF(AH80="","",AG85)</f>
        <v/>
      </c>
      <c r="AI85" s="12" t="str">
        <f t="shared" ref="AI85" si="1072">IF(AI80="","",AH85)</f>
        <v/>
      </c>
      <c r="AJ85" s="12" t="str">
        <f t="shared" ref="AJ85" si="1073">IF(AJ80="","",AI85)</f>
        <v/>
      </c>
      <c r="AK85" s="12" t="str">
        <f t="shared" ref="AK85" si="1074">IF(AK80="","",AJ85)</f>
        <v/>
      </c>
      <c r="AL85" s="12" t="str">
        <f t="shared" ref="AL85" si="1075">IF(AL80="","",AK85)</f>
        <v/>
      </c>
      <c r="AM85" s="12" t="str">
        <f t="shared" ref="AM85" si="1076">IF(AM80="","",AL85)</f>
        <v/>
      </c>
      <c r="AN85" s="12" t="str">
        <f t="shared" ref="AN85:AS85" si="1077">IF(AN80="","",AM85)</f>
        <v/>
      </c>
      <c r="AO85" s="12" t="str">
        <f t="shared" si="1077"/>
        <v/>
      </c>
      <c r="AP85" s="12" t="str">
        <f t="shared" si="1077"/>
        <v/>
      </c>
      <c r="AQ85" s="12" t="str">
        <f t="shared" si="1077"/>
        <v/>
      </c>
      <c r="AR85" s="12" t="str">
        <f t="shared" si="1077"/>
        <v/>
      </c>
      <c r="AS85" s="12" t="str">
        <f t="shared" si="1077"/>
        <v/>
      </c>
    </row>
    <row r="86" spans="1:45" s="84" customFormat="1" ht="11.25" x14ac:dyDescent="0.15">
      <c r="A86" s="7">
        <f>AVERAGE(C87:AS87)*30*100</f>
        <v>66692.307692307688</v>
      </c>
      <c r="B86" s="9" t="s">
        <v>12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</row>
    <row r="87" spans="1:45" s="84" customFormat="1" ht="11.25" x14ac:dyDescent="0.15">
      <c r="A87" s="7">
        <f>SUM(C87:AS87)</f>
        <v>289</v>
      </c>
      <c r="B87" s="6" t="s">
        <v>13</v>
      </c>
      <c r="C87" s="5">
        <v>0</v>
      </c>
      <c r="D87" s="5">
        <v>0</v>
      </c>
      <c r="E87" s="5">
        <v>41</v>
      </c>
      <c r="F87" s="5">
        <v>0</v>
      </c>
      <c r="G87" s="5">
        <v>0</v>
      </c>
      <c r="H87" s="5">
        <v>78</v>
      </c>
      <c r="I87" s="5">
        <v>0</v>
      </c>
      <c r="J87" s="5">
        <v>0</v>
      </c>
      <c r="K87" s="5">
        <v>0</v>
      </c>
      <c r="L87" s="5">
        <v>115</v>
      </c>
      <c r="M87" s="5">
        <f t="shared" ref="M87:M88" si="1078">IF(M80="","",M80-L80)</f>
        <v>0</v>
      </c>
      <c r="N87" s="5">
        <f t="shared" ref="N87:N88" si="1079">IF(N80="","",N80-M80)</f>
        <v>0</v>
      </c>
      <c r="O87" s="5">
        <f t="shared" ref="O87:O88" si="1080">IF(O80="","",O80-N80)</f>
        <v>55</v>
      </c>
      <c r="P87" s="5" t="str">
        <f t="shared" ref="P87:P88" si="1081">IF(P80="","",P80-O80)</f>
        <v/>
      </c>
      <c r="Q87" s="5" t="str">
        <f t="shared" ref="Q87:Q88" si="1082">IF(Q80="","",Q80-P80)</f>
        <v/>
      </c>
      <c r="R87" s="5" t="str">
        <f t="shared" ref="R87:R88" si="1083">IF(R80="","",R80-Q80)</f>
        <v/>
      </c>
      <c r="S87" s="5" t="str">
        <f t="shared" ref="S87:S88" si="1084">IF(S80="","",S80-R80)</f>
        <v/>
      </c>
      <c r="T87" s="5" t="str">
        <f t="shared" ref="T87:T88" si="1085">IF(T80="","",T80-S80)</f>
        <v/>
      </c>
      <c r="U87" s="5" t="str">
        <f t="shared" ref="U87:U88" si="1086">IF(U80="","",U80-T80)</f>
        <v/>
      </c>
      <c r="V87" s="5" t="str">
        <f t="shared" ref="V87:V88" si="1087">IF(V80="","",V80-U80)</f>
        <v/>
      </c>
      <c r="W87" s="5" t="str">
        <f t="shared" ref="W87:W88" si="1088">IF(W80="","",W80-V80)</f>
        <v/>
      </c>
      <c r="X87" s="5" t="str">
        <f t="shared" ref="X87:X88" si="1089">IF(X80="","",X80-W80)</f>
        <v/>
      </c>
      <c r="Y87" s="5" t="str">
        <f t="shared" ref="Y87:Y88" si="1090">IF(Y80="","",Y80-X80)</f>
        <v/>
      </c>
      <c r="Z87" s="5" t="str">
        <f t="shared" ref="Z87:Z88" si="1091">IF(Z80="","",Z80-Y80)</f>
        <v/>
      </c>
      <c r="AA87" s="5" t="str">
        <f t="shared" ref="AA87:AA88" si="1092">IF(AA80="","",AA80-Z80)</f>
        <v/>
      </c>
      <c r="AB87" s="5" t="str">
        <f t="shared" ref="AB87:AB88" si="1093">IF(AB80="","",AB80-AA80)</f>
        <v/>
      </c>
      <c r="AC87" s="5" t="str">
        <f t="shared" ref="AC87:AC88" si="1094">IF(AC80="","",AC80-AB80)</f>
        <v/>
      </c>
      <c r="AD87" s="5" t="str">
        <f t="shared" ref="AD87:AD88" si="1095">IF(AD80="","",AD80-AC80)</f>
        <v/>
      </c>
      <c r="AE87" s="5" t="str">
        <f t="shared" ref="AE87:AE88" si="1096">IF(AE80="","",AE80-AD80)</f>
        <v/>
      </c>
      <c r="AF87" s="5" t="str">
        <f t="shared" ref="AF87:AF88" si="1097">IF(AF80="","",AF80-AE80)</f>
        <v/>
      </c>
      <c r="AG87" s="5" t="str">
        <f t="shared" ref="AG87:AG88" si="1098">IF(AG80="","",AG80-AF80)</f>
        <v/>
      </c>
      <c r="AH87" s="5" t="str">
        <f t="shared" ref="AH87:AH88" si="1099">IF(AH80="","",AH80-AG80)</f>
        <v/>
      </c>
      <c r="AI87" s="5" t="str">
        <f t="shared" ref="AI87:AI88" si="1100">IF(AI80="","",AI80-AH80)</f>
        <v/>
      </c>
      <c r="AJ87" s="5" t="str">
        <f t="shared" ref="AJ87:AJ88" si="1101">IF(AJ80="","",AJ80-AI80)</f>
        <v/>
      </c>
      <c r="AK87" s="5" t="str">
        <f t="shared" ref="AK87:AK88" si="1102">IF(AK80="","",AK80-AJ80)</f>
        <v/>
      </c>
      <c r="AL87" s="5" t="str">
        <f t="shared" ref="AL87:AL88" si="1103">IF(AL80="","",AL80-AK80)</f>
        <v/>
      </c>
      <c r="AM87" s="5" t="str">
        <f t="shared" ref="AM87:AM88" si="1104">IF(AM80="","",AM80-AL80)</f>
        <v/>
      </c>
      <c r="AN87" s="5" t="str">
        <f t="shared" ref="AN87:AS87" si="1105">IF(AN80="","",AN80-AM80)</f>
        <v/>
      </c>
      <c r="AO87" s="5" t="str">
        <f t="shared" si="1105"/>
        <v/>
      </c>
      <c r="AP87" s="5" t="str">
        <f t="shared" si="1105"/>
        <v/>
      </c>
      <c r="AQ87" s="5" t="str">
        <f t="shared" si="1105"/>
        <v/>
      </c>
      <c r="AR87" s="5" t="str">
        <f t="shared" si="1105"/>
        <v/>
      </c>
      <c r="AS87" s="5" t="str">
        <f t="shared" si="1105"/>
        <v/>
      </c>
    </row>
    <row r="88" spans="1:45" s="84" customFormat="1" ht="11.25" x14ac:dyDescent="0.15">
      <c r="A88" s="7">
        <f>SUM(C88:AS88)</f>
        <v>13</v>
      </c>
      <c r="B88" s="6" t="s">
        <v>14</v>
      </c>
      <c r="C88" s="5">
        <v>0</v>
      </c>
      <c r="D88" s="5">
        <v>0</v>
      </c>
      <c r="E88" s="5">
        <v>3</v>
      </c>
      <c r="F88" s="5">
        <v>0</v>
      </c>
      <c r="G88" s="5">
        <v>0</v>
      </c>
      <c r="H88" s="5">
        <v>2</v>
      </c>
      <c r="I88" s="5">
        <v>0</v>
      </c>
      <c r="J88" s="5">
        <v>0</v>
      </c>
      <c r="K88" s="5">
        <v>0</v>
      </c>
      <c r="L88" s="5">
        <v>5</v>
      </c>
      <c r="M88" s="5">
        <f t="shared" si="1078"/>
        <v>0</v>
      </c>
      <c r="N88" s="5">
        <f t="shared" si="1079"/>
        <v>0</v>
      </c>
      <c r="O88" s="5">
        <f t="shared" si="1080"/>
        <v>3</v>
      </c>
      <c r="P88" s="5" t="str">
        <f t="shared" si="1081"/>
        <v/>
      </c>
      <c r="Q88" s="5" t="str">
        <f t="shared" si="1082"/>
        <v/>
      </c>
      <c r="R88" s="5" t="str">
        <f t="shared" si="1083"/>
        <v/>
      </c>
      <c r="S88" s="5" t="str">
        <f t="shared" si="1084"/>
        <v/>
      </c>
      <c r="T88" s="5" t="str">
        <f t="shared" si="1085"/>
        <v/>
      </c>
      <c r="U88" s="5" t="str">
        <f t="shared" si="1086"/>
        <v/>
      </c>
      <c r="V88" s="5" t="str">
        <f t="shared" si="1087"/>
        <v/>
      </c>
      <c r="W88" s="5" t="str">
        <f t="shared" si="1088"/>
        <v/>
      </c>
      <c r="X88" s="5" t="str">
        <f t="shared" si="1089"/>
        <v/>
      </c>
      <c r="Y88" s="5" t="str">
        <f t="shared" si="1090"/>
        <v/>
      </c>
      <c r="Z88" s="5" t="str">
        <f t="shared" si="1091"/>
        <v/>
      </c>
      <c r="AA88" s="5" t="str">
        <f t="shared" si="1092"/>
        <v/>
      </c>
      <c r="AB88" s="5" t="str">
        <f t="shared" si="1093"/>
        <v/>
      </c>
      <c r="AC88" s="5" t="str">
        <f t="shared" si="1094"/>
        <v/>
      </c>
      <c r="AD88" s="5" t="str">
        <f t="shared" si="1095"/>
        <v/>
      </c>
      <c r="AE88" s="5" t="str">
        <f t="shared" si="1096"/>
        <v/>
      </c>
      <c r="AF88" s="5" t="str">
        <f t="shared" si="1097"/>
        <v/>
      </c>
      <c r="AG88" s="5" t="str">
        <f t="shared" si="1098"/>
        <v/>
      </c>
      <c r="AH88" s="5" t="str">
        <f t="shared" si="1099"/>
        <v/>
      </c>
      <c r="AI88" s="5" t="str">
        <f t="shared" si="1100"/>
        <v/>
      </c>
      <c r="AJ88" s="5" t="str">
        <f t="shared" si="1101"/>
        <v/>
      </c>
      <c r="AK88" s="5" t="str">
        <f t="shared" si="1102"/>
        <v/>
      </c>
      <c r="AL88" s="5" t="str">
        <f t="shared" si="1103"/>
        <v/>
      </c>
      <c r="AM88" s="5" t="str">
        <f t="shared" si="1104"/>
        <v/>
      </c>
      <c r="AN88" s="5" t="str">
        <f t="shared" ref="AN88:AS88" si="1106">IF(AN81="","",AN81-AM81)</f>
        <v/>
      </c>
      <c r="AO88" s="5" t="str">
        <f t="shared" si="1106"/>
        <v/>
      </c>
      <c r="AP88" s="5" t="str">
        <f t="shared" si="1106"/>
        <v/>
      </c>
      <c r="AQ88" s="5" t="str">
        <f t="shared" si="1106"/>
        <v/>
      </c>
      <c r="AR88" s="5" t="str">
        <f t="shared" si="1106"/>
        <v/>
      </c>
      <c r="AS88" s="5" t="str">
        <f t="shared" si="1106"/>
        <v/>
      </c>
    </row>
    <row r="89" spans="1:45" s="84" customFormat="1" ht="11.25" x14ac:dyDescent="0.15">
      <c r="A89" s="7">
        <f>SUM(C89:AS89)</f>
        <v>13</v>
      </c>
      <c r="B89" s="6" t="s">
        <v>15</v>
      </c>
      <c r="C89" s="5">
        <v>0</v>
      </c>
      <c r="D89" s="5">
        <v>0</v>
      </c>
      <c r="E89" s="5">
        <v>3</v>
      </c>
      <c r="F89" s="5">
        <v>0</v>
      </c>
      <c r="G89" s="5">
        <v>0</v>
      </c>
      <c r="H89" s="5">
        <v>2</v>
      </c>
      <c r="I89" s="5">
        <v>0</v>
      </c>
      <c r="J89" s="5">
        <v>0</v>
      </c>
      <c r="K89" s="5">
        <v>0</v>
      </c>
      <c r="L89" s="5">
        <v>5</v>
      </c>
      <c r="M89" s="5">
        <f t="shared" ref="M89" si="1107">IF(M82="","",L82+L83-M82)</f>
        <v>0</v>
      </c>
      <c r="N89" s="5">
        <f t="shared" ref="N89" si="1108">IF(N82="","",M82+M83-N82)</f>
        <v>0</v>
      </c>
      <c r="O89" s="5">
        <f t="shared" ref="O89" si="1109">IF(O82="","",N82+N83-O82)</f>
        <v>3</v>
      </c>
      <c r="P89" s="5" t="str">
        <f t="shared" ref="P89" si="1110">IF(P82="","",O82+O83-P82)</f>
        <v/>
      </c>
      <c r="Q89" s="5" t="str">
        <f t="shared" ref="Q89" si="1111">IF(Q82="","",P82+P83-Q82)</f>
        <v/>
      </c>
      <c r="R89" s="5" t="str">
        <f t="shared" ref="R89" si="1112">IF(R82="","",Q82+Q83-R82)</f>
        <v/>
      </c>
      <c r="S89" s="5" t="str">
        <f t="shared" ref="S89" si="1113">IF(S82="","",R82+R83-S82)</f>
        <v/>
      </c>
      <c r="T89" s="5" t="str">
        <f t="shared" ref="T89" si="1114">IF(T82="","",S82+S83-T82)</f>
        <v/>
      </c>
      <c r="U89" s="5" t="str">
        <f t="shared" ref="U89" si="1115">IF(U82="","",T82+T83-U82)</f>
        <v/>
      </c>
      <c r="V89" s="5" t="str">
        <f t="shared" ref="V89" si="1116">IF(V82="","",U82+U83-V82)</f>
        <v/>
      </c>
      <c r="W89" s="5" t="str">
        <f t="shared" ref="W89" si="1117">IF(W82="","",V82+V83-W82)</f>
        <v/>
      </c>
      <c r="X89" s="5" t="str">
        <f t="shared" ref="X89" si="1118">IF(X82="","",W82+W83-X82)</f>
        <v/>
      </c>
      <c r="Y89" s="5" t="str">
        <f t="shared" ref="Y89" si="1119">IF(Y82="","",X82+X83-Y82)</f>
        <v/>
      </c>
      <c r="Z89" s="5" t="str">
        <f t="shared" ref="Z89" si="1120">IF(Z82="","",Y82+Y83-Z82)</f>
        <v/>
      </c>
      <c r="AA89" s="5" t="str">
        <f t="shared" ref="AA89" si="1121">IF(AA82="","",Z82+Z83-AA82)</f>
        <v/>
      </c>
      <c r="AB89" s="5" t="str">
        <f t="shared" ref="AB89" si="1122">IF(AB82="","",AA82+AA83-AB82)</f>
        <v/>
      </c>
      <c r="AC89" s="5" t="str">
        <f t="shared" ref="AC89" si="1123">IF(AC82="","",AB82+AB83-AC82)</f>
        <v/>
      </c>
      <c r="AD89" s="5" t="str">
        <f t="shared" ref="AD89" si="1124">IF(AD82="","",AC82+AC83-AD82)</f>
        <v/>
      </c>
      <c r="AE89" s="5" t="str">
        <f t="shared" ref="AE89" si="1125">IF(AE82="","",AD82+AD83-AE82)</f>
        <v/>
      </c>
      <c r="AF89" s="5" t="str">
        <f t="shared" ref="AF89" si="1126">IF(AF82="","",AE82+AE83-AF82)</f>
        <v/>
      </c>
      <c r="AG89" s="5" t="str">
        <f t="shared" ref="AG89" si="1127">IF(AG82="","",AF82+AF83-AG82)</f>
        <v/>
      </c>
      <c r="AH89" s="5" t="str">
        <f t="shared" ref="AH89" si="1128">IF(AH82="","",AG82+AG83-AH82)</f>
        <v/>
      </c>
      <c r="AI89" s="5" t="str">
        <f t="shared" ref="AI89" si="1129">IF(AI82="","",AH82+AH83-AI82)</f>
        <v/>
      </c>
      <c r="AJ89" s="5" t="str">
        <f t="shared" ref="AJ89" si="1130">IF(AJ82="","",AI82+AI83-AJ82)</f>
        <v/>
      </c>
      <c r="AK89" s="5" t="str">
        <f t="shared" ref="AK89" si="1131">IF(AK82="","",AJ82+AJ83-AK82)</f>
        <v/>
      </c>
      <c r="AL89" s="5" t="str">
        <f t="shared" ref="AL89" si="1132">IF(AL82="","",AK82+AK83-AL82)</f>
        <v/>
      </c>
      <c r="AM89" s="5" t="str">
        <f t="shared" ref="AM89" si="1133">IF(AM82="","",AL82+AL83-AM82)</f>
        <v/>
      </c>
      <c r="AN89" s="5" t="str">
        <f t="shared" ref="AN89:AS89" si="1134">IF(AN82="","",AM82+AM83-AN82)</f>
        <v/>
      </c>
      <c r="AO89" s="5" t="str">
        <f t="shared" si="1134"/>
        <v/>
      </c>
      <c r="AP89" s="5" t="str">
        <f t="shared" si="1134"/>
        <v/>
      </c>
      <c r="AQ89" s="5" t="str">
        <f t="shared" si="1134"/>
        <v/>
      </c>
      <c r="AR89" s="5" t="str">
        <f t="shared" si="1134"/>
        <v/>
      </c>
      <c r="AS89" s="5" t="str">
        <f t="shared" si="1134"/>
        <v/>
      </c>
    </row>
    <row r="90" spans="1:45" s="84" customFormat="1" ht="11.25" x14ac:dyDescent="0.15">
      <c r="A90" s="7">
        <f>SUM(C90:AS90)</f>
        <v>5200</v>
      </c>
      <c r="B90" s="6" t="s">
        <v>16</v>
      </c>
      <c r="C90" s="5">
        <v>0</v>
      </c>
      <c r="D90" s="5">
        <v>0</v>
      </c>
      <c r="E90" s="5">
        <v>1200</v>
      </c>
      <c r="F90" s="5">
        <v>0</v>
      </c>
      <c r="G90" s="5">
        <v>0</v>
      </c>
      <c r="H90" s="5">
        <v>800</v>
      </c>
      <c r="I90" s="5">
        <v>0</v>
      </c>
      <c r="J90" s="5">
        <v>0</v>
      </c>
      <c r="K90" s="5">
        <v>0</v>
      </c>
      <c r="L90" s="5">
        <v>2000</v>
      </c>
      <c r="M90" s="5">
        <f t="shared" ref="J90:AM90" si="1135">IF(M80="","",M89*M84)</f>
        <v>0</v>
      </c>
      <c r="N90" s="5">
        <f t="shared" si="1135"/>
        <v>0</v>
      </c>
      <c r="O90" s="5">
        <f t="shared" si="1135"/>
        <v>1200</v>
      </c>
      <c r="P90" s="5" t="str">
        <f t="shared" si="1135"/>
        <v/>
      </c>
      <c r="Q90" s="5" t="str">
        <f t="shared" si="1135"/>
        <v/>
      </c>
      <c r="R90" s="5" t="str">
        <f t="shared" si="1135"/>
        <v/>
      </c>
      <c r="S90" s="5" t="str">
        <f t="shared" si="1135"/>
        <v/>
      </c>
      <c r="T90" s="5" t="str">
        <f t="shared" si="1135"/>
        <v/>
      </c>
      <c r="U90" s="5" t="str">
        <f t="shared" si="1135"/>
        <v/>
      </c>
      <c r="V90" s="5" t="str">
        <f t="shared" si="1135"/>
        <v/>
      </c>
      <c r="W90" s="5" t="str">
        <f t="shared" si="1135"/>
        <v/>
      </c>
      <c r="X90" s="5" t="str">
        <f t="shared" si="1135"/>
        <v/>
      </c>
      <c r="Y90" s="5" t="str">
        <f t="shared" si="1135"/>
        <v/>
      </c>
      <c r="Z90" s="5" t="str">
        <f t="shared" si="1135"/>
        <v/>
      </c>
      <c r="AA90" s="5" t="str">
        <f t="shared" si="1135"/>
        <v/>
      </c>
      <c r="AB90" s="5" t="str">
        <f t="shared" si="1135"/>
        <v/>
      </c>
      <c r="AC90" s="5" t="str">
        <f t="shared" si="1135"/>
        <v/>
      </c>
      <c r="AD90" s="5" t="str">
        <f t="shared" si="1135"/>
        <v/>
      </c>
      <c r="AE90" s="5" t="str">
        <f t="shared" si="1135"/>
        <v/>
      </c>
      <c r="AF90" s="5" t="str">
        <f t="shared" si="1135"/>
        <v/>
      </c>
      <c r="AG90" s="5" t="str">
        <f t="shared" si="1135"/>
        <v/>
      </c>
      <c r="AH90" s="5" t="str">
        <f t="shared" si="1135"/>
        <v/>
      </c>
      <c r="AI90" s="5" t="str">
        <f t="shared" si="1135"/>
        <v/>
      </c>
      <c r="AJ90" s="5" t="str">
        <f t="shared" si="1135"/>
        <v/>
      </c>
      <c r="AK90" s="5" t="str">
        <f t="shared" si="1135"/>
        <v/>
      </c>
      <c r="AL90" s="5" t="str">
        <f t="shared" si="1135"/>
        <v/>
      </c>
      <c r="AM90" s="5" t="str">
        <f t="shared" si="1135"/>
        <v/>
      </c>
      <c r="AN90" s="5" t="str">
        <f t="shared" ref="AN90:AS90" si="1136">IF(AN80="","",AN89*AN84)</f>
        <v/>
      </c>
      <c r="AO90" s="5" t="str">
        <f t="shared" si="1136"/>
        <v/>
      </c>
      <c r="AP90" s="5" t="str">
        <f t="shared" si="1136"/>
        <v/>
      </c>
      <c r="AQ90" s="5" t="str">
        <f t="shared" si="1136"/>
        <v/>
      </c>
      <c r="AR90" s="5" t="str">
        <f t="shared" si="1136"/>
        <v/>
      </c>
      <c r="AS90" s="5" t="str">
        <f t="shared" si="1136"/>
        <v/>
      </c>
    </row>
    <row r="91" spans="1:45" s="84" customFormat="1" ht="12" thickBot="1" x14ac:dyDescent="0.2">
      <c r="A91" s="4">
        <f>IF(A90="","",A90/(A87*100))</f>
        <v>0.17993079584775087</v>
      </c>
      <c r="B91" s="6" t="s">
        <v>18</v>
      </c>
      <c r="C91" s="18" t="s">
        <v>19</v>
      </c>
      <c r="D91" s="18" t="s">
        <v>19</v>
      </c>
      <c r="E91" s="18">
        <v>0.29268292682926828</v>
      </c>
      <c r="F91" s="18" t="s">
        <v>19</v>
      </c>
      <c r="G91" s="18" t="s">
        <v>19</v>
      </c>
      <c r="H91" s="18">
        <v>0.10256410256410256</v>
      </c>
      <c r="I91" s="18" t="s">
        <v>19</v>
      </c>
      <c r="J91" s="18" t="s">
        <v>19</v>
      </c>
      <c r="K91" s="18" t="s">
        <v>19</v>
      </c>
      <c r="L91" s="18">
        <v>0.17391304347826086</v>
      </c>
      <c r="M91" s="18" t="str">
        <f t="shared" ref="J91:AM91" si="1137">IF(M90="","",IF(M90=0,"",M90/(M87*100)))</f>
        <v/>
      </c>
      <c r="N91" s="18" t="str">
        <f t="shared" si="1137"/>
        <v/>
      </c>
      <c r="O91" s="18">
        <f t="shared" si="1137"/>
        <v>0.21818181818181817</v>
      </c>
      <c r="P91" s="18" t="str">
        <f t="shared" si="1137"/>
        <v/>
      </c>
      <c r="Q91" s="18" t="str">
        <f t="shared" si="1137"/>
        <v/>
      </c>
      <c r="R91" s="18" t="str">
        <f t="shared" si="1137"/>
        <v/>
      </c>
      <c r="S91" s="18" t="str">
        <f t="shared" si="1137"/>
        <v/>
      </c>
      <c r="T91" s="18" t="str">
        <f t="shared" si="1137"/>
        <v/>
      </c>
      <c r="U91" s="18" t="str">
        <f t="shared" si="1137"/>
        <v/>
      </c>
      <c r="V91" s="18" t="str">
        <f t="shared" si="1137"/>
        <v/>
      </c>
      <c r="W91" s="18" t="str">
        <f t="shared" si="1137"/>
        <v/>
      </c>
      <c r="X91" s="18" t="str">
        <f t="shared" si="1137"/>
        <v/>
      </c>
      <c r="Y91" s="18" t="str">
        <f t="shared" si="1137"/>
        <v/>
      </c>
      <c r="Z91" s="18" t="str">
        <f t="shared" si="1137"/>
        <v/>
      </c>
      <c r="AA91" s="18" t="str">
        <f t="shared" si="1137"/>
        <v/>
      </c>
      <c r="AB91" s="18" t="str">
        <f t="shared" si="1137"/>
        <v/>
      </c>
      <c r="AC91" s="18" t="str">
        <f t="shared" si="1137"/>
        <v/>
      </c>
      <c r="AD91" s="18" t="str">
        <f t="shared" si="1137"/>
        <v/>
      </c>
      <c r="AE91" s="18" t="str">
        <f t="shared" si="1137"/>
        <v/>
      </c>
      <c r="AF91" s="18" t="str">
        <f t="shared" si="1137"/>
        <v/>
      </c>
      <c r="AG91" s="18" t="str">
        <f t="shared" si="1137"/>
        <v/>
      </c>
      <c r="AH91" s="18" t="str">
        <f t="shared" si="1137"/>
        <v/>
      </c>
      <c r="AI91" s="18" t="str">
        <f t="shared" si="1137"/>
        <v/>
      </c>
      <c r="AJ91" s="18" t="str">
        <f t="shared" si="1137"/>
        <v/>
      </c>
      <c r="AK91" s="18" t="str">
        <f t="shared" si="1137"/>
        <v/>
      </c>
      <c r="AL91" s="18" t="str">
        <f t="shared" si="1137"/>
        <v/>
      </c>
      <c r="AM91" s="18" t="str">
        <f t="shared" si="1137"/>
        <v/>
      </c>
      <c r="AN91" s="18" t="str">
        <f t="shared" ref="AN91:AS91" si="1138">IF(AN90="","",IF(AN90=0,"",AN90/(AN87*100)))</f>
        <v/>
      </c>
      <c r="AO91" s="18" t="str">
        <f t="shared" si="1138"/>
        <v/>
      </c>
      <c r="AP91" s="18" t="str">
        <f t="shared" si="1138"/>
        <v/>
      </c>
      <c r="AQ91" s="18" t="str">
        <f t="shared" si="1138"/>
        <v/>
      </c>
      <c r="AR91" s="18" t="str">
        <f t="shared" si="1138"/>
        <v/>
      </c>
      <c r="AS91" s="18" t="str">
        <f t="shared" si="1138"/>
        <v/>
      </c>
    </row>
    <row r="92" spans="1:45" s="84" customFormat="1" ht="11.25" x14ac:dyDescent="0.15">
      <c r="A92" s="17" t="s">
        <v>83</v>
      </c>
      <c r="B92" s="9" t="s">
        <v>2</v>
      </c>
      <c r="C92" s="8">
        <v>40085</v>
      </c>
      <c r="D92" s="8">
        <v>40085</v>
      </c>
      <c r="E92" s="8">
        <v>40231</v>
      </c>
      <c r="F92" s="8">
        <v>40231</v>
      </c>
      <c r="G92" s="8">
        <v>40231</v>
      </c>
      <c r="H92" s="8">
        <v>40330</v>
      </c>
      <c r="I92" s="8">
        <v>40330</v>
      </c>
      <c r="J92" s="8">
        <v>40330</v>
      </c>
      <c r="K92" s="8">
        <v>40330</v>
      </c>
      <c r="L92" s="8">
        <v>40405</v>
      </c>
      <c r="M92" s="8">
        <f t="shared" ref="M92:M93" si="1139">IF(M$8="","",L92)</f>
        <v>40405</v>
      </c>
      <c r="N92" s="8">
        <f t="shared" ref="N92:N93" si="1140">IF(N$8="","",M92)</f>
        <v>40405</v>
      </c>
      <c r="O92" s="8">
        <v>40519</v>
      </c>
      <c r="P92" s="8" t="str">
        <f>IF(P$8="","",O92)</f>
        <v/>
      </c>
      <c r="Q92" s="8" t="str">
        <f t="shared" ref="Q92:Q93" si="1141">IF(Q$8="","",P92)</f>
        <v/>
      </c>
      <c r="R92" s="8" t="str">
        <f t="shared" ref="R92:R93" si="1142">IF(R$8="","",Q92)</f>
        <v/>
      </c>
      <c r="S92" s="8" t="str">
        <f>IF(S$8="","",R92)</f>
        <v/>
      </c>
      <c r="T92" s="8" t="str">
        <f t="shared" ref="T92:T93" si="1143">IF(T$8="","",S92)</f>
        <v/>
      </c>
      <c r="U92" s="8" t="str">
        <f t="shared" ref="U92:U93" si="1144">IF(U$8="","",T92)</f>
        <v/>
      </c>
      <c r="V92" s="8" t="str">
        <f>IF(V$8="","",U92)</f>
        <v/>
      </c>
      <c r="W92" s="8" t="str">
        <f t="shared" ref="W92:W93" si="1145">IF(W$8="","",V92)</f>
        <v/>
      </c>
      <c r="X92" s="8" t="str">
        <f t="shared" ref="X92:X93" si="1146">IF(X$8="","",W92)</f>
        <v/>
      </c>
      <c r="Y92" s="8" t="str">
        <f t="shared" ref="Y92:Y93" si="1147">IF(Y$8="","",X92)</f>
        <v/>
      </c>
      <c r="Z92" s="8" t="str">
        <f>IF(Z$8="","",Y92)</f>
        <v/>
      </c>
      <c r="AA92" s="8" t="str">
        <f t="shared" ref="AA92:AA93" si="1148">IF(AA$8="","",Z92)</f>
        <v/>
      </c>
      <c r="AB92" s="8" t="str">
        <f t="shared" ref="AB92:AB93" si="1149">IF(AB$8="","",AA92)</f>
        <v/>
      </c>
      <c r="AC92" s="8" t="str">
        <f t="shared" ref="AC92:AC93" si="1150">IF(AC$8="","",AB92)</f>
        <v/>
      </c>
      <c r="AD92" s="8" t="str">
        <f>IF(AD$8="","",AC92)</f>
        <v/>
      </c>
      <c r="AE92" s="8" t="str">
        <f t="shared" ref="AE92:AE93" si="1151">IF(AE$8="","",AD92)</f>
        <v/>
      </c>
      <c r="AF92" s="8" t="str">
        <f t="shared" ref="AF92:AF93" si="1152">IF(AF$8="","",AE92)</f>
        <v/>
      </c>
      <c r="AG92" s="8" t="str">
        <f>IF(AG$8="","",AF92)</f>
        <v/>
      </c>
      <c r="AH92" s="8" t="str">
        <f t="shared" ref="AH92:AH93" si="1153">IF(AH$8="","",AG92)</f>
        <v/>
      </c>
      <c r="AI92" s="8" t="str">
        <f t="shared" ref="AI92:AI93" si="1154">IF(AI$8="","",AH92)</f>
        <v/>
      </c>
      <c r="AJ92" s="8" t="str">
        <f>IF(AJ$8="","",AI92)</f>
        <v/>
      </c>
      <c r="AK92" s="8" t="str">
        <f t="shared" ref="AK92:AK93" si="1155">IF(AK$8="","",AJ92)</f>
        <v/>
      </c>
      <c r="AL92" s="8" t="str">
        <f t="shared" ref="AL92:AL93" si="1156">IF(AL$8="","",AK92)</f>
        <v/>
      </c>
      <c r="AM92" s="8" t="str">
        <f t="shared" ref="AM92:AM93" si="1157">IF(AM$8="","",AL92)</f>
        <v/>
      </c>
      <c r="AN92" s="8" t="str">
        <f>IF(AN$8="","",AM92)</f>
        <v/>
      </c>
      <c r="AO92" s="8" t="str">
        <f t="shared" ref="AN92:AS92" si="1158">IF(AO$8="","",AN92)</f>
        <v/>
      </c>
      <c r="AP92" s="8" t="str">
        <f t="shared" si="1158"/>
        <v/>
      </c>
      <c r="AQ92" s="8" t="str">
        <f t="shared" si="1158"/>
        <v/>
      </c>
      <c r="AR92" s="8" t="str">
        <f t="shared" si="1158"/>
        <v/>
      </c>
      <c r="AS92" s="8" t="str">
        <f t="shared" si="1158"/>
        <v/>
      </c>
    </row>
    <row r="93" spans="1:45" s="84" customFormat="1" ht="11.25" x14ac:dyDescent="0.15">
      <c r="A93" s="16" t="s">
        <v>24</v>
      </c>
      <c r="B93" s="9" t="s">
        <v>4</v>
      </c>
      <c r="C93" s="8">
        <v>5568</v>
      </c>
      <c r="D93" s="8">
        <v>5568</v>
      </c>
      <c r="E93" s="8">
        <v>5576</v>
      </c>
      <c r="F93" s="8">
        <v>5576</v>
      </c>
      <c r="G93" s="8">
        <v>5576</v>
      </c>
      <c r="H93" s="8">
        <v>5582</v>
      </c>
      <c r="I93" s="8">
        <v>5582</v>
      </c>
      <c r="J93" s="8">
        <v>5582</v>
      </c>
      <c r="K93" s="8">
        <v>5582</v>
      </c>
      <c r="L93" s="8">
        <v>5585</v>
      </c>
      <c r="M93" s="8">
        <f t="shared" si="1139"/>
        <v>5585</v>
      </c>
      <c r="N93" s="8">
        <f t="shared" si="1140"/>
        <v>5585</v>
      </c>
      <c r="O93" s="8">
        <v>5585</v>
      </c>
      <c r="P93" s="8" t="str">
        <f>IF(P$8="","",O93)</f>
        <v/>
      </c>
      <c r="Q93" s="8" t="str">
        <f t="shared" si="1141"/>
        <v/>
      </c>
      <c r="R93" s="8" t="str">
        <f t="shared" si="1142"/>
        <v/>
      </c>
      <c r="S93" s="8" t="str">
        <f>IF(S$8="","",R93)</f>
        <v/>
      </c>
      <c r="T93" s="8" t="str">
        <f t="shared" si="1143"/>
        <v/>
      </c>
      <c r="U93" s="8" t="str">
        <f t="shared" si="1144"/>
        <v/>
      </c>
      <c r="V93" s="8" t="str">
        <f>IF(V$8="","",U93)</f>
        <v/>
      </c>
      <c r="W93" s="8" t="str">
        <f t="shared" si="1145"/>
        <v/>
      </c>
      <c r="X93" s="8" t="str">
        <f t="shared" si="1146"/>
        <v/>
      </c>
      <c r="Y93" s="8" t="str">
        <f t="shared" si="1147"/>
        <v/>
      </c>
      <c r="Z93" s="8" t="str">
        <f>IF(Z$8="","",Y93)</f>
        <v/>
      </c>
      <c r="AA93" s="8" t="str">
        <f t="shared" si="1148"/>
        <v/>
      </c>
      <c r="AB93" s="8" t="str">
        <f t="shared" si="1149"/>
        <v/>
      </c>
      <c r="AC93" s="8" t="str">
        <f t="shared" si="1150"/>
        <v/>
      </c>
      <c r="AD93" s="8" t="str">
        <f>IF(AD$8="","",AC93)</f>
        <v/>
      </c>
      <c r="AE93" s="8" t="str">
        <f t="shared" si="1151"/>
        <v/>
      </c>
      <c r="AF93" s="8" t="str">
        <f t="shared" si="1152"/>
        <v/>
      </c>
      <c r="AG93" s="8" t="str">
        <f>IF(AG$8="","",AF93)</f>
        <v/>
      </c>
      <c r="AH93" s="8" t="str">
        <f t="shared" si="1153"/>
        <v/>
      </c>
      <c r="AI93" s="8" t="str">
        <f t="shared" si="1154"/>
        <v/>
      </c>
      <c r="AJ93" s="8" t="str">
        <f>IF(AJ$8="","",AI93)</f>
        <v/>
      </c>
      <c r="AK93" s="8" t="str">
        <f t="shared" si="1155"/>
        <v/>
      </c>
      <c r="AL93" s="8" t="str">
        <f t="shared" si="1156"/>
        <v/>
      </c>
      <c r="AM93" s="8" t="str">
        <f t="shared" si="1157"/>
        <v/>
      </c>
      <c r="AN93" s="8" t="str">
        <f>IF(AN$8="","",AM93)</f>
        <v/>
      </c>
      <c r="AO93" s="8" t="str">
        <f t="shared" ref="AN93:AS93" si="1159">IF(AO$8="","",AN93)</f>
        <v/>
      </c>
      <c r="AP93" s="8" t="str">
        <f t="shared" si="1159"/>
        <v/>
      </c>
      <c r="AQ93" s="8" t="str">
        <f t="shared" si="1159"/>
        <v/>
      </c>
      <c r="AR93" s="8" t="str">
        <f t="shared" si="1159"/>
        <v/>
      </c>
      <c r="AS93" s="8" t="str">
        <f t="shared" si="1159"/>
        <v/>
      </c>
    </row>
    <row r="94" spans="1:45" s="84" customFormat="1" ht="11.25" x14ac:dyDescent="0.15">
      <c r="A94" s="15">
        <v>4</v>
      </c>
      <c r="B94" s="9" t="s">
        <v>5</v>
      </c>
      <c r="C94" s="8">
        <v>9</v>
      </c>
      <c r="D94" s="8">
        <v>9</v>
      </c>
      <c r="E94" s="8">
        <v>10</v>
      </c>
      <c r="F94" s="8">
        <v>10</v>
      </c>
      <c r="G94" s="8">
        <v>10</v>
      </c>
      <c r="H94" s="8">
        <v>10</v>
      </c>
      <c r="I94" s="8">
        <v>10</v>
      </c>
      <c r="J94" s="8">
        <v>10</v>
      </c>
      <c r="K94" s="8">
        <v>10</v>
      </c>
      <c r="L94" s="8">
        <v>8</v>
      </c>
      <c r="M94" s="8">
        <f t="shared" ref="M94" si="1160">IF(M92="","",(L94+L95))</f>
        <v>8</v>
      </c>
      <c r="N94" s="8">
        <f t="shared" ref="N94" si="1161">IF(N92="","",(M94+M95))</f>
        <v>8</v>
      </c>
      <c r="O94" s="8">
        <f>IF(O92="","",(N94+N95))</f>
        <v>8</v>
      </c>
      <c r="P94" s="8" t="str">
        <f>IF(P92="","",(O94+O95))</f>
        <v/>
      </c>
      <c r="Q94" s="8" t="str">
        <f t="shared" ref="Q94" si="1162">IF(Q92="","",(P94+P95))</f>
        <v/>
      </c>
      <c r="R94" s="8" t="str">
        <f t="shared" ref="R94" si="1163">IF(R92="","",(Q94+Q95))</f>
        <v/>
      </c>
      <c r="S94" s="8" t="str">
        <f>IF(S92="","",(R94+R95))</f>
        <v/>
      </c>
      <c r="T94" s="8" t="str">
        <f t="shared" ref="T94" si="1164">IF(T92="","",(S94+S95))</f>
        <v/>
      </c>
      <c r="U94" s="8" t="str">
        <f t="shared" ref="U94" si="1165">IF(U92="","",(T94+T95))</f>
        <v/>
      </c>
      <c r="V94" s="8" t="str">
        <f>IF(V92="","",(U94+U95))</f>
        <v/>
      </c>
      <c r="W94" s="8" t="str">
        <f t="shared" ref="W94" si="1166">IF(W92="","",(V94+V95))</f>
        <v/>
      </c>
      <c r="X94" s="8" t="str">
        <f t="shared" ref="X94" si="1167">IF(X92="","",(W94+W95))</f>
        <v/>
      </c>
      <c r="Y94" s="8" t="str">
        <f t="shared" ref="Y94" si="1168">IF(Y92="","",(X94+X95))</f>
        <v/>
      </c>
      <c r="Z94" s="8" t="str">
        <f>IF(Z92="","",(Y94+Y95))</f>
        <v/>
      </c>
      <c r="AA94" s="8" t="str">
        <f t="shared" ref="AA94" si="1169">IF(AA92="","",(Z94+Z95))</f>
        <v/>
      </c>
      <c r="AB94" s="8" t="str">
        <f t="shared" ref="AB94" si="1170">IF(AB92="","",(AA94+AA95))</f>
        <v/>
      </c>
      <c r="AC94" s="8" t="str">
        <f t="shared" ref="AC94" si="1171">IF(AC92="","",(AB94+AB95))</f>
        <v/>
      </c>
      <c r="AD94" s="8" t="str">
        <f>IF(AD92="","",(AC94+AC95))</f>
        <v/>
      </c>
      <c r="AE94" s="8" t="str">
        <f t="shared" ref="AE94" si="1172">IF(AE92="","",(AD94+AD95))</f>
        <v/>
      </c>
      <c r="AF94" s="8" t="str">
        <f t="shared" ref="AF94" si="1173">IF(AF92="","",(AE94+AE95))</f>
        <v/>
      </c>
      <c r="AG94" s="8" t="str">
        <f>IF(AG92="","",(AF94+AF95))</f>
        <v/>
      </c>
      <c r="AH94" s="8" t="str">
        <f t="shared" ref="AH94" si="1174">IF(AH92="","",(AG94+AG95))</f>
        <v/>
      </c>
      <c r="AI94" s="8" t="str">
        <f t="shared" ref="AI94" si="1175">IF(AI92="","",(AH94+AH95))</f>
        <v/>
      </c>
      <c r="AJ94" s="8" t="str">
        <f t="shared" ref="AJ94" si="1176">IF(AJ92="","",(AI94+AI95))</f>
        <v/>
      </c>
      <c r="AK94" s="8" t="str">
        <f t="shared" ref="AK94" si="1177">IF(AK92="","",(AJ94+AJ95))</f>
        <v/>
      </c>
      <c r="AL94" s="8" t="str">
        <f t="shared" ref="AL94" si="1178">IF(AL92="","",(AK94+AK95))</f>
        <v/>
      </c>
      <c r="AM94" s="8" t="str">
        <f t="shared" ref="AM94" si="1179">IF(AM92="","",(AL94+AL95))</f>
        <v/>
      </c>
      <c r="AN94" s="8" t="str">
        <f>IF(AN92="","",(AM94+AM95))</f>
        <v/>
      </c>
      <c r="AO94" s="8" t="str">
        <f t="shared" ref="AN94:AS94" si="1180">IF(AO92="","",(AN94+AN95))</f>
        <v/>
      </c>
      <c r="AP94" s="8" t="str">
        <f t="shared" si="1180"/>
        <v/>
      </c>
      <c r="AQ94" s="8" t="str">
        <f t="shared" si="1180"/>
        <v/>
      </c>
      <c r="AR94" s="8" t="str">
        <f t="shared" si="1180"/>
        <v/>
      </c>
      <c r="AS94" s="8" t="str">
        <f t="shared" si="1180"/>
        <v/>
      </c>
    </row>
    <row r="95" spans="1:45" s="84" customFormat="1" ht="11.25" x14ac:dyDescent="0.15">
      <c r="A95" s="14"/>
      <c r="B95" s="9" t="s">
        <v>7</v>
      </c>
      <c r="C95" s="8"/>
      <c r="D95" s="8">
        <v>1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>
        <v>1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</row>
    <row r="96" spans="1:45" s="84" customFormat="1" ht="11.25" x14ac:dyDescent="0.15">
      <c r="A96" s="7"/>
      <c r="B96" s="9" t="s">
        <v>8</v>
      </c>
      <c r="C96" s="8">
        <v>270</v>
      </c>
      <c r="D96" s="8">
        <v>270</v>
      </c>
      <c r="E96" s="8">
        <v>270</v>
      </c>
      <c r="F96" s="8">
        <v>270</v>
      </c>
      <c r="G96" s="8">
        <v>270</v>
      </c>
      <c r="H96" s="8">
        <v>270</v>
      </c>
      <c r="I96" s="8">
        <v>270</v>
      </c>
      <c r="J96" s="8">
        <v>270</v>
      </c>
      <c r="K96" s="8">
        <v>270</v>
      </c>
      <c r="L96" s="8">
        <v>270</v>
      </c>
      <c r="M96" s="8">
        <f t="shared" ref="M96" si="1181">IF(M92="","",L96)</f>
        <v>270</v>
      </c>
      <c r="N96" s="8">
        <f t="shared" ref="N96" si="1182">IF(N92="","",M96)</f>
        <v>270</v>
      </c>
      <c r="O96" s="8">
        <f t="shared" ref="O96" si="1183">IF(O92="","",N96)</f>
        <v>270</v>
      </c>
      <c r="P96" s="8" t="str">
        <f t="shared" ref="P96" si="1184">IF(P92="","",O96)</f>
        <v/>
      </c>
      <c r="Q96" s="8" t="str">
        <f t="shared" ref="Q96" si="1185">IF(Q92="","",P96)</f>
        <v/>
      </c>
      <c r="R96" s="8" t="str">
        <f t="shared" ref="R96" si="1186">IF(R92="","",Q96)</f>
        <v/>
      </c>
      <c r="S96" s="8" t="str">
        <f t="shared" ref="S96" si="1187">IF(S92="","",R96)</f>
        <v/>
      </c>
      <c r="T96" s="8" t="str">
        <f t="shared" ref="T96" si="1188">IF(T92="","",S96)</f>
        <v/>
      </c>
      <c r="U96" s="8" t="str">
        <f t="shared" ref="U96" si="1189">IF(U92="","",T96)</f>
        <v/>
      </c>
      <c r="V96" s="8" t="str">
        <f t="shared" ref="V96" si="1190">IF(V92="","",U96)</f>
        <v/>
      </c>
      <c r="W96" s="8" t="str">
        <f t="shared" ref="W96" si="1191">IF(W92="","",V96)</f>
        <v/>
      </c>
      <c r="X96" s="8" t="str">
        <f t="shared" ref="X96" si="1192">IF(X92="","",W96)</f>
        <v/>
      </c>
      <c r="Y96" s="8" t="str">
        <f t="shared" ref="Y96" si="1193">IF(Y92="","",X96)</f>
        <v/>
      </c>
      <c r="Z96" s="8" t="str">
        <f t="shared" ref="Z96" si="1194">IF(Z92="","",Y96)</f>
        <v/>
      </c>
      <c r="AA96" s="8" t="str">
        <f t="shared" ref="AA96" si="1195">IF(AA92="","",Z96)</f>
        <v/>
      </c>
      <c r="AB96" s="8" t="str">
        <f t="shared" ref="AB96" si="1196">IF(AB92="","",AA96)</f>
        <v/>
      </c>
      <c r="AC96" s="8" t="str">
        <f t="shared" ref="AC96" si="1197">IF(AC92="","",AB96)</f>
        <v/>
      </c>
      <c r="AD96" s="8" t="str">
        <f t="shared" ref="AD96" si="1198">IF(AD92="","",AC96)</f>
        <v/>
      </c>
      <c r="AE96" s="8" t="str">
        <f t="shared" ref="AE96" si="1199">IF(AE92="","",AD96)</f>
        <v/>
      </c>
      <c r="AF96" s="8" t="str">
        <f t="shared" ref="AF96" si="1200">IF(AF92="","",AE96)</f>
        <v/>
      </c>
      <c r="AG96" s="8" t="str">
        <f t="shared" ref="AG96" si="1201">IF(AG92="","",AF96)</f>
        <v/>
      </c>
      <c r="AH96" s="8" t="str">
        <f t="shared" ref="AH96" si="1202">IF(AH92="","",AG96)</f>
        <v/>
      </c>
      <c r="AI96" s="8" t="str">
        <f t="shared" ref="AI96" si="1203">IF(AI92="","",AH96)</f>
        <v/>
      </c>
      <c r="AJ96" s="8" t="str">
        <f t="shared" ref="AJ96" si="1204">IF(AJ92="","",AI96)</f>
        <v/>
      </c>
      <c r="AK96" s="8" t="str">
        <f t="shared" ref="AK96" si="1205">IF(AK92="","",AJ96)</f>
        <v/>
      </c>
      <c r="AL96" s="8" t="str">
        <f t="shared" ref="AL96" si="1206">IF(AL92="","",AK96)</f>
        <v/>
      </c>
      <c r="AM96" s="8" t="str">
        <f t="shared" ref="AM96" si="1207">IF(AM92="","",AL96)</f>
        <v/>
      </c>
      <c r="AN96" s="8" t="str">
        <f t="shared" ref="AN96:AS96" si="1208">IF(AN92="","",AM96)</f>
        <v/>
      </c>
      <c r="AO96" s="8" t="str">
        <f t="shared" si="1208"/>
        <v/>
      </c>
      <c r="AP96" s="8" t="str">
        <f t="shared" si="1208"/>
        <v/>
      </c>
      <c r="AQ96" s="8" t="str">
        <f t="shared" si="1208"/>
        <v/>
      </c>
      <c r="AR96" s="8" t="str">
        <f t="shared" si="1208"/>
        <v/>
      </c>
      <c r="AS96" s="8" t="str">
        <f t="shared" si="1208"/>
        <v/>
      </c>
    </row>
    <row r="97" spans="1:45" s="85" customFormat="1" ht="11.25" x14ac:dyDescent="0.15">
      <c r="A97" s="14" t="s">
        <v>9</v>
      </c>
      <c r="B97" s="13" t="s">
        <v>10</v>
      </c>
      <c r="C97" s="12" t="s">
        <v>21</v>
      </c>
      <c r="D97" s="12" t="s">
        <v>21</v>
      </c>
      <c r="E97" s="12" t="s">
        <v>21</v>
      </c>
      <c r="F97" s="12" t="s">
        <v>21</v>
      </c>
      <c r="G97" s="12" t="s">
        <v>21</v>
      </c>
      <c r="H97" s="12" t="s">
        <v>21</v>
      </c>
      <c r="I97" s="12" t="s">
        <v>21</v>
      </c>
      <c r="J97" s="12" t="s">
        <v>21</v>
      </c>
      <c r="K97" s="12" t="s">
        <v>21</v>
      </c>
      <c r="L97" s="12" t="s">
        <v>21</v>
      </c>
      <c r="M97" s="12" t="str">
        <f t="shared" ref="M97" si="1209">IF(M92="","",L97)</f>
        <v>たまごっちマスコット</v>
      </c>
      <c r="N97" s="12" t="str">
        <f t="shared" ref="N97" si="1210">IF(N92="","",M97)</f>
        <v>たまごっちマスコット</v>
      </c>
      <c r="O97" s="12" t="str">
        <f t="shared" ref="O97" si="1211">IF(O92="","",N97)</f>
        <v>たまごっちマスコット</v>
      </c>
      <c r="P97" s="12" t="str">
        <f t="shared" ref="P97" si="1212">IF(P92="","",O97)</f>
        <v/>
      </c>
      <c r="Q97" s="12" t="str">
        <f t="shared" ref="Q97" si="1213">IF(Q92="","",P97)</f>
        <v/>
      </c>
      <c r="R97" s="12" t="str">
        <f t="shared" ref="R97" si="1214">IF(R92="","",Q97)</f>
        <v/>
      </c>
      <c r="S97" s="12" t="str">
        <f t="shared" ref="S97" si="1215">IF(S92="","",R97)</f>
        <v/>
      </c>
      <c r="T97" s="12" t="str">
        <f t="shared" ref="T97" si="1216">IF(T92="","",S97)</f>
        <v/>
      </c>
      <c r="U97" s="12" t="str">
        <f t="shared" ref="U97" si="1217">IF(U92="","",T97)</f>
        <v/>
      </c>
      <c r="V97" s="12" t="str">
        <f t="shared" ref="V97" si="1218">IF(V92="","",U97)</f>
        <v/>
      </c>
      <c r="W97" s="12" t="str">
        <f t="shared" ref="W97" si="1219">IF(W92="","",V97)</f>
        <v/>
      </c>
      <c r="X97" s="12" t="str">
        <f t="shared" ref="X97" si="1220">IF(X92="","",W97)</f>
        <v/>
      </c>
      <c r="Y97" s="12" t="str">
        <f t="shared" ref="Y97" si="1221">IF(Y92="","",X97)</f>
        <v/>
      </c>
      <c r="Z97" s="12" t="str">
        <f t="shared" ref="Z97" si="1222">IF(Z92="","",Y97)</f>
        <v/>
      </c>
      <c r="AA97" s="12" t="str">
        <f t="shared" ref="AA97" si="1223">IF(AA92="","",Z97)</f>
        <v/>
      </c>
      <c r="AB97" s="12" t="str">
        <f t="shared" ref="AB97" si="1224">IF(AB92="","",AA97)</f>
        <v/>
      </c>
      <c r="AC97" s="12" t="str">
        <f t="shared" ref="AC97" si="1225">IF(AC92="","",AB97)</f>
        <v/>
      </c>
      <c r="AD97" s="12" t="str">
        <f t="shared" ref="AD97" si="1226">IF(AD92="","",AC97)</f>
        <v/>
      </c>
      <c r="AE97" s="12" t="str">
        <f t="shared" ref="AE97" si="1227">IF(AE92="","",AD97)</f>
        <v/>
      </c>
      <c r="AF97" s="12" t="str">
        <f t="shared" ref="AF97" si="1228">IF(AF92="","",AE97)</f>
        <v/>
      </c>
      <c r="AG97" s="12" t="str">
        <f t="shared" ref="AG97" si="1229">IF(AG92="","",AF97)</f>
        <v/>
      </c>
      <c r="AH97" s="12" t="str">
        <f t="shared" ref="AH97" si="1230">IF(AH92="","",AG97)</f>
        <v/>
      </c>
      <c r="AI97" s="12" t="str">
        <f t="shared" ref="AI97" si="1231">IF(AI92="","",AH97)</f>
        <v/>
      </c>
      <c r="AJ97" s="12" t="str">
        <f t="shared" ref="AJ97" si="1232">IF(AJ92="","",AI97)</f>
        <v/>
      </c>
      <c r="AK97" s="12" t="str">
        <f t="shared" ref="AK97" si="1233">IF(AK92="","",AJ97)</f>
        <v/>
      </c>
      <c r="AL97" s="12" t="str">
        <f t="shared" ref="AL97" si="1234">IF(AL92="","",AK97)</f>
        <v/>
      </c>
      <c r="AM97" s="12" t="str">
        <f t="shared" ref="AM97" si="1235">IF(AM92="","",AL97)</f>
        <v/>
      </c>
      <c r="AN97" s="12" t="str">
        <f t="shared" ref="AN97:AS97" si="1236">IF(AN92="","",AM97)</f>
        <v/>
      </c>
      <c r="AO97" s="12" t="str">
        <f t="shared" si="1236"/>
        <v/>
      </c>
      <c r="AP97" s="12" t="str">
        <f t="shared" si="1236"/>
        <v/>
      </c>
      <c r="AQ97" s="12" t="str">
        <f t="shared" si="1236"/>
        <v/>
      </c>
      <c r="AR97" s="12" t="str">
        <f t="shared" si="1236"/>
        <v/>
      </c>
      <c r="AS97" s="12" t="str">
        <f t="shared" si="1236"/>
        <v/>
      </c>
    </row>
    <row r="98" spans="1:45" s="84" customFormat="1" ht="11.25" x14ac:dyDescent="0.15">
      <c r="A98" s="7">
        <f>AVERAGE(C99:AS99)*30*100</f>
        <v>100153.84615384617</v>
      </c>
      <c r="B98" s="9" t="s">
        <v>12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</row>
    <row r="99" spans="1:45" s="84" customFormat="1" ht="11.25" x14ac:dyDescent="0.15">
      <c r="A99" s="7">
        <f>SUM(C99:AS99)</f>
        <v>434</v>
      </c>
      <c r="B99" s="6" t="s">
        <v>13</v>
      </c>
      <c r="C99" s="5">
        <v>0</v>
      </c>
      <c r="D99" s="5">
        <v>0</v>
      </c>
      <c r="E99" s="5">
        <v>146</v>
      </c>
      <c r="F99" s="5">
        <v>0</v>
      </c>
      <c r="G99" s="5">
        <v>0</v>
      </c>
      <c r="H99" s="5">
        <v>99</v>
      </c>
      <c r="I99" s="5">
        <v>0</v>
      </c>
      <c r="J99" s="5">
        <v>0</v>
      </c>
      <c r="K99" s="5">
        <v>0</v>
      </c>
      <c r="L99" s="5">
        <v>75</v>
      </c>
      <c r="M99" s="5">
        <f t="shared" ref="M99:M100" si="1237">IF(M92="","",M92-L92)</f>
        <v>0</v>
      </c>
      <c r="N99" s="5">
        <f t="shared" ref="N99:N100" si="1238">IF(N92="","",N92-M92)</f>
        <v>0</v>
      </c>
      <c r="O99" s="5">
        <f t="shared" ref="O99:O100" si="1239">IF(O92="","",O92-N92)</f>
        <v>114</v>
      </c>
      <c r="P99" s="5" t="str">
        <f t="shared" ref="P99:P100" si="1240">IF(P92="","",P92-O92)</f>
        <v/>
      </c>
      <c r="Q99" s="5" t="str">
        <f t="shared" ref="Q99:Q100" si="1241">IF(Q92="","",Q92-P92)</f>
        <v/>
      </c>
      <c r="R99" s="5" t="str">
        <f t="shared" ref="R99:R100" si="1242">IF(R92="","",R92-Q92)</f>
        <v/>
      </c>
      <c r="S99" s="5" t="str">
        <f t="shared" ref="S99:S100" si="1243">IF(S92="","",S92-R92)</f>
        <v/>
      </c>
      <c r="T99" s="5" t="str">
        <f t="shared" ref="T99:T100" si="1244">IF(T92="","",T92-S92)</f>
        <v/>
      </c>
      <c r="U99" s="5" t="str">
        <f t="shared" ref="U99:U100" si="1245">IF(U92="","",U92-T92)</f>
        <v/>
      </c>
      <c r="V99" s="5" t="str">
        <f t="shared" ref="V99:V100" si="1246">IF(V92="","",V92-U92)</f>
        <v/>
      </c>
      <c r="W99" s="5" t="str">
        <f t="shared" ref="W99:W100" si="1247">IF(W92="","",W92-V92)</f>
        <v/>
      </c>
      <c r="X99" s="5" t="str">
        <f t="shared" ref="X99:X100" si="1248">IF(X92="","",X92-W92)</f>
        <v/>
      </c>
      <c r="Y99" s="5" t="str">
        <f t="shared" ref="Y99:Y100" si="1249">IF(Y92="","",Y92-X92)</f>
        <v/>
      </c>
      <c r="Z99" s="5" t="str">
        <f t="shared" ref="Z99:Z100" si="1250">IF(Z92="","",Z92-Y92)</f>
        <v/>
      </c>
      <c r="AA99" s="5" t="str">
        <f t="shared" ref="AA99:AA100" si="1251">IF(AA92="","",AA92-Z92)</f>
        <v/>
      </c>
      <c r="AB99" s="5" t="str">
        <f t="shared" ref="AB99:AB100" si="1252">IF(AB92="","",AB92-AA92)</f>
        <v/>
      </c>
      <c r="AC99" s="5" t="str">
        <f t="shared" ref="AC99:AC100" si="1253">IF(AC92="","",AC92-AB92)</f>
        <v/>
      </c>
      <c r="AD99" s="5" t="str">
        <f t="shared" ref="AD99:AD100" si="1254">IF(AD92="","",AD92-AC92)</f>
        <v/>
      </c>
      <c r="AE99" s="5" t="str">
        <f t="shared" ref="AE99:AE100" si="1255">IF(AE92="","",AE92-AD92)</f>
        <v/>
      </c>
      <c r="AF99" s="5" t="str">
        <f t="shared" ref="AF99:AF100" si="1256">IF(AF92="","",AF92-AE92)</f>
        <v/>
      </c>
      <c r="AG99" s="5" t="str">
        <f t="shared" ref="AG99:AG100" si="1257">IF(AG92="","",AG92-AF92)</f>
        <v/>
      </c>
      <c r="AH99" s="5" t="str">
        <f t="shared" ref="AH99:AH100" si="1258">IF(AH92="","",AH92-AG92)</f>
        <v/>
      </c>
      <c r="AI99" s="5" t="str">
        <f t="shared" ref="AI99:AI100" si="1259">IF(AI92="","",AI92-AH92)</f>
        <v/>
      </c>
      <c r="AJ99" s="5" t="str">
        <f t="shared" ref="AJ99:AJ100" si="1260">IF(AJ92="","",AJ92-AI92)</f>
        <v/>
      </c>
      <c r="AK99" s="5" t="str">
        <f t="shared" ref="AK99:AK100" si="1261">IF(AK92="","",AK92-AJ92)</f>
        <v/>
      </c>
      <c r="AL99" s="5" t="str">
        <f t="shared" ref="AL99:AL100" si="1262">IF(AL92="","",AL92-AK92)</f>
        <v/>
      </c>
      <c r="AM99" s="5" t="str">
        <f t="shared" ref="AM99:AM100" si="1263">IF(AM92="","",AM92-AL92)</f>
        <v/>
      </c>
      <c r="AN99" s="5" t="str">
        <f t="shared" ref="AN99:AS99" si="1264">IF(AN92="","",AN92-AM92)</f>
        <v/>
      </c>
      <c r="AO99" s="5" t="str">
        <f t="shared" si="1264"/>
        <v/>
      </c>
      <c r="AP99" s="5" t="str">
        <f t="shared" si="1264"/>
        <v/>
      </c>
      <c r="AQ99" s="5" t="str">
        <f t="shared" si="1264"/>
        <v/>
      </c>
      <c r="AR99" s="5" t="str">
        <f t="shared" si="1264"/>
        <v/>
      </c>
      <c r="AS99" s="5" t="str">
        <f t="shared" si="1264"/>
        <v/>
      </c>
    </row>
    <row r="100" spans="1:45" s="84" customFormat="1" ht="11.25" x14ac:dyDescent="0.15">
      <c r="A100" s="7">
        <f>SUM(C100:AS100)</f>
        <v>17</v>
      </c>
      <c r="B100" s="6" t="s">
        <v>14</v>
      </c>
      <c r="C100" s="5">
        <v>0</v>
      </c>
      <c r="D100" s="5">
        <v>0</v>
      </c>
      <c r="E100" s="5">
        <v>8</v>
      </c>
      <c r="F100" s="5">
        <v>0</v>
      </c>
      <c r="G100" s="5">
        <v>0</v>
      </c>
      <c r="H100" s="5">
        <v>6</v>
      </c>
      <c r="I100" s="5">
        <v>0</v>
      </c>
      <c r="J100" s="5">
        <v>0</v>
      </c>
      <c r="K100" s="5">
        <v>0</v>
      </c>
      <c r="L100" s="5">
        <v>3</v>
      </c>
      <c r="M100" s="5">
        <f t="shared" si="1237"/>
        <v>0</v>
      </c>
      <c r="N100" s="5">
        <f t="shared" si="1238"/>
        <v>0</v>
      </c>
      <c r="O100" s="5">
        <f t="shared" si="1239"/>
        <v>0</v>
      </c>
      <c r="P100" s="5" t="str">
        <f t="shared" si="1240"/>
        <v/>
      </c>
      <c r="Q100" s="5" t="str">
        <f t="shared" si="1241"/>
        <v/>
      </c>
      <c r="R100" s="5" t="str">
        <f t="shared" si="1242"/>
        <v/>
      </c>
      <c r="S100" s="5" t="str">
        <f t="shared" si="1243"/>
        <v/>
      </c>
      <c r="T100" s="5" t="str">
        <f t="shared" si="1244"/>
        <v/>
      </c>
      <c r="U100" s="5" t="str">
        <f t="shared" si="1245"/>
        <v/>
      </c>
      <c r="V100" s="5" t="str">
        <f t="shared" si="1246"/>
        <v/>
      </c>
      <c r="W100" s="5" t="str">
        <f t="shared" si="1247"/>
        <v/>
      </c>
      <c r="X100" s="5" t="str">
        <f t="shared" si="1248"/>
        <v/>
      </c>
      <c r="Y100" s="5" t="str">
        <f t="shared" si="1249"/>
        <v/>
      </c>
      <c r="Z100" s="5" t="str">
        <f t="shared" si="1250"/>
        <v/>
      </c>
      <c r="AA100" s="5" t="str">
        <f t="shared" si="1251"/>
        <v/>
      </c>
      <c r="AB100" s="5" t="str">
        <f t="shared" si="1252"/>
        <v/>
      </c>
      <c r="AC100" s="5" t="str">
        <f t="shared" si="1253"/>
        <v/>
      </c>
      <c r="AD100" s="5" t="str">
        <f t="shared" si="1254"/>
        <v/>
      </c>
      <c r="AE100" s="5" t="str">
        <f t="shared" si="1255"/>
        <v/>
      </c>
      <c r="AF100" s="5" t="str">
        <f t="shared" si="1256"/>
        <v/>
      </c>
      <c r="AG100" s="5" t="str">
        <f t="shared" si="1257"/>
        <v/>
      </c>
      <c r="AH100" s="5" t="str">
        <f t="shared" si="1258"/>
        <v/>
      </c>
      <c r="AI100" s="5" t="str">
        <f t="shared" si="1259"/>
        <v/>
      </c>
      <c r="AJ100" s="5" t="str">
        <f t="shared" si="1260"/>
        <v/>
      </c>
      <c r="AK100" s="5" t="str">
        <f t="shared" si="1261"/>
        <v/>
      </c>
      <c r="AL100" s="5" t="str">
        <f t="shared" si="1262"/>
        <v/>
      </c>
      <c r="AM100" s="5" t="str">
        <f t="shared" si="1263"/>
        <v/>
      </c>
      <c r="AN100" s="5" t="str">
        <f t="shared" ref="AN100:AS100" si="1265">IF(AN93="","",AN93-AM93)</f>
        <v/>
      </c>
      <c r="AO100" s="5" t="str">
        <f t="shared" si="1265"/>
        <v/>
      </c>
      <c r="AP100" s="5" t="str">
        <f t="shared" si="1265"/>
        <v/>
      </c>
      <c r="AQ100" s="5" t="str">
        <f t="shared" si="1265"/>
        <v/>
      </c>
      <c r="AR100" s="5" t="str">
        <f t="shared" si="1265"/>
        <v/>
      </c>
      <c r="AS100" s="5" t="str">
        <f t="shared" si="1265"/>
        <v/>
      </c>
    </row>
    <row r="101" spans="1:45" s="84" customFormat="1" ht="11.25" x14ac:dyDescent="0.15">
      <c r="A101" s="7">
        <f>SUM(C101:AS101)</f>
        <v>2</v>
      </c>
      <c r="B101" s="6" t="s">
        <v>15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2</v>
      </c>
      <c r="M101" s="5">
        <f t="shared" ref="M101" si="1266">IF(M94="","",L94+L95-M94)</f>
        <v>0</v>
      </c>
      <c r="N101" s="5">
        <f t="shared" ref="N101" si="1267">IF(N94="","",M94+M95-N94)</f>
        <v>0</v>
      </c>
      <c r="O101" s="5">
        <f t="shared" ref="O101" si="1268">IF(O94="","",N94+N95-O94)</f>
        <v>0</v>
      </c>
      <c r="P101" s="5" t="str">
        <f t="shared" ref="P101" si="1269">IF(P94="","",O94+O95-P94)</f>
        <v/>
      </c>
      <c r="Q101" s="5" t="str">
        <f t="shared" ref="Q101" si="1270">IF(Q94="","",P94+P95-Q94)</f>
        <v/>
      </c>
      <c r="R101" s="5" t="str">
        <f t="shared" ref="R101" si="1271">IF(R94="","",Q94+Q95-R94)</f>
        <v/>
      </c>
      <c r="S101" s="5" t="str">
        <f t="shared" ref="S101" si="1272">IF(S94="","",R94+R95-S94)</f>
        <v/>
      </c>
      <c r="T101" s="5" t="str">
        <f t="shared" ref="T101" si="1273">IF(T94="","",S94+S95-T94)</f>
        <v/>
      </c>
      <c r="U101" s="5" t="str">
        <f t="shared" ref="U101" si="1274">IF(U94="","",T94+T95-U94)</f>
        <v/>
      </c>
      <c r="V101" s="5" t="str">
        <f t="shared" ref="V101" si="1275">IF(V94="","",U94+U95-V94)</f>
        <v/>
      </c>
      <c r="W101" s="5" t="str">
        <f t="shared" ref="W101" si="1276">IF(W94="","",V94+V95-W94)</f>
        <v/>
      </c>
      <c r="X101" s="5" t="str">
        <f t="shared" ref="X101" si="1277">IF(X94="","",W94+W95-X94)</f>
        <v/>
      </c>
      <c r="Y101" s="5" t="str">
        <f t="shared" ref="Y101" si="1278">IF(Y94="","",X94+X95-Y94)</f>
        <v/>
      </c>
      <c r="Z101" s="5" t="str">
        <f t="shared" ref="Z101" si="1279">IF(Z94="","",Y94+Y95-Z94)</f>
        <v/>
      </c>
      <c r="AA101" s="5" t="str">
        <f t="shared" ref="AA101" si="1280">IF(AA94="","",Z94+Z95-AA94)</f>
        <v/>
      </c>
      <c r="AB101" s="5" t="str">
        <f t="shared" ref="AB101" si="1281">IF(AB94="","",AA94+AA95-AB94)</f>
        <v/>
      </c>
      <c r="AC101" s="5" t="str">
        <f t="shared" ref="AC101" si="1282">IF(AC94="","",AB94+AB95-AC94)</f>
        <v/>
      </c>
      <c r="AD101" s="5" t="str">
        <f t="shared" ref="AD101" si="1283">IF(AD94="","",AC94+AC95-AD94)</f>
        <v/>
      </c>
      <c r="AE101" s="5" t="str">
        <f t="shared" ref="AE101" si="1284">IF(AE94="","",AD94+AD95-AE94)</f>
        <v/>
      </c>
      <c r="AF101" s="5" t="str">
        <f t="shared" ref="AF101" si="1285">IF(AF94="","",AE94+AE95-AF94)</f>
        <v/>
      </c>
      <c r="AG101" s="5" t="str">
        <f t="shared" ref="AG101" si="1286">IF(AG94="","",AF94+AF95-AG94)</f>
        <v/>
      </c>
      <c r="AH101" s="5" t="str">
        <f t="shared" ref="AH101" si="1287">IF(AH94="","",AG94+AG95-AH94)</f>
        <v/>
      </c>
      <c r="AI101" s="5" t="str">
        <f t="shared" ref="AI101" si="1288">IF(AI94="","",AH94+AH95-AI94)</f>
        <v/>
      </c>
      <c r="AJ101" s="5" t="str">
        <f t="shared" ref="AJ101" si="1289">IF(AJ94="","",AI94+AI95-AJ94)</f>
        <v/>
      </c>
      <c r="AK101" s="5" t="str">
        <f t="shared" ref="AK101" si="1290">IF(AK94="","",AJ94+AJ95-AK94)</f>
        <v/>
      </c>
      <c r="AL101" s="5" t="str">
        <f t="shared" ref="AL101" si="1291">IF(AL94="","",AK94+AK95-AL94)</f>
        <v/>
      </c>
      <c r="AM101" s="5" t="str">
        <f t="shared" ref="AM101" si="1292">IF(AM94="","",AL94+AL95-AM94)</f>
        <v/>
      </c>
      <c r="AN101" s="5" t="str">
        <f t="shared" ref="AN101:AS101" si="1293">IF(AN94="","",AM94+AM95-AN94)</f>
        <v/>
      </c>
      <c r="AO101" s="5" t="str">
        <f t="shared" si="1293"/>
        <v/>
      </c>
      <c r="AP101" s="5" t="str">
        <f t="shared" si="1293"/>
        <v/>
      </c>
      <c r="AQ101" s="5" t="str">
        <f t="shared" si="1293"/>
        <v/>
      </c>
      <c r="AR101" s="5" t="str">
        <f t="shared" si="1293"/>
        <v/>
      </c>
      <c r="AS101" s="5" t="str">
        <f t="shared" si="1293"/>
        <v/>
      </c>
    </row>
    <row r="102" spans="1:45" s="84" customFormat="1" ht="11.25" x14ac:dyDescent="0.15">
      <c r="A102" s="7">
        <f>SUM(C102:AS102)</f>
        <v>540</v>
      </c>
      <c r="B102" s="6" t="s">
        <v>16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540</v>
      </c>
      <c r="M102" s="5">
        <f t="shared" ref="J102:AM102" si="1294">IF(M92="","",M101*M96)</f>
        <v>0</v>
      </c>
      <c r="N102" s="5">
        <f t="shared" si="1294"/>
        <v>0</v>
      </c>
      <c r="O102" s="5">
        <f t="shared" si="1294"/>
        <v>0</v>
      </c>
      <c r="P102" s="5" t="str">
        <f t="shared" si="1294"/>
        <v/>
      </c>
      <c r="Q102" s="5" t="str">
        <f t="shared" si="1294"/>
        <v/>
      </c>
      <c r="R102" s="5" t="str">
        <f t="shared" si="1294"/>
        <v/>
      </c>
      <c r="S102" s="5" t="str">
        <f t="shared" si="1294"/>
        <v/>
      </c>
      <c r="T102" s="5" t="str">
        <f t="shared" si="1294"/>
        <v/>
      </c>
      <c r="U102" s="5" t="str">
        <f t="shared" si="1294"/>
        <v/>
      </c>
      <c r="V102" s="5" t="str">
        <f t="shared" si="1294"/>
        <v/>
      </c>
      <c r="W102" s="5" t="str">
        <f t="shared" si="1294"/>
        <v/>
      </c>
      <c r="X102" s="5" t="str">
        <f t="shared" si="1294"/>
        <v/>
      </c>
      <c r="Y102" s="5" t="str">
        <f t="shared" si="1294"/>
        <v/>
      </c>
      <c r="Z102" s="5" t="str">
        <f t="shared" si="1294"/>
        <v/>
      </c>
      <c r="AA102" s="5" t="str">
        <f t="shared" si="1294"/>
        <v/>
      </c>
      <c r="AB102" s="5" t="str">
        <f t="shared" si="1294"/>
        <v/>
      </c>
      <c r="AC102" s="5" t="str">
        <f t="shared" si="1294"/>
        <v/>
      </c>
      <c r="AD102" s="5" t="str">
        <f t="shared" si="1294"/>
        <v/>
      </c>
      <c r="AE102" s="5" t="str">
        <f t="shared" si="1294"/>
        <v/>
      </c>
      <c r="AF102" s="5" t="str">
        <f t="shared" si="1294"/>
        <v/>
      </c>
      <c r="AG102" s="5" t="str">
        <f t="shared" si="1294"/>
        <v/>
      </c>
      <c r="AH102" s="5" t="str">
        <f t="shared" si="1294"/>
        <v/>
      </c>
      <c r="AI102" s="5" t="str">
        <f t="shared" si="1294"/>
        <v/>
      </c>
      <c r="AJ102" s="5" t="str">
        <f t="shared" si="1294"/>
        <v/>
      </c>
      <c r="AK102" s="5" t="str">
        <f t="shared" si="1294"/>
        <v/>
      </c>
      <c r="AL102" s="5" t="str">
        <f t="shared" si="1294"/>
        <v/>
      </c>
      <c r="AM102" s="5" t="str">
        <f t="shared" si="1294"/>
        <v/>
      </c>
      <c r="AN102" s="5" t="str">
        <f t="shared" ref="AN102:AS102" si="1295">IF(AN92="","",AN101*AN96)</f>
        <v/>
      </c>
      <c r="AO102" s="5" t="str">
        <f t="shared" si="1295"/>
        <v/>
      </c>
      <c r="AP102" s="5" t="str">
        <f t="shared" si="1295"/>
        <v/>
      </c>
      <c r="AQ102" s="5" t="str">
        <f t="shared" si="1295"/>
        <v/>
      </c>
      <c r="AR102" s="5" t="str">
        <f t="shared" si="1295"/>
        <v/>
      </c>
      <c r="AS102" s="5" t="str">
        <f t="shared" si="1295"/>
        <v/>
      </c>
    </row>
    <row r="103" spans="1:45" s="84" customFormat="1" ht="12" thickBot="1" x14ac:dyDescent="0.2">
      <c r="A103" s="4">
        <f>IF(A102="","",A102/(A99*100))</f>
        <v>1.2442396313364055E-2</v>
      </c>
      <c r="B103" s="3" t="s">
        <v>18</v>
      </c>
      <c r="C103" s="2" t="s">
        <v>19</v>
      </c>
      <c r="D103" s="2" t="s">
        <v>19</v>
      </c>
      <c r="E103" s="2" t="s">
        <v>19</v>
      </c>
      <c r="F103" s="2" t="s">
        <v>19</v>
      </c>
      <c r="G103" s="2" t="s">
        <v>19</v>
      </c>
      <c r="H103" s="2" t="s">
        <v>19</v>
      </c>
      <c r="I103" s="2" t="s">
        <v>19</v>
      </c>
      <c r="J103" s="2" t="s">
        <v>19</v>
      </c>
      <c r="K103" s="2" t="s">
        <v>19</v>
      </c>
      <c r="L103" s="2">
        <v>7.1999999999999995E-2</v>
      </c>
      <c r="M103" s="2" t="str">
        <f t="shared" ref="J103:AM103" si="1296">IF(M102="","",IF(M102=0,"",M102/(M99*100)))</f>
        <v/>
      </c>
      <c r="N103" s="2" t="str">
        <f t="shared" si="1296"/>
        <v/>
      </c>
      <c r="O103" s="2" t="str">
        <f t="shared" si="1296"/>
        <v/>
      </c>
      <c r="P103" s="2" t="str">
        <f t="shared" si="1296"/>
        <v/>
      </c>
      <c r="Q103" s="2" t="str">
        <f t="shared" si="1296"/>
        <v/>
      </c>
      <c r="R103" s="2" t="str">
        <f t="shared" si="1296"/>
        <v/>
      </c>
      <c r="S103" s="2" t="str">
        <f t="shared" si="1296"/>
        <v/>
      </c>
      <c r="T103" s="2" t="str">
        <f t="shared" si="1296"/>
        <v/>
      </c>
      <c r="U103" s="2" t="str">
        <f t="shared" si="1296"/>
        <v/>
      </c>
      <c r="V103" s="2" t="str">
        <f t="shared" si="1296"/>
        <v/>
      </c>
      <c r="W103" s="2" t="str">
        <f t="shared" si="1296"/>
        <v/>
      </c>
      <c r="X103" s="2" t="str">
        <f t="shared" si="1296"/>
        <v/>
      </c>
      <c r="Y103" s="2" t="str">
        <f t="shared" si="1296"/>
        <v/>
      </c>
      <c r="Z103" s="2" t="str">
        <f t="shared" si="1296"/>
        <v/>
      </c>
      <c r="AA103" s="2" t="str">
        <f t="shared" si="1296"/>
        <v/>
      </c>
      <c r="AB103" s="2" t="str">
        <f t="shared" si="1296"/>
        <v/>
      </c>
      <c r="AC103" s="2" t="str">
        <f t="shared" si="1296"/>
        <v/>
      </c>
      <c r="AD103" s="2" t="str">
        <f t="shared" si="1296"/>
        <v/>
      </c>
      <c r="AE103" s="2" t="str">
        <f t="shared" si="1296"/>
        <v/>
      </c>
      <c r="AF103" s="2" t="str">
        <f t="shared" si="1296"/>
        <v/>
      </c>
      <c r="AG103" s="2" t="str">
        <f t="shared" si="1296"/>
        <v/>
      </c>
      <c r="AH103" s="2" t="str">
        <f t="shared" si="1296"/>
        <v/>
      </c>
      <c r="AI103" s="2" t="str">
        <f t="shared" si="1296"/>
        <v/>
      </c>
      <c r="AJ103" s="2" t="str">
        <f t="shared" si="1296"/>
        <v/>
      </c>
      <c r="AK103" s="2" t="str">
        <f t="shared" si="1296"/>
        <v/>
      </c>
      <c r="AL103" s="2" t="str">
        <f t="shared" si="1296"/>
        <v/>
      </c>
      <c r="AM103" s="2" t="str">
        <f t="shared" si="1296"/>
        <v/>
      </c>
      <c r="AN103" s="2" t="str">
        <f t="shared" ref="AN103:AS103" si="1297">IF(AN102="","",IF(AN102=0,"",AN102/(AN99*100)))</f>
        <v/>
      </c>
      <c r="AO103" s="2" t="str">
        <f t="shared" si="1297"/>
        <v/>
      </c>
      <c r="AP103" s="2" t="str">
        <f t="shared" si="1297"/>
        <v/>
      </c>
      <c r="AQ103" s="2" t="str">
        <f t="shared" si="1297"/>
        <v/>
      </c>
      <c r="AR103" s="2" t="str">
        <f t="shared" si="1297"/>
        <v/>
      </c>
      <c r="AS103" s="2" t="str">
        <f t="shared" si="1297"/>
        <v/>
      </c>
    </row>
    <row r="104" spans="1:45" s="84" customFormat="1" ht="11.25" x14ac:dyDescent="0.15">
      <c r="A104" s="40" t="s">
        <v>83</v>
      </c>
      <c r="B104" s="39" t="s">
        <v>2</v>
      </c>
      <c r="C104" s="38">
        <v>30029</v>
      </c>
      <c r="D104" s="38">
        <v>30029</v>
      </c>
      <c r="E104" s="38">
        <v>30065</v>
      </c>
      <c r="F104" s="38">
        <v>30065</v>
      </c>
      <c r="G104" s="38">
        <v>30065</v>
      </c>
      <c r="H104" s="38">
        <v>30138</v>
      </c>
      <c r="I104" s="38">
        <v>30138</v>
      </c>
      <c r="J104" s="38">
        <v>30138</v>
      </c>
      <c r="K104" s="38">
        <v>30138</v>
      </c>
      <c r="L104" s="38">
        <v>30227</v>
      </c>
      <c r="M104" s="38">
        <f t="shared" ref="M104:M105" si="1298">IF(M$8="","",L104)</f>
        <v>30227</v>
      </c>
      <c r="N104" s="38">
        <f t="shared" ref="N104:N105" si="1299">IF(N$8="","",M104)</f>
        <v>30227</v>
      </c>
      <c r="O104" s="38">
        <v>30270</v>
      </c>
      <c r="P104" s="38" t="str">
        <f>IF(P$8="","",O104)</f>
        <v/>
      </c>
      <c r="Q104" s="38" t="str">
        <f t="shared" ref="Q104:Q105" si="1300">IF(Q$8="","",P104)</f>
        <v/>
      </c>
      <c r="R104" s="38" t="str">
        <f t="shared" ref="R104:R105" si="1301">IF(R$8="","",Q104)</f>
        <v/>
      </c>
      <c r="S104" s="38" t="str">
        <f>IF(S$8="","",R104)</f>
        <v/>
      </c>
      <c r="T104" s="38" t="str">
        <f t="shared" ref="T104:T105" si="1302">IF(T$8="","",S104)</f>
        <v/>
      </c>
      <c r="U104" s="38" t="str">
        <f t="shared" ref="U104:U105" si="1303">IF(U$8="","",T104)</f>
        <v/>
      </c>
      <c r="V104" s="38" t="str">
        <f>IF(V$8="","",U104)</f>
        <v/>
      </c>
      <c r="W104" s="38" t="str">
        <f t="shared" ref="W104:W105" si="1304">IF(W$8="","",V104)</f>
        <v/>
      </c>
      <c r="X104" s="38" t="str">
        <f t="shared" ref="X104:X105" si="1305">IF(X$8="","",W104)</f>
        <v/>
      </c>
      <c r="Y104" s="38" t="str">
        <f t="shared" ref="Y104:Y105" si="1306">IF(Y$8="","",X104)</f>
        <v/>
      </c>
      <c r="Z104" s="38" t="str">
        <f>IF(Z$8="","",Y104)</f>
        <v/>
      </c>
      <c r="AA104" s="38" t="str">
        <f t="shared" ref="AA104:AA105" si="1307">IF(AA$8="","",Z104)</f>
        <v/>
      </c>
      <c r="AB104" s="38" t="str">
        <f t="shared" ref="AB104:AB105" si="1308">IF(AB$8="","",AA104)</f>
        <v/>
      </c>
      <c r="AC104" s="38" t="str">
        <f t="shared" ref="AC104:AC105" si="1309">IF(AC$8="","",AB104)</f>
        <v/>
      </c>
      <c r="AD104" s="38" t="str">
        <f>IF(AD$8="","",AC104)</f>
        <v/>
      </c>
      <c r="AE104" s="38" t="str">
        <f t="shared" ref="AE104:AE105" si="1310">IF(AE$8="","",AD104)</f>
        <v/>
      </c>
      <c r="AF104" s="38" t="str">
        <f t="shared" ref="AF104:AF105" si="1311">IF(AF$8="","",AE104)</f>
        <v/>
      </c>
      <c r="AG104" s="38" t="str">
        <f>IF(AG$8="","",AF104)</f>
        <v/>
      </c>
      <c r="AH104" s="38" t="str">
        <f t="shared" ref="AH104:AH105" si="1312">IF(AH$8="","",AG104)</f>
        <v/>
      </c>
      <c r="AI104" s="38" t="str">
        <f t="shared" ref="AI104:AI105" si="1313">IF(AI$8="","",AH104)</f>
        <v/>
      </c>
      <c r="AJ104" s="38" t="str">
        <f>IF(AJ$8="","",AI104)</f>
        <v/>
      </c>
      <c r="AK104" s="38" t="str">
        <f t="shared" ref="AK104:AK105" si="1314">IF(AK$8="","",AJ104)</f>
        <v/>
      </c>
      <c r="AL104" s="38" t="str">
        <f t="shared" ref="AL104:AL105" si="1315">IF(AL$8="","",AK104)</f>
        <v/>
      </c>
      <c r="AM104" s="38" t="str">
        <f t="shared" ref="AM104:AM105" si="1316">IF(AM$8="","",AL104)</f>
        <v/>
      </c>
      <c r="AN104" s="38" t="str">
        <f>IF(AN$8="","",AM104)</f>
        <v/>
      </c>
      <c r="AO104" s="38" t="str">
        <f t="shared" ref="AN104:AS104" si="1317">IF(AO$8="","",AN104)</f>
        <v/>
      </c>
      <c r="AP104" s="38" t="str">
        <f t="shared" si="1317"/>
        <v/>
      </c>
      <c r="AQ104" s="38" t="str">
        <f t="shared" si="1317"/>
        <v/>
      </c>
      <c r="AR104" s="38" t="str">
        <f t="shared" si="1317"/>
        <v/>
      </c>
      <c r="AS104" s="38" t="str">
        <f t="shared" si="1317"/>
        <v/>
      </c>
    </row>
    <row r="105" spans="1:45" s="84" customFormat="1" ht="11.25" x14ac:dyDescent="0.15">
      <c r="A105" s="37" t="s">
        <v>64</v>
      </c>
      <c r="B105" s="30" t="s">
        <v>4</v>
      </c>
      <c r="C105" s="29">
        <v>1386</v>
      </c>
      <c r="D105" s="29">
        <v>1386</v>
      </c>
      <c r="E105" s="29">
        <v>1387</v>
      </c>
      <c r="F105" s="29">
        <v>1387</v>
      </c>
      <c r="G105" s="29">
        <v>1387</v>
      </c>
      <c r="H105" s="29">
        <v>1387</v>
      </c>
      <c r="I105" s="29">
        <v>1387</v>
      </c>
      <c r="J105" s="29">
        <v>1387</v>
      </c>
      <c r="K105" s="29">
        <v>1387</v>
      </c>
      <c r="L105" s="29">
        <v>1388</v>
      </c>
      <c r="M105" s="29">
        <f t="shared" si="1298"/>
        <v>1388</v>
      </c>
      <c r="N105" s="29">
        <f t="shared" si="1299"/>
        <v>1388</v>
      </c>
      <c r="O105" s="29">
        <v>1388</v>
      </c>
      <c r="P105" s="29" t="str">
        <f>IF(P$8="","",O105)</f>
        <v/>
      </c>
      <c r="Q105" s="29" t="str">
        <f t="shared" si="1300"/>
        <v/>
      </c>
      <c r="R105" s="29" t="str">
        <f t="shared" si="1301"/>
        <v/>
      </c>
      <c r="S105" s="29" t="str">
        <f>IF(S$8="","",R105)</f>
        <v/>
      </c>
      <c r="T105" s="29" t="str">
        <f t="shared" si="1302"/>
        <v/>
      </c>
      <c r="U105" s="29" t="str">
        <f t="shared" si="1303"/>
        <v/>
      </c>
      <c r="V105" s="29" t="str">
        <f>IF(V$8="","",U105)</f>
        <v/>
      </c>
      <c r="W105" s="29" t="str">
        <f t="shared" si="1304"/>
        <v/>
      </c>
      <c r="X105" s="29" t="str">
        <f t="shared" si="1305"/>
        <v/>
      </c>
      <c r="Y105" s="29" t="str">
        <f t="shared" si="1306"/>
        <v/>
      </c>
      <c r="Z105" s="29" t="str">
        <f>IF(Z$8="","",Y105)</f>
        <v/>
      </c>
      <c r="AA105" s="29" t="str">
        <f t="shared" si="1307"/>
        <v/>
      </c>
      <c r="AB105" s="29" t="str">
        <f t="shared" si="1308"/>
        <v/>
      </c>
      <c r="AC105" s="29" t="str">
        <f t="shared" si="1309"/>
        <v/>
      </c>
      <c r="AD105" s="29" t="str">
        <f>IF(AD$8="","",AC105)</f>
        <v/>
      </c>
      <c r="AE105" s="29" t="str">
        <f t="shared" si="1310"/>
        <v/>
      </c>
      <c r="AF105" s="29" t="str">
        <f t="shared" si="1311"/>
        <v/>
      </c>
      <c r="AG105" s="29" t="str">
        <f>IF(AG$8="","",AF105)</f>
        <v/>
      </c>
      <c r="AH105" s="29" t="str">
        <f t="shared" si="1312"/>
        <v/>
      </c>
      <c r="AI105" s="29" t="str">
        <f t="shared" si="1313"/>
        <v/>
      </c>
      <c r="AJ105" s="29" t="str">
        <f t="shared" ref="AJ104:AJ105" si="1318">IF(AJ$8="","",AI105)</f>
        <v/>
      </c>
      <c r="AK105" s="29" t="str">
        <f t="shared" si="1314"/>
        <v/>
      </c>
      <c r="AL105" s="29" t="str">
        <f t="shared" si="1315"/>
        <v/>
      </c>
      <c r="AM105" s="29" t="str">
        <f t="shared" si="1316"/>
        <v/>
      </c>
      <c r="AN105" s="29" t="str">
        <f>IF(AN$8="","",AM105)</f>
        <v/>
      </c>
      <c r="AO105" s="29" t="str">
        <f t="shared" ref="AN105:AS105" si="1319">IF(AO$8="","",AN105)</f>
        <v/>
      </c>
      <c r="AP105" s="29" t="str">
        <f t="shared" si="1319"/>
        <v/>
      </c>
      <c r="AQ105" s="29" t="str">
        <f t="shared" si="1319"/>
        <v/>
      </c>
      <c r="AR105" s="29" t="str">
        <f t="shared" si="1319"/>
        <v/>
      </c>
      <c r="AS105" s="29" t="str">
        <f t="shared" si="1319"/>
        <v/>
      </c>
    </row>
    <row r="106" spans="1:45" s="84" customFormat="1" ht="11.25" x14ac:dyDescent="0.15">
      <c r="A106" s="34"/>
      <c r="B106" s="30" t="s">
        <v>5</v>
      </c>
      <c r="C106" s="29">
        <v>7</v>
      </c>
      <c r="D106" s="29">
        <v>7</v>
      </c>
      <c r="E106" s="29">
        <v>6</v>
      </c>
      <c r="F106" s="29">
        <v>6</v>
      </c>
      <c r="G106" s="29">
        <v>6</v>
      </c>
      <c r="H106" s="29">
        <v>6</v>
      </c>
      <c r="I106" s="29">
        <v>6</v>
      </c>
      <c r="J106" s="29">
        <v>6</v>
      </c>
      <c r="K106" s="29">
        <v>6</v>
      </c>
      <c r="L106" s="29">
        <v>5</v>
      </c>
      <c r="M106" s="29">
        <f t="shared" ref="M106" si="1320">IF(M104="","",(L106+L107))</f>
        <v>5</v>
      </c>
      <c r="N106" s="29">
        <f t="shared" ref="N106" si="1321">IF(N104="","",(M106+M107))</f>
        <v>5</v>
      </c>
      <c r="O106" s="29">
        <v>10</v>
      </c>
      <c r="P106" s="29" t="str">
        <f>IF(P104="","",(O106+O107))</f>
        <v/>
      </c>
      <c r="Q106" s="29" t="str">
        <f t="shared" ref="Q106" si="1322">IF(Q104="","",(P106+P107))</f>
        <v/>
      </c>
      <c r="R106" s="29" t="str">
        <f t="shared" ref="R106" si="1323">IF(R104="","",(Q106+Q107))</f>
        <v/>
      </c>
      <c r="S106" s="29" t="str">
        <f>IF(S104="","",(R106+R107))</f>
        <v/>
      </c>
      <c r="T106" s="29" t="str">
        <f t="shared" ref="T106" si="1324">IF(T104="","",(S106+S107))</f>
        <v/>
      </c>
      <c r="U106" s="29" t="str">
        <f t="shared" ref="U106" si="1325">IF(U104="","",(T106+T107))</f>
        <v/>
      </c>
      <c r="V106" s="29" t="str">
        <f>IF(V104="","",(U106+U107))</f>
        <v/>
      </c>
      <c r="W106" s="29" t="str">
        <f t="shared" ref="W106" si="1326">IF(W104="","",(V106+V107))</f>
        <v/>
      </c>
      <c r="X106" s="29" t="str">
        <f t="shared" ref="X106" si="1327">IF(X104="","",(W106+W107))</f>
        <v/>
      </c>
      <c r="Y106" s="29" t="str">
        <f t="shared" ref="Y106" si="1328">IF(Y104="","",(X106+X107))</f>
        <v/>
      </c>
      <c r="Z106" s="29" t="str">
        <f>IF(Z104="","",(Y106+Y107))</f>
        <v/>
      </c>
      <c r="AA106" s="29" t="str">
        <f t="shared" ref="AA106" si="1329">IF(AA104="","",(Z106+Z107))</f>
        <v/>
      </c>
      <c r="AB106" s="29" t="str">
        <f t="shared" ref="AB106" si="1330">IF(AB104="","",(AA106+AA107))</f>
        <v/>
      </c>
      <c r="AC106" s="29" t="str">
        <f t="shared" ref="AC106" si="1331">IF(AC104="","",(AB106+AB107))</f>
        <v/>
      </c>
      <c r="AD106" s="29" t="str">
        <f>IF(AD104="","",(AC106+AC107))</f>
        <v/>
      </c>
      <c r="AE106" s="29" t="str">
        <f t="shared" ref="AE106" si="1332">IF(AE104="","",(AD106+AD107))</f>
        <v/>
      </c>
      <c r="AF106" s="29" t="str">
        <f t="shared" ref="AF106" si="1333">IF(AF104="","",(AE106+AE107))</f>
        <v/>
      </c>
      <c r="AG106" s="29" t="str">
        <f>IF(AG104="","",(AF106+AF107))</f>
        <v/>
      </c>
      <c r="AH106" s="29" t="str">
        <f t="shared" ref="AH106" si="1334">IF(AH104="","",(AG106+AG107))</f>
        <v/>
      </c>
      <c r="AI106" s="29" t="str">
        <f t="shared" ref="AI106" si="1335">IF(AI104="","",(AH106+AH107))</f>
        <v/>
      </c>
      <c r="AJ106" s="29" t="str">
        <f t="shared" ref="AJ106" si="1336">IF(AJ104="","",(AI106+AI107))</f>
        <v/>
      </c>
      <c r="AK106" s="29" t="str">
        <f t="shared" ref="AK106" si="1337">IF(AK104="","",(AJ106+AJ107))</f>
        <v/>
      </c>
      <c r="AL106" s="29" t="str">
        <f t="shared" ref="AL106" si="1338">IF(AL104="","",(AK106+AK107))</f>
        <v/>
      </c>
      <c r="AM106" s="29" t="str">
        <f t="shared" ref="AM106" si="1339">IF(AM104="","",(AL106+AL107))</f>
        <v/>
      </c>
      <c r="AN106" s="29" t="str">
        <f>IF(AN104="","",(AM106+AM107))</f>
        <v/>
      </c>
      <c r="AO106" s="29" t="str">
        <f t="shared" ref="AN106:AS106" si="1340">IF(AO104="","",(AN106+AN107))</f>
        <v/>
      </c>
      <c r="AP106" s="29" t="str">
        <f t="shared" si="1340"/>
        <v/>
      </c>
      <c r="AQ106" s="29" t="str">
        <f t="shared" si="1340"/>
        <v/>
      </c>
      <c r="AR106" s="29" t="str">
        <f t="shared" si="1340"/>
        <v/>
      </c>
      <c r="AS106" s="29" t="str">
        <f t="shared" si="1340"/>
        <v/>
      </c>
    </row>
    <row r="107" spans="1:45" s="84" customFormat="1" ht="11.25" x14ac:dyDescent="0.15">
      <c r="A107" s="14"/>
      <c r="B107" s="30" t="s">
        <v>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>
        <v>5</v>
      </c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s="84" customFormat="1" ht="11.25" x14ac:dyDescent="0.15">
      <c r="A108" s="7"/>
      <c r="B108" s="30" t="s">
        <v>8</v>
      </c>
      <c r="C108" s="35">
        <v>150</v>
      </c>
      <c r="D108" s="35">
        <v>150</v>
      </c>
      <c r="E108" s="35">
        <v>150</v>
      </c>
      <c r="F108" s="35">
        <v>150</v>
      </c>
      <c r="G108" s="35">
        <v>150</v>
      </c>
      <c r="H108" s="35">
        <v>150</v>
      </c>
      <c r="I108" s="35">
        <v>150</v>
      </c>
      <c r="J108" s="35">
        <v>150</v>
      </c>
      <c r="K108" s="35">
        <v>150</v>
      </c>
      <c r="L108" s="35">
        <v>150</v>
      </c>
      <c r="M108" s="35">
        <f t="shared" ref="M108" si="1341">IF(M104="","",L108)</f>
        <v>150</v>
      </c>
      <c r="N108" s="35">
        <f t="shared" ref="N108" si="1342">IF(N104="","",M108)</f>
        <v>150</v>
      </c>
      <c r="O108" s="35">
        <f t="shared" ref="O108" si="1343">IF(O104="","",N108)</f>
        <v>150</v>
      </c>
      <c r="P108" s="35" t="str">
        <f t="shared" ref="P108" si="1344">IF(P104="","",O108)</f>
        <v/>
      </c>
      <c r="Q108" s="35" t="str">
        <f t="shared" ref="Q108" si="1345">IF(Q104="","",P108)</f>
        <v/>
      </c>
      <c r="R108" s="35" t="str">
        <f t="shared" ref="R108" si="1346">IF(R104="","",Q108)</f>
        <v/>
      </c>
      <c r="S108" s="35" t="str">
        <f t="shared" ref="S108" si="1347">IF(S104="","",R108)</f>
        <v/>
      </c>
      <c r="T108" s="35" t="str">
        <f t="shared" ref="T108" si="1348">IF(T104="","",S108)</f>
        <v/>
      </c>
      <c r="U108" s="35" t="str">
        <f t="shared" ref="U108" si="1349">IF(U104="","",T108)</f>
        <v/>
      </c>
      <c r="V108" s="35" t="str">
        <f t="shared" ref="V108" si="1350">IF(V104="","",U108)</f>
        <v/>
      </c>
      <c r="W108" s="35" t="str">
        <f t="shared" ref="W108" si="1351">IF(W104="","",V108)</f>
        <v/>
      </c>
      <c r="X108" s="35" t="str">
        <f t="shared" ref="X108" si="1352">IF(X104="","",W108)</f>
        <v/>
      </c>
      <c r="Y108" s="35" t="str">
        <f t="shared" ref="Y108" si="1353">IF(Y104="","",X108)</f>
        <v/>
      </c>
      <c r="Z108" s="35" t="str">
        <f t="shared" ref="Z108" si="1354">IF(Z104="","",Y108)</f>
        <v/>
      </c>
      <c r="AA108" s="35" t="str">
        <f t="shared" ref="AA108" si="1355">IF(AA104="","",Z108)</f>
        <v/>
      </c>
      <c r="AB108" s="35" t="str">
        <f t="shared" ref="AB108" si="1356">IF(AB104="","",AA108)</f>
        <v/>
      </c>
      <c r="AC108" s="35" t="str">
        <f t="shared" ref="AC108" si="1357">IF(AC104="","",AB108)</f>
        <v/>
      </c>
      <c r="AD108" s="35" t="str">
        <f t="shared" ref="AD108" si="1358">IF(AD104="","",AC108)</f>
        <v/>
      </c>
      <c r="AE108" s="35" t="str">
        <f t="shared" ref="AE108" si="1359">IF(AE104="","",AD108)</f>
        <v/>
      </c>
      <c r="AF108" s="35" t="str">
        <f t="shared" ref="AF108" si="1360">IF(AF104="","",AE108)</f>
        <v/>
      </c>
      <c r="AG108" s="35" t="str">
        <f t="shared" ref="AG108" si="1361">IF(AG104="","",AF108)</f>
        <v/>
      </c>
      <c r="AH108" s="35" t="str">
        <f t="shared" ref="AH108" si="1362">IF(AH104="","",AG108)</f>
        <v/>
      </c>
      <c r="AI108" s="35" t="str">
        <f t="shared" ref="AI108" si="1363">IF(AI104="","",AH108)</f>
        <v/>
      </c>
      <c r="AJ108" s="35" t="str">
        <f t="shared" ref="AJ108" si="1364">IF(AJ104="","",AI108)</f>
        <v/>
      </c>
      <c r="AK108" s="35" t="str">
        <f t="shared" ref="AK108" si="1365">IF(AK104="","",AJ108)</f>
        <v/>
      </c>
      <c r="AL108" s="35" t="str">
        <f t="shared" ref="AL108" si="1366">IF(AL104="","",AK108)</f>
        <v/>
      </c>
      <c r="AM108" s="35" t="str">
        <f t="shared" ref="AM108" si="1367">IF(AM104="","",AL108)</f>
        <v/>
      </c>
      <c r="AN108" s="35" t="str">
        <f t="shared" ref="AN108:AS108" si="1368">IF(AN104="","",AM108)</f>
        <v/>
      </c>
      <c r="AO108" s="35" t="str">
        <f t="shared" si="1368"/>
        <v/>
      </c>
      <c r="AP108" s="35" t="str">
        <f t="shared" si="1368"/>
        <v/>
      </c>
      <c r="AQ108" s="35" t="str">
        <f t="shared" si="1368"/>
        <v/>
      </c>
      <c r="AR108" s="35" t="str">
        <f t="shared" si="1368"/>
        <v/>
      </c>
      <c r="AS108" s="35" t="str">
        <f t="shared" si="1368"/>
        <v/>
      </c>
    </row>
    <row r="109" spans="1:45" s="85" customFormat="1" ht="11.25" x14ac:dyDescent="0.15">
      <c r="A109" s="14" t="s">
        <v>9</v>
      </c>
      <c r="B109" s="33" t="s">
        <v>10</v>
      </c>
      <c r="C109" s="32" t="s">
        <v>358</v>
      </c>
      <c r="D109" s="32" t="s">
        <v>358</v>
      </c>
      <c r="E109" s="32" t="s">
        <v>358</v>
      </c>
      <c r="F109" s="32" t="s">
        <v>358</v>
      </c>
      <c r="G109" s="32" t="s">
        <v>358</v>
      </c>
      <c r="H109" s="32" t="s">
        <v>358</v>
      </c>
      <c r="I109" s="32" t="s">
        <v>358</v>
      </c>
      <c r="J109" s="32" t="s">
        <v>358</v>
      </c>
      <c r="K109" s="32" t="s">
        <v>358</v>
      </c>
      <c r="L109" s="32" t="s">
        <v>358</v>
      </c>
      <c r="M109" s="32" t="str">
        <f t="shared" ref="M109" si="1369">IF(M104="","",L109)</f>
        <v>板チョコスクイーズ</v>
      </c>
      <c r="N109" s="32" t="str">
        <f t="shared" ref="N109" si="1370">IF(N104="","",M109)</f>
        <v>板チョコスクイーズ</v>
      </c>
      <c r="O109" s="32" t="s">
        <v>369</v>
      </c>
      <c r="P109" s="32" t="str">
        <f t="shared" ref="P109" si="1371">IF(P104="","",O109)</f>
        <v/>
      </c>
      <c r="Q109" s="32" t="str">
        <f t="shared" ref="Q109" si="1372">IF(Q104="","",P109)</f>
        <v/>
      </c>
      <c r="R109" s="32" t="str">
        <f t="shared" ref="R109" si="1373">IF(R104="","",Q109)</f>
        <v/>
      </c>
      <c r="S109" s="32" t="str">
        <f>IF(S104="","",R109)</f>
        <v/>
      </c>
      <c r="T109" s="32" t="str">
        <f t="shared" ref="T109" si="1374">IF(T104="","",S109)</f>
        <v/>
      </c>
      <c r="U109" s="32" t="str">
        <f t="shared" ref="U109" si="1375">IF(U104="","",T109)</f>
        <v/>
      </c>
      <c r="V109" s="32" t="str">
        <f t="shared" ref="V109" si="1376">IF(V104="","",U109)</f>
        <v/>
      </c>
      <c r="W109" s="32" t="str">
        <f t="shared" ref="W109" si="1377">IF(W104="","",V109)</f>
        <v/>
      </c>
      <c r="X109" s="32" t="str">
        <f t="shared" ref="X109" si="1378">IF(X104="","",W109)</f>
        <v/>
      </c>
      <c r="Y109" s="32" t="str">
        <f t="shared" ref="Y109" si="1379">IF(Y104="","",X109)</f>
        <v/>
      </c>
      <c r="Z109" s="32" t="str">
        <f t="shared" ref="Z109" si="1380">IF(Z104="","",Y109)</f>
        <v/>
      </c>
      <c r="AA109" s="32" t="str">
        <f t="shared" ref="AA109" si="1381">IF(AA104="","",Z109)</f>
        <v/>
      </c>
      <c r="AB109" s="32" t="str">
        <f t="shared" ref="AB109" si="1382">IF(AB104="","",AA109)</f>
        <v/>
      </c>
      <c r="AC109" s="32" t="str">
        <f t="shared" ref="AC109" si="1383">IF(AC104="","",AB109)</f>
        <v/>
      </c>
      <c r="AD109" s="32" t="str">
        <f t="shared" ref="AD109" si="1384">IF(AD104="","",AC109)</f>
        <v/>
      </c>
      <c r="AE109" s="32" t="str">
        <f t="shared" ref="AE109" si="1385">IF(AE104="","",AD109)</f>
        <v/>
      </c>
      <c r="AF109" s="32" t="str">
        <f t="shared" ref="AF109" si="1386">IF(AF104="","",AE109)</f>
        <v/>
      </c>
      <c r="AG109" s="32" t="str">
        <f t="shared" ref="AG109" si="1387">IF(AG104="","",AF109)</f>
        <v/>
      </c>
      <c r="AH109" s="32" t="str">
        <f t="shared" ref="AH109" si="1388">IF(AH104="","",AG109)</f>
        <v/>
      </c>
      <c r="AI109" s="32" t="str">
        <f t="shared" ref="AI109" si="1389">IF(AI104="","",AH109)</f>
        <v/>
      </c>
      <c r="AJ109" s="32" t="str">
        <f t="shared" ref="AJ109" si="1390">IF(AJ104="","",AI109)</f>
        <v/>
      </c>
      <c r="AK109" s="32" t="str">
        <f t="shared" ref="AK109" si="1391">IF(AK104="","",AJ109)</f>
        <v/>
      </c>
      <c r="AL109" s="32" t="str">
        <f t="shared" ref="AL109" si="1392">IF(AL104="","",AK109)</f>
        <v/>
      </c>
      <c r="AM109" s="32" t="str">
        <f t="shared" ref="AM109" si="1393">IF(AM104="","",AL109)</f>
        <v/>
      </c>
      <c r="AN109" s="32" t="str">
        <f t="shared" ref="AN109:AS109" si="1394">IF(AN104="","",AM109)</f>
        <v/>
      </c>
      <c r="AO109" s="32" t="str">
        <f t="shared" si="1394"/>
        <v/>
      </c>
      <c r="AP109" s="32" t="str">
        <f t="shared" si="1394"/>
        <v/>
      </c>
      <c r="AQ109" s="32" t="str">
        <f t="shared" si="1394"/>
        <v/>
      </c>
      <c r="AR109" s="32" t="str">
        <f t="shared" si="1394"/>
        <v/>
      </c>
      <c r="AS109" s="32" t="str">
        <f t="shared" si="1394"/>
        <v/>
      </c>
    </row>
    <row r="110" spans="1:45" s="84" customFormat="1" ht="11.25" x14ac:dyDescent="0.15">
      <c r="A110" s="7">
        <f>AVERAGE(C111:AS111)*30*100</f>
        <v>55615.384615384617</v>
      </c>
      <c r="B110" s="30" t="s">
        <v>12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s="84" customFormat="1" ht="11.25" x14ac:dyDescent="0.15">
      <c r="A111" s="7">
        <f>SUM(C111:AS111)</f>
        <v>241</v>
      </c>
      <c r="B111" s="27" t="s">
        <v>13</v>
      </c>
      <c r="C111" s="26">
        <v>0</v>
      </c>
      <c r="D111" s="26">
        <v>0</v>
      </c>
      <c r="E111" s="26">
        <v>36</v>
      </c>
      <c r="F111" s="26">
        <v>0</v>
      </c>
      <c r="G111" s="26">
        <v>0</v>
      </c>
      <c r="H111" s="26">
        <v>73</v>
      </c>
      <c r="I111" s="26">
        <v>0</v>
      </c>
      <c r="J111" s="26">
        <v>0</v>
      </c>
      <c r="K111" s="26">
        <v>0</v>
      </c>
      <c r="L111" s="26">
        <v>89</v>
      </c>
      <c r="M111" s="26">
        <f t="shared" ref="M111:M112" si="1395">IF(M104="","",M104-L104)</f>
        <v>0</v>
      </c>
      <c r="N111" s="26">
        <f t="shared" ref="N111:N112" si="1396">IF(N104="","",N104-M104)</f>
        <v>0</v>
      </c>
      <c r="O111" s="26">
        <f t="shared" ref="O111:O112" si="1397">IF(O104="","",O104-N104)</f>
        <v>43</v>
      </c>
      <c r="P111" s="26" t="str">
        <f t="shared" ref="P111:P112" si="1398">IF(P104="","",P104-O104)</f>
        <v/>
      </c>
      <c r="Q111" s="26" t="str">
        <f t="shared" ref="Q111:Q112" si="1399">IF(Q104="","",Q104-P104)</f>
        <v/>
      </c>
      <c r="R111" s="26" t="str">
        <f t="shared" ref="R111:R112" si="1400">IF(R104="","",R104-Q104)</f>
        <v/>
      </c>
      <c r="S111" s="26" t="str">
        <f t="shared" ref="S111:S112" si="1401">IF(S104="","",S104-R104)</f>
        <v/>
      </c>
      <c r="T111" s="26" t="str">
        <f t="shared" ref="T111:T112" si="1402">IF(T104="","",T104-S104)</f>
        <v/>
      </c>
      <c r="U111" s="26" t="str">
        <f t="shared" ref="U111:U112" si="1403">IF(U104="","",U104-T104)</f>
        <v/>
      </c>
      <c r="V111" s="26" t="str">
        <f t="shared" ref="V111:V112" si="1404">IF(V104="","",V104-U104)</f>
        <v/>
      </c>
      <c r="W111" s="26" t="str">
        <f t="shared" ref="W111:W112" si="1405">IF(W104="","",W104-V104)</f>
        <v/>
      </c>
      <c r="X111" s="26" t="str">
        <f t="shared" ref="X111:X112" si="1406">IF(X104="","",X104-W104)</f>
        <v/>
      </c>
      <c r="Y111" s="26" t="str">
        <f t="shared" ref="Y111:Y112" si="1407">IF(Y104="","",Y104-X104)</f>
        <v/>
      </c>
      <c r="Z111" s="26" t="str">
        <f t="shared" ref="Z111:Z112" si="1408">IF(Z104="","",Z104-Y104)</f>
        <v/>
      </c>
      <c r="AA111" s="26" t="str">
        <f t="shared" ref="AA111:AA112" si="1409">IF(AA104="","",AA104-Z104)</f>
        <v/>
      </c>
      <c r="AB111" s="26" t="str">
        <f t="shared" ref="AB111:AB112" si="1410">IF(AB104="","",AB104-AA104)</f>
        <v/>
      </c>
      <c r="AC111" s="26" t="str">
        <f t="shared" ref="AC111:AC112" si="1411">IF(AC104="","",AC104-AB104)</f>
        <v/>
      </c>
      <c r="AD111" s="26" t="str">
        <f t="shared" ref="AD111:AD112" si="1412">IF(AD104="","",AD104-AC104)</f>
        <v/>
      </c>
      <c r="AE111" s="26" t="str">
        <f t="shared" ref="AE111:AE112" si="1413">IF(AE104="","",AE104-AD104)</f>
        <v/>
      </c>
      <c r="AF111" s="26" t="str">
        <f t="shared" ref="AF111:AF112" si="1414">IF(AF104="","",AF104-AE104)</f>
        <v/>
      </c>
      <c r="AG111" s="26" t="str">
        <f t="shared" ref="AG111:AG112" si="1415">IF(AG104="","",AG104-AF104)</f>
        <v/>
      </c>
      <c r="AH111" s="26" t="str">
        <f t="shared" ref="AH111:AH112" si="1416">IF(AH104="","",AH104-AG104)</f>
        <v/>
      </c>
      <c r="AI111" s="26" t="str">
        <f t="shared" ref="AI111:AI112" si="1417">IF(AI104="","",AI104-AH104)</f>
        <v/>
      </c>
      <c r="AJ111" s="26" t="str">
        <f t="shared" ref="AJ111:AJ112" si="1418">IF(AJ104="","",AJ104-AI104)</f>
        <v/>
      </c>
      <c r="AK111" s="26" t="str">
        <f t="shared" ref="AK111:AK112" si="1419">IF(AK104="","",AK104-AJ104)</f>
        <v/>
      </c>
      <c r="AL111" s="26" t="str">
        <f t="shared" ref="AL111:AL112" si="1420">IF(AL104="","",AL104-AK104)</f>
        <v/>
      </c>
      <c r="AM111" s="26" t="str">
        <f t="shared" ref="AM111:AM112" si="1421">IF(AM104="","",AM104-AL104)</f>
        <v/>
      </c>
      <c r="AN111" s="26" t="str">
        <f t="shared" ref="AN111:AS111" si="1422">IF(AN104="","",AN104-AM104)</f>
        <v/>
      </c>
      <c r="AO111" s="26" t="str">
        <f t="shared" si="1422"/>
        <v/>
      </c>
      <c r="AP111" s="26" t="str">
        <f t="shared" si="1422"/>
        <v/>
      </c>
      <c r="AQ111" s="26" t="str">
        <f t="shared" si="1422"/>
        <v/>
      </c>
      <c r="AR111" s="26" t="str">
        <f t="shared" si="1422"/>
        <v/>
      </c>
      <c r="AS111" s="26" t="str">
        <f t="shared" si="1422"/>
        <v/>
      </c>
    </row>
    <row r="112" spans="1:45" s="84" customFormat="1" ht="11.25" x14ac:dyDescent="0.15">
      <c r="A112" s="7">
        <f>SUM(C112:AS112)</f>
        <v>2</v>
      </c>
      <c r="B112" s="27" t="s">
        <v>14</v>
      </c>
      <c r="C112" s="26">
        <v>0</v>
      </c>
      <c r="D112" s="26">
        <v>0</v>
      </c>
      <c r="E112" s="26">
        <v>1</v>
      </c>
      <c r="F112" s="26">
        <v>0</v>
      </c>
      <c r="G112" s="26">
        <v>0</v>
      </c>
      <c r="H112" s="26">
        <v>0</v>
      </c>
      <c r="I112" s="26">
        <v>0</v>
      </c>
      <c r="J112" s="26">
        <v>0</v>
      </c>
      <c r="K112" s="26">
        <v>0</v>
      </c>
      <c r="L112" s="26">
        <v>1</v>
      </c>
      <c r="M112" s="26">
        <f t="shared" si="1395"/>
        <v>0</v>
      </c>
      <c r="N112" s="26">
        <f t="shared" si="1396"/>
        <v>0</v>
      </c>
      <c r="O112" s="26">
        <f t="shared" si="1397"/>
        <v>0</v>
      </c>
      <c r="P112" s="26" t="str">
        <f t="shared" si="1398"/>
        <v/>
      </c>
      <c r="Q112" s="26" t="str">
        <f t="shared" si="1399"/>
        <v/>
      </c>
      <c r="R112" s="26" t="str">
        <f t="shared" si="1400"/>
        <v/>
      </c>
      <c r="S112" s="26" t="str">
        <f t="shared" si="1401"/>
        <v/>
      </c>
      <c r="T112" s="26" t="str">
        <f t="shared" si="1402"/>
        <v/>
      </c>
      <c r="U112" s="26" t="str">
        <f t="shared" si="1403"/>
        <v/>
      </c>
      <c r="V112" s="26" t="str">
        <f t="shared" si="1404"/>
        <v/>
      </c>
      <c r="W112" s="26" t="str">
        <f t="shared" si="1405"/>
        <v/>
      </c>
      <c r="X112" s="26" t="str">
        <f t="shared" si="1406"/>
        <v/>
      </c>
      <c r="Y112" s="26" t="str">
        <f t="shared" si="1407"/>
        <v/>
      </c>
      <c r="Z112" s="26" t="str">
        <f t="shared" si="1408"/>
        <v/>
      </c>
      <c r="AA112" s="26" t="str">
        <f t="shared" si="1409"/>
        <v/>
      </c>
      <c r="AB112" s="26" t="str">
        <f t="shared" si="1410"/>
        <v/>
      </c>
      <c r="AC112" s="26" t="str">
        <f t="shared" si="1411"/>
        <v/>
      </c>
      <c r="AD112" s="26" t="str">
        <f t="shared" si="1412"/>
        <v/>
      </c>
      <c r="AE112" s="26" t="str">
        <f t="shared" si="1413"/>
        <v/>
      </c>
      <c r="AF112" s="26" t="str">
        <f t="shared" si="1414"/>
        <v/>
      </c>
      <c r="AG112" s="26" t="str">
        <f t="shared" si="1415"/>
        <v/>
      </c>
      <c r="AH112" s="26" t="str">
        <f t="shared" si="1416"/>
        <v/>
      </c>
      <c r="AI112" s="26" t="str">
        <f t="shared" si="1417"/>
        <v/>
      </c>
      <c r="AJ112" s="26" t="str">
        <f t="shared" si="1418"/>
        <v/>
      </c>
      <c r="AK112" s="26" t="str">
        <f t="shared" si="1419"/>
        <v/>
      </c>
      <c r="AL112" s="26" t="str">
        <f t="shared" si="1420"/>
        <v/>
      </c>
      <c r="AM112" s="26" t="str">
        <f t="shared" si="1421"/>
        <v/>
      </c>
      <c r="AN112" s="26" t="str">
        <f t="shared" ref="AN112:AS112" si="1423">IF(AN105="","",AN105-AM105)</f>
        <v/>
      </c>
      <c r="AO112" s="26" t="str">
        <f t="shared" si="1423"/>
        <v/>
      </c>
      <c r="AP112" s="26" t="str">
        <f t="shared" si="1423"/>
        <v/>
      </c>
      <c r="AQ112" s="26" t="str">
        <f t="shared" si="1423"/>
        <v/>
      </c>
      <c r="AR112" s="26" t="str">
        <f t="shared" si="1423"/>
        <v/>
      </c>
      <c r="AS112" s="26" t="str">
        <f t="shared" si="1423"/>
        <v/>
      </c>
    </row>
    <row r="113" spans="1:45" s="84" customFormat="1" ht="11.25" x14ac:dyDescent="0.15">
      <c r="A113" s="7">
        <f>SUM(C113:AS113)</f>
        <v>2</v>
      </c>
      <c r="B113" s="27" t="s">
        <v>15</v>
      </c>
      <c r="C113" s="26">
        <v>0</v>
      </c>
      <c r="D113" s="26">
        <v>0</v>
      </c>
      <c r="E113" s="26">
        <v>1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6">
        <v>0</v>
      </c>
      <c r="L113" s="26">
        <v>1</v>
      </c>
      <c r="M113" s="26">
        <f t="shared" ref="M113" si="1424">IF(M106="","",L106+L107-M106)</f>
        <v>0</v>
      </c>
      <c r="N113" s="26">
        <f t="shared" ref="N113" si="1425">IF(N106="","",M106+M107-N106)</f>
        <v>0</v>
      </c>
      <c r="O113" s="26">
        <f t="shared" ref="O113" si="1426">IF(O106="","",N106+N107-O106)</f>
        <v>0</v>
      </c>
      <c r="P113" s="26" t="str">
        <f t="shared" ref="P113" si="1427">IF(P106="","",O106+O107-P106)</f>
        <v/>
      </c>
      <c r="Q113" s="26" t="str">
        <f t="shared" ref="Q113" si="1428">IF(Q106="","",P106+P107-Q106)</f>
        <v/>
      </c>
      <c r="R113" s="26" t="str">
        <f t="shared" ref="R113" si="1429">IF(R106="","",Q106+Q107-R106)</f>
        <v/>
      </c>
      <c r="S113" s="26" t="str">
        <f t="shared" ref="S113" si="1430">IF(S106="","",R106+R107-S106)</f>
        <v/>
      </c>
      <c r="T113" s="26" t="str">
        <f t="shared" ref="T113" si="1431">IF(T106="","",S106+S107-T106)</f>
        <v/>
      </c>
      <c r="U113" s="26" t="str">
        <f t="shared" ref="U113" si="1432">IF(U106="","",T106+T107-U106)</f>
        <v/>
      </c>
      <c r="V113" s="26" t="str">
        <f t="shared" ref="V113" si="1433">IF(V106="","",U106+U107-V106)</f>
        <v/>
      </c>
      <c r="W113" s="26" t="str">
        <f t="shared" ref="W113" si="1434">IF(W106="","",V106+V107-W106)</f>
        <v/>
      </c>
      <c r="X113" s="26" t="str">
        <f t="shared" ref="X113" si="1435">IF(X106="","",W106+W107-X106)</f>
        <v/>
      </c>
      <c r="Y113" s="26" t="str">
        <f t="shared" ref="Y113" si="1436">IF(Y106="","",X106+X107-Y106)</f>
        <v/>
      </c>
      <c r="Z113" s="26" t="str">
        <f t="shared" ref="Z113" si="1437">IF(Z106="","",Y106+Y107-Z106)</f>
        <v/>
      </c>
      <c r="AA113" s="26" t="str">
        <f t="shared" ref="AA113" si="1438">IF(AA106="","",Z106+Z107-AA106)</f>
        <v/>
      </c>
      <c r="AB113" s="26" t="str">
        <f t="shared" ref="AB113" si="1439">IF(AB106="","",AA106+AA107-AB106)</f>
        <v/>
      </c>
      <c r="AC113" s="26" t="str">
        <f t="shared" ref="AC113" si="1440">IF(AC106="","",AB106+AB107-AC106)</f>
        <v/>
      </c>
      <c r="AD113" s="26" t="str">
        <f t="shared" ref="AD113" si="1441">IF(AD106="","",AC106+AC107-AD106)</f>
        <v/>
      </c>
      <c r="AE113" s="26" t="str">
        <f t="shared" ref="AE113" si="1442">IF(AE106="","",AD106+AD107-AE106)</f>
        <v/>
      </c>
      <c r="AF113" s="26" t="str">
        <f t="shared" ref="AF113" si="1443">IF(AF106="","",AE106+AE107-AF106)</f>
        <v/>
      </c>
      <c r="AG113" s="26" t="str">
        <f t="shared" ref="AG113" si="1444">IF(AG106="","",AF106+AF107-AG106)</f>
        <v/>
      </c>
      <c r="AH113" s="26" t="str">
        <f t="shared" ref="AH113" si="1445">IF(AH106="","",AG106+AG107-AH106)</f>
        <v/>
      </c>
      <c r="AI113" s="26" t="str">
        <f t="shared" ref="AI113" si="1446">IF(AI106="","",AH106+AH107-AI106)</f>
        <v/>
      </c>
      <c r="AJ113" s="26" t="str">
        <f t="shared" ref="AJ113" si="1447">IF(AJ106="","",AI106+AI107-AJ106)</f>
        <v/>
      </c>
      <c r="AK113" s="26" t="str">
        <f t="shared" ref="AK113" si="1448">IF(AK106="","",AJ106+AJ107-AK106)</f>
        <v/>
      </c>
      <c r="AL113" s="26" t="str">
        <f t="shared" ref="AL113" si="1449">IF(AL106="","",AK106+AK107-AL106)</f>
        <v/>
      </c>
      <c r="AM113" s="26" t="str">
        <f t="shared" ref="AM113" si="1450">IF(AM106="","",AL106+AL107-AM106)</f>
        <v/>
      </c>
      <c r="AN113" s="26" t="str">
        <f t="shared" ref="AN113:AS113" si="1451">IF(AN106="","",AM106+AM107-AN106)</f>
        <v/>
      </c>
      <c r="AO113" s="26" t="str">
        <f t="shared" si="1451"/>
        <v/>
      </c>
      <c r="AP113" s="26" t="str">
        <f t="shared" si="1451"/>
        <v/>
      </c>
      <c r="AQ113" s="26" t="str">
        <f t="shared" si="1451"/>
        <v/>
      </c>
      <c r="AR113" s="26" t="str">
        <f t="shared" si="1451"/>
        <v/>
      </c>
      <c r="AS113" s="26" t="str">
        <f t="shared" si="1451"/>
        <v/>
      </c>
    </row>
    <row r="114" spans="1:45" s="84" customFormat="1" ht="11.25" x14ac:dyDescent="0.15">
      <c r="A114" s="7">
        <f>SUM(C114:AS114)</f>
        <v>300</v>
      </c>
      <c r="B114" s="27" t="s">
        <v>16</v>
      </c>
      <c r="C114" s="26">
        <v>0</v>
      </c>
      <c r="D114" s="26">
        <v>0</v>
      </c>
      <c r="E114" s="26">
        <v>150</v>
      </c>
      <c r="F114" s="26">
        <v>0</v>
      </c>
      <c r="G114" s="26">
        <v>0</v>
      </c>
      <c r="H114" s="26">
        <v>0</v>
      </c>
      <c r="I114" s="26">
        <v>0</v>
      </c>
      <c r="J114" s="26">
        <v>0</v>
      </c>
      <c r="K114" s="26">
        <v>0</v>
      </c>
      <c r="L114" s="26">
        <v>150</v>
      </c>
      <c r="M114" s="26">
        <f t="shared" ref="J114:AM114" si="1452">IF(M104="","",M113*M108)</f>
        <v>0</v>
      </c>
      <c r="N114" s="26">
        <f t="shared" si="1452"/>
        <v>0</v>
      </c>
      <c r="O114" s="26">
        <f t="shared" si="1452"/>
        <v>0</v>
      </c>
      <c r="P114" s="26" t="str">
        <f t="shared" si="1452"/>
        <v/>
      </c>
      <c r="Q114" s="26" t="str">
        <f t="shared" si="1452"/>
        <v/>
      </c>
      <c r="R114" s="26" t="str">
        <f t="shared" si="1452"/>
        <v/>
      </c>
      <c r="S114" s="26" t="str">
        <f t="shared" si="1452"/>
        <v/>
      </c>
      <c r="T114" s="26" t="str">
        <f t="shared" si="1452"/>
        <v/>
      </c>
      <c r="U114" s="26" t="str">
        <f t="shared" si="1452"/>
        <v/>
      </c>
      <c r="V114" s="26" t="str">
        <f t="shared" si="1452"/>
        <v/>
      </c>
      <c r="W114" s="26" t="str">
        <f t="shared" si="1452"/>
        <v/>
      </c>
      <c r="X114" s="26" t="str">
        <f t="shared" si="1452"/>
        <v/>
      </c>
      <c r="Y114" s="26" t="str">
        <f t="shared" si="1452"/>
        <v/>
      </c>
      <c r="Z114" s="26" t="str">
        <f t="shared" si="1452"/>
        <v/>
      </c>
      <c r="AA114" s="26" t="str">
        <f t="shared" si="1452"/>
        <v/>
      </c>
      <c r="AB114" s="26" t="str">
        <f t="shared" si="1452"/>
        <v/>
      </c>
      <c r="AC114" s="26" t="str">
        <f t="shared" si="1452"/>
        <v/>
      </c>
      <c r="AD114" s="26" t="str">
        <f t="shared" si="1452"/>
        <v/>
      </c>
      <c r="AE114" s="26" t="str">
        <f t="shared" si="1452"/>
        <v/>
      </c>
      <c r="AF114" s="26" t="str">
        <f t="shared" si="1452"/>
        <v/>
      </c>
      <c r="AG114" s="26" t="str">
        <f t="shared" si="1452"/>
        <v/>
      </c>
      <c r="AH114" s="26" t="str">
        <f t="shared" si="1452"/>
        <v/>
      </c>
      <c r="AI114" s="26" t="str">
        <f t="shared" si="1452"/>
        <v/>
      </c>
      <c r="AJ114" s="26" t="str">
        <f t="shared" si="1452"/>
        <v/>
      </c>
      <c r="AK114" s="26" t="str">
        <f t="shared" si="1452"/>
        <v/>
      </c>
      <c r="AL114" s="26" t="str">
        <f t="shared" si="1452"/>
        <v/>
      </c>
      <c r="AM114" s="26" t="str">
        <f t="shared" si="1452"/>
        <v/>
      </c>
      <c r="AN114" s="26" t="str">
        <f t="shared" ref="AN114:AS114" si="1453">IF(AN104="","",AN113*AN108)</f>
        <v/>
      </c>
      <c r="AO114" s="26" t="str">
        <f t="shared" si="1453"/>
        <v/>
      </c>
      <c r="AP114" s="26" t="str">
        <f t="shared" si="1453"/>
        <v/>
      </c>
      <c r="AQ114" s="26" t="str">
        <f t="shared" si="1453"/>
        <v/>
      </c>
      <c r="AR114" s="26" t="str">
        <f t="shared" si="1453"/>
        <v/>
      </c>
      <c r="AS114" s="26" t="str">
        <f t="shared" si="1453"/>
        <v/>
      </c>
    </row>
    <row r="115" spans="1:45" s="84" customFormat="1" ht="12" thickBot="1" x14ac:dyDescent="0.2">
      <c r="A115" s="4">
        <f>IF(A114="","",A114/(A111*100))</f>
        <v>1.2448132780082987E-2</v>
      </c>
      <c r="B115" s="24" t="s">
        <v>18</v>
      </c>
      <c r="C115" s="23" t="s">
        <v>19</v>
      </c>
      <c r="D115" s="23" t="s">
        <v>19</v>
      </c>
      <c r="E115" s="23">
        <v>4.1666666666666664E-2</v>
      </c>
      <c r="F115" s="23" t="s">
        <v>19</v>
      </c>
      <c r="G115" s="23" t="s">
        <v>19</v>
      </c>
      <c r="H115" s="23" t="s">
        <v>19</v>
      </c>
      <c r="I115" s="23" t="s">
        <v>19</v>
      </c>
      <c r="J115" s="23" t="s">
        <v>19</v>
      </c>
      <c r="K115" s="23" t="s">
        <v>19</v>
      </c>
      <c r="L115" s="23">
        <v>1.6853932584269662E-2</v>
      </c>
      <c r="M115" s="23" t="str">
        <f t="shared" ref="J115:AM115" si="1454">IF(M114="","",IF(M114=0,"",M114/(M111*100)))</f>
        <v/>
      </c>
      <c r="N115" s="23" t="str">
        <f t="shared" si="1454"/>
        <v/>
      </c>
      <c r="O115" s="23" t="str">
        <f t="shared" si="1454"/>
        <v/>
      </c>
      <c r="P115" s="23" t="str">
        <f t="shared" si="1454"/>
        <v/>
      </c>
      <c r="Q115" s="23" t="str">
        <f t="shared" si="1454"/>
        <v/>
      </c>
      <c r="R115" s="23" t="str">
        <f t="shared" si="1454"/>
        <v/>
      </c>
      <c r="S115" s="23" t="str">
        <f t="shared" si="1454"/>
        <v/>
      </c>
      <c r="T115" s="23" t="str">
        <f t="shared" si="1454"/>
        <v/>
      </c>
      <c r="U115" s="23" t="str">
        <f t="shared" si="1454"/>
        <v/>
      </c>
      <c r="V115" s="23" t="str">
        <f t="shared" si="1454"/>
        <v/>
      </c>
      <c r="W115" s="23" t="str">
        <f t="shared" si="1454"/>
        <v/>
      </c>
      <c r="X115" s="23" t="str">
        <f t="shared" si="1454"/>
        <v/>
      </c>
      <c r="Y115" s="23" t="str">
        <f t="shared" si="1454"/>
        <v/>
      </c>
      <c r="Z115" s="23" t="str">
        <f t="shared" si="1454"/>
        <v/>
      </c>
      <c r="AA115" s="23" t="str">
        <f t="shared" si="1454"/>
        <v/>
      </c>
      <c r="AB115" s="23" t="str">
        <f t="shared" si="1454"/>
        <v/>
      </c>
      <c r="AC115" s="23" t="str">
        <f t="shared" si="1454"/>
        <v/>
      </c>
      <c r="AD115" s="23" t="str">
        <f t="shared" si="1454"/>
        <v/>
      </c>
      <c r="AE115" s="23" t="str">
        <f t="shared" si="1454"/>
        <v/>
      </c>
      <c r="AF115" s="23" t="str">
        <f t="shared" si="1454"/>
        <v/>
      </c>
      <c r="AG115" s="23" t="str">
        <f t="shared" si="1454"/>
        <v/>
      </c>
      <c r="AH115" s="23" t="str">
        <f t="shared" si="1454"/>
        <v/>
      </c>
      <c r="AI115" s="23" t="str">
        <f t="shared" si="1454"/>
        <v/>
      </c>
      <c r="AJ115" s="23" t="str">
        <f t="shared" si="1454"/>
        <v/>
      </c>
      <c r="AK115" s="23" t="str">
        <f t="shared" si="1454"/>
        <v/>
      </c>
      <c r="AL115" s="23" t="str">
        <f t="shared" si="1454"/>
        <v/>
      </c>
      <c r="AM115" s="23" t="str">
        <f t="shared" si="1454"/>
        <v/>
      </c>
      <c r="AN115" s="23" t="str">
        <f t="shared" ref="AN115:AS115" si="1455">IF(AN114="","",IF(AN114=0,"",AN114/(AN111*100)))</f>
        <v/>
      </c>
      <c r="AO115" s="23" t="str">
        <f t="shared" si="1455"/>
        <v/>
      </c>
      <c r="AP115" s="23" t="str">
        <f t="shared" si="1455"/>
        <v/>
      </c>
      <c r="AQ115" s="23" t="str">
        <f t="shared" si="1455"/>
        <v/>
      </c>
      <c r="AR115" s="23" t="str">
        <f t="shared" si="1455"/>
        <v/>
      </c>
      <c r="AS115" s="23" t="str">
        <f t="shared" si="1455"/>
        <v/>
      </c>
    </row>
    <row r="116" spans="1:45" s="84" customFormat="1" ht="11.25" x14ac:dyDescent="0.15">
      <c r="A116" s="40" t="s">
        <v>83</v>
      </c>
      <c r="B116" s="39" t="s">
        <v>2</v>
      </c>
      <c r="C116" s="38">
        <v>31178</v>
      </c>
      <c r="D116" s="38">
        <v>31178</v>
      </c>
      <c r="E116" s="38">
        <v>31200</v>
      </c>
      <c r="F116" s="38">
        <v>31200</v>
      </c>
      <c r="G116" s="38">
        <v>31200</v>
      </c>
      <c r="H116" s="38">
        <v>31298</v>
      </c>
      <c r="I116" s="38">
        <v>31298</v>
      </c>
      <c r="J116" s="38">
        <v>31298</v>
      </c>
      <c r="K116" s="38">
        <v>31298</v>
      </c>
      <c r="L116" s="38">
        <v>31350</v>
      </c>
      <c r="M116" s="38">
        <f t="shared" ref="M116:M117" si="1456">IF(M$8="","",L116)</f>
        <v>31350</v>
      </c>
      <c r="N116" s="38">
        <f t="shared" ref="N116:N117" si="1457">IF(N$8="","",M116)</f>
        <v>31350</v>
      </c>
      <c r="O116" s="38">
        <v>31434</v>
      </c>
      <c r="P116" s="38" t="str">
        <f>IF(P$8="","",O116)</f>
        <v/>
      </c>
      <c r="Q116" s="38" t="str">
        <f t="shared" ref="Q116:Q117" si="1458">IF(Q$8="","",P116)</f>
        <v/>
      </c>
      <c r="R116" s="38" t="str">
        <f t="shared" ref="R116:R117" si="1459">IF(R$8="","",Q116)</f>
        <v/>
      </c>
      <c r="S116" s="38" t="str">
        <f>IF(S$8="","",R116)</f>
        <v/>
      </c>
      <c r="T116" s="38" t="str">
        <f t="shared" ref="T116:T117" si="1460">IF(T$8="","",S116)</f>
        <v/>
      </c>
      <c r="U116" s="38" t="str">
        <f t="shared" ref="U116:U117" si="1461">IF(U$8="","",T116)</f>
        <v/>
      </c>
      <c r="V116" s="38" t="str">
        <f>IF(V$8="","",U116)</f>
        <v/>
      </c>
      <c r="W116" s="38" t="str">
        <f t="shared" ref="W116:W117" si="1462">IF(W$8="","",V116)</f>
        <v/>
      </c>
      <c r="X116" s="38" t="str">
        <f t="shared" ref="X116:X117" si="1463">IF(X$8="","",W116)</f>
        <v/>
      </c>
      <c r="Y116" s="38" t="str">
        <f t="shared" ref="Y116:Y117" si="1464">IF(Y$8="","",X116)</f>
        <v/>
      </c>
      <c r="Z116" s="38" t="str">
        <f>IF(Z$8="","",Y116)</f>
        <v/>
      </c>
      <c r="AA116" s="38" t="str">
        <f t="shared" ref="AA116:AA117" si="1465">IF(AA$8="","",Z116)</f>
        <v/>
      </c>
      <c r="AB116" s="38" t="str">
        <f t="shared" ref="AB116:AB117" si="1466">IF(AB$8="","",AA116)</f>
        <v/>
      </c>
      <c r="AC116" s="38" t="str">
        <f t="shared" ref="AC116:AC117" si="1467">IF(AC$8="","",AB116)</f>
        <v/>
      </c>
      <c r="AD116" s="38" t="str">
        <f>IF(AD$8="","",AC116)</f>
        <v/>
      </c>
      <c r="AE116" s="38" t="str">
        <f t="shared" ref="AE116:AE117" si="1468">IF(AE$8="","",AD116)</f>
        <v/>
      </c>
      <c r="AF116" s="38" t="str">
        <f t="shared" ref="AF116:AF117" si="1469">IF(AF$8="","",AE116)</f>
        <v/>
      </c>
      <c r="AG116" s="38" t="str">
        <f>IF(AG$8="","",AF116)</f>
        <v/>
      </c>
      <c r="AH116" s="38" t="str">
        <f t="shared" ref="AH116:AH117" si="1470">IF(AH$8="","",AG116)</f>
        <v/>
      </c>
      <c r="AI116" s="38" t="str">
        <f t="shared" ref="AI116:AI117" si="1471">IF(AI$8="","",AH116)</f>
        <v/>
      </c>
      <c r="AJ116" s="38" t="str">
        <f>IF(AJ$8="","",AI116)</f>
        <v/>
      </c>
      <c r="AK116" s="38" t="str">
        <f t="shared" ref="AK116:AK117" si="1472">IF(AK$8="","",AJ116)</f>
        <v/>
      </c>
      <c r="AL116" s="38" t="str">
        <f t="shared" ref="AL116:AL117" si="1473">IF(AL$8="","",AK116)</f>
        <v/>
      </c>
      <c r="AM116" s="38" t="str">
        <f t="shared" ref="AM116:AM117" si="1474">IF(AM$8="","",AL116)</f>
        <v/>
      </c>
      <c r="AN116" s="38" t="str">
        <f>IF(AN$8="","",AM116)</f>
        <v/>
      </c>
      <c r="AO116" s="38" t="str">
        <f t="shared" ref="AN116:AS116" si="1475">IF(AO$8="","",AN116)</f>
        <v/>
      </c>
      <c r="AP116" s="38" t="str">
        <f t="shared" si="1475"/>
        <v/>
      </c>
      <c r="AQ116" s="38" t="str">
        <f t="shared" si="1475"/>
        <v/>
      </c>
      <c r="AR116" s="38" t="str">
        <f t="shared" si="1475"/>
        <v/>
      </c>
      <c r="AS116" s="38" t="str">
        <f t="shared" si="1475"/>
        <v/>
      </c>
    </row>
    <row r="117" spans="1:45" s="84" customFormat="1" ht="11.25" x14ac:dyDescent="0.15">
      <c r="A117" s="37" t="s">
        <v>79</v>
      </c>
      <c r="B117" s="30" t="s">
        <v>4</v>
      </c>
      <c r="C117" s="29">
        <v>691</v>
      </c>
      <c r="D117" s="29">
        <v>691</v>
      </c>
      <c r="E117" s="29">
        <v>691</v>
      </c>
      <c r="F117" s="29">
        <v>691</v>
      </c>
      <c r="G117" s="29">
        <v>691</v>
      </c>
      <c r="H117" s="29">
        <v>693</v>
      </c>
      <c r="I117" s="29">
        <v>693</v>
      </c>
      <c r="J117" s="29">
        <v>693</v>
      </c>
      <c r="K117" s="29">
        <v>693</v>
      </c>
      <c r="L117" s="29">
        <v>695</v>
      </c>
      <c r="M117" s="29">
        <f t="shared" si="1456"/>
        <v>695</v>
      </c>
      <c r="N117" s="29">
        <f t="shared" si="1457"/>
        <v>695</v>
      </c>
      <c r="O117" s="29">
        <v>699</v>
      </c>
      <c r="P117" s="29" t="str">
        <f>IF(P$8="","",O117)</f>
        <v/>
      </c>
      <c r="Q117" s="29" t="str">
        <f t="shared" si="1458"/>
        <v/>
      </c>
      <c r="R117" s="29" t="str">
        <f t="shared" si="1459"/>
        <v/>
      </c>
      <c r="S117" s="29" t="str">
        <f>IF(S$8="","",R117)</f>
        <v/>
      </c>
      <c r="T117" s="29" t="str">
        <f t="shared" si="1460"/>
        <v/>
      </c>
      <c r="U117" s="29" t="str">
        <f t="shared" si="1461"/>
        <v/>
      </c>
      <c r="V117" s="29" t="str">
        <f>IF(V$8="","",U117)</f>
        <v/>
      </c>
      <c r="W117" s="29" t="str">
        <f t="shared" si="1462"/>
        <v/>
      </c>
      <c r="X117" s="29" t="str">
        <f t="shared" si="1463"/>
        <v/>
      </c>
      <c r="Y117" s="29" t="str">
        <f t="shared" si="1464"/>
        <v/>
      </c>
      <c r="Z117" s="29" t="str">
        <f>IF(Z$8="","",Y117)</f>
        <v/>
      </c>
      <c r="AA117" s="29" t="str">
        <f t="shared" si="1465"/>
        <v/>
      </c>
      <c r="AB117" s="29" t="str">
        <f t="shared" si="1466"/>
        <v/>
      </c>
      <c r="AC117" s="29" t="str">
        <f t="shared" si="1467"/>
        <v/>
      </c>
      <c r="AD117" s="29" t="str">
        <f>IF(AD$8="","",AC117)</f>
        <v/>
      </c>
      <c r="AE117" s="29" t="str">
        <f t="shared" si="1468"/>
        <v/>
      </c>
      <c r="AF117" s="29" t="str">
        <f t="shared" si="1469"/>
        <v/>
      </c>
      <c r="AG117" s="29" t="str">
        <f>IF(AG$8="","",AF117)</f>
        <v/>
      </c>
      <c r="AH117" s="29" t="str">
        <f t="shared" si="1470"/>
        <v/>
      </c>
      <c r="AI117" s="29" t="str">
        <f t="shared" si="1471"/>
        <v/>
      </c>
      <c r="AJ117" s="29" t="str">
        <f>IF(AJ$8="","",AI117)</f>
        <v/>
      </c>
      <c r="AK117" s="29" t="str">
        <f t="shared" si="1472"/>
        <v/>
      </c>
      <c r="AL117" s="29" t="str">
        <f t="shared" si="1473"/>
        <v/>
      </c>
      <c r="AM117" s="29" t="str">
        <f t="shared" si="1474"/>
        <v/>
      </c>
      <c r="AN117" s="29" t="str">
        <f>IF(AN$8="","",AM117)</f>
        <v/>
      </c>
      <c r="AO117" s="29" t="str">
        <f t="shared" ref="AN117:AS117" si="1476">IF(AO$8="","",AN117)</f>
        <v/>
      </c>
      <c r="AP117" s="29" t="str">
        <f t="shared" si="1476"/>
        <v/>
      </c>
      <c r="AQ117" s="29" t="str">
        <f t="shared" si="1476"/>
        <v/>
      </c>
      <c r="AR117" s="29" t="str">
        <f t="shared" si="1476"/>
        <v/>
      </c>
      <c r="AS117" s="29" t="str">
        <f t="shared" si="1476"/>
        <v/>
      </c>
    </row>
    <row r="118" spans="1:45" s="84" customFormat="1" ht="11.25" x14ac:dyDescent="0.15">
      <c r="A118" s="34"/>
      <c r="B118" s="30" t="s">
        <v>5</v>
      </c>
      <c r="C118" s="29">
        <v>20</v>
      </c>
      <c r="D118" s="29">
        <v>20</v>
      </c>
      <c r="E118" s="29">
        <v>20</v>
      </c>
      <c r="F118" s="29">
        <v>20</v>
      </c>
      <c r="G118" s="29">
        <v>20</v>
      </c>
      <c r="H118" s="29">
        <v>18</v>
      </c>
      <c r="I118" s="29">
        <v>36</v>
      </c>
      <c r="J118" s="29">
        <v>36</v>
      </c>
      <c r="K118" s="29">
        <v>36</v>
      </c>
      <c r="L118" s="29">
        <v>34</v>
      </c>
      <c r="M118" s="29">
        <f t="shared" ref="M118" si="1477">IF(M116="","",(L118+L119))</f>
        <v>34</v>
      </c>
      <c r="N118" s="29">
        <f t="shared" ref="N118" si="1478">IF(N116="","",(M118+M119))</f>
        <v>34</v>
      </c>
      <c r="O118" s="29">
        <v>30</v>
      </c>
      <c r="P118" s="29" t="str">
        <f>IF(P116="","",(O118+O119))</f>
        <v/>
      </c>
      <c r="Q118" s="29" t="str">
        <f t="shared" ref="Q118" si="1479">IF(Q116="","",(P118+P119))</f>
        <v/>
      </c>
      <c r="R118" s="29" t="str">
        <f t="shared" ref="R118" si="1480">IF(R116="","",(Q118+Q119))</f>
        <v/>
      </c>
      <c r="S118" s="29" t="str">
        <f>IF(S116="","",(R118+R119))</f>
        <v/>
      </c>
      <c r="T118" s="29" t="str">
        <f t="shared" ref="T118" si="1481">IF(T116="","",(S118+S119))</f>
        <v/>
      </c>
      <c r="U118" s="29" t="str">
        <f t="shared" ref="U118" si="1482">IF(U116="","",(T118+T119))</f>
        <v/>
      </c>
      <c r="V118" s="29" t="str">
        <f>IF(V116="","",(U118+U119))</f>
        <v/>
      </c>
      <c r="W118" s="29" t="str">
        <f t="shared" ref="W118" si="1483">IF(W116="","",(V118+V119))</f>
        <v/>
      </c>
      <c r="X118" s="29" t="str">
        <f t="shared" ref="X118" si="1484">IF(X116="","",(W118+W119))</f>
        <v/>
      </c>
      <c r="Y118" s="29" t="str">
        <f t="shared" ref="Y118" si="1485">IF(Y116="","",(X118+X119))</f>
        <v/>
      </c>
      <c r="Z118" s="29" t="str">
        <f>IF(Z116="","",(Y118+Y119))</f>
        <v/>
      </c>
      <c r="AA118" s="29" t="str">
        <f t="shared" ref="AA118" si="1486">IF(AA116="","",(Z118+Z119))</f>
        <v/>
      </c>
      <c r="AB118" s="29" t="str">
        <f t="shared" ref="AB118" si="1487">IF(AB116="","",(AA118+AA119))</f>
        <v/>
      </c>
      <c r="AC118" s="29" t="str">
        <f t="shared" ref="AC118" si="1488">IF(AC116="","",(AB118+AB119))</f>
        <v/>
      </c>
      <c r="AD118" s="29" t="str">
        <f>IF(AD116="","",(AC118+AC119))</f>
        <v/>
      </c>
      <c r="AE118" s="29" t="str">
        <f t="shared" ref="AE118" si="1489">IF(AE116="","",(AD118+AD119))</f>
        <v/>
      </c>
      <c r="AF118" s="29" t="str">
        <f t="shared" ref="AF118" si="1490">IF(AF116="","",(AE118+AE119))</f>
        <v/>
      </c>
      <c r="AG118" s="29" t="str">
        <f>IF(AG116="","",(AF118+AF119))</f>
        <v/>
      </c>
      <c r="AH118" s="29" t="str">
        <f t="shared" ref="AH118" si="1491">IF(AH116="","",(AG118+AG119))</f>
        <v/>
      </c>
      <c r="AI118" s="29" t="str">
        <f t="shared" ref="AI118" si="1492">IF(AI116="","",(AH118+AH119))</f>
        <v/>
      </c>
      <c r="AJ118" s="29" t="str">
        <f>IF(AJ116="","",(AI118+AI119))</f>
        <v/>
      </c>
      <c r="AK118" s="29" t="str">
        <f t="shared" ref="AK118" si="1493">IF(AK116="","",(AJ118+AJ119))</f>
        <v/>
      </c>
      <c r="AL118" s="29" t="str">
        <f t="shared" ref="AL118" si="1494">IF(AL116="","",(AK118+AK119))</f>
        <v/>
      </c>
      <c r="AM118" s="29" t="str">
        <f t="shared" ref="AM118" si="1495">IF(AM116="","",(AL118+AL119))</f>
        <v/>
      </c>
      <c r="AN118" s="29" t="str">
        <f>IF(AN116="","",(AM118+AM119))</f>
        <v/>
      </c>
      <c r="AO118" s="29" t="str">
        <f t="shared" ref="AN118:AS118" si="1496">IF(AO116="","",(AN118+AN119))</f>
        <v/>
      </c>
      <c r="AP118" s="29" t="str">
        <f t="shared" si="1496"/>
        <v/>
      </c>
      <c r="AQ118" s="29" t="str">
        <f t="shared" si="1496"/>
        <v/>
      </c>
      <c r="AR118" s="29" t="str">
        <f t="shared" si="1496"/>
        <v/>
      </c>
      <c r="AS118" s="29" t="str">
        <f t="shared" si="1496"/>
        <v/>
      </c>
    </row>
    <row r="119" spans="1:45" s="84" customFormat="1" ht="11.25" x14ac:dyDescent="0.15">
      <c r="A119" s="14"/>
      <c r="B119" s="30" t="s">
        <v>7</v>
      </c>
      <c r="C119" s="29"/>
      <c r="D119" s="29"/>
      <c r="E119" s="29"/>
      <c r="F119" s="29"/>
      <c r="G119" s="29"/>
      <c r="H119" s="29">
        <v>18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</row>
    <row r="120" spans="1:45" s="84" customFormat="1" ht="11.25" x14ac:dyDescent="0.15">
      <c r="A120" s="7"/>
      <c r="B120" s="30" t="s">
        <v>8</v>
      </c>
      <c r="C120" s="35">
        <v>800</v>
      </c>
      <c r="D120" s="35">
        <v>800</v>
      </c>
      <c r="E120" s="35">
        <v>800</v>
      </c>
      <c r="F120" s="35">
        <v>800</v>
      </c>
      <c r="G120" s="35">
        <v>800</v>
      </c>
      <c r="H120" s="35">
        <v>800</v>
      </c>
      <c r="I120" s="35">
        <v>800</v>
      </c>
      <c r="J120" s="35">
        <v>800</v>
      </c>
      <c r="K120" s="35">
        <v>800</v>
      </c>
      <c r="L120" s="35">
        <v>800</v>
      </c>
      <c r="M120" s="35">
        <f t="shared" ref="M120" si="1497">IF(M116="","",L120)</f>
        <v>800</v>
      </c>
      <c r="N120" s="35">
        <f t="shared" ref="N120" si="1498">IF(N116="","",M120)</f>
        <v>800</v>
      </c>
      <c r="O120" s="35">
        <f t="shared" ref="O120" si="1499">IF(O116="","",N120)</f>
        <v>800</v>
      </c>
      <c r="P120" s="35" t="str">
        <f t="shared" ref="P120" si="1500">IF(P116="","",O120)</f>
        <v/>
      </c>
      <c r="Q120" s="35" t="str">
        <f t="shared" ref="Q120" si="1501">IF(Q116="","",P120)</f>
        <v/>
      </c>
      <c r="R120" s="35" t="str">
        <f t="shared" ref="R120" si="1502">IF(R116="","",Q120)</f>
        <v/>
      </c>
      <c r="S120" s="35" t="str">
        <f t="shared" ref="S120" si="1503">IF(S116="","",R120)</f>
        <v/>
      </c>
      <c r="T120" s="35" t="str">
        <f t="shared" ref="T120" si="1504">IF(T116="","",S120)</f>
        <v/>
      </c>
      <c r="U120" s="35" t="str">
        <f t="shared" ref="U120" si="1505">IF(U116="","",T120)</f>
        <v/>
      </c>
      <c r="V120" s="35" t="str">
        <f t="shared" ref="V120" si="1506">IF(V116="","",U120)</f>
        <v/>
      </c>
      <c r="W120" s="35" t="str">
        <f t="shared" ref="W120" si="1507">IF(W116="","",V120)</f>
        <v/>
      </c>
      <c r="X120" s="35" t="str">
        <f t="shared" ref="X120" si="1508">IF(X116="","",W120)</f>
        <v/>
      </c>
      <c r="Y120" s="35" t="str">
        <f t="shared" ref="Y120" si="1509">IF(Y116="","",X120)</f>
        <v/>
      </c>
      <c r="Z120" s="35" t="str">
        <f t="shared" ref="Z120" si="1510">IF(Z116="","",Y120)</f>
        <v/>
      </c>
      <c r="AA120" s="35" t="str">
        <f t="shared" ref="AA120" si="1511">IF(AA116="","",Z120)</f>
        <v/>
      </c>
      <c r="AB120" s="35" t="str">
        <f t="shared" ref="AB120" si="1512">IF(AB116="","",AA120)</f>
        <v/>
      </c>
      <c r="AC120" s="35" t="str">
        <f t="shared" ref="AC120" si="1513">IF(AC116="","",AB120)</f>
        <v/>
      </c>
      <c r="AD120" s="35" t="str">
        <f t="shared" ref="AD120" si="1514">IF(AD116="","",AC120)</f>
        <v/>
      </c>
      <c r="AE120" s="35" t="str">
        <f t="shared" ref="AE120" si="1515">IF(AE116="","",AD120)</f>
        <v/>
      </c>
      <c r="AF120" s="35" t="str">
        <f t="shared" ref="AF120" si="1516">IF(AF116="","",AE120)</f>
        <v/>
      </c>
      <c r="AG120" s="35" t="str">
        <f t="shared" ref="AG120" si="1517">IF(AG116="","",AF120)</f>
        <v/>
      </c>
      <c r="AH120" s="35" t="str">
        <f t="shared" ref="AH120" si="1518">IF(AH116="","",AG120)</f>
        <v/>
      </c>
      <c r="AI120" s="35" t="str">
        <f t="shared" ref="AI120" si="1519">IF(AI116="","",AH120)</f>
        <v/>
      </c>
      <c r="AJ120" s="35" t="str">
        <f t="shared" ref="AJ120" si="1520">IF(AJ116="","",AI120)</f>
        <v/>
      </c>
      <c r="AK120" s="35" t="str">
        <f t="shared" ref="AK120" si="1521">IF(AK116="","",AJ120)</f>
        <v/>
      </c>
      <c r="AL120" s="35" t="str">
        <f t="shared" ref="AL120" si="1522">IF(AL116="","",AK120)</f>
        <v/>
      </c>
      <c r="AM120" s="35" t="str">
        <f t="shared" ref="AM120" si="1523">IF(AM116="","",AL120)</f>
        <v/>
      </c>
      <c r="AN120" s="35" t="str">
        <f t="shared" ref="AN120:AS120" si="1524">IF(AN116="","",AM120)</f>
        <v/>
      </c>
      <c r="AO120" s="35" t="str">
        <f t="shared" si="1524"/>
        <v/>
      </c>
      <c r="AP120" s="35" t="str">
        <f t="shared" si="1524"/>
        <v/>
      </c>
      <c r="AQ120" s="35" t="str">
        <f t="shared" si="1524"/>
        <v/>
      </c>
      <c r="AR120" s="35" t="str">
        <f t="shared" si="1524"/>
        <v/>
      </c>
      <c r="AS120" s="35" t="str">
        <f t="shared" si="1524"/>
        <v/>
      </c>
    </row>
    <row r="121" spans="1:45" s="85" customFormat="1" ht="11.25" x14ac:dyDescent="0.15">
      <c r="A121" s="14" t="s">
        <v>9</v>
      </c>
      <c r="B121" s="33" t="s">
        <v>10</v>
      </c>
      <c r="C121" s="32" t="s">
        <v>54</v>
      </c>
      <c r="D121" s="32" t="s">
        <v>54</v>
      </c>
      <c r="E121" s="32" t="s">
        <v>54</v>
      </c>
      <c r="F121" s="32" t="s">
        <v>54</v>
      </c>
      <c r="G121" s="32" t="s">
        <v>54</v>
      </c>
      <c r="H121" s="32" t="s">
        <v>54</v>
      </c>
      <c r="I121" s="32" t="s">
        <v>54</v>
      </c>
      <c r="J121" s="32" t="s">
        <v>54</v>
      </c>
      <c r="K121" s="32" t="s">
        <v>54</v>
      </c>
      <c r="L121" s="32" t="s">
        <v>54</v>
      </c>
      <c r="M121" s="32" t="str">
        <f t="shared" ref="M121" si="1525">IF(M116="","",L121)</f>
        <v>サンリオ着ぐるみマスコット</v>
      </c>
      <c r="N121" s="32" t="str">
        <f t="shared" ref="N121" si="1526">IF(N116="","",M121)</f>
        <v>サンリオ着ぐるみマスコット</v>
      </c>
      <c r="O121" s="32" t="str">
        <f t="shared" ref="O121" si="1527">IF(O116="","",N121)</f>
        <v>サンリオ着ぐるみマスコット</v>
      </c>
      <c r="P121" s="32" t="str">
        <f t="shared" ref="P121" si="1528">IF(P116="","",O121)</f>
        <v/>
      </c>
      <c r="Q121" s="32" t="str">
        <f t="shared" ref="Q121" si="1529">IF(Q116="","",P121)</f>
        <v/>
      </c>
      <c r="R121" s="32" t="str">
        <f t="shared" ref="R121" si="1530">IF(R116="","",Q121)</f>
        <v/>
      </c>
      <c r="S121" s="32" t="str">
        <f t="shared" ref="S121" si="1531">IF(S116="","",R121)</f>
        <v/>
      </c>
      <c r="T121" s="32" t="str">
        <f t="shared" ref="T121" si="1532">IF(T116="","",S121)</f>
        <v/>
      </c>
      <c r="U121" s="32" t="str">
        <f t="shared" ref="U121" si="1533">IF(U116="","",T121)</f>
        <v/>
      </c>
      <c r="V121" s="32" t="str">
        <f t="shared" ref="V121" si="1534">IF(V116="","",U121)</f>
        <v/>
      </c>
      <c r="W121" s="32" t="str">
        <f t="shared" ref="W121" si="1535">IF(W116="","",V121)</f>
        <v/>
      </c>
      <c r="X121" s="32" t="str">
        <f t="shared" ref="X121" si="1536">IF(X116="","",W121)</f>
        <v/>
      </c>
      <c r="Y121" s="32" t="str">
        <f t="shared" ref="Y121" si="1537">IF(Y116="","",X121)</f>
        <v/>
      </c>
      <c r="Z121" s="32" t="str">
        <f t="shared" ref="Z121" si="1538">IF(Z116="","",Y121)</f>
        <v/>
      </c>
      <c r="AA121" s="32" t="str">
        <f t="shared" ref="AA121" si="1539">IF(AA116="","",Z121)</f>
        <v/>
      </c>
      <c r="AB121" s="32" t="str">
        <f t="shared" ref="AB121" si="1540">IF(AB116="","",AA121)</f>
        <v/>
      </c>
      <c r="AC121" s="32" t="str">
        <f t="shared" ref="AC121" si="1541">IF(AC116="","",AB121)</f>
        <v/>
      </c>
      <c r="AD121" s="32" t="str">
        <f t="shared" ref="AD121" si="1542">IF(AD116="","",AC121)</f>
        <v/>
      </c>
      <c r="AE121" s="32" t="str">
        <f t="shared" ref="AE121" si="1543">IF(AE116="","",AD121)</f>
        <v/>
      </c>
      <c r="AF121" s="32" t="str">
        <f t="shared" ref="AF121" si="1544">IF(AF116="","",AE121)</f>
        <v/>
      </c>
      <c r="AG121" s="32" t="str">
        <f t="shared" ref="AG121" si="1545">IF(AG116="","",AF121)</f>
        <v/>
      </c>
      <c r="AH121" s="32" t="str">
        <f t="shared" ref="AH121" si="1546">IF(AH116="","",AG121)</f>
        <v/>
      </c>
      <c r="AI121" s="32" t="str">
        <f t="shared" ref="AI121" si="1547">IF(AI116="","",AH121)</f>
        <v/>
      </c>
      <c r="AJ121" s="32" t="str">
        <f t="shared" ref="AJ121" si="1548">IF(AJ116="","",AI121)</f>
        <v/>
      </c>
      <c r="AK121" s="32" t="str">
        <f t="shared" ref="AK121" si="1549">IF(AK116="","",AJ121)</f>
        <v/>
      </c>
      <c r="AL121" s="32" t="str">
        <f t="shared" ref="AL121" si="1550">IF(AL116="","",AK121)</f>
        <v/>
      </c>
      <c r="AM121" s="32" t="str">
        <f t="shared" ref="AM121" si="1551">IF(AM116="","",AL121)</f>
        <v/>
      </c>
      <c r="AN121" s="32" t="str">
        <f t="shared" ref="AN121:AS121" si="1552">IF(AN116="","",AM121)</f>
        <v/>
      </c>
      <c r="AO121" s="32" t="str">
        <f t="shared" si="1552"/>
        <v/>
      </c>
      <c r="AP121" s="32" t="str">
        <f t="shared" si="1552"/>
        <v/>
      </c>
      <c r="AQ121" s="32" t="str">
        <f t="shared" si="1552"/>
        <v/>
      </c>
      <c r="AR121" s="32" t="str">
        <f t="shared" si="1552"/>
        <v/>
      </c>
      <c r="AS121" s="32" t="str">
        <f t="shared" si="1552"/>
        <v/>
      </c>
    </row>
    <row r="122" spans="1:45" s="84" customFormat="1" ht="11.25" x14ac:dyDescent="0.15">
      <c r="A122" s="7">
        <f>AVERAGE(C123:AS123)*30*100</f>
        <v>59076.923076923085</v>
      </c>
      <c r="B122" s="30" t="s">
        <v>12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</row>
    <row r="123" spans="1:45" s="84" customFormat="1" ht="11.25" x14ac:dyDescent="0.15">
      <c r="A123" s="7">
        <f>SUM(C123:AS123)</f>
        <v>256</v>
      </c>
      <c r="B123" s="27" t="s">
        <v>13</v>
      </c>
      <c r="C123" s="26">
        <v>0</v>
      </c>
      <c r="D123" s="26">
        <v>0</v>
      </c>
      <c r="E123" s="26">
        <v>22</v>
      </c>
      <c r="F123" s="26">
        <v>0</v>
      </c>
      <c r="G123" s="26">
        <v>0</v>
      </c>
      <c r="H123" s="26">
        <v>98</v>
      </c>
      <c r="I123" s="26">
        <v>0</v>
      </c>
      <c r="J123" s="26">
        <v>0</v>
      </c>
      <c r="K123" s="26">
        <v>0</v>
      </c>
      <c r="L123" s="26">
        <v>52</v>
      </c>
      <c r="M123" s="26">
        <f t="shared" ref="M123:M124" si="1553">IF(M116="","",M116-L116)</f>
        <v>0</v>
      </c>
      <c r="N123" s="26">
        <f t="shared" ref="N123:N124" si="1554">IF(N116="","",N116-M116)</f>
        <v>0</v>
      </c>
      <c r="O123" s="26">
        <f t="shared" ref="O123:O124" si="1555">IF(O116="","",O116-N116)</f>
        <v>84</v>
      </c>
      <c r="P123" s="26" t="str">
        <f t="shared" ref="P123:P124" si="1556">IF(P116="","",P116-O116)</f>
        <v/>
      </c>
      <c r="Q123" s="26" t="str">
        <f t="shared" ref="Q123:Q124" si="1557">IF(Q116="","",Q116-P116)</f>
        <v/>
      </c>
      <c r="R123" s="26" t="str">
        <f t="shared" ref="R123:R124" si="1558">IF(R116="","",R116-Q116)</f>
        <v/>
      </c>
      <c r="S123" s="26" t="str">
        <f t="shared" ref="S123:S124" si="1559">IF(S116="","",S116-R116)</f>
        <v/>
      </c>
      <c r="T123" s="26" t="str">
        <f t="shared" ref="T123:T124" si="1560">IF(T116="","",T116-S116)</f>
        <v/>
      </c>
      <c r="U123" s="26" t="str">
        <f t="shared" ref="U123:U124" si="1561">IF(U116="","",U116-T116)</f>
        <v/>
      </c>
      <c r="V123" s="26" t="str">
        <f t="shared" ref="V123:V124" si="1562">IF(V116="","",V116-U116)</f>
        <v/>
      </c>
      <c r="W123" s="26" t="str">
        <f t="shared" ref="W123:W124" si="1563">IF(W116="","",W116-V116)</f>
        <v/>
      </c>
      <c r="X123" s="26" t="str">
        <f t="shared" ref="X123:X124" si="1564">IF(X116="","",X116-W116)</f>
        <v/>
      </c>
      <c r="Y123" s="26" t="str">
        <f t="shared" ref="Y123:Y124" si="1565">IF(Y116="","",Y116-X116)</f>
        <v/>
      </c>
      <c r="Z123" s="26" t="str">
        <f t="shared" ref="Z123:Z124" si="1566">IF(Z116="","",Z116-Y116)</f>
        <v/>
      </c>
      <c r="AA123" s="26" t="str">
        <f t="shared" ref="AA123:AA124" si="1567">IF(AA116="","",AA116-Z116)</f>
        <v/>
      </c>
      <c r="AB123" s="26" t="str">
        <f t="shared" ref="AB123:AB124" si="1568">IF(AB116="","",AB116-AA116)</f>
        <v/>
      </c>
      <c r="AC123" s="26" t="str">
        <f t="shared" ref="AC123:AC124" si="1569">IF(AC116="","",AC116-AB116)</f>
        <v/>
      </c>
      <c r="AD123" s="26" t="str">
        <f t="shared" ref="AD123:AD124" si="1570">IF(AD116="","",AD116-AC116)</f>
        <v/>
      </c>
      <c r="AE123" s="26" t="str">
        <f t="shared" ref="AE123:AE124" si="1571">IF(AE116="","",AE116-AD116)</f>
        <v/>
      </c>
      <c r="AF123" s="26" t="str">
        <f t="shared" ref="AF123:AF124" si="1572">IF(AF116="","",AF116-AE116)</f>
        <v/>
      </c>
      <c r="AG123" s="26" t="str">
        <f t="shared" ref="AG123:AG124" si="1573">IF(AG116="","",AG116-AF116)</f>
        <v/>
      </c>
      <c r="AH123" s="26" t="str">
        <f t="shared" ref="AH123:AH124" si="1574">IF(AH116="","",AH116-AG116)</f>
        <v/>
      </c>
      <c r="AI123" s="26" t="str">
        <f t="shared" ref="AI123:AI124" si="1575">IF(AI116="","",AI116-AH116)</f>
        <v/>
      </c>
      <c r="AJ123" s="26" t="str">
        <f t="shared" ref="AJ123:AJ124" si="1576">IF(AJ116="","",AJ116-AI116)</f>
        <v/>
      </c>
      <c r="AK123" s="26" t="str">
        <f t="shared" ref="AK123:AK124" si="1577">IF(AK116="","",AK116-AJ116)</f>
        <v/>
      </c>
      <c r="AL123" s="26" t="str">
        <f t="shared" ref="AL123:AL124" si="1578">IF(AL116="","",AL116-AK116)</f>
        <v/>
      </c>
      <c r="AM123" s="26" t="str">
        <f t="shared" ref="AM123:AM124" si="1579">IF(AM116="","",AM116-AL116)</f>
        <v/>
      </c>
      <c r="AN123" s="26" t="str">
        <f t="shared" ref="AN123:AS123" si="1580">IF(AN116="","",AN116-AM116)</f>
        <v/>
      </c>
      <c r="AO123" s="26" t="str">
        <f t="shared" si="1580"/>
        <v/>
      </c>
      <c r="AP123" s="26" t="str">
        <f t="shared" si="1580"/>
        <v/>
      </c>
      <c r="AQ123" s="26" t="str">
        <f t="shared" si="1580"/>
        <v/>
      </c>
      <c r="AR123" s="26" t="str">
        <f t="shared" si="1580"/>
        <v/>
      </c>
      <c r="AS123" s="26" t="str">
        <f t="shared" si="1580"/>
        <v/>
      </c>
    </row>
    <row r="124" spans="1:45" s="84" customFormat="1" ht="11.25" x14ac:dyDescent="0.15">
      <c r="A124" s="7">
        <f>SUM(C124:AS124)</f>
        <v>8</v>
      </c>
      <c r="B124" s="27" t="s">
        <v>14</v>
      </c>
      <c r="C124" s="26">
        <v>0</v>
      </c>
      <c r="D124" s="26">
        <v>0</v>
      </c>
      <c r="E124" s="26">
        <v>0</v>
      </c>
      <c r="F124" s="26">
        <v>0</v>
      </c>
      <c r="G124" s="26">
        <v>0</v>
      </c>
      <c r="H124" s="26">
        <v>2</v>
      </c>
      <c r="I124" s="26">
        <v>0</v>
      </c>
      <c r="J124" s="26">
        <v>0</v>
      </c>
      <c r="K124" s="26">
        <v>0</v>
      </c>
      <c r="L124" s="26">
        <v>2</v>
      </c>
      <c r="M124" s="26">
        <f t="shared" si="1553"/>
        <v>0</v>
      </c>
      <c r="N124" s="26">
        <f t="shared" si="1554"/>
        <v>0</v>
      </c>
      <c r="O124" s="26">
        <f t="shared" si="1555"/>
        <v>4</v>
      </c>
      <c r="P124" s="26" t="str">
        <f t="shared" si="1556"/>
        <v/>
      </c>
      <c r="Q124" s="26" t="str">
        <f t="shared" si="1557"/>
        <v/>
      </c>
      <c r="R124" s="26" t="str">
        <f t="shared" si="1558"/>
        <v/>
      </c>
      <c r="S124" s="26" t="str">
        <f t="shared" si="1559"/>
        <v/>
      </c>
      <c r="T124" s="26" t="str">
        <f t="shared" si="1560"/>
        <v/>
      </c>
      <c r="U124" s="26" t="str">
        <f t="shared" si="1561"/>
        <v/>
      </c>
      <c r="V124" s="26" t="str">
        <f t="shared" si="1562"/>
        <v/>
      </c>
      <c r="W124" s="26" t="str">
        <f t="shared" si="1563"/>
        <v/>
      </c>
      <c r="X124" s="26" t="str">
        <f t="shared" si="1564"/>
        <v/>
      </c>
      <c r="Y124" s="26" t="str">
        <f t="shared" si="1565"/>
        <v/>
      </c>
      <c r="Z124" s="26" t="str">
        <f t="shared" si="1566"/>
        <v/>
      </c>
      <c r="AA124" s="26" t="str">
        <f t="shared" si="1567"/>
        <v/>
      </c>
      <c r="AB124" s="26" t="str">
        <f t="shared" si="1568"/>
        <v/>
      </c>
      <c r="AC124" s="26" t="str">
        <f t="shared" si="1569"/>
        <v/>
      </c>
      <c r="AD124" s="26" t="str">
        <f t="shared" si="1570"/>
        <v/>
      </c>
      <c r="AE124" s="26" t="str">
        <f t="shared" si="1571"/>
        <v/>
      </c>
      <c r="AF124" s="26" t="str">
        <f t="shared" si="1572"/>
        <v/>
      </c>
      <c r="AG124" s="26" t="str">
        <f t="shared" si="1573"/>
        <v/>
      </c>
      <c r="AH124" s="26" t="str">
        <f t="shared" si="1574"/>
        <v/>
      </c>
      <c r="AI124" s="26" t="str">
        <f t="shared" si="1575"/>
        <v/>
      </c>
      <c r="AJ124" s="26" t="str">
        <f t="shared" si="1576"/>
        <v/>
      </c>
      <c r="AK124" s="26" t="str">
        <f t="shared" si="1577"/>
        <v/>
      </c>
      <c r="AL124" s="26" t="str">
        <f t="shared" si="1578"/>
        <v/>
      </c>
      <c r="AM124" s="26" t="str">
        <f t="shared" si="1579"/>
        <v/>
      </c>
      <c r="AN124" s="26" t="str">
        <f t="shared" ref="AN124:AS124" si="1581">IF(AN117="","",AN117-AM117)</f>
        <v/>
      </c>
      <c r="AO124" s="26" t="str">
        <f t="shared" si="1581"/>
        <v/>
      </c>
      <c r="AP124" s="26" t="str">
        <f t="shared" si="1581"/>
        <v/>
      </c>
      <c r="AQ124" s="26" t="str">
        <f t="shared" si="1581"/>
        <v/>
      </c>
      <c r="AR124" s="26" t="str">
        <f t="shared" si="1581"/>
        <v/>
      </c>
      <c r="AS124" s="26" t="str">
        <f t="shared" si="1581"/>
        <v/>
      </c>
    </row>
    <row r="125" spans="1:45" s="84" customFormat="1" ht="11.25" x14ac:dyDescent="0.15">
      <c r="A125" s="7">
        <f>SUM(C125:AS125)</f>
        <v>8</v>
      </c>
      <c r="B125" s="27" t="s">
        <v>15</v>
      </c>
      <c r="C125" s="26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2</v>
      </c>
      <c r="I125" s="26">
        <v>0</v>
      </c>
      <c r="J125" s="26">
        <v>0</v>
      </c>
      <c r="K125" s="26">
        <v>0</v>
      </c>
      <c r="L125" s="26">
        <v>2</v>
      </c>
      <c r="M125" s="26">
        <f t="shared" ref="M125" si="1582">IF(M118="","",L118+L119-M118)</f>
        <v>0</v>
      </c>
      <c r="N125" s="26">
        <f t="shared" ref="N125" si="1583">IF(N118="","",M118+M119-N118)</f>
        <v>0</v>
      </c>
      <c r="O125" s="26">
        <f t="shared" ref="O125" si="1584">IF(O118="","",N118+N119-O118)</f>
        <v>4</v>
      </c>
      <c r="P125" s="26" t="str">
        <f t="shared" ref="P125" si="1585">IF(P118="","",O118+O119-P118)</f>
        <v/>
      </c>
      <c r="Q125" s="26" t="str">
        <f t="shared" ref="Q125" si="1586">IF(Q118="","",P118+P119-Q118)</f>
        <v/>
      </c>
      <c r="R125" s="26" t="str">
        <f t="shared" ref="R125" si="1587">IF(R118="","",Q118+Q119-R118)</f>
        <v/>
      </c>
      <c r="S125" s="26" t="str">
        <f t="shared" ref="S125" si="1588">IF(S118="","",R118+R119-S118)</f>
        <v/>
      </c>
      <c r="T125" s="26" t="str">
        <f t="shared" ref="T125" si="1589">IF(T118="","",S118+S119-T118)</f>
        <v/>
      </c>
      <c r="U125" s="26" t="str">
        <f t="shared" ref="U125" si="1590">IF(U118="","",T118+T119-U118)</f>
        <v/>
      </c>
      <c r="V125" s="26" t="str">
        <f t="shared" ref="V125" si="1591">IF(V118="","",U118+U119-V118)</f>
        <v/>
      </c>
      <c r="W125" s="26" t="str">
        <f t="shared" ref="W125" si="1592">IF(W118="","",V118+V119-W118)</f>
        <v/>
      </c>
      <c r="X125" s="26" t="str">
        <f t="shared" ref="X125" si="1593">IF(X118="","",W118+W119-X118)</f>
        <v/>
      </c>
      <c r="Y125" s="26" t="str">
        <f t="shared" ref="Y125" si="1594">IF(Y118="","",X118+X119-Y118)</f>
        <v/>
      </c>
      <c r="Z125" s="26" t="str">
        <f t="shared" ref="Z125" si="1595">IF(Z118="","",Y118+Y119-Z118)</f>
        <v/>
      </c>
      <c r="AA125" s="26" t="str">
        <f t="shared" ref="AA125" si="1596">IF(AA118="","",Z118+Z119-AA118)</f>
        <v/>
      </c>
      <c r="AB125" s="26" t="str">
        <f t="shared" ref="AB125" si="1597">IF(AB118="","",AA118+AA119-AB118)</f>
        <v/>
      </c>
      <c r="AC125" s="26" t="str">
        <f t="shared" ref="AC125" si="1598">IF(AC118="","",AB118+AB119-AC118)</f>
        <v/>
      </c>
      <c r="AD125" s="26" t="str">
        <f t="shared" ref="AD125" si="1599">IF(AD118="","",AC118+AC119-AD118)</f>
        <v/>
      </c>
      <c r="AE125" s="26" t="str">
        <f t="shared" ref="AE125" si="1600">IF(AE118="","",AD118+AD119-AE118)</f>
        <v/>
      </c>
      <c r="AF125" s="26" t="str">
        <f t="shared" ref="AF125" si="1601">IF(AF118="","",AE118+AE119-AF118)</f>
        <v/>
      </c>
      <c r="AG125" s="26" t="str">
        <f t="shared" ref="AG125" si="1602">IF(AG118="","",AF118+AF119-AG118)</f>
        <v/>
      </c>
      <c r="AH125" s="26" t="str">
        <f t="shared" ref="AH125" si="1603">IF(AH118="","",AG118+AG119-AH118)</f>
        <v/>
      </c>
      <c r="AI125" s="26" t="str">
        <f t="shared" ref="AI125" si="1604">IF(AI118="","",AH118+AH119-AI118)</f>
        <v/>
      </c>
      <c r="AJ125" s="26" t="str">
        <f t="shared" ref="AJ125" si="1605">IF(AJ118="","",AI118+AI119-AJ118)</f>
        <v/>
      </c>
      <c r="AK125" s="26" t="str">
        <f t="shared" ref="AK125" si="1606">IF(AK118="","",AJ118+AJ119-AK118)</f>
        <v/>
      </c>
      <c r="AL125" s="26" t="str">
        <f t="shared" ref="AL125" si="1607">IF(AL118="","",AK118+AK119-AL118)</f>
        <v/>
      </c>
      <c r="AM125" s="26" t="str">
        <f t="shared" ref="AM125" si="1608">IF(AM118="","",AL118+AL119-AM118)</f>
        <v/>
      </c>
      <c r="AN125" s="26" t="str">
        <f t="shared" ref="AN125:AS125" si="1609">IF(AN118="","",AM118+AM119-AN118)</f>
        <v/>
      </c>
      <c r="AO125" s="26" t="str">
        <f t="shared" si="1609"/>
        <v/>
      </c>
      <c r="AP125" s="26" t="str">
        <f t="shared" si="1609"/>
        <v/>
      </c>
      <c r="AQ125" s="26" t="str">
        <f t="shared" si="1609"/>
        <v/>
      </c>
      <c r="AR125" s="26" t="str">
        <f t="shared" si="1609"/>
        <v/>
      </c>
      <c r="AS125" s="26" t="str">
        <f t="shared" si="1609"/>
        <v/>
      </c>
    </row>
    <row r="126" spans="1:45" s="84" customFormat="1" ht="11.25" x14ac:dyDescent="0.15">
      <c r="A126" s="7">
        <f>SUM(C126:AS126)</f>
        <v>6400</v>
      </c>
      <c r="B126" s="27" t="s">
        <v>16</v>
      </c>
      <c r="C126" s="26">
        <v>0</v>
      </c>
      <c r="D126" s="26">
        <v>0</v>
      </c>
      <c r="E126" s="26">
        <v>0</v>
      </c>
      <c r="F126" s="26">
        <v>0</v>
      </c>
      <c r="G126" s="26">
        <v>0</v>
      </c>
      <c r="H126" s="26">
        <v>1600</v>
      </c>
      <c r="I126" s="26">
        <v>0</v>
      </c>
      <c r="J126" s="26">
        <v>0</v>
      </c>
      <c r="K126" s="26">
        <v>0</v>
      </c>
      <c r="L126" s="26">
        <v>1600</v>
      </c>
      <c r="M126" s="26">
        <f t="shared" ref="J126:AM126" si="1610">IF(M116="","",M125*M120)</f>
        <v>0</v>
      </c>
      <c r="N126" s="26">
        <f t="shared" si="1610"/>
        <v>0</v>
      </c>
      <c r="O126" s="26">
        <f t="shared" si="1610"/>
        <v>3200</v>
      </c>
      <c r="P126" s="26" t="str">
        <f t="shared" si="1610"/>
        <v/>
      </c>
      <c r="Q126" s="26" t="str">
        <f t="shared" si="1610"/>
        <v/>
      </c>
      <c r="R126" s="26" t="str">
        <f t="shared" si="1610"/>
        <v/>
      </c>
      <c r="S126" s="26" t="str">
        <f t="shared" si="1610"/>
        <v/>
      </c>
      <c r="T126" s="26" t="str">
        <f t="shared" si="1610"/>
        <v/>
      </c>
      <c r="U126" s="26" t="str">
        <f t="shared" si="1610"/>
        <v/>
      </c>
      <c r="V126" s="26" t="str">
        <f t="shared" si="1610"/>
        <v/>
      </c>
      <c r="W126" s="26" t="str">
        <f t="shared" si="1610"/>
        <v/>
      </c>
      <c r="X126" s="26" t="str">
        <f t="shared" si="1610"/>
        <v/>
      </c>
      <c r="Y126" s="26" t="str">
        <f t="shared" si="1610"/>
        <v/>
      </c>
      <c r="Z126" s="26" t="str">
        <f t="shared" si="1610"/>
        <v/>
      </c>
      <c r="AA126" s="26" t="str">
        <f t="shared" si="1610"/>
        <v/>
      </c>
      <c r="AB126" s="26" t="str">
        <f t="shared" si="1610"/>
        <v/>
      </c>
      <c r="AC126" s="26" t="str">
        <f t="shared" si="1610"/>
        <v/>
      </c>
      <c r="AD126" s="26" t="str">
        <f t="shared" si="1610"/>
        <v/>
      </c>
      <c r="AE126" s="26" t="str">
        <f t="shared" si="1610"/>
        <v/>
      </c>
      <c r="AF126" s="26" t="str">
        <f t="shared" si="1610"/>
        <v/>
      </c>
      <c r="AG126" s="26" t="str">
        <f t="shared" si="1610"/>
        <v/>
      </c>
      <c r="AH126" s="26" t="str">
        <f t="shared" si="1610"/>
        <v/>
      </c>
      <c r="AI126" s="26" t="str">
        <f t="shared" si="1610"/>
        <v/>
      </c>
      <c r="AJ126" s="26" t="str">
        <f t="shared" si="1610"/>
        <v/>
      </c>
      <c r="AK126" s="26" t="str">
        <f t="shared" si="1610"/>
        <v/>
      </c>
      <c r="AL126" s="26" t="str">
        <f t="shared" si="1610"/>
        <v/>
      </c>
      <c r="AM126" s="26" t="str">
        <f t="shared" si="1610"/>
        <v/>
      </c>
      <c r="AN126" s="26" t="str">
        <f t="shared" ref="AN126:AS126" si="1611">IF(AN116="","",AN125*AN120)</f>
        <v/>
      </c>
      <c r="AO126" s="26" t="str">
        <f t="shared" si="1611"/>
        <v/>
      </c>
      <c r="AP126" s="26" t="str">
        <f t="shared" si="1611"/>
        <v/>
      </c>
      <c r="AQ126" s="26" t="str">
        <f t="shared" si="1611"/>
        <v/>
      </c>
      <c r="AR126" s="26" t="str">
        <f t="shared" si="1611"/>
        <v/>
      </c>
      <c r="AS126" s="26" t="str">
        <f t="shared" si="1611"/>
        <v/>
      </c>
    </row>
    <row r="127" spans="1:45" s="84" customFormat="1" ht="12" thickBot="1" x14ac:dyDescent="0.2">
      <c r="A127" s="4">
        <f>IF(A126="","",A126/(A123*100))</f>
        <v>0.25</v>
      </c>
      <c r="B127" s="24" t="s">
        <v>18</v>
      </c>
      <c r="C127" s="23" t="s">
        <v>19</v>
      </c>
      <c r="D127" s="23" t="s">
        <v>19</v>
      </c>
      <c r="E127" s="23" t="s">
        <v>19</v>
      </c>
      <c r="F127" s="23" t="s">
        <v>19</v>
      </c>
      <c r="G127" s="23" t="s">
        <v>19</v>
      </c>
      <c r="H127" s="23">
        <v>0.16326530612244897</v>
      </c>
      <c r="I127" s="23" t="s">
        <v>19</v>
      </c>
      <c r="J127" s="23" t="s">
        <v>19</v>
      </c>
      <c r="K127" s="23" t="s">
        <v>19</v>
      </c>
      <c r="L127" s="23">
        <v>0.30769230769230771</v>
      </c>
      <c r="M127" s="23" t="str">
        <f t="shared" ref="J127:AM127" si="1612">IF(M126="","",IF(M126=0,"",M126/(M123*100)))</f>
        <v/>
      </c>
      <c r="N127" s="23" t="str">
        <f t="shared" si="1612"/>
        <v/>
      </c>
      <c r="O127" s="23">
        <f t="shared" si="1612"/>
        <v>0.38095238095238093</v>
      </c>
      <c r="P127" s="23" t="str">
        <f t="shared" si="1612"/>
        <v/>
      </c>
      <c r="Q127" s="23" t="str">
        <f t="shared" si="1612"/>
        <v/>
      </c>
      <c r="R127" s="23" t="str">
        <f t="shared" si="1612"/>
        <v/>
      </c>
      <c r="S127" s="23" t="str">
        <f t="shared" si="1612"/>
        <v/>
      </c>
      <c r="T127" s="23" t="str">
        <f t="shared" si="1612"/>
        <v/>
      </c>
      <c r="U127" s="23" t="str">
        <f t="shared" si="1612"/>
        <v/>
      </c>
      <c r="V127" s="23" t="str">
        <f t="shared" si="1612"/>
        <v/>
      </c>
      <c r="W127" s="23" t="str">
        <f t="shared" si="1612"/>
        <v/>
      </c>
      <c r="X127" s="23" t="str">
        <f t="shared" si="1612"/>
        <v/>
      </c>
      <c r="Y127" s="23" t="str">
        <f t="shared" si="1612"/>
        <v/>
      </c>
      <c r="Z127" s="23" t="str">
        <f t="shared" si="1612"/>
        <v/>
      </c>
      <c r="AA127" s="23" t="str">
        <f t="shared" si="1612"/>
        <v/>
      </c>
      <c r="AB127" s="23" t="str">
        <f t="shared" si="1612"/>
        <v/>
      </c>
      <c r="AC127" s="23" t="str">
        <f t="shared" si="1612"/>
        <v/>
      </c>
      <c r="AD127" s="23" t="str">
        <f t="shared" si="1612"/>
        <v/>
      </c>
      <c r="AE127" s="23" t="str">
        <f t="shared" si="1612"/>
        <v/>
      </c>
      <c r="AF127" s="23" t="str">
        <f t="shared" si="1612"/>
        <v/>
      </c>
      <c r="AG127" s="23" t="str">
        <f t="shared" si="1612"/>
        <v/>
      </c>
      <c r="AH127" s="23" t="str">
        <f t="shared" si="1612"/>
        <v/>
      </c>
      <c r="AI127" s="23" t="str">
        <f t="shared" si="1612"/>
        <v/>
      </c>
      <c r="AJ127" s="23" t="str">
        <f t="shared" si="1612"/>
        <v/>
      </c>
      <c r="AK127" s="23" t="str">
        <f t="shared" si="1612"/>
        <v/>
      </c>
      <c r="AL127" s="23" t="str">
        <f t="shared" si="1612"/>
        <v/>
      </c>
      <c r="AM127" s="23" t="str">
        <f t="shared" si="1612"/>
        <v/>
      </c>
      <c r="AN127" s="23" t="str">
        <f t="shared" ref="AN127:AS127" si="1613">IF(AN126="","",IF(AN126=0,"",AN126/(AN123*100)))</f>
        <v/>
      </c>
      <c r="AO127" s="23" t="str">
        <f t="shared" si="1613"/>
        <v/>
      </c>
      <c r="AP127" s="23" t="str">
        <f t="shared" si="1613"/>
        <v/>
      </c>
      <c r="AQ127" s="23" t="str">
        <f t="shared" si="1613"/>
        <v/>
      </c>
      <c r="AR127" s="23" t="str">
        <f t="shared" si="1613"/>
        <v/>
      </c>
      <c r="AS127" s="23" t="str">
        <f t="shared" si="1613"/>
        <v/>
      </c>
    </row>
    <row r="128" spans="1:45" s="84" customFormat="1" ht="11.25" x14ac:dyDescent="0.15">
      <c r="A128" s="40" t="s">
        <v>83</v>
      </c>
      <c r="B128" s="39" t="s">
        <v>2</v>
      </c>
      <c r="C128" s="38">
        <v>31002</v>
      </c>
      <c r="D128" s="38">
        <v>31002</v>
      </c>
      <c r="E128" s="38">
        <v>31081</v>
      </c>
      <c r="F128" s="38">
        <v>31081</v>
      </c>
      <c r="G128" s="38">
        <v>31081</v>
      </c>
      <c r="H128" s="38">
        <v>31182</v>
      </c>
      <c r="I128" s="38">
        <v>31182</v>
      </c>
      <c r="J128" s="38">
        <v>31182</v>
      </c>
      <c r="K128" s="38">
        <v>31182</v>
      </c>
      <c r="L128" s="38">
        <v>31237</v>
      </c>
      <c r="M128" s="38">
        <f t="shared" ref="M128:M129" si="1614">IF(M$8="","",L128)</f>
        <v>31237</v>
      </c>
      <c r="N128" s="38">
        <f t="shared" ref="N128:N129" si="1615">IF(N$8="","",M128)</f>
        <v>31237</v>
      </c>
      <c r="O128" s="38">
        <v>31377</v>
      </c>
      <c r="P128" s="38" t="str">
        <f>IF(P$8="","",O128)</f>
        <v/>
      </c>
      <c r="Q128" s="38" t="str">
        <f t="shared" ref="Q128:Q129" si="1616">IF(Q$8="","",P128)</f>
        <v/>
      </c>
      <c r="R128" s="38" t="str">
        <f t="shared" ref="R128:R129" si="1617">IF(R$8="","",Q128)</f>
        <v/>
      </c>
      <c r="S128" s="38" t="str">
        <f>IF(S$8="","",R128)</f>
        <v/>
      </c>
      <c r="T128" s="38" t="str">
        <f t="shared" ref="T128:T129" si="1618">IF(T$8="","",S128)</f>
        <v/>
      </c>
      <c r="U128" s="38" t="str">
        <f t="shared" ref="U128:U129" si="1619">IF(U$8="","",T128)</f>
        <v/>
      </c>
      <c r="V128" s="38" t="str">
        <f>IF(V$8="","",U128)</f>
        <v/>
      </c>
      <c r="W128" s="38" t="str">
        <f t="shared" ref="W128:W129" si="1620">IF(W$8="","",V128)</f>
        <v/>
      </c>
      <c r="X128" s="38" t="str">
        <f t="shared" ref="X128:X129" si="1621">IF(X$8="","",W128)</f>
        <v/>
      </c>
      <c r="Y128" s="38" t="str">
        <f t="shared" ref="Y128:Y129" si="1622">IF(Y$8="","",X128)</f>
        <v/>
      </c>
      <c r="Z128" s="38" t="str">
        <f>IF(Z$8="","",Y128)</f>
        <v/>
      </c>
      <c r="AA128" s="38" t="str">
        <f t="shared" ref="AA128:AA129" si="1623">IF(AA$8="","",Z128)</f>
        <v/>
      </c>
      <c r="AB128" s="38" t="str">
        <f t="shared" ref="AB128:AB129" si="1624">IF(AB$8="","",AA128)</f>
        <v/>
      </c>
      <c r="AC128" s="38" t="str">
        <f t="shared" ref="AC128:AC129" si="1625">IF(AC$8="","",AB128)</f>
        <v/>
      </c>
      <c r="AD128" s="38" t="str">
        <f>IF(AD$8="","",AC128)</f>
        <v/>
      </c>
      <c r="AE128" s="38" t="str">
        <f t="shared" ref="AE128:AE129" si="1626">IF(AE$8="","",AD128)</f>
        <v/>
      </c>
      <c r="AF128" s="38" t="str">
        <f t="shared" ref="AF128:AF129" si="1627">IF(AF$8="","",AE128)</f>
        <v/>
      </c>
      <c r="AG128" s="38" t="str">
        <f>IF(AG$8="","",AF128)</f>
        <v/>
      </c>
      <c r="AH128" s="38" t="str">
        <f t="shared" ref="AH128:AH129" si="1628">IF(AH$8="","",AG128)</f>
        <v/>
      </c>
      <c r="AI128" s="38" t="str">
        <f t="shared" ref="AI128:AI129" si="1629">IF(AI$8="","",AH128)</f>
        <v/>
      </c>
      <c r="AJ128" s="38" t="str">
        <f>IF(AJ$8="","",AI128)</f>
        <v/>
      </c>
      <c r="AK128" s="38" t="str">
        <f t="shared" ref="AK128:AK129" si="1630">IF(AK$8="","",AJ128)</f>
        <v/>
      </c>
      <c r="AL128" s="38" t="str">
        <f t="shared" ref="AL128:AL129" si="1631">IF(AL$8="","",AK128)</f>
        <v/>
      </c>
      <c r="AM128" s="38" t="str">
        <f t="shared" ref="AM128:AM129" si="1632">IF(AM$8="","",AL128)</f>
        <v/>
      </c>
      <c r="AN128" s="38" t="str">
        <f>IF(AN$8="","",AM128)</f>
        <v/>
      </c>
      <c r="AO128" s="38" t="str">
        <f t="shared" ref="AN128:AS128" si="1633">IF(AO$8="","",AN128)</f>
        <v/>
      </c>
      <c r="AP128" s="38" t="str">
        <f t="shared" si="1633"/>
        <v/>
      </c>
      <c r="AQ128" s="38" t="str">
        <f t="shared" si="1633"/>
        <v/>
      </c>
      <c r="AR128" s="38" t="str">
        <f t="shared" si="1633"/>
        <v/>
      </c>
      <c r="AS128" s="38" t="str">
        <f t="shared" si="1633"/>
        <v/>
      </c>
    </row>
    <row r="129" spans="1:45" s="84" customFormat="1" ht="11.25" x14ac:dyDescent="0.15">
      <c r="A129" s="37" t="s">
        <v>88</v>
      </c>
      <c r="B129" s="30" t="s">
        <v>4</v>
      </c>
      <c r="C129" s="29">
        <v>1363</v>
      </c>
      <c r="D129" s="29">
        <v>1363</v>
      </c>
      <c r="E129" s="29">
        <v>1365</v>
      </c>
      <c r="F129" s="29">
        <v>1365</v>
      </c>
      <c r="G129" s="29">
        <v>1365</v>
      </c>
      <c r="H129" s="29">
        <v>1366</v>
      </c>
      <c r="I129" s="29">
        <v>1366</v>
      </c>
      <c r="J129" s="29">
        <v>1366</v>
      </c>
      <c r="K129" s="29">
        <v>1366</v>
      </c>
      <c r="L129" s="29">
        <v>1367</v>
      </c>
      <c r="M129" s="29">
        <f t="shared" si="1614"/>
        <v>1367</v>
      </c>
      <c r="N129" s="29">
        <f t="shared" si="1615"/>
        <v>1367</v>
      </c>
      <c r="O129" s="29">
        <v>1368</v>
      </c>
      <c r="P129" s="29" t="str">
        <f>IF(P$8="","",O129)</f>
        <v/>
      </c>
      <c r="Q129" s="29" t="str">
        <f t="shared" si="1616"/>
        <v/>
      </c>
      <c r="R129" s="29" t="str">
        <f t="shared" si="1617"/>
        <v/>
      </c>
      <c r="S129" s="29" t="str">
        <f>IF(S$8="","",R129)</f>
        <v/>
      </c>
      <c r="T129" s="29" t="str">
        <f t="shared" si="1618"/>
        <v/>
      </c>
      <c r="U129" s="29" t="str">
        <f t="shared" si="1619"/>
        <v/>
      </c>
      <c r="V129" s="29" t="str">
        <f>IF(V$8="","",U129)</f>
        <v/>
      </c>
      <c r="W129" s="29" t="str">
        <f t="shared" si="1620"/>
        <v/>
      </c>
      <c r="X129" s="29" t="str">
        <f t="shared" si="1621"/>
        <v/>
      </c>
      <c r="Y129" s="29" t="str">
        <f t="shared" si="1622"/>
        <v/>
      </c>
      <c r="Z129" s="29" t="str">
        <f>IF(Z$8="","",Y129)</f>
        <v/>
      </c>
      <c r="AA129" s="29" t="str">
        <f t="shared" si="1623"/>
        <v/>
      </c>
      <c r="AB129" s="29" t="str">
        <f t="shared" si="1624"/>
        <v/>
      </c>
      <c r="AC129" s="29" t="str">
        <f t="shared" si="1625"/>
        <v/>
      </c>
      <c r="AD129" s="29" t="str">
        <f>IF(AD$8="","",AC129)</f>
        <v/>
      </c>
      <c r="AE129" s="29" t="str">
        <f t="shared" si="1626"/>
        <v/>
      </c>
      <c r="AF129" s="29" t="str">
        <f t="shared" si="1627"/>
        <v/>
      </c>
      <c r="AG129" s="29" t="str">
        <f>IF(AG$8="","",AF129)</f>
        <v/>
      </c>
      <c r="AH129" s="29" t="str">
        <f t="shared" si="1628"/>
        <v/>
      </c>
      <c r="AI129" s="29" t="str">
        <f t="shared" si="1629"/>
        <v/>
      </c>
      <c r="AJ129" s="29" t="str">
        <f>IF(AJ$8="","",AI129)</f>
        <v/>
      </c>
      <c r="AK129" s="29" t="str">
        <f t="shared" si="1630"/>
        <v/>
      </c>
      <c r="AL129" s="29" t="str">
        <f t="shared" si="1631"/>
        <v/>
      </c>
      <c r="AM129" s="29" t="str">
        <f t="shared" si="1632"/>
        <v/>
      </c>
      <c r="AN129" s="29" t="str">
        <f>IF(AN$8="","",AM129)</f>
        <v/>
      </c>
      <c r="AO129" s="29" t="str">
        <f t="shared" ref="AN129:AS129" si="1634">IF(AO$8="","",AN129)</f>
        <v/>
      </c>
      <c r="AP129" s="29" t="str">
        <f t="shared" si="1634"/>
        <v/>
      </c>
      <c r="AQ129" s="29" t="str">
        <f t="shared" si="1634"/>
        <v/>
      </c>
      <c r="AR129" s="29" t="str">
        <f t="shared" si="1634"/>
        <v/>
      </c>
      <c r="AS129" s="29" t="str">
        <f t="shared" si="1634"/>
        <v/>
      </c>
    </row>
    <row r="130" spans="1:45" s="84" customFormat="1" ht="11.25" x14ac:dyDescent="0.15">
      <c r="A130" s="34"/>
      <c r="B130" s="30" t="s">
        <v>5</v>
      </c>
      <c r="C130" s="29">
        <v>15</v>
      </c>
      <c r="D130" s="29">
        <v>15</v>
      </c>
      <c r="E130" s="29">
        <v>13</v>
      </c>
      <c r="F130" s="29">
        <v>13</v>
      </c>
      <c r="G130" s="29">
        <v>13</v>
      </c>
      <c r="H130" s="29">
        <v>12</v>
      </c>
      <c r="I130" s="29">
        <v>12</v>
      </c>
      <c r="J130" s="29">
        <v>12</v>
      </c>
      <c r="K130" s="29">
        <v>12</v>
      </c>
      <c r="L130" s="29">
        <v>11</v>
      </c>
      <c r="M130" s="29">
        <f t="shared" ref="M130" si="1635">IF(M128="","",(L130+L131))</f>
        <v>11</v>
      </c>
      <c r="N130" s="29">
        <f t="shared" ref="N130" si="1636">IF(N128="","",(M130+M131))</f>
        <v>11</v>
      </c>
      <c r="O130" s="29">
        <v>10</v>
      </c>
      <c r="P130" s="29" t="str">
        <f>IF(P128="","",(O130+O131))</f>
        <v/>
      </c>
      <c r="Q130" s="29" t="str">
        <f t="shared" ref="Q130" si="1637">IF(Q128="","",(P130+P131))</f>
        <v/>
      </c>
      <c r="R130" s="29" t="str">
        <f t="shared" ref="R130" si="1638">IF(R128="","",(Q130+Q131))</f>
        <v/>
      </c>
      <c r="S130" s="29" t="str">
        <f>IF(S128="","",(R130+R131))</f>
        <v/>
      </c>
      <c r="T130" s="29" t="str">
        <f t="shared" ref="T130" si="1639">IF(T128="","",(S130+S131))</f>
        <v/>
      </c>
      <c r="U130" s="29" t="str">
        <f t="shared" ref="U130" si="1640">IF(U128="","",(T130+T131))</f>
        <v/>
      </c>
      <c r="V130" s="29" t="str">
        <f>IF(V128="","",(U130+U131))</f>
        <v/>
      </c>
      <c r="W130" s="29" t="str">
        <f t="shared" ref="W130" si="1641">IF(W128="","",(V130+V131))</f>
        <v/>
      </c>
      <c r="X130" s="29" t="str">
        <f t="shared" ref="X130" si="1642">IF(X128="","",(W130+W131))</f>
        <v/>
      </c>
      <c r="Y130" s="29" t="str">
        <f t="shared" ref="Y130" si="1643">IF(Y128="","",(X130+X131))</f>
        <v/>
      </c>
      <c r="Z130" s="29" t="str">
        <f>IF(Z128="","",(Y130+Y131))</f>
        <v/>
      </c>
      <c r="AA130" s="29" t="str">
        <f t="shared" ref="AA130" si="1644">IF(AA128="","",(Z130+Z131))</f>
        <v/>
      </c>
      <c r="AB130" s="29" t="str">
        <f t="shared" ref="AB130" si="1645">IF(AB128="","",(AA130+AA131))</f>
        <v/>
      </c>
      <c r="AC130" s="29" t="str">
        <f t="shared" ref="AC130" si="1646">IF(AC128="","",(AB130+AB131))</f>
        <v/>
      </c>
      <c r="AD130" s="29" t="str">
        <f>IF(AD128="","",(AC130+AC131))</f>
        <v/>
      </c>
      <c r="AE130" s="29" t="str">
        <f t="shared" ref="AE130" si="1647">IF(AE128="","",(AD130+AD131))</f>
        <v/>
      </c>
      <c r="AF130" s="29" t="str">
        <f t="shared" ref="AF130" si="1648">IF(AF128="","",(AE130+AE131))</f>
        <v/>
      </c>
      <c r="AG130" s="29" t="str">
        <f>IF(AG128="","",(AF130+AF131))</f>
        <v/>
      </c>
      <c r="AH130" s="29" t="str">
        <f t="shared" ref="AH130" si="1649">IF(AH128="","",(AG130+AG131))</f>
        <v/>
      </c>
      <c r="AI130" s="29" t="str">
        <f t="shared" ref="AI130" si="1650">IF(AI128="","",(AH130+AH131))</f>
        <v/>
      </c>
      <c r="AJ130" s="29" t="str">
        <f>IF(AJ128="","",(AI130+AI131))</f>
        <v/>
      </c>
      <c r="AK130" s="29" t="str">
        <f t="shared" ref="AK130" si="1651">IF(AK128="","",(AJ130+AJ131))</f>
        <v/>
      </c>
      <c r="AL130" s="29" t="str">
        <f t="shared" ref="AL130" si="1652">IF(AL128="","",(AK130+AK131))</f>
        <v/>
      </c>
      <c r="AM130" s="29" t="str">
        <f t="shared" ref="AM130" si="1653">IF(AM128="","",(AL130+AL131))</f>
        <v/>
      </c>
      <c r="AN130" s="29" t="str">
        <f>IF(AN128="","",(AM130+AM131))</f>
        <v/>
      </c>
      <c r="AO130" s="29" t="str">
        <f t="shared" ref="AN130:AS130" si="1654">IF(AO128="","",(AN130+AN131))</f>
        <v/>
      </c>
      <c r="AP130" s="29" t="str">
        <f t="shared" si="1654"/>
        <v/>
      </c>
      <c r="AQ130" s="29" t="str">
        <f t="shared" si="1654"/>
        <v/>
      </c>
      <c r="AR130" s="29" t="str">
        <f t="shared" si="1654"/>
        <v/>
      </c>
      <c r="AS130" s="29" t="str">
        <f t="shared" si="1654"/>
        <v/>
      </c>
    </row>
    <row r="131" spans="1:45" s="84" customFormat="1" ht="11.25" x14ac:dyDescent="0.15">
      <c r="A131" s="14"/>
      <c r="B131" s="30" t="s">
        <v>7</v>
      </c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</row>
    <row r="132" spans="1:45" s="84" customFormat="1" ht="11.25" x14ac:dyDescent="0.15">
      <c r="A132" s="7"/>
      <c r="B132" s="30" t="s">
        <v>8</v>
      </c>
      <c r="C132" s="35">
        <v>715</v>
      </c>
      <c r="D132" s="35">
        <v>715</v>
      </c>
      <c r="E132" s="35">
        <v>715</v>
      </c>
      <c r="F132" s="35">
        <v>715</v>
      </c>
      <c r="G132" s="35">
        <v>715</v>
      </c>
      <c r="H132" s="35">
        <v>715</v>
      </c>
      <c r="I132" s="35">
        <v>715</v>
      </c>
      <c r="J132" s="35">
        <v>715</v>
      </c>
      <c r="K132" s="35">
        <v>715</v>
      </c>
      <c r="L132" s="35">
        <v>715</v>
      </c>
      <c r="M132" s="35">
        <f t="shared" ref="M132" si="1655">IF(M128="","",L132)</f>
        <v>715</v>
      </c>
      <c r="N132" s="35">
        <f t="shared" ref="N132" si="1656">IF(N128="","",M132)</f>
        <v>715</v>
      </c>
      <c r="O132" s="35">
        <f t="shared" ref="O132" si="1657">IF(O128="","",N132)</f>
        <v>715</v>
      </c>
      <c r="P132" s="35" t="str">
        <f t="shared" ref="P132" si="1658">IF(P128="","",O132)</f>
        <v/>
      </c>
      <c r="Q132" s="35" t="str">
        <f t="shared" ref="Q132" si="1659">IF(Q128="","",P132)</f>
        <v/>
      </c>
      <c r="R132" s="35" t="str">
        <f t="shared" ref="R132" si="1660">IF(R128="","",Q132)</f>
        <v/>
      </c>
      <c r="S132" s="35" t="str">
        <f t="shared" ref="S132" si="1661">IF(S128="","",R132)</f>
        <v/>
      </c>
      <c r="T132" s="35" t="str">
        <f t="shared" ref="T132" si="1662">IF(T128="","",S132)</f>
        <v/>
      </c>
      <c r="U132" s="35" t="str">
        <f>IF(U128="","",T132)</f>
        <v/>
      </c>
      <c r="V132" s="35" t="str">
        <f t="shared" ref="V132" si="1663">IF(V128="","",U132)</f>
        <v/>
      </c>
      <c r="W132" s="35" t="str">
        <f t="shared" ref="W132" si="1664">IF(W128="","",V132)</f>
        <v/>
      </c>
      <c r="X132" s="35" t="str">
        <f t="shared" ref="X132" si="1665">IF(X128="","",W132)</f>
        <v/>
      </c>
      <c r="Y132" s="35" t="str">
        <f t="shared" ref="Y132" si="1666">IF(Y128="","",X132)</f>
        <v/>
      </c>
      <c r="Z132" s="35" t="str">
        <f t="shared" ref="Z132" si="1667">IF(Z128="","",Y132)</f>
        <v/>
      </c>
      <c r="AA132" s="35" t="str">
        <f t="shared" ref="AA132" si="1668">IF(AA128="","",Z132)</f>
        <v/>
      </c>
      <c r="AB132" s="35" t="str">
        <f t="shared" ref="AB132" si="1669">IF(AB128="","",AA132)</f>
        <v/>
      </c>
      <c r="AC132" s="35" t="str">
        <f t="shared" ref="AC132" si="1670">IF(AC128="","",AB132)</f>
        <v/>
      </c>
      <c r="AD132" s="35" t="str">
        <f t="shared" ref="AD132" si="1671">IF(AD128="","",AC132)</f>
        <v/>
      </c>
      <c r="AE132" s="35" t="str">
        <f t="shared" ref="AE132" si="1672">IF(AE128="","",AD132)</f>
        <v/>
      </c>
      <c r="AF132" s="35" t="str">
        <f t="shared" ref="AF132" si="1673">IF(AF128="","",AE132)</f>
        <v/>
      </c>
      <c r="AG132" s="35" t="str">
        <f t="shared" ref="AG132" si="1674">IF(AG128="","",AF132)</f>
        <v/>
      </c>
      <c r="AH132" s="35" t="str">
        <f t="shared" ref="AH132" si="1675">IF(AH128="","",AG132)</f>
        <v/>
      </c>
      <c r="AI132" s="35" t="str">
        <f t="shared" ref="AI132" si="1676">IF(AI128="","",AH132)</f>
        <v/>
      </c>
      <c r="AJ132" s="35" t="str">
        <f t="shared" ref="AJ132" si="1677">IF(AJ128="","",AI132)</f>
        <v/>
      </c>
      <c r="AK132" s="35" t="str">
        <f t="shared" ref="AK132" si="1678">IF(AK128="","",AJ132)</f>
        <v/>
      </c>
      <c r="AL132" s="35" t="str">
        <f t="shared" ref="AL132" si="1679">IF(AL128="","",AK132)</f>
        <v/>
      </c>
      <c r="AM132" s="35" t="str">
        <f t="shared" ref="AM132" si="1680">IF(AM128="","",AL132)</f>
        <v/>
      </c>
      <c r="AN132" s="35" t="str">
        <f t="shared" ref="AN132:AS132" si="1681">IF(AN128="","",AM132)</f>
        <v/>
      </c>
      <c r="AO132" s="35" t="str">
        <f t="shared" si="1681"/>
        <v/>
      </c>
      <c r="AP132" s="35" t="str">
        <f t="shared" si="1681"/>
        <v/>
      </c>
      <c r="AQ132" s="35" t="str">
        <f t="shared" si="1681"/>
        <v/>
      </c>
      <c r="AR132" s="35" t="str">
        <f t="shared" si="1681"/>
        <v/>
      </c>
      <c r="AS132" s="35" t="str">
        <f t="shared" si="1681"/>
        <v/>
      </c>
    </row>
    <row r="133" spans="1:45" s="85" customFormat="1" ht="11.25" x14ac:dyDescent="0.15">
      <c r="A133" s="14" t="s">
        <v>9</v>
      </c>
      <c r="B133" s="33" t="s">
        <v>10</v>
      </c>
      <c r="C133" s="32" t="s">
        <v>56</v>
      </c>
      <c r="D133" s="32" t="s">
        <v>56</v>
      </c>
      <c r="E133" s="32" t="s">
        <v>56</v>
      </c>
      <c r="F133" s="32" t="s">
        <v>56</v>
      </c>
      <c r="G133" s="32" t="s">
        <v>56</v>
      </c>
      <c r="H133" s="32" t="s">
        <v>56</v>
      </c>
      <c r="I133" s="32" t="s">
        <v>56</v>
      </c>
      <c r="J133" s="32" t="s">
        <v>56</v>
      </c>
      <c r="K133" s="32" t="s">
        <v>56</v>
      </c>
      <c r="L133" s="32" t="s">
        <v>56</v>
      </c>
      <c r="M133" s="32" t="str">
        <f t="shared" ref="M133" si="1682">IF(M128="","",L133)</f>
        <v>ルララ</v>
      </c>
      <c r="N133" s="32" t="str">
        <f t="shared" ref="N133" si="1683">IF(N128="","",M133)</f>
        <v>ルララ</v>
      </c>
      <c r="O133" s="32" t="str">
        <f t="shared" ref="O133" si="1684">IF(O128="","",N133)</f>
        <v>ルララ</v>
      </c>
      <c r="P133" s="32" t="str">
        <f t="shared" ref="P133" si="1685">IF(P128="","",O133)</f>
        <v/>
      </c>
      <c r="Q133" s="32" t="str">
        <f t="shared" ref="Q133" si="1686">IF(Q128="","",P133)</f>
        <v/>
      </c>
      <c r="R133" s="32" t="str">
        <f t="shared" ref="R133" si="1687">IF(R128="","",Q133)</f>
        <v/>
      </c>
      <c r="S133" s="32" t="str">
        <f t="shared" ref="S133" si="1688">IF(S128="","",R133)</f>
        <v/>
      </c>
      <c r="T133" s="32" t="str">
        <f t="shared" ref="T133" si="1689">IF(T128="","",S133)</f>
        <v/>
      </c>
      <c r="U133" s="32" t="str">
        <f t="shared" ref="U133" si="1690">IF(U128="","",T133)</f>
        <v/>
      </c>
      <c r="V133" s="32" t="str">
        <f t="shared" ref="V133" si="1691">IF(V128="","",U133)</f>
        <v/>
      </c>
      <c r="W133" s="32" t="str">
        <f t="shared" ref="W133" si="1692">IF(W128="","",V133)</f>
        <v/>
      </c>
      <c r="X133" s="32" t="str">
        <f t="shared" ref="X133" si="1693">IF(X128="","",W133)</f>
        <v/>
      </c>
      <c r="Y133" s="32" t="str">
        <f t="shared" ref="Y133" si="1694">IF(Y128="","",X133)</f>
        <v/>
      </c>
      <c r="Z133" s="32" t="str">
        <f t="shared" ref="Z133" si="1695">IF(Z128="","",Y133)</f>
        <v/>
      </c>
      <c r="AA133" s="32" t="str">
        <f t="shared" ref="AA133" si="1696">IF(AA128="","",Z133)</f>
        <v/>
      </c>
      <c r="AB133" s="32" t="str">
        <f t="shared" ref="AB133" si="1697">IF(AB128="","",AA133)</f>
        <v/>
      </c>
      <c r="AC133" s="32" t="str">
        <f t="shared" ref="AC133" si="1698">IF(AC128="","",AB133)</f>
        <v/>
      </c>
      <c r="AD133" s="32" t="str">
        <f t="shared" ref="AD133" si="1699">IF(AD128="","",AC133)</f>
        <v/>
      </c>
      <c r="AE133" s="32" t="str">
        <f t="shared" ref="AE133" si="1700">IF(AE128="","",AD133)</f>
        <v/>
      </c>
      <c r="AF133" s="32" t="str">
        <f t="shared" ref="AF133" si="1701">IF(AF128="","",AE133)</f>
        <v/>
      </c>
      <c r="AG133" s="32" t="str">
        <f t="shared" ref="AG133" si="1702">IF(AG128="","",AF133)</f>
        <v/>
      </c>
      <c r="AH133" s="32" t="str">
        <f t="shared" ref="AH133" si="1703">IF(AH128="","",AG133)</f>
        <v/>
      </c>
      <c r="AI133" s="32" t="str">
        <f t="shared" ref="AI133" si="1704">IF(AI128="","",AH133)</f>
        <v/>
      </c>
      <c r="AJ133" s="32" t="str">
        <f t="shared" ref="AJ133" si="1705">IF(AJ128="","",AI133)</f>
        <v/>
      </c>
      <c r="AK133" s="32" t="str">
        <f t="shared" ref="AK133" si="1706">IF(AK128="","",AJ133)</f>
        <v/>
      </c>
      <c r="AL133" s="32" t="str">
        <f t="shared" ref="AL133" si="1707">IF(AL128="","",AK133)</f>
        <v/>
      </c>
      <c r="AM133" s="32" t="str">
        <f t="shared" ref="AM133" si="1708">IF(AM128="","",AL133)</f>
        <v/>
      </c>
      <c r="AN133" s="32" t="str">
        <f t="shared" ref="AN133:AS133" si="1709">IF(AN128="","",AM133)</f>
        <v/>
      </c>
      <c r="AO133" s="32" t="str">
        <f t="shared" si="1709"/>
        <v/>
      </c>
      <c r="AP133" s="32" t="str">
        <f t="shared" si="1709"/>
        <v/>
      </c>
      <c r="AQ133" s="32" t="str">
        <f t="shared" si="1709"/>
        <v/>
      </c>
      <c r="AR133" s="32" t="str">
        <f t="shared" si="1709"/>
        <v/>
      </c>
      <c r="AS133" s="32" t="str">
        <f t="shared" si="1709"/>
        <v/>
      </c>
    </row>
    <row r="134" spans="1:45" s="84" customFormat="1" ht="11.25" x14ac:dyDescent="0.15">
      <c r="A134" s="7">
        <f>AVERAGE(C135:AS135)*30*100</f>
        <v>86538.461538461532</v>
      </c>
      <c r="B134" s="30" t="s">
        <v>12</v>
      </c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</row>
    <row r="135" spans="1:45" s="84" customFormat="1" ht="11.25" x14ac:dyDescent="0.15">
      <c r="A135" s="7">
        <f>SUM(C135:AS135)</f>
        <v>375</v>
      </c>
      <c r="B135" s="27" t="s">
        <v>13</v>
      </c>
      <c r="C135" s="26">
        <v>0</v>
      </c>
      <c r="D135" s="26">
        <v>0</v>
      </c>
      <c r="E135" s="26">
        <v>79</v>
      </c>
      <c r="F135" s="26">
        <v>0</v>
      </c>
      <c r="G135" s="26">
        <v>0</v>
      </c>
      <c r="H135" s="26">
        <v>101</v>
      </c>
      <c r="I135" s="26">
        <v>0</v>
      </c>
      <c r="J135" s="26">
        <v>0</v>
      </c>
      <c r="K135" s="26">
        <v>0</v>
      </c>
      <c r="L135" s="26">
        <v>55</v>
      </c>
      <c r="M135" s="26">
        <f t="shared" ref="M135:M136" si="1710">IF(M128="","",M128-L128)</f>
        <v>0</v>
      </c>
      <c r="N135" s="26">
        <f t="shared" ref="N135:N136" si="1711">IF(N128="","",N128-M128)</f>
        <v>0</v>
      </c>
      <c r="O135" s="26">
        <f t="shared" ref="O135:O136" si="1712">IF(O128="","",O128-N128)</f>
        <v>140</v>
      </c>
      <c r="P135" s="26" t="str">
        <f t="shared" ref="P135:P136" si="1713">IF(P128="","",P128-O128)</f>
        <v/>
      </c>
      <c r="Q135" s="26" t="str">
        <f t="shared" ref="Q135:Q136" si="1714">IF(Q128="","",Q128-P128)</f>
        <v/>
      </c>
      <c r="R135" s="26" t="str">
        <f t="shared" ref="R135:R136" si="1715">IF(R128="","",R128-Q128)</f>
        <v/>
      </c>
      <c r="S135" s="26" t="str">
        <f t="shared" ref="S135:S136" si="1716">IF(S128="","",S128-R128)</f>
        <v/>
      </c>
      <c r="T135" s="26" t="str">
        <f t="shared" ref="T135:T136" si="1717">IF(T128="","",T128-S128)</f>
        <v/>
      </c>
      <c r="U135" s="26" t="str">
        <f t="shared" ref="U135:U136" si="1718">IF(U128="","",U128-T128)</f>
        <v/>
      </c>
      <c r="V135" s="26" t="str">
        <f t="shared" ref="V135:V136" si="1719">IF(V128="","",V128-U128)</f>
        <v/>
      </c>
      <c r="W135" s="26" t="str">
        <f t="shared" ref="W135:W136" si="1720">IF(W128="","",W128-V128)</f>
        <v/>
      </c>
      <c r="X135" s="26" t="str">
        <f t="shared" ref="X135:X136" si="1721">IF(X128="","",X128-W128)</f>
        <v/>
      </c>
      <c r="Y135" s="26" t="str">
        <f t="shared" ref="Y135:Y136" si="1722">IF(Y128="","",Y128-X128)</f>
        <v/>
      </c>
      <c r="Z135" s="26" t="str">
        <f t="shared" ref="Z135:Z136" si="1723">IF(Z128="","",Z128-Y128)</f>
        <v/>
      </c>
      <c r="AA135" s="26" t="str">
        <f t="shared" ref="AA135:AA136" si="1724">IF(AA128="","",AA128-Z128)</f>
        <v/>
      </c>
      <c r="AB135" s="26" t="str">
        <f t="shared" ref="AB135:AB136" si="1725">IF(AB128="","",AB128-AA128)</f>
        <v/>
      </c>
      <c r="AC135" s="26" t="str">
        <f t="shared" ref="AC135:AC136" si="1726">IF(AC128="","",AC128-AB128)</f>
        <v/>
      </c>
      <c r="AD135" s="26" t="str">
        <f t="shared" ref="AD135:AD136" si="1727">IF(AD128="","",AD128-AC128)</f>
        <v/>
      </c>
      <c r="AE135" s="26" t="str">
        <f t="shared" ref="AE135:AE136" si="1728">IF(AE128="","",AE128-AD128)</f>
        <v/>
      </c>
      <c r="AF135" s="26" t="str">
        <f t="shared" ref="AF135:AF136" si="1729">IF(AF128="","",AF128-AE128)</f>
        <v/>
      </c>
      <c r="AG135" s="26" t="str">
        <f t="shared" ref="AG135:AG136" si="1730">IF(AG128="","",AG128-AF128)</f>
        <v/>
      </c>
      <c r="AH135" s="26" t="str">
        <f t="shared" ref="AH135:AH136" si="1731">IF(AH128="","",AH128-AG128)</f>
        <v/>
      </c>
      <c r="AI135" s="26" t="str">
        <f t="shared" ref="AI135:AI136" si="1732">IF(AI128="","",AI128-AH128)</f>
        <v/>
      </c>
      <c r="AJ135" s="26" t="str">
        <f t="shared" ref="AJ135:AJ136" si="1733">IF(AJ128="","",AJ128-AI128)</f>
        <v/>
      </c>
      <c r="AK135" s="26" t="str">
        <f t="shared" ref="AK135:AK136" si="1734">IF(AK128="","",AK128-AJ128)</f>
        <v/>
      </c>
      <c r="AL135" s="26" t="str">
        <f t="shared" ref="AL135:AL136" si="1735">IF(AL128="","",AL128-AK128)</f>
        <v/>
      </c>
      <c r="AM135" s="26" t="str">
        <f t="shared" ref="AM135:AM136" si="1736">IF(AM128="","",AM128-AL128)</f>
        <v/>
      </c>
      <c r="AN135" s="26" t="str">
        <f t="shared" ref="AN135:AS135" si="1737">IF(AN128="","",AN128-AM128)</f>
        <v/>
      </c>
      <c r="AO135" s="26" t="str">
        <f t="shared" si="1737"/>
        <v/>
      </c>
      <c r="AP135" s="26" t="str">
        <f t="shared" si="1737"/>
        <v/>
      </c>
      <c r="AQ135" s="26" t="str">
        <f t="shared" si="1737"/>
        <v/>
      </c>
      <c r="AR135" s="26" t="str">
        <f t="shared" si="1737"/>
        <v/>
      </c>
      <c r="AS135" s="26" t="str">
        <f t="shared" si="1737"/>
        <v/>
      </c>
    </row>
    <row r="136" spans="1:45" s="84" customFormat="1" ht="11.25" x14ac:dyDescent="0.15">
      <c r="A136" s="7">
        <f>SUM(C136:AS136)</f>
        <v>5</v>
      </c>
      <c r="B136" s="27" t="s">
        <v>14</v>
      </c>
      <c r="C136" s="26">
        <v>0</v>
      </c>
      <c r="D136" s="26">
        <v>0</v>
      </c>
      <c r="E136" s="26">
        <v>2</v>
      </c>
      <c r="F136" s="26">
        <v>0</v>
      </c>
      <c r="G136" s="26">
        <v>0</v>
      </c>
      <c r="H136" s="26">
        <v>1</v>
      </c>
      <c r="I136" s="26">
        <v>0</v>
      </c>
      <c r="J136" s="26">
        <v>0</v>
      </c>
      <c r="K136" s="26">
        <v>0</v>
      </c>
      <c r="L136" s="26">
        <v>1</v>
      </c>
      <c r="M136" s="26">
        <f t="shared" si="1710"/>
        <v>0</v>
      </c>
      <c r="N136" s="26">
        <f t="shared" si="1711"/>
        <v>0</v>
      </c>
      <c r="O136" s="26">
        <f t="shared" si="1712"/>
        <v>1</v>
      </c>
      <c r="P136" s="26" t="str">
        <f t="shared" si="1713"/>
        <v/>
      </c>
      <c r="Q136" s="26" t="str">
        <f t="shared" si="1714"/>
        <v/>
      </c>
      <c r="R136" s="26" t="str">
        <f t="shared" si="1715"/>
        <v/>
      </c>
      <c r="S136" s="26" t="str">
        <f t="shared" si="1716"/>
        <v/>
      </c>
      <c r="T136" s="26" t="str">
        <f t="shared" si="1717"/>
        <v/>
      </c>
      <c r="U136" s="26" t="str">
        <f t="shared" si="1718"/>
        <v/>
      </c>
      <c r="V136" s="26" t="str">
        <f t="shared" si="1719"/>
        <v/>
      </c>
      <c r="W136" s="26" t="str">
        <f t="shared" si="1720"/>
        <v/>
      </c>
      <c r="X136" s="26" t="str">
        <f t="shared" si="1721"/>
        <v/>
      </c>
      <c r="Y136" s="26" t="str">
        <f t="shared" si="1722"/>
        <v/>
      </c>
      <c r="Z136" s="26" t="str">
        <f t="shared" si="1723"/>
        <v/>
      </c>
      <c r="AA136" s="26" t="str">
        <f t="shared" si="1724"/>
        <v/>
      </c>
      <c r="AB136" s="26" t="str">
        <f t="shared" si="1725"/>
        <v/>
      </c>
      <c r="AC136" s="26" t="str">
        <f t="shared" si="1726"/>
        <v/>
      </c>
      <c r="AD136" s="26" t="str">
        <f t="shared" si="1727"/>
        <v/>
      </c>
      <c r="AE136" s="26" t="str">
        <f t="shared" si="1728"/>
        <v/>
      </c>
      <c r="AF136" s="26" t="str">
        <f t="shared" si="1729"/>
        <v/>
      </c>
      <c r="AG136" s="26" t="str">
        <f t="shared" si="1730"/>
        <v/>
      </c>
      <c r="AH136" s="26" t="str">
        <f t="shared" si="1731"/>
        <v/>
      </c>
      <c r="AI136" s="26" t="str">
        <f t="shared" si="1732"/>
        <v/>
      </c>
      <c r="AJ136" s="26" t="str">
        <f t="shared" si="1733"/>
        <v/>
      </c>
      <c r="AK136" s="26" t="str">
        <f t="shared" si="1734"/>
        <v/>
      </c>
      <c r="AL136" s="26" t="str">
        <f t="shared" si="1735"/>
        <v/>
      </c>
      <c r="AM136" s="26" t="str">
        <f t="shared" si="1736"/>
        <v/>
      </c>
      <c r="AN136" s="26" t="str">
        <f t="shared" ref="AN136:AS136" si="1738">IF(AN129="","",AN129-AM129)</f>
        <v/>
      </c>
      <c r="AO136" s="26" t="str">
        <f t="shared" si="1738"/>
        <v/>
      </c>
      <c r="AP136" s="26" t="str">
        <f t="shared" si="1738"/>
        <v/>
      </c>
      <c r="AQ136" s="26" t="str">
        <f t="shared" si="1738"/>
        <v/>
      </c>
      <c r="AR136" s="26" t="str">
        <f t="shared" si="1738"/>
        <v/>
      </c>
      <c r="AS136" s="26" t="str">
        <f t="shared" si="1738"/>
        <v/>
      </c>
    </row>
    <row r="137" spans="1:45" s="84" customFormat="1" ht="11.25" x14ac:dyDescent="0.15">
      <c r="A137" s="7">
        <f>SUM(C137:AS137)</f>
        <v>5</v>
      </c>
      <c r="B137" s="27" t="s">
        <v>15</v>
      </c>
      <c r="C137" s="26">
        <v>0</v>
      </c>
      <c r="D137" s="26">
        <v>0</v>
      </c>
      <c r="E137" s="26">
        <v>2</v>
      </c>
      <c r="F137" s="26">
        <v>0</v>
      </c>
      <c r="G137" s="26">
        <v>0</v>
      </c>
      <c r="H137" s="26">
        <v>1</v>
      </c>
      <c r="I137" s="26">
        <v>0</v>
      </c>
      <c r="J137" s="26">
        <v>0</v>
      </c>
      <c r="K137" s="26">
        <v>0</v>
      </c>
      <c r="L137" s="26">
        <v>1</v>
      </c>
      <c r="M137" s="26">
        <f t="shared" ref="M137" si="1739">IF(M130="","",L130+L131-M130)</f>
        <v>0</v>
      </c>
      <c r="N137" s="26">
        <f t="shared" ref="N137" si="1740">IF(N130="","",M130+M131-N130)</f>
        <v>0</v>
      </c>
      <c r="O137" s="26">
        <f t="shared" ref="O137" si="1741">IF(O130="","",N130+N131-O130)</f>
        <v>1</v>
      </c>
      <c r="P137" s="26" t="str">
        <f t="shared" ref="P137" si="1742">IF(P130="","",O130+O131-P130)</f>
        <v/>
      </c>
      <c r="Q137" s="26" t="str">
        <f t="shared" ref="Q137" si="1743">IF(Q130="","",P130+P131-Q130)</f>
        <v/>
      </c>
      <c r="R137" s="26" t="str">
        <f t="shared" ref="R137" si="1744">IF(R130="","",Q130+Q131-R130)</f>
        <v/>
      </c>
      <c r="S137" s="26" t="str">
        <f t="shared" ref="S137" si="1745">IF(S130="","",R130+R131-S130)</f>
        <v/>
      </c>
      <c r="T137" s="26" t="str">
        <f t="shared" ref="T137" si="1746">IF(T130="","",S130+S131-T130)</f>
        <v/>
      </c>
      <c r="U137" s="26" t="str">
        <f t="shared" ref="U137" si="1747">IF(U130="","",T130+T131-U130)</f>
        <v/>
      </c>
      <c r="V137" s="26" t="str">
        <f t="shared" ref="V137" si="1748">IF(V130="","",U130+U131-V130)</f>
        <v/>
      </c>
      <c r="W137" s="26" t="str">
        <f t="shared" ref="W137" si="1749">IF(W130="","",V130+V131-W130)</f>
        <v/>
      </c>
      <c r="X137" s="26" t="str">
        <f t="shared" ref="X137" si="1750">IF(X130="","",W130+W131-X130)</f>
        <v/>
      </c>
      <c r="Y137" s="26" t="str">
        <f t="shared" ref="Y137" si="1751">IF(Y130="","",X130+X131-Y130)</f>
        <v/>
      </c>
      <c r="Z137" s="26" t="str">
        <f t="shared" ref="Z137" si="1752">IF(Z130="","",Y130+Y131-Z130)</f>
        <v/>
      </c>
      <c r="AA137" s="26" t="str">
        <f t="shared" ref="AA137" si="1753">IF(AA130="","",Z130+Z131-AA130)</f>
        <v/>
      </c>
      <c r="AB137" s="26" t="str">
        <f t="shared" ref="AB137" si="1754">IF(AB130="","",AA130+AA131-AB130)</f>
        <v/>
      </c>
      <c r="AC137" s="26" t="str">
        <f t="shared" ref="AC137" si="1755">IF(AC130="","",AB130+AB131-AC130)</f>
        <v/>
      </c>
      <c r="AD137" s="26" t="str">
        <f t="shared" ref="AD137" si="1756">IF(AD130="","",AC130+AC131-AD130)</f>
        <v/>
      </c>
      <c r="AE137" s="26" t="str">
        <f t="shared" ref="AE137" si="1757">IF(AE130="","",AD130+AD131-AE130)</f>
        <v/>
      </c>
      <c r="AF137" s="26" t="str">
        <f t="shared" ref="AF137" si="1758">IF(AF130="","",AE130+AE131-AF130)</f>
        <v/>
      </c>
      <c r="AG137" s="26" t="str">
        <f t="shared" ref="AG137" si="1759">IF(AG130="","",AF130+AF131-AG130)</f>
        <v/>
      </c>
      <c r="AH137" s="26" t="str">
        <f t="shared" ref="AH137" si="1760">IF(AH130="","",AG130+AG131-AH130)</f>
        <v/>
      </c>
      <c r="AI137" s="26" t="str">
        <f t="shared" ref="AI137" si="1761">IF(AI130="","",AH130+AH131-AI130)</f>
        <v/>
      </c>
      <c r="AJ137" s="26" t="str">
        <f t="shared" ref="AJ137" si="1762">IF(AJ130="","",AI130+AI131-AJ130)</f>
        <v/>
      </c>
      <c r="AK137" s="26" t="str">
        <f t="shared" ref="AK137" si="1763">IF(AK130="","",AJ130+AJ131-AK130)</f>
        <v/>
      </c>
      <c r="AL137" s="26" t="str">
        <f t="shared" ref="AL137" si="1764">IF(AL130="","",AK130+AK131-AL130)</f>
        <v/>
      </c>
      <c r="AM137" s="26" t="str">
        <f t="shared" ref="AM137" si="1765">IF(AM130="","",AL130+AL131-AM130)</f>
        <v/>
      </c>
      <c r="AN137" s="26" t="str">
        <f t="shared" ref="AN137:AS137" si="1766">IF(AN130="","",AM130+AM131-AN130)</f>
        <v/>
      </c>
      <c r="AO137" s="26" t="str">
        <f t="shared" si="1766"/>
        <v/>
      </c>
      <c r="AP137" s="26" t="str">
        <f t="shared" si="1766"/>
        <v/>
      </c>
      <c r="AQ137" s="26" t="str">
        <f t="shared" si="1766"/>
        <v/>
      </c>
      <c r="AR137" s="26" t="str">
        <f t="shared" si="1766"/>
        <v/>
      </c>
      <c r="AS137" s="26" t="str">
        <f t="shared" si="1766"/>
        <v/>
      </c>
    </row>
    <row r="138" spans="1:45" s="84" customFormat="1" ht="11.25" x14ac:dyDescent="0.15">
      <c r="A138" s="7">
        <f>SUM(C138:AS138)</f>
        <v>3575</v>
      </c>
      <c r="B138" s="27" t="s">
        <v>16</v>
      </c>
      <c r="C138" s="26">
        <v>0</v>
      </c>
      <c r="D138" s="26">
        <v>0</v>
      </c>
      <c r="E138" s="26">
        <v>1430</v>
      </c>
      <c r="F138" s="26">
        <v>0</v>
      </c>
      <c r="G138" s="26">
        <v>0</v>
      </c>
      <c r="H138" s="26">
        <v>715</v>
      </c>
      <c r="I138" s="26">
        <v>0</v>
      </c>
      <c r="J138" s="26">
        <v>0</v>
      </c>
      <c r="K138" s="26">
        <v>0</v>
      </c>
      <c r="L138" s="26">
        <v>715</v>
      </c>
      <c r="M138" s="26">
        <f t="shared" ref="J138:AM138" si="1767">IF(M128="","",M137*M132)</f>
        <v>0</v>
      </c>
      <c r="N138" s="26">
        <f t="shared" si="1767"/>
        <v>0</v>
      </c>
      <c r="O138" s="26">
        <f t="shared" si="1767"/>
        <v>715</v>
      </c>
      <c r="P138" s="26" t="str">
        <f t="shared" si="1767"/>
        <v/>
      </c>
      <c r="Q138" s="26" t="str">
        <f t="shared" si="1767"/>
        <v/>
      </c>
      <c r="R138" s="26" t="str">
        <f t="shared" si="1767"/>
        <v/>
      </c>
      <c r="S138" s="26" t="str">
        <f t="shared" si="1767"/>
        <v/>
      </c>
      <c r="T138" s="26" t="str">
        <f t="shared" si="1767"/>
        <v/>
      </c>
      <c r="U138" s="26" t="str">
        <f t="shared" si="1767"/>
        <v/>
      </c>
      <c r="V138" s="26" t="str">
        <f t="shared" si="1767"/>
        <v/>
      </c>
      <c r="W138" s="26" t="str">
        <f t="shared" si="1767"/>
        <v/>
      </c>
      <c r="X138" s="26" t="str">
        <f t="shared" si="1767"/>
        <v/>
      </c>
      <c r="Y138" s="26" t="str">
        <f t="shared" si="1767"/>
        <v/>
      </c>
      <c r="Z138" s="26" t="str">
        <f t="shared" si="1767"/>
        <v/>
      </c>
      <c r="AA138" s="26" t="str">
        <f t="shared" si="1767"/>
        <v/>
      </c>
      <c r="AB138" s="26" t="str">
        <f t="shared" si="1767"/>
        <v/>
      </c>
      <c r="AC138" s="26" t="str">
        <f t="shared" si="1767"/>
        <v/>
      </c>
      <c r="AD138" s="26" t="str">
        <f t="shared" si="1767"/>
        <v/>
      </c>
      <c r="AE138" s="26" t="str">
        <f t="shared" si="1767"/>
        <v/>
      </c>
      <c r="AF138" s="26" t="str">
        <f t="shared" si="1767"/>
        <v/>
      </c>
      <c r="AG138" s="26" t="str">
        <f t="shared" si="1767"/>
        <v/>
      </c>
      <c r="AH138" s="26" t="str">
        <f t="shared" si="1767"/>
        <v/>
      </c>
      <c r="AI138" s="26" t="str">
        <f t="shared" si="1767"/>
        <v/>
      </c>
      <c r="AJ138" s="26" t="str">
        <f t="shared" si="1767"/>
        <v/>
      </c>
      <c r="AK138" s="26" t="str">
        <f t="shared" si="1767"/>
        <v/>
      </c>
      <c r="AL138" s="26" t="str">
        <f t="shared" si="1767"/>
        <v/>
      </c>
      <c r="AM138" s="26" t="str">
        <f t="shared" si="1767"/>
        <v/>
      </c>
      <c r="AN138" s="26" t="str">
        <f t="shared" ref="AN138:AS138" si="1768">IF(AN128="","",AN137*AN132)</f>
        <v/>
      </c>
      <c r="AO138" s="26" t="str">
        <f t="shared" si="1768"/>
        <v/>
      </c>
      <c r="AP138" s="26" t="str">
        <f t="shared" si="1768"/>
        <v/>
      </c>
      <c r="AQ138" s="26" t="str">
        <f t="shared" si="1768"/>
        <v/>
      </c>
      <c r="AR138" s="26" t="str">
        <f t="shared" si="1768"/>
        <v/>
      </c>
      <c r="AS138" s="26" t="str">
        <f t="shared" si="1768"/>
        <v/>
      </c>
    </row>
    <row r="139" spans="1:45" s="84" customFormat="1" ht="12" thickBot="1" x14ac:dyDescent="0.2">
      <c r="A139" s="4">
        <f>IF(A138="","",A138/(A135*100))</f>
        <v>9.5333333333333339E-2</v>
      </c>
      <c r="B139" s="24" t="s">
        <v>18</v>
      </c>
      <c r="C139" s="23" t="s">
        <v>19</v>
      </c>
      <c r="D139" s="23" t="s">
        <v>19</v>
      </c>
      <c r="E139" s="23">
        <v>0.18101265822784809</v>
      </c>
      <c r="F139" s="23" t="s">
        <v>19</v>
      </c>
      <c r="G139" s="23" t="s">
        <v>19</v>
      </c>
      <c r="H139" s="23">
        <v>7.0792079207920786E-2</v>
      </c>
      <c r="I139" s="23" t="s">
        <v>19</v>
      </c>
      <c r="J139" s="23" t="s">
        <v>19</v>
      </c>
      <c r="K139" s="23" t="s">
        <v>19</v>
      </c>
      <c r="L139" s="23">
        <v>0.13</v>
      </c>
      <c r="M139" s="23" t="str">
        <f t="shared" ref="J139:AM139" si="1769">IF(M138="","",IF(M138=0,"",M138/(M135*100)))</f>
        <v/>
      </c>
      <c r="N139" s="23" t="str">
        <f t="shared" si="1769"/>
        <v/>
      </c>
      <c r="O139" s="23">
        <f t="shared" si="1769"/>
        <v>5.1071428571428573E-2</v>
      </c>
      <c r="P139" s="23" t="str">
        <f t="shared" si="1769"/>
        <v/>
      </c>
      <c r="Q139" s="23" t="str">
        <f t="shared" si="1769"/>
        <v/>
      </c>
      <c r="R139" s="23" t="str">
        <f t="shared" si="1769"/>
        <v/>
      </c>
      <c r="S139" s="23" t="str">
        <f t="shared" si="1769"/>
        <v/>
      </c>
      <c r="T139" s="23" t="str">
        <f t="shared" si="1769"/>
        <v/>
      </c>
      <c r="U139" s="23" t="str">
        <f t="shared" si="1769"/>
        <v/>
      </c>
      <c r="V139" s="23" t="str">
        <f t="shared" si="1769"/>
        <v/>
      </c>
      <c r="W139" s="23" t="str">
        <f t="shared" si="1769"/>
        <v/>
      </c>
      <c r="X139" s="23" t="str">
        <f t="shared" si="1769"/>
        <v/>
      </c>
      <c r="Y139" s="23" t="str">
        <f t="shared" si="1769"/>
        <v/>
      </c>
      <c r="Z139" s="23" t="str">
        <f t="shared" si="1769"/>
        <v/>
      </c>
      <c r="AA139" s="23" t="str">
        <f t="shared" si="1769"/>
        <v/>
      </c>
      <c r="AB139" s="23" t="str">
        <f t="shared" si="1769"/>
        <v/>
      </c>
      <c r="AC139" s="23" t="str">
        <f t="shared" si="1769"/>
        <v/>
      </c>
      <c r="AD139" s="23" t="str">
        <f t="shared" si="1769"/>
        <v/>
      </c>
      <c r="AE139" s="23" t="str">
        <f t="shared" si="1769"/>
        <v/>
      </c>
      <c r="AF139" s="23" t="str">
        <f t="shared" si="1769"/>
        <v/>
      </c>
      <c r="AG139" s="23" t="str">
        <f t="shared" si="1769"/>
        <v/>
      </c>
      <c r="AH139" s="23" t="str">
        <f t="shared" si="1769"/>
        <v/>
      </c>
      <c r="AI139" s="23" t="str">
        <f t="shared" si="1769"/>
        <v/>
      </c>
      <c r="AJ139" s="23" t="str">
        <f t="shared" si="1769"/>
        <v/>
      </c>
      <c r="AK139" s="23" t="str">
        <f t="shared" si="1769"/>
        <v/>
      </c>
      <c r="AL139" s="23" t="str">
        <f t="shared" si="1769"/>
        <v/>
      </c>
      <c r="AM139" s="23" t="str">
        <f t="shared" si="1769"/>
        <v/>
      </c>
      <c r="AN139" s="23" t="str">
        <f t="shared" ref="AN139:AS139" si="1770">IF(AN138="","",IF(AN138=0,"",AN138/(AN135*100)))</f>
        <v/>
      </c>
      <c r="AO139" s="23" t="str">
        <f t="shared" si="1770"/>
        <v/>
      </c>
      <c r="AP139" s="23" t="str">
        <f t="shared" si="1770"/>
        <v/>
      </c>
      <c r="AQ139" s="23" t="str">
        <f t="shared" si="1770"/>
        <v/>
      </c>
      <c r="AR139" s="23" t="str">
        <f t="shared" si="1770"/>
        <v/>
      </c>
      <c r="AS139" s="23" t="str">
        <f t="shared" si="1770"/>
        <v/>
      </c>
    </row>
    <row r="140" spans="1:45" s="1" customFormat="1" ht="11.25" x14ac:dyDescent="0.15">
      <c r="A140" s="17" t="s">
        <v>83</v>
      </c>
      <c r="B140" s="39" t="s">
        <v>2</v>
      </c>
      <c r="C140" s="38">
        <v>6739</v>
      </c>
      <c r="D140" s="38">
        <v>6739</v>
      </c>
      <c r="E140" s="38">
        <v>6761</v>
      </c>
      <c r="F140" s="38">
        <v>6761</v>
      </c>
      <c r="G140" s="38">
        <v>6761</v>
      </c>
      <c r="H140" s="38">
        <v>6815</v>
      </c>
      <c r="I140" s="38">
        <v>6815</v>
      </c>
      <c r="J140" s="38">
        <v>6815</v>
      </c>
      <c r="K140" s="38">
        <v>6815</v>
      </c>
      <c r="L140" s="38">
        <v>6872</v>
      </c>
      <c r="M140" s="38">
        <f t="shared" ref="M140:M141" si="1771">IF(M$8="","",L140)</f>
        <v>6872</v>
      </c>
      <c r="N140" s="38">
        <f t="shared" ref="N140:N141" si="1772">IF(N$8="","",M140)</f>
        <v>6872</v>
      </c>
      <c r="O140" s="38">
        <v>6928</v>
      </c>
      <c r="P140" s="38" t="str">
        <f>IF(P$8="","",O140)</f>
        <v/>
      </c>
      <c r="Q140" s="38" t="str">
        <f t="shared" ref="Q140:Q141" si="1773">IF(Q$8="","",P140)</f>
        <v/>
      </c>
      <c r="R140" s="38" t="str">
        <f t="shared" ref="R140:R141" si="1774">IF(R$8="","",Q140)</f>
        <v/>
      </c>
      <c r="S140" s="38" t="str">
        <f>IF(S$8="","",R140)</f>
        <v/>
      </c>
      <c r="T140" s="38" t="str">
        <f t="shared" ref="T140:T141" si="1775">IF(T$8="","",S140)</f>
        <v/>
      </c>
      <c r="U140" s="38" t="str">
        <f t="shared" ref="U140:U141" si="1776">IF(U$8="","",T140)</f>
        <v/>
      </c>
      <c r="V140" s="38" t="str">
        <f>IF(V$8="","",U140)</f>
        <v/>
      </c>
      <c r="W140" s="38" t="str">
        <f t="shared" ref="W140:W141" si="1777">IF(W$8="","",V140)</f>
        <v/>
      </c>
      <c r="X140" s="38" t="str">
        <f t="shared" ref="X140:X141" si="1778">IF(X$8="","",W140)</f>
        <v/>
      </c>
      <c r="Y140" s="38" t="str">
        <f t="shared" ref="Y140:Y141" si="1779">IF(Y$8="","",X140)</f>
        <v/>
      </c>
      <c r="Z140" s="38" t="str">
        <f>IF(Z$8="","",Y140)</f>
        <v/>
      </c>
      <c r="AA140" s="38" t="str">
        <f t="shared" ref="AA140:AA141" si="1780">IF(AA$8="","",Z140)</f>
        <v/>
      </c>
      <c r="AB140" s="38" t="str">
        <f t="shared" ref="AB140:AB141" si="1781">IF(AB$8="","",AA140)</f>
        <v/>
      </c>
      <c r="AC140" s="38" t="str">
        <f t="shared" ref="AC140:AC141" si="1782">IF(AC$8="","",AB140)</f>
        <v/>
      </c>
      <c r="AD140" s="38" t="str">
        <f>IF(AD$8="","",AC140)</f>
        <v/>
      </c>
      <c r="AE140" s="38" t="str">
        <f t="shared" ref="AE140:AE141" si="1783">IF(AE$8="","",AD140)</f>
        <v/>
      </c>
      <c r="AF140" s="38" t="str">
        <f t="shared" ref="AF140:AF141" si="1784">IF(AF$8="","",AE140)</f>
        <v/>
      </c>
      <c r="AG140" s="38" t="str">
        <f>IF(AG$8="","",AF140)</f>
        <v/>
      </c>
      <c r="AH140" s="38" t="str">
        <f t="shared" ref="AH140:AH141" si="1785">IF(AH$8="","",AG140)</f>
        <v/>
      </c>
      <c r="AI140" s="38" t="str">
        <f t="shared" ref="AI140:AI141" si="1786">IF(AI$8="","",AH140)</f>
        <v/>
      </c>
      <c r="AJ140" s="38" t="str">
        <f>IF(AJ$8="","",AI140)</f>
        <v/>
      </c>
      <c r="AK140" s="38" t="str">
        <f t="shared" ref="AK140:AK141" si="1787">IF(AK$8="","",AJ140)</f>
        <v/>
      </c>
      <c r="AL140" s="38" t="str">
        <f t="shared" ref="AL140:AL141" si="1788">IF(AL$8="","",AK140)</f>
        <v/>
      </c>
      <c r="AM140" s="38" t="str">
        <f t="shared" ref="AM140:AM141" si="1789">IF(AM$8="","",AL140)</f>
        <v/>
      </c>
      <c r="AN140" s="38" t="str">
        <f>IF(AN$8="","",AM140)</f>
        <v/>
      </c>
      <c r="AO140" s="38" t="str">
        <f t="shared" ref="AN140:AS140" si="1790">IF(AO$8="","",AN140)</f>
        <v/>
      </c>
      <c r="AP140" s="38" t="str">
        <f t="shared" si="1790"/>
        <v/>
      </c>
      <c r="AQ140" s="38" t="str">
        <f t="shared" si="1790"/>
        <v/>
      </c>
      <c r="AR140" s="38" t="str">
        <f t="shared" si="1790"/>
        <v/>
      </c>
      <c r="AS140" s="38" t="str">
        <f t="shared" si="1790"/>
        <v/>
      </c>
    </row>
    <row r="141" spans="1:45" s="1" customFormat="1" ht="11.25" x14ac:dyDescent="0.15">
      <c r="A141" s="16" t="s">
        <v>36</v>
      </c>
      <c r="B141" s="30" t="s">
        <v>4</v>
      </c>
      <c r="C141" s="29">
        <v>131</v>
      </c>
      <c r="D141" s="29">
        <v>131</v>
      </c>
      <c r="E141" s="29">
        <v>131</v>
      </c>
      <c r="F141" s="29">
        <v>131</v>
      </c>
      <c r="G141" s="29">
        <v>131</v>
      </c>
      <c r="H141" s="29">
        <v>132</v>
      </c>
      <c r="I141" s="29">
        <v>132</v>
      </c>
      <c r="J141" s="29">
        <v>132</v>
      </c>
      <c r="K141" s="29">
        <v>132</v>
      </c>
      <c r="L141" s="29">
        <v>134</v>
      </c>
      <c r="M141" s="29">
        <f t="shared" si="1771"/>
        <v>134</v>
      </c>
      <c r="N141" s="29">
        <f t="shared" si="1772"/>
        <v>134</v>
      </c>
      <c r="O141" s="29">
        <v>135</v>
      </c>
      <c r="P141" s="29" t="str">
        <f>IF(P$8="","",O141)</f>
        <v/>
      </c>
      <c r="Q141" s="29" t="str">
        <f t="shared" si="1773"/>
        <v/>
      </c>
      <c r="R141" s="29" t="str">
        <f t="shared" si="1774"/>
        <v/>
      </c>
      <c r="S141" s="29" t="str">
        <f>IF(S$8="","",R141)</f>
        <v/>
      </c>
      <c r="T141" s="29" t="str">
        <f t="shared" si="1775"/>
        <v/>
      </c>
      <c r="U141" s="29" t="str">
        <f t="shared" si="1776"/>
        <v/>
      </c>
      <c r="V141" s="29" t="str">
        <f>IF(V$8="","",U141)</f>
        <v/>
      </c>
      <c r="W141" s="29" t="str">
        <f t="shared" si="1777"/>
        <v/>
      </c>
      <c r="X141" s="29" t="str">
        <f t="shared" si="1778"/>
        <v/>
      </c>
      <c r="Y141" s="29" t="str">
        <f t="shared" si="1779"/>
        <v/>
      </c>
      <c r="Z141" s="29" t="str">
        <f>IF(Z$8="","",Y141)</f>
        <v/>
      </c>
      <c r="AA141" s="29" t="str">
        <f t="shared" si="1780"/>
        <v/>
      </c>
      <c r="AB141" s="29" t="str">
        <f t="shared" si="1781"/>
        <v/>
      </c>
      <c r="AC141" s="29" t="str">
        <f t="shared" si="1782"/>
        <v/>
      </c>
      <c r="AD141" s="29" t="str">
        <f>IF(AD$8="","",AC141)</f>
        <v/>
      </c>
      <c r="AE141" s="29" t="str">
        <f t="shared" si="1783"/>
        <v/>
      </c>
      <c r="AF141" s="29" t="str">
        <f t="shared" si="1784"/>
        <v/>
      </c>
      <c r="AG141" s="29" t="str">
        <f t="shared" ref="AG141" si="1791">IF(AG$8="","",AF141)</f>
        <v/>
      </c>
      <c r="AH141" s="29" t="str">
        <f t="shared" si="1785"/>
        <v/>
      </c>
      <c r="AI141" s="29" t="str">
        <f t="shared" si="1786"/>
        <v/>
      </c>
      <c r="AJ141" s="29" t="str">
        <f>IF(AJ$8="","",AI141)</f>
        <v/>
      </c>
      <c r="AK141" s="29" t="str">
        <f t="shared" si="1787"/>
        <v/>
      </c>
      <c r="AL141" s="29" t="str">
        <f t="shared" si="1788"/>
        <v/>
      </c>
      <c r="AM141" s="29" t="str">
        <f t="shared" si="1789"/>
        <v/>
      </c>
      <c r="AN141" s="29" t="str">
        <f>IF(AN$8="","",AM141)</f>
        <v/>
      </c>
      <c r="AO141" s="29" t="str">
        <f t="shared" ref="AN141:AS141" si="1792">IF(AO$8="","",AN141)</f>
        <v/>
      </c>
      <c r="AP141" s="29" t="str">
        <f t="shared" si="1792"/>
        <v/>
      </c>
      <c r="AQ141" s="29" t="str">
        <f t="shared" si="1792"/>
        <v/>
      </c>
      <c r="AR141" s="29" t="str">
        <f t="shared" si="1792"/>
        <v/>
      </c>
      <c r="AS141" s="29" t="str">
        <f t="shared" si="1792"/>
        <v/>
      </c>
    </row>
    <row r="142" spans="1:45" s="1" customFormat="1" ht="11.25" x14ac:dyDescent="0.15">
      <c r="A142" s="15">
        <v>1</v>
      </c>
      <c r="B142" s="30" t="s">
        <v>5</v>
      </c>
      <c r="C142" s="29">
        <v>12</v>
      </c>
      <c r="D142" s="29">
        <v>12</v>
      </c>
      <c r="E142" s="29">
        <v>12</v>
      </c>
      <c r="F142" s="29">
        <v>12</v>
      </c>
      <c r="G142" s="29">
        <v>12</v>
      </c>
      <c r="H142" s="29">
        <v>11</v>
      </c>
      <c r="I142" s="29">
        <v>11</v>
      </c>
      <c r="J142" s="29">
        <v>11</v>
      </c>
      <c r="K142" s="29">
        <v>11</v>
      </c>
      <c r="L142" s="29">
        <v>9</v>
      </c>
      <c r="M142" s="29">
        <f t="shared" ref="M142" si="1793">IF(M$8="","",(L142+L143))</f>
        <v>9</v>
      </c>
      <c r="N142" s="29">
        <f t="shared" ref="N142" si="1794">IF(N$8="","",(M142+M143))</f>
        <v>9</v>
      </c>
      <c r="O142" s="29">
        <v>8</v>
      </c>
      <c r="P142" s="29" t="str">
        <f>IF(P$8="","",(O142+O143))</f>
        <v/>
      </c>
      <c r="Q142" s="29" t="str">
        <f t="shared" ref="Q142" si="1795">IF(Q$8="","",(P142+P143))</f>
        <v/>
      </c>
      <c r="R142" s="29" t="str">
        <f t="shared" ref="R142" si="1796">IF(R$8="","",(Q142+Q143))</f>
        <v/>
      </c>
      <c r="S142" s="29" t="str">
        <f>IF(S$8="","",(R142+R143))</f>
        <v/>
      </c>
      <c r="T142" s="29" t="str">
        <f t="shared" ref="T142" si="1797">IF(T$8="","",(S142+S143))</f>
        <v/>
      </c>
      <c r="U142" s="29" t="str">
        <f t="shared" ref="U142" si="1798">IF(U$8="","",(T142+T143))</f>
        <v/>
      </c>
      <c r="V142" s="29" t="str">
        <f>IF(V$8="","",(U142+U143))</f>
        <v/>
      </c>
      <c r="W142" s="29" t="str">
        <f t="shared" ref="W142" si="1799">IF(W$8="","",(V142+V143))</f>
        <v/>
      </c>
      <c r="X142" s="29" t="str">
        <f t="shared" ref="X142" si="1800">IF(X$8="","",(W142+W143))</f>
        <v/>
      </c>
      <c r="Y142" s="29" t="str">
        <f t="shared" ref="Y142" si="1801">IF(Y$8="","",(X142+X143))</f>
        <v/>
      </c>
      <c r="Z142" s="29" t="str">
        <f>IF(Z$8="","",(Y142+Y143))</f>
        <v/>
      </c>
      <c r="AA142" s="29" t="str">
        <f t="shared" ref="AA142" si="1802">IF(AA$8="","",(Z142+Z143))</f>
        <v/>
      </c>
      <c r="AB142" s="29" t="str">
        <f t="shared" ref="AB142" si="1803">IF(AB$8="","",(AA142+AA143))</f>
        <v/>
      </c>
      <c r="AC142" s="29" t="str">
        <f t="shared" ref="AC142" si="1804">IF(AC$8="","",(AB142+AB143))</f>
        <v/>
      </c>
      <c r="AD142" s="29" t="str">
        <f>IF(AD$8="","",(AC142+AC143))</f>
        <v/>
      </c>
      <c r="AE142" s="29" t="str">
        <f t="shared" ref="AE142" si="1805">IF(AE$8="","",(AD142+AD143))</f>
        <v/>
      </c>
      <c r="AF142" s="29" t="str">
        <f t="shared" ref="AF142" si="1806">IF(AF$8="","",(AE142+AE143))</f>
        <v/>
      </c>
      <c r="AG142" s="29" t="str">
        <f t="shared" ref="AG142" si="1807">IF(AG$8="","",(AF142+AF143))</f>
        <v/>
      </c>
      <c r="AH142" s="29" t="str">
        <f t="shared" ref="AH142" si="1808">IF(AH$8="","",(AG142+AG143))</f>
        <v/>
      </c>
      <c r="AI142" s="29" t="str">
        <f t="shared" ref="AI142" si="1809">IF(AI$8="","",(AH142+AH143))</f>
        <v/>
      </c>
      <c r="AJ142" s="29" t="str">
        <f>IF(AJ$8="","",(AI142+AI143))</f>
        <v/>
      </c>
      <c r="AK142" s="29" t="str">
        <f t="shared" ref="AK142" si="1810">IF(AK$8="","",(AJ142+AJ143))</f>
        <v/>
      </c>
      <c r="AL142" s="29" t="str">
        <f t="shared" ref="AL142" si="1811">IF(AL$8="","",(AK142+AK143))</f>
        <v/>
      </c>
      <c r="AM142" s="29" t="str">
        <f t="shared" ref="AM142" si="1812">IF(AM$8="","",(AL142+AL143))</f>
        <v/>
      </c>
      <c r="AN142" s="29" t="str">
        <f>IF(AN$8="","",(AM142+AM143))</f>
        <v/>
      </c>
      <c r="AO142" s="29" t="str">
        <f t="shared" ref="AN142:AS142" si="1813">IF(AO$8="","",(AN142+AN143))</f>
        <v/>
      </c>
      <c r="AP142" s="29" t="str">
        <f t="shared" si="1813"/>
        <v/>
      </c>
      <c r="AQ142" s="29" t="str">
        <f t="shared" si="1813"/>
        <v/>
      </c>
      <c r="AR142" s="29" t="str">
        <f t="shared" si="1813"/>
        <v/>
      </c>
      <c r="AS142" s="29" t="str">
        <f t="shared" si="1813"/>
        <v/>
      </c>
    </row>
    <row r="143" spans="1:45" s="1" customFormat="1" ht="11.25" x14ac:dyDescent="0.15">
      <c r="A143" s="92" t="s">
        <v>6</v>
      </c>
      <c r="B143" s="30" t="s">
        <v>7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</row>
    <row r="144" spans="1:45" s="1" customFormat="1" ht="11.25" x14ac:dyDescent="0.15">
      <c r="A144" s="93">
        <f>+(A147+A159+A171+A183)*100</f>
        <v>74300</v>
      </c>
      <c r="B144" s="30" t="s">
        <v>8</v>
      </c>
      <c r="C144" s="35">
        <v>800</v>
      </c>
      <c r="D144" s="35">
        <v>800</v>
      </c>
      <c r="E144" s="35">
        <v>800</v>
      </c>
      <c r="F144" s="35">
        <v>800</v>
      </c>
      <c r="G144" s="35">
        <v>800</v>
      </c>
      <c r="H144" s="35">
        <v>800</v>
      </c>
      <c r="I144" s="35">
        <v>800</v>
      </c>
      <c r="J144" s="35">
        <v>800</v>
      </c>
      <c r="K144" s="35">
        <v>800</v>
      </c>
      <c r="L144" s="35">
        <v>800</v>
      </c>
      <c r="M144" s="35">
        <f t="shared" ref="M144:M145" si="1814">IF(M$8="","",L144)</f>
        <v>800</v>
      </c>
      <c r="N144" s="35">
        <f t="shared" ref="N144:N145" si="1815">IF(N$8="","",M144)</f>
        <v>800</v>
      </c>
      <c r="O144" s="35">
        <f t="shared" ref="O144:O145" si="1816">IF(O$8="","",N144)</f>
        <v>800</v>
      </c>
      <c r="P144" s="35" t="str">
        <f t="shared" ref="P144:P145" si="1817">IF(P$8="","",O144)</f>
        <v/>
      </c>
      <c r="Q144" s="35" t="str">
        <f t="shared" ref="Q144:Q145" si="1818">IF(Q$8="","",P144)</f>
        <v/>
      </c>
      <c r="R144" s="35" t="str">
        <f t="shared" ref="R144:R145" si="1819">IF(R$8="","",Q144)</f>
        <v/>
      </c>
      <c r="S144" s="35" t="str">
        <f t="shared" ref="S144:S145" si="1820">IF(S$8="","",R144)</f>
        <v/>
      </c>
      <c r="T144" s="35" t="str">
        <f t="shared" ref="T144:T145" si="1821">IF(T$8="","",S144)</f>
        <v/>
      </c>
      <c r="U144" s="35" t="str">
        <f t="shared" ref="U144:U145" si="1822">IF(U$8="","",T144)</f>
        <v/>
      </c>
      <c r="V144" s="35" t="str">
        <f t="shared" ref="V144:V145" si="1823">IF(V$8="","",U144)</f>
        <v/>
      </c>
      <c r="W144" s="35" t="str">
        <f t="shared" ref="W144:W145" si="1824">IF(W$8="","",V144)</f>
        <v/>
      </c>
      <c r="X144" s="35" t="str">
        <f t="shared" ref="X144:X145" si="1825">IF(X$8="","",W144)</f>
        <v/>
      </c>
      <c r="Y144" s="35" t="str">
        <f t="shared" ref="Y144:Y145" si="1826">IF(Y$8="","",X144)</f>
        <v/>
      </c>
      <c r="Z144" s="35" t="str">
        <f t="shared" ref="Z144:Z145" si="1827">IF(Z$8="","",Y144)</f>
        <v/>
      </c>
      <c r="AA144" s="35" t="str">
        <f t="shared" ref="AA144:AA145" si="1828">IF(AA$8="","",Z144)</f>
        <v/>
      </c>
      <c r="AB144" s="35" t="str">
        <f t="shared" ref="AB144:AB145" si="1829">IF(AB$8="","",AA144)</f>
        <v/>
      </c>
      <c r="AC144" s="35" t="str">
        <f t="shared" ref="AC144:AC145" si="1830">IF(AC$8="","",AB144)</f>
        <v/>
      </c>
      <c r="AD144" s="35" t="str">
        <f t="shared" ref="AD144:AD145" si="1831">IF(AD$8="","",AC144)</f>
        <v/>
      </c>
      <c r="AE144" s="35" t="str">
        <f t="shared" ref="AE144:AE145" si="1832">IF(AE$8="","",AD144)</f>
        <v/>
      </c>
      <c r="AF144" s="35" t="str">
        <f t="shared" ref="AF144:AF145" si="1833">IF(AF$8="","",AE144)</f>
        <v/>
      </c>
      <c r="AG144" s="35" t="str">
        <f t="shared" ref="AG144:AG145" si="1834">IF(AG$8="","",AF144)</f>
        <v/>
      </c>
      <c r="AH144" s="35" t="str">
        <f t="shared" ref="AH144:AH145" si="1835">IF(AH$8="","",AG144)</f>
        <v/>
      </c>
      <c r="AI144" s="35" t="str">
        <f t="shared" ref="AI144:AI145" si="1836">IF(AI$8="","",AH144)</f>
        <v/>
      </c>
      <c r="AJ144" s="35" t="str">
        <f t="shared" ref="AJ144:AJ145" si="1837">IF(AJ$8="","",AI144)</f>
        <v/>
      </c>
      <c r="AK144" s="35" t="str">
        <f t="shared" ref="AK144:AK145" si="1838">IF(AK$8="","",AJ144)</f>
        <v/>
      </c>
      <c r="AL144" s="35" t="str">
        <f t="shared" ref="AL144:AL145" si="1839">IF(AL$8="","",AK144)</f>
        <v/>
      </c>
      <c r="AM144" s="35" t="str">
        <f t="shared" ref="AM144:AM145" si="1840">IF(AM$8="","",AL144)</f>
        <v/>
      </c>
      <c r="AN144" s="35" t="str">
        <f t="shared" ref="AN144:AS144" si="1841">IF(AN$8="","",AM144)</f>
        <v/>
      </c>
      <c r="AO144" s="35" t="str">
        <f t="shared" si="1841"/>
        <v/>
      </c>
      <c r="AP144" s="35" t="str">
        <f t="shared" si="1841"/>
        <v/>
      </c>
      <c r="AQ144" s="35" t="str">
        <f t="shared" si="1841"/>
        <v/>
      </c>
      <c r="AR144" s="35" t="str">
        <f t="shared" si="1841"/>
        <v/>
      </c>
      <c r="AS144" s="35" t="str">
        <f t="shared" si="1841"/>
        <v/>
      </c>
    </row>
    <row r="145" spans="1:45" s="85" customFormat="1" ht="11.25" x14ac:dyDescent="0.15">
      <c r="A145" s="14" t="s">
        <v>9</v>
      </c>
      <c r="B145" s="33" t="s">
        <v>10</v>
      </c>
      <c r="C145" s="32" t="s">
        <v>30</v>
      </c>
      <c r="D145" s="32" t="s">
        <v>30</v>
      </c>
      <c r="E145" s="32" t="s">
        <v>30</v>
      </c>
      <c r="F145" s="32" t="s">
        <v>30</v>
      </c>
      <c r="G145" s="32" t="s">
        <v>30</v>
      </c>
      <c r="H145" s="32" t="s">
        <v>30</v>
      </c>
      <c r="I145" s="32" t="s">
        <v>30</v>
      </c>
      <c r="J145" s="32" t="s">
        <v>30</v>
      </c>
      <c r="K145" s="32" t="s">
        <v>30</v>
      </c>
      <c r="L145" s="32" t="s">
        <v>30</v>
      </c>
      <c r="M145" s="32" t="str">
        <f t="shared" si="1814"/>
        <v>PRO4</v>
      </c>
      <c r="N145" s="32" t="str">
        <f t="shared" si="1815"/>
        <v>PRO4</v>
      </c>
      <c r="O145" s="32" t="str">
        <f t="shared" si="1816"/>
        <v>PRO4</v>
      </c>
      <c r="P145" s="32" t="str">
        <f t="shared" si="1817"/>
        <v/>
      </c>
      <c r="Q145" s="32" t="str">
        <f t="shared" si="1818"/>
        <v/>
      </c>
      <c r="R145" s="32" t="str">
        <f t="shared" si="1819"/>
        <v/>
      </c>
      <c r="S145" s="32" t="str">
        <f t="shared" si="1820"/>
        <v/>
      </c>
      <c r="T145" s="32" t="str">
        <f t="shared" si="1821"/>
        <v/>
      </c>
      <c r="U145" s="32" t="str">
        <f t="shared" si="1822"/>
        <v/>
      </c>
      <c r="V145" s="32" t="str">
        <f t="shared" si="1823"/>
        <v/>
      </c>
      <c r="W145" s="32" t="str">
        <f t="shared" si="1824"/>
        <v/>
      </c>
      <c r="X145" s="32" t="str">
        <f t="shared" si="1825"/>
        <v/>
      </c>
      <c r="Y145" s="32" t="str">
        <f t="shared" si="1826"/>
        <v/>
      </c>
      <c r="Z145" s="32" t="str">
        <f t="shared" si="1827"/>
        <v/>
      </c>
      <c r="AA145" s="32" t="str">
        <f t="shared" si="1828"/>
        <v/>
      </c>
      <c r="AB145" s="32" t="str">
        <f t="shared" si="1829"/>
        <v/>
      </c>
      <c r="AC145" s="32" t="str">
        <f t="shared" si="1830"/>
        <v/>
      </c>
      <c r="AD145" s="32" t="str">
        <f t="shared" si="1831"/>
        <v/>
      </c>
      <c r="AE145" s="32" t="str">
        <f t="shared" si="1832"/>
        <v/>
      </c>
      <c r="AF145" s="32" t="str">
        <f t="shared" si="1833"/>
        <v/>
      </c>
      <c r="AG145" s="32" t="str">
        <f t="shared" si="1834"/>
        <v/>
      </c>
      <c r="AH145" s="32" t="str">
        <f t="shared" si="1835"/>
        <v/>
      </c>
      <c r="AI145" s="32" t="str">
        <f t="shared" si="1836"/>
        <v/>
      </c>
      <c r="AJ145" s="32" t="str">
        <f t="shared" si="1837"/>
        <v/>
      </c>
      <c r="AK145" s="32" t="str">
        <f t="shared" si="1838"/>
        <v/>
      </c>
      <c r="AL145" s="32" t="str">
        <f t="shared" si="1839"/>
        <v/>
      </c>
      <c r="AM145" s="32" t="str">
        <f t="shared" si="1840"/>
        <v/>
      </c>
      <c r="AN145" s="32" t="str">
        <f t="shared" ref="AN145:AS145" si="1842">IF(AN$8="","",AM145)</f>
        <v/>
      </c>
      <c r="AO145" s="32" t="str">
        <f t="shared" si="1842"/>
        <v/>
      </c>
      <c r="AP145" s="32" t="str">
        <f t="shared" si="1842"/>
        <v/>
      </c>
      <c r="AQ145" s="32" t="str">
        <f t="shared" si="1842"/>
        <v/>
      </c>
      <c r="AR145" s="32" t="str">
        <f t="shared" si="1842"/>
        <v/>
      </c>
      <c r="AS145" s="32" t="str">
        <f t="shared" si="1842"/>
        <v/>
      </c>
    </row>
    <row r="146" spans="1:45" s="1" customFormat="1" ht="11.25" x14ac:dyDescent="0.15">
      <c r="A146" s="7">
        <f>AVERAGE(C147:AS147)*30*100</f>
        <v>43615.38461538461</v>
      </c>
      <c r="B146" s="30" t="s">
        <v>12</v>
      </c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</row>
    <row r="147" spans="1:45" s="1" customFormat="1" ht="11.25" x14ac:dyDescent="0.15">
      <c r="A147" s="7">
        <f>SUM(C147:AS147)</f>
        <v>189</v>
      </c>
      <c r="B147" s="27" t="s">
        <v>13</v>
      </c>
      <c r="C147" s="26">
        <v>0</v>
      </c>
      <c r="D147" s="26">
        <v>0</v>
      </c>
      <c r="E147" s="26">
        <v>22</v>
      </c>
      <c r="F147" s="26">
        <v>0</v>
      </c>
      <c r="G147" s="26">
        <v>0</v>
      </c>
      <c r="H147" s="26">
        <v>54</v>
      </c>
      <c r="I147" s="26">
        <v>0</v>
      </c>
      <c r="J147" s="26">
        <v>0</v>
      </c>
      <c r="K147" s="26">
        <v>0</v>
      </c>
      <c r="L147" s="26">
        <v>57</v>
      </c>
      <c r="M147" s="26">
        <f t="shared" ref="M147:M148" si="1843">IF(M$8="","",M140-L140)</f>
        <v>0</v>
      </c>
      <c r="N147" s="26">
        <f t="shared" ref="N147:N148" si="1844">IF(N$8="","",N140-M140)</f>
        <v>0</v>
      </c>
      <c r="O147" s="26">
        <f t="shared" ref="O147:O148" si="1845">IF(O$8="","",O140-N140)</f>
        <v>56</v>
      </c>
      <c r="P147" s="26" t="str">
        <f t="shared" ref="P147:P148" si="1846">IF(P$8="","",P140-O140)</f>
        <v/>
      </c>
      <c r="Q147" s="26" t="str">
        <f t="shared" ref="Q147:Q148" si="1847">IF(Q$8="","",Q140-P140)</f>
        <v/>
      </c>
      <c r="R147" s="26" t="str">
        <f t="shared" ref="R147:R148" si="1848">IF(R$8="","",R140-Q140)</f>
        <v/>
      </c>
      <c r="S147" s="26" t="str">
        <f>IF(S$8="","",S140-R140)</f>
        <v/>
      </c>
      <c r="T147" s="26" t="str">
        <f t="shared" ref="T147:T148" si="1849">IF(T$8="","",T140-S140)</f>
        <v/>
      </c>
      <c r="U147" s="26" t="str">
        <f t="shared" ref="U147:U148" si="1850">IF(U$8="","",U140-T140)</f>
        <v/>
      </c>
      <c r="V147" s="26" t="str">
        <f t="shared" ref="V147:V148" si="1851">IF(V$8="","",V140-U140)</f>
        <v/>
      </c>
      <c r="W147" s="26" t="str">
        <f t="shared" ref="W147:W148" si="1852">IF(W$8="","",W140-V140)</f>
        <v/>
      </c>
      <c r="X147" s="26" t="str">
        <f t="shared" ref="X147:X148" si="1853">IF(X$8="","",X140-W140)</f>
        <v/>
      </c>
      <c r="Y147" s="26" t="str">
        <f t="shared" ref="Y147:Y148" si="1854">IF(Y$8="","",Y140-X140)</f>
        <v/>
      </c>
      <c r="Z147" s="26" t="str">
        <f t="shared" ref="Z147:Z148" si="1855">IF(Z$8="","",Z140-Y140)</f>
        <v/>
      </c>
      <c r="AA147" s="26" t="str">
        <f t="shared" ref="AA147:AA148" si="1856">IF(AA$8="","",AA140-Z140)</f>
        <v/>
      </c>
      <c r="AB147" s="26" t="str">
        <f t="shared" ref="AB147:AB148" si="1857">IF(AB$8="","",AB140-AA140)</f>
        <v/>
      </c>
      <c r="AC147" s="26" t="str">
        <f t="shared" ref="AC147:AC148" si="1858">IF(AC$8="","",AC140-AB140)</f>
        <v/>
      </c>
      <c r="AD147" s="26" t="str">
        <f t="shared" ref="AD147:AD148" si="1859">IF(AD$8="","",AD140-AC140)</f>
        <v/>
      </c>
      <c r="AE147" s="26" t="str">
        <f t="shared" ref="AE147:AE148" si="1860">IF(AE$8="","",AE140-AD140)</f>
        <v/>
      </c>
      <c r="AF147" s="26" t="str">
        <f t="shared" ref="AF147:AF148" si="1861">IF(AF$8="","",AF140-AE140)</f>
        <v/>
      </c>
      <c r="AG147" s="26" t="str">
        <f t="shared" ref="AG147:AG148" si="1862">IF(AG$8="","",AG140-AF140)</f>
        <v/>
      </c>
      <c r="AH147" s="26" t="str">
        <f t="shared" ref="AH147:AH148" si="1863">IF(AH$8="","",AH140-AG140)</f>
        <v/>
      </c>
      <c r="AI147" s="26" t="str">
        <f t="shared" ref="AI147:AI148" si="1864">IF(AI$8="","",AI140-AH140)</f>
        <v/>
      </c>
      <c r="AJ147" s="26" t="str">
        <f t="shared" ref="AJ147:AJ148" si="1865">IF(AJ$8="","",AJ140-AI140)</f>
        <v/>
      </c>
      <c r="AK147" s="26" t="str">
        <f t="shared" ref="AK147:AK148" si="1866">IF(AK$8="","",AK140-AJ140)</f>
        <v/>
      </c>
      <c r="AL147" s="26" t="str">
        <f t="shared" ref="AL147:AL148" si="1867">IF(AL$8="","",AL140-AK140)</f>
        <v/>
      </c>
      <c r="AM147" s="26" t="str">
        <f t="shared" ref="AM147:AM148" si="1868">IF(AM$8="","",AM140-AL140)</f>
        <v/>
      </c>
      <c r="AN147" s="26" t="str">
        <f t="shared" ref="AN147:AS147" si="1869">IF(AN$8="","",AN140-AM140)</f>
        <v/>
      </c>
      <c r="AO147" s="26" t="str">
        <f t="shared" si="1869"/>
        <v/>
      </c>
      <c r="AP147" s="26" t="str">
        <f t="shared" si="1869"/>
        <v/>
      </c>
      <c r="AQ147" s="26" t="str">
        <f t="shared" si="1869"/>
        <v/>
      </c>
      <c r="AR147" s="26" t="str">
        <f t="shared" si="1869"/>
        <v/>
      </c>
      <c r="AS147" s="26" t="str">
        <f t="shared" si="1869"/>
        <v/>
      </c>
    </row>
    <row r="148" spans="1:45" s="1" customFormat="1" ht="11.25" x14ac:dyDescent="0.15">
      <c r="A148" s="7">
        <f>SUM(C148:AS148)</f>
        <v>4</v>
      </c>
      <c r="B148" s="27" t="s">
        <v>14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1</v>
      </c>
      <c r="I148" s="26">
        <v>0</v>
      </c>
      <c r="J148" s="26">
        <v>0</v>
      </c>
      <c r="K148" s="26">
        <v>0</v>
      </c>
      <c r="L148" s="26">
        <v>2</v>
      </c>
      <c r="M148" s="26">
        <f t="shared" si="1843"/>
        <v>0</v>
      </c>
      <c r="N148" s="26">
        <f t="shared" si="1844"/>
        <v>0</v>
      </c>
      <c r="O148" s="26">
        <f t="shared" si="1845"/>
        <v>1</v>
      </c>
      <c r="P148" s="26" t="str">
        <f t="shared" si="1846"/>
        <v/>
      </c>
      <c r="Q148" s="26" t="str">
        <f t="shared" si="1847"/>
        <v/>
      </c>
      <c r="R148" s="26" t="str">
        <f t="shared" si="1848"/>
        <v/>
      </c>
      <c r="S148" s="26" t="str">
        <f t="shared" ref="S147:S148" si="1870">IF(S$8="","",S141-R141)</f>
        <v/>
      </c>
      <c r="T148" s="26" t="str">
        <f t="shared" si="1849"/>
        <v/>
      </c>
      <c r="U148" s="26" t="str">
        <f t="shared" si="1850"/>
        <v/>
      </c>
      <c r="V148" s="26" t="str">
        <f t="shared" si="1851"/>
        <v/>
      </c>
      <c r="W148" s="26" t="str">
        <f t="shared" si="1852"/>
        <v/>
      </c>
      <c r="X148" s="26" t="str">
        <f t="shared" si="1853"/>
        <v/>
      </c>
      <c r="Y148" s="26" t="str">
        <f t="shared" si="1854"/>
        <v/>
      </c>
      <c r="Z148" s="26" t="str">
        <f t="shared" si="1855"/>
        <v/>
      </c>
      <c r="AA148" s="26" t="str">
        <f t="shared" si="1856"/>
        <v/>
      </c>
      <c r="AB148" s="26" t="str">
        <f t="shared" si="1857"/>
        <v/>
      </c>
      <c r="AC148" s="26" t="str">
        <f t="shared" si="1858"/>
        <v/>
      </c>
      <c r="AD148" s="26" t="str">
        <f t="shared" si="1859"/>
        <v/>
      </c>
      <c r="AE148" s="26" t="str">
        <f t="shared" si="1860"/>
        <v/>
      </c>
      <c r="AF148" s="26" t="str">
        <f t="shared" si="1861"/>
        <v/>
      </c>
      <c r="AG148" s="26" t="str">
        <f t="shared" si="1862"/>
        <v/>
      </c>
      <c r="AH148" s="26" t="str">
        <f t="shared" si="1863"/>
        <v/>
      </c>
      <c r="AI148" s="26" t="str">
        <f t="shared" si="1864"/>
        <v/>
      </c>
      <c r="AJ148" s="26" t="str">
        <f t="shared" si="1865"/>
        <v/>
      </c>
      <c r="AK148" s="26" t="str">
        <f t="shared" si="1866"/>
        <v/>
      </c>
      <c r="AL148" s="26" t="str">
        <f t="shared" si="1867"/>
        <v/>
      </c>
      <c r="AM148" s="26" t="str">
        <f t="shared" si="1868"/>
        <v/>
      </c>
      <c r="AN148" s="26" t="str">
        <f t="shared" ref="AN148:AS148" si="1871">IF(AN$8="","",AN141-AM141)</f>
        <v/>
      </c>
      <c r="AO148" s="26" t="str">
        <f t="shared" si="1871"/>
        <v/>
      </c>
      <c r="AP148" s="26" t="str">
        <f t="shared" si="1871"/>
        <v/>
      </c>
      <c r="AQ148" s="26" t="str">
        <f t="shared" si="1871"/>
        <v/>
      </c>
      <c r="AR148" s="26" t="str">
        <f t="shared" si="1871"/>
        <v/>
      </c>
      <c r="AS148" s="26" t="str">
        <f t="shared" si="1871"/>
        <v/>
      </c>
    </row>
    <row r="149" spans="1:45" s="1" customFormat="1" ht="11.25" x14ac:dyDescent="0.15">
      <c r="A149" s="7">
        <f>SUM(C149:AS149)</f>
        <v>4</v>
      </c>
      <c r="B149" s="27" t="s">
        <v>15</v>
      </c>
      <c r="C149" s="26">
        <v>0</v>
      </c>
      <c r="D149" s="26">
        <v>0</v>
      </c>
      <c r="E149" s="26">
        <v>0</v>
      </c>
      <c r="F149" s="26">
        <v>0</v>
      </c>
      <c r="G149" s="26">
        <v>0</v>
      </c>
      <c r="H149" s="26">
        <v>1</v>
      </c>
      <c r="I149" s="26">
        <v>0</v>
      </c>
      <c r="J149" s="26">
        <v>0</v>
      </c>
      <c r="K149" s="26">
        <v>0</v>
      </c>
      <c r="L149" s="26">
        <v>2</v>
      </c>
      <c r="M149" s="26">
        <f t="shared" ref="M149" si="1872">IF(M$8="","",L142+L143-M142)</f>
        <v>0</v>
      </c>
      <c r="N149" s="26">
        <f t="shared" ref="N149" si="1873">IF(N$8="","",M142+M143-N142)</f>
        <v>0</v>
      </c>
      <c r="O149" s="26">
        <f t="shared" ref="O149" si="1874">IF(O$8="","",N142+N143-O142)</f>
        <v>1</v>
      </c>
      <c r="P149" s="26" t="str">
        <f t="shared" ref="P149" si="1875">IF(P$8="","",O142+O143-P142)</f>
        <v/>
      </c>
      <c r="Q149" s="26" t="str">
        <f t="shared" ref="Q149" si="1876">IF(Q$8="","",P142+P143-Q142)</f>
        <v/>
      </c>
      <c r="R149" s="26" t="str">
        <f t="shared" ref="R149" si="1877">IF(R$8="","",Q142+Q143-R142)</f>
        <v/>
      </c>
      <c r="S149" s="26" t="str">
        <f t="shared" ref="S149" si="1878">IF(S$8="","",R142+R143-S142)</f>
        <v/>
      </c>
      <c r="T149" s="26" t="str">
        <f t="shared" ref="T149" si="1879">IF(T$8="","",S142+S143-T142)</f>
        <v/>
      </c>
      <c r="U149" s="26" t="str">
        <f t="shared" ref="U149" si="1880">IF(U$8="","",T142+T143-U142)</f>
        <v/>
      </c>
      <c r="V149" s="26" t="str">
        <f t="shared" ref="V149" si="1881">IF(V$8="","",U142+U143-V142)</f>
        <v/>
      </c>
      <c r="W149" s="26" t="str">
        <f t="shared" ref="W149" si="1882">IF(W$8="","",V142+V143-W142)</f>
        <v/>
      </c>
      <c r="X149" s="26" t="str">
        <f t="shared" ref="X149" si="1883">IF(X$8="","",W142+W143-X142)</f>
        <v/>
      </c>
      <c r="Y149" s="26" t="str">
        <f t="shared" ref="Y149" si="1884">IF(Y$8="","",X142+X143-Y142)</f>
        <v/>
      </c>
      <c r="Z149" s="26" t="str">
        <f t="shared" ref="Z149" si="1885">IF(Z$8="","",Y142+Y143-Z142)</f>
        <v/>
      </c>
      <c r="AA149" s="26" t="str">
        <f t="shared" ref="AA149" si="1886">IF(AA$8="","",Z142+Z143-AA142)</f>
        <v/>
      </c>
      <c r="AB149" s="26" t="str">
        <f t="shared" ref="AB149" si="1887">IF(AB$8="","",AA142+AA143-AB142)</f>
        <v/>
      </c>
      <c r="AC149" s="26" t="str">
        <f t="shared" ref="AC149" si="1888">IF(AC$8="","",AB142+AB143-AC142)</f>
        <v/>
      </c>
      <c r="AD149" s="26" t="str">
        <f t="shared" ref="AD149" si="1889">IF(AD$8="","",AC142+AC143-AD142)</f>
        <v/>
      </c>
      <c r="AE149" s="26" t="str">
        <f t="shared" ref="AE149" si="1890">IF(AE$8="","",AD142+AD143-AE142)</f>
        <v/>
      </c>
      <c r="AF149" s="26" t="str">
        <f t="shared" ref="AF149" si="1891">IF(AF$8="","",AE142+AE143-AF142)</f>
        <v/>
      </c>
      <c r="AG149" s="26" t="str">
        <f t="shared" ref="AG149" si="1892">IF(AG$8="","",AF142+AF143-AG142)</f>
        <v/>
      </c>
      <c r="AH149" s="26" t="str">
        <f t="shared" ref="AH149" si="1893">IF(AH$8="","",AG142+AG143-AH142)</f>
        <v/>
      </c>
      <c r="AI149" s="26" t="str">
        <f t="shared" ref="AI149" si="1894">IF(AI$8="","",AH142+AH143-AI142)</f>
        <v/>
      </c>
      <c r="AJ149" s="26" t="str">
        <f t="shared" ref="AJ149" si="1895">IF(AJ$8="","",AI142+AI143-AJ142)</f>
        <v/>
      </c>
      <c r="AK149" s="26" t="str">
        <f t="shared" ref="AK149" si="1896">IF(AK$8="","",AJ142+AJ143-AK142)</f>
        <v/>
      </c>
      <c r="AL149" s="26" t="str">
        <f t="shared" ref="AL149" si="1897">IF(AL$8="","",AK142+AK143-AL142)</f>
        <v/>
      </c>
      <c r="AM149" s="26" t="str">
        <f t="shared" ref="AM149" si="1898">IF(AM$8="","",AL142+AL143-AM142)</f>
        <v/>
      </c>
      <c r="AN149" s="26" t="str">
        <f t="shared" ref="AN149:AS149" si="1899">IF(AN$8="","",AM142+AM143-AN142)</f>
        <v/>
      </c>
      <c r="AO149" s="26" t="str">
        <f t="shared" si="1899"/>
        <v/>
      </c>
      <c r="AP149" s="26" t="str">
        <f t="shared" si="1899"/>
        <v/>
      </c>
      <c r="AQ149" s="26" t="str">
        <f t="shared" si="1899"/>
        <v/>
      </c>
      <c r="AR149" s="26" t="str">
        <f t="shared" si="1899"/>
        <v/>
      </c>
      <c r="AS149" s="26" t="str">
        <f t="shared" si="1899"/>
        <v/>
      </c>
    </row>
    <row r="150" spans="1:45" s="1" customFormat="1" ht="11.25" x14ac:dyDescent="0.15">
      <c r="A150" s="7">
        <f>SUM(C150:AS150)</f>
        <v>3200</v>
      </c>
      <c r="B150" s="27" t="s">
        <v>16</v>
      </c>
      <c r="C150" s="26">
        <v>0</v>
      </c>
      <c r="D150" s="26">
        <v>0</v>
      </c>
      <c r="E150" s="26">
        <v>0</v>
      </c>
      <c r="F150" s="26">
        <v>0</v>
      </c>
      <c r="G150" s="26">
        <v>0</v>
      </c>
      <c r="H150" s="26">
        <v>800</v>
      </c>
      <c r="I150" s="26">
        <v>0</v>
      </c>
      <c r="J150" s="26">
        <v>0</v>
      </c>
      <c r="K150" s="26">
        <v>0</v>
      </c>
      <c r="L150" s="26">
        <v>1600</v>
      </c>
      <c r="M150" s="26">
        <f t="shared" ref="J150:AM150" si="1900">IF(M$8="","",M149*M144)</f>
        <v>0</v>
      </c>
      <c r="N150" s="26">
        <f t="shared" si="1900"/>
        <v>0</v>
      </c>
      <c r="O150" s="26">
        <f t="shared" si="1900"/>
        <v>800</v>
      </c>
      <c r="P150" s="26" t="str">
        <f t="shared" si="1900"/>
        <v/>
      </c>
      <c r="Q150" s="26" t="str">
        <f t="shared" si="1900"/>
        <v/>
      </c>
      <c r="R150" s="26" t="str">
        <f t="shared" si="1900"/>
        <v/>
      </c>
      <c r="S150" s="26" t="str">
        <f t="shared" si="1900"/>
        <v/>
      </c>
      <c r="T150" s="26" t="str">
        <f t="shared" si="1900"/>
        <v/>
      </c>
      <c r="U150" s="26" t="str">
        <f t="shared" si="1900"/>
        <v/>
      </c>
      <c r="V150" s="26" t="str">
        <f t="shared" si="1900"/>
        <v/>
      </c>
      <c r="W150" s="26" t="str">
        <f t="shared" si="1900"/>
        <v/>
      </c>
      <c r="X150" s="26" t="str">
        <f t="shared" si="1900"/>
        <v/>
      </c>
      <c r="Y150" s="26" t="str">
        <f t="shared" si="1900"/>
        <v/>
      </c>
      <c r="Z150" s="26" t="str">
        <f t="shared" si="1900"/>
        <v/>
      </c>
      <c r="AA150" s="26" t="str">
        <f t="shared" si="1900"/>
        <v/>
      </c>
      <c r="AB150" s="26" t="str">
        <f t="shared" si="1900"/>
        <v/>
      </c>
      <c r="AC150" s="26" t="str">
        <f t="shared" si="1900"/>
        <v/>
      </c>
      <c r="AD150" s="26" t="str">
        <f t="shared" si="1900"/>
        <v/>
      </c>
      <c r="AE150" s="26" t="str">
        <f t="shared" si="1900"/>
        <v/>
      </c>
      <c r="AF150" s="26" t="str">
        <f t="shared" si="1900"/>
        <v/>
      </c>
      <c r="AG150" s="26" t="str">
        <f t="shared" si="1900"/>
        <v/>
      </c>
      <c r="AH150" s="26" t="str">
        <f t="shared" si="1900"/>
        <v/>
      </c>
      <c r="AI150" s="26" t="str">
        <f t="shared" si="1900"/>
        <v/>
      </c>
      <c r="AJ150" s="26" t="str">
        <f t="shared" si="1900"/>
        <v/>
      </c>
      <c r="AK150" s="26" t="str">
        <f t="shared" si="1900"/>
        <v/>
      </c>
      <c r="AL150" s="26" t="str">
        <f t="shared" si="1900"/>
        <v/>
      </c>
      <c r="AM150" s="26" t="str">
        <f t="shared" si="1900"/>
        <v/>
      </c>
      <c r="AN150" s="26" t="str">
        <f t="shared" ref="AN150:AS150" si="1901">IF(AN$8="","",AN149*AN144)</f>
        <v/>
      </c>
      <c r="AO150" s="26" t="str">
        <f t="shared" si="1901"/>
        <v/>
      </c>
      <c r="AP150" s="26" t="str">
        <f t="shared" si="1901"/>
        <v/>
      </c>
      <c r="AQ150" s="26" t="str">
        <f t="shared" si="1901"/>
        <v/>
      </c>
      <c r="AR150" s="26" t="str">
        <f t="shared" si="1901"/>
        <v/>
      </c>
      <c r="AS150" s="26" t="str">
        <f t="shared" si="1901"/>
        <v/>
      </c>
    </row>
    <row r="151" spans="1:45" s="1" customFormat="1" ht="12" thickBot="1" x14ac:dyDescent="0.2">
      <c r="A151" s="4">
        <f>IF(A150="","",A150/(A147*100))</f>
        <v>0.1693121693121693</v>
      </c>
      <c r="B151" s="27" t="s">
        <v>18</v>
      </c>
      <c r="C151" s="42" t="s">
        <v>19</v>
      </c>
      <c r="D151" s="42" t="s">
        <v>19</v>
      </c>
      <c r="E151" s="42" t="s">
        <v>19</v>
      </c>
      <c r="F151" s="42" t="s">
        <v>19</v>
      </c>
      <c r="G151" s="42" t="s">
        <v>19</v>
      </c>
      <c r="H151" s="42">
        <v>0.14814814814814814</v>
      </c>
      <c r="I151" s="42" t="s">
        <v>19</v>
      </c>
      <c r="J151" s="42" t="s">
        <v>19</v>
      </c>
      <c r="K151" s="42" t="s">
        <v>19</v>
      </c>
      <c r="L151" s="42">
        <v>0.2807017543859649</v>
      </c>
      <c r="M151" s="42" t="str">
        <f t="shared" ref="J151:AM151" si="1902">IF(M$8="","",IF(M150=0,"",M150/(M147*100)))</f>
        <v/>
      </c>
      <c r="N151" s="42" t="str">
        <f t="shared" si="1902"/>
        <v/>
      </c>
      <c r="O151" s="42">
        <f t="shared" si="1902"/>
        <v>0.14285714285714285</v>
      </c>
      <c r="P151" s="42" t="str">
        <f t="shared" si="1902"/>
        <v/>
      </c>
      <c r="Q151" s="42" t="str">
        <f t="shared" si="1902"/>
        <v/>
      </c>
      <c r="R151" s="42" t="str">
        <f>IF(R$8="","",IF(R150=0,"",R150/(R147*100)))</f>
        <v/>
      </c>
      <c r="S151" s="42" t="str">
        <f>IF(S$8="","",IF(S150=0,"",S150/(S147*100)))</f>
        <v/>
      </c>
      <c r="T151" s="42" t="str">
        <f t="shared" si="1902"/>
        <v/>
      </c>
      <c r="U151" s="42" t="str">
        <f t="shared" si="1902"/>
        <v/>
      </c>
      <c r="V151" s="42" t="str">
        <f t="shared" si="1902"/>
        <v/>
      </c>
      <c r="W151" s="42" t="str">
        <f t="shared" si="1902"/>
        <v/>
      </c>
      <c r="X151" s="42" t="str">
        <f t="shared" si="1902"/>
        <v/>
      </c>
      <c r="Y151" s="42" t="str">
        <f t="shared" si="1902"/>
        <v/>
      </c>
      <c r="Z151" s="42" t="str">
        <f t="shared" si="1902"/>
        <v/>
      </c>
      <c r="AA151" s="42" t="str">
        <f t="shared" si="1902"/>
        <v/>
      </c>
      <c r="AB151" s="42" t="str">
        <f t="shared" si="1902"/>
        <v/>
      </c>
      <c r="AC151" s="42" t="str">
        <f t="shared" si="1902"/>
        <v/>
      </c>
      <c r="AD151" s="42" t="str">
        <f t="shared" si="1902"/>
        <v/>
      </c>
      <c r="AE151" s="42" t="str">
        <f t="shared" si="1902"/>
        <v/>
      </c>
      <c r="AF151" s="42" t="str">
        <f t="shared" si="1902"/>
        <v/>
      </c>
      <c r="AG151" s="42" t="str">
        <f t="shared" si="1902"/>
        <v/>
      </c>
      <c r="AH151" s="42" t="str">
        <f t="shared" si="1902"/>
        <v/>
      </c>
      <c r="AI151" s="42" t="str">
        <f t="shared" si="1902"/>
        <v/>
      </c>
      <c r="AJ151" s="42" t="str">
        <f t="shared" si="1902"/>
        <v/>
      </c>
      <c r="AK151" s="42" t="str">
        <f t="shared" si="1902"/>
        <v/>
      </c>
      <c r="AL151" s="42" t="str">
        <f t="shared" si="1902"/>
        <v/>
      </c>
      <c r="AM151" s="42" t="str">
        <f t="shared" si="1902"/>
        <v/>
      </c>
      <c r="AN151" s="42" t="str">
        <f t="shared" ref="AN151:AS151" si="1903">IF(AN$8="","",IF(AN150=0,"",AN150/(AN147*100)))</f>
        <v/>
      </c>
      <c r="AO151" s="42" t="str">
        <f t="shared" si="1903"/>
        <v/>
      </c>
      <c r="AP151" s="42" t="str">
        <f t="shared" si="1903"/>
        <v/>
      </c>
      <c r="AQ151" s="42" t="str">
        <f t="shared" si="1903"/>
        <v/>
      </c>
      <c r="AR151" s="42" t="str">
        <f t="shared" si="1903"/>
        <v/>
      </c>
      <c r="AS151" s="42" t="str">
        <f t="shared" si="1903"/>
        <v/>
      </c>
    </row>
    <row r="152" spans="1:45" s="1" customFormat="1" ht="11.25" x14ac:dyDescent="0.15">
      <c r="A152" s="17" t="s">
        <v>83</v>
      </c>
      <c r="B152" s="41" t="s">
        <v>2</v>
      </c>
      <c r="C152" s="35">
        <v>5059</v>
      </c>
      <c r="D152" s="35">
        <v>5059</v>
      </c>
      <c r="E152" s="35">
        <v>5076</v>
      </c>
      <c r="F152" s="35">
        <v>5076</v>
      </c>
      <c r="G152" s="35">
        <v>5076</v>
      </c>
      <c r="H152" s="35">
        <v>5106</v>
      </c>
      <c r="I152" s="35">
        <v>5106</v>
      </c>
      <c r="J152" s="35">
        <v>5106</v>
      </c>
      <c r="K152" s="35">
        <v>5106</v>
      </c>
      <c r="L152" s="35">
        <v>5137</v>
      </c>
      <c r="M152" s="35">
        <f t="shared" ref="M152:M153" si="1904">IF(M$8="","",L152)</f>
        <v>5137</v>
      </c>
      <c r="N152" s="35">
        <f t="shared" ref="N152:N153" si="1905">IF(N$8="","",M152)</f>
        <v>5137</v>
      </c>
      <c r="O152" s="35">
        <v>5187</v>
      </c>
      <c r="P152" s="35" t="str">
        <f>IF(P$8="","",O152)</f>
        <v/>
      </c>
      <c r="Q152" s="35" t="str">
        <f t="shared" ref="Q152:Q153" si="1906">IF(Q$8="","",P152)</f>
        <v/>
      </c>
      <c r="R152" s="35" t="str">
        <f t="shared" ref="R152:R153" si="1907">IF(R$8="","",Q152)</f>
        <v/>
      </c>
      <c r="S152" s="35" t="str">
        <f>IF(S$8="","",R152)</f>
        <v/>
      </c>
      <c r="T152" s="35" t="str">
        <f t="shared" ref="T152:T153" si="1908">IF(T$8="","",S152)</f>
        <v/>
      </c>
      <c r="U152" s="35" t="str">
        <f t="shared" ref="U152:U153" si="1909">IF(U$8="","",T152)</f>
        <v/>
      </c>
      <c r="V152" s="35" t="str">
        <f>IF(V$8="","",U152)</f>
        <v/>
      </c>
      <c r="W152" s="35" t="str">
        <f t="shared" ref="W152:W153" si="1910">IF(W$8="","",V152)</f>
        <v/>
      </c>
      <c r="X152" s="35" t="str">
        <f t="shared" ref="X152:X153" si="1911">IF(X$8="","",W152)</f>
        <v/>
      </c>
      <c r="Y152" s="35" t="str">
        <f t="shared" ref="Y152:Y153" si="1912">IF(Y$8="","",X152)</f>
        <v/>
      </c>
      <c r="Z152" s="35" t="str">
        <f>IF(Z$8="","",Y152)</f>
        <v/>
      </c>
      <c r="AA152" s="35" t="str">
        <f t="shared" ref="AA152:AA153" si="1913">IF(AA$8="","",Z152)</f>
        <v/>
      </c>
      <c r="AB152" s="35" t="str">
        <f t="shared" ref="AB152:AB153" si="1914">IF(AB$8="","",AA152)</f>
        <v/>
      </c>
      <c r="AC152" s="35" t="str">
        <f t="shared" ref="AC152:AC153" si="1915">IF(AC$8="","",AB152)</f>
        <v/>
      </c>
      <c r="AD152" s="35" t="str">
        <f>IF(AD$8="","",AC152)</f>
        <v/>
      </c>
      <c r="AE152" s="35" t="str">
        <f t="shared" ref="AE152:AE153" si="1916">IF(AE$8="","",AD152)</f>
        <v/>
      </c>
      <c r="AF152" s="35" t="str">
        <f t="shared" ref="AF152:AF153" si="1917">IF(AF$8="","",AE152)</f>
        <v/>
      </c>
      <c r="AG152" s="35" t="str">
        <f>IF(AG$8="","",AF152)</f>
        <v/>
      </c>
      <c r="AH152" s="35" t="str">
        <f t="shared" ref="AH152:AH153" si="1918">IF(AH$8="","",AG152)</f>
        <v/>
      </c>
      <c r="AI152" s="35" t="str">
        <f t="shared" ref="AI152:AI153" si="1919">IF(AI$8="","",AH152)</f>
        <v/>
      </c>
      <c r="AJ152" s="35" t="str">
        <f>IF(AJ$8="","",AI152)</f>
        <v/>
      </c>
      <c r="AK152" s="35" t="str">
        <f t="shared" ref="AK152:AK153" si="1920">IF(AK$8="","",AJ152)</f>
        <v/>
      </c>
      <c r="AL152" s="35" t="str">
        <f t="shared" ref="AL152:AL153" si="1921">IF(AL$8="","",AK152)</f>
        <v/>
      </c>
      <c r="AM152" s="35" t="str">
        <f t="shared" ref="AM152:AM153" si="1922">IF(AM$8="","",AL152)</f>
        <v/>
      </c>
      <c r="AN152" s="35" t="str">
        <f>IF(AN$8="","",AM152)</f>
        <v/>
      </c>
      <c r="AO152" s="35" t="str">
        <f t="shared" ref="AN152:AS152" si="1923">IF(AO$8="","",AN152)</f>
        <v/>
      </c>
      <c r="AP152" s="35" t="str">
        <f t="shared" si="1923"/>
        <v/>
      </c>
      <c r="AQ152" s="35" t="str">
        <f t="shared" si="1923"/>
        <v/>
      </c>
      <c r="AR152" s="35" t="str">
        <f t="shared" si="1923"/>
        <v/>
      </c>
      <c r="AS152" s="35" t="str">
        <f t="shared" si="1923"/>
        <v/>
      </c>
    </row>
    <row r="153" spans="1:45" s="1" customFormat="1" ht="11.25" x14ac:dyDescent="0.15">
      <c r="A153" s="16" t="s">
        <v>38</v>
      </c>
      <c r="B153" s="30" t="s">
        <v>4</v>
      </c>
      <c r="C153" s="29">
        <v>159</v>
      </c>
      <c r="D153" s="29">
        <v>159</v>
      </c>
      <c r="E153" s="29">
        <v>159</v>
      </c>
      <c r="F153" s="29">
        <v>159</v>
      </c>
      <c r="G153" s="29">
        <v>159</v>
      </c>
      <c r="H153" s="29">
        <v>160</v>
      </c>
      <c r="I153" s="29">
        <v>160</v>
      </c>
      <c r="J153" s="29">
        <v>160</v>
      </c>
      <c r="K153" s="29">
        <v>160</v>
      </c>
      <c r="L153" s="29">
        <v>160</v>
      </c>
      <c r="M153" s="29">
        <f t="shared" si="1904"/>
        <v>160</v>
      </c>
      <c r="N153" s="29">
        <f t="shared" si="1905"/>
        <v>160</v>
      </c>
      <c r="O153" s="29">
        <v>162</v>
      </c>
      <c r="P153" s="29" t="str">
        <f>IF(P$8="","",O153)</f>
        <v/>
      </c>
      <c r="Q153" s="29" t="str">
        <f t="shared" si="1906"/>
        <v/>
      </c>
      <c r="R153" s="29" t="str">
        <f t="shared" si="1907"/>
        <v/>
      </c>
      <c r="S153" s="29" t="str">
        <f>IF(S$8="","",R153)</f>
        <v/>
      </c>
      <c r="T153" s="29" t="str">
        <f t="shared" si="1908"/>
        <v/>
      </c>
      <c r="U153" s="29" t="str">
        <f t="shared" si="1909"/>
        <v/>
      </c>
      <c r="V153" s="29" t="str">
        <f>IF(V$8="","",U153)</f>
        <v/>
      </c>
      <c r="W153" s="29" t="str">
        <f t="shared" si="1910"/>
        <v/>
      </c>
      <c r="X153" s="29" t="str">
        <f t="shared" si="1911"/>
        <v/>
      </c>
      <c r="Y153" s="29" t="str">
        <f t="shared" si="1912"/>
        <v/>
      </c>
      <c r="Z153" s="29" t="str">
        <f>IF(Z$8="","",Y153)</f>
        <v/>
      </c>
      <c r="AA153" s="29" t="str">
        <f t="shared" si="1913"/>
        <v/>
      </c>
      <c r="AB153" s="29" t="str">
        <f t="shared" si="1914"/>
        <v/>
      </c>
      <c r="AC153" s="29" t="str">
        <f t="shared" si="1915"/>
        <v/>
      </c>
      <c r="AD153" s="29" t="str">
        <f>IF(AD$8="","",AC153)</f>
        <v/>
      </c>
      <c r="AE153" s="29" t="str">
        <f t="shared" si="1916"/>
        <v/>
      </c>
      <c r="AF153" s="29" t="str">
        <f t="shared" si="1917"/>
        <v/>
      </c>
      <c r="AG153" s="29" t="str">
        <f>IF(AG$8="","",AF153)</f>
        <v/>
      </c>
      <c r="AH153" s="29" t="str">
        <f t="shared" si="1918"/>
        <v/>
      </c>
      <c r="AI153" s="29" t="str">
        <f t="shared" si="1919"/>
        <v/>
      </c>
      <c r="AJ153" s="29" t="str">
        <f>IF(AJ$8="","",AI153)</f>
        <v/>
      </c>
      <c r="AK153" s="29" t="str">
        <f t="shared" si="1920"/>
        <v/>
      </c>
      <c r="AL153" s="29" t="str">
        <f t="shared" si="1921"/>
        <v/>
      </c>
      <c r="AM153" s="29" t="str">
        <f t="shared" si="1922"/>
        <v/>
      </c>
      <c r="AN153" s="29" t="str">
        <f t="shared" ref="AN153:AS153" si="1924">IF(AN$8="","",AM153)</f>
        <v/>
      </c>
      <c r="AO153" s="29" t="str">
        <f t="shared" si="1924"/>
        <v/>
      </c>
      <c r="AP153" s="29" t="str">
        <f t="shared" si="1924"/>
        <v/>
      </c>
      <c r="AQ153" s="29" t="str">
        <f t="shared" si="1924"/>
        <v/>
      </c>
      <c r="AR153" s="29" t="str">
        <f t="shared" si="1924"/>
        <v/>
      </c>
      <c r="AS153" s="29" t="str">
        <f t="shared" si="1924"/>
        <v/>
      </c>
    </row>
    <row r="154" spans="1:45" s="1" customFormat="1" ht="11.25" x14ac:dyDescent="0.15">
      <c r="A154" s="15">
        <v>2</v>
      </c>
      <c r="B154" s="30" t="s">
        <v>5</v>
      </c>
      <c r="C154" s="29">
        <v>8</v>
      </c>
      <c r="D154" s="29">
        <v>8</v>
      </c>
      <c r="E154" s="29">
        <v>8</v>
      </c>
      <c r="F154" s="29">
        <v>8</v>
      </c>
      <c r="G154" s="29">
        <v>8</v>
      </c>
      <c r="H154" s="29">
        <v>7</v>
      </c>
      <c r="I154" s="29">
        <v>7</v>
      </c>
      <c r="J154" s="29">
        <v>7</v>
      </c>
      <c r="K154" s="29">
        <v>7</v>
      </c>
      <c r="L154" s="29">
        <v>7</v>
      </c>
      <c r="M154" s="29">
        <f t="shared" ref="M154" si="1925">IF(M$8="","",(L154+L155))</f>
        <v>7</v>
      </c>
      <c r="N154" s="29">
        <f t="shared" ref="N154" si="1926">IF(N$8="","",(M154+M155))</f>
        <v>7</v>
      </c>
      <c r="O154" s="29">
        <v>9</v>
      </c>
      <c r="P154" s="29" t="str">
        <f>IF(P$8="","",(O154+O155))</f>
        <v/>
      </c>
      <c r="Q154" s="29" t="str">
        <f t="shared" ref="Q154" si="1927">IF(Q$8="","",(P154+P155))</f>
        <v/>
      </c>
      <c r="R154" s="29" t="str">
        <f t="shared" ref="R154" si="1928">IF(R$8="","",(Q154+Q155))</f>
        <v/>
      </c>
      <c r="S154" s="29" t="str">
        <f>IF(S$8="","",(R154+R155))</f>
        <v/>
      </c>
      <c r="T154" s="29" t="str">
        <f t="shared" ref="T154" si="1929">IF(T$8="","",(S154+S155))</f>
        <v/>
      </c>
      <c r="U154" s="29" t="str">
        <f t="shared" ref="U154" si="1930">IF(U$8="","",(T154+T155))</f>
        <v/>
      </c>
      <c r="V154" s="29" t="str">
        <f>IF(V$8="","",(U154+U155))</f>
        <v/>
      </c>
      <c r="W154" s="29" t="str">
        <f t="shared" ref="W154" si="1931">IF(W$8="","",(V154+V155))</f>
        <v/>
      </c>
      <c r="X154" s="29" t="str">
        <f t="shared" ref="X154" si="1932">IF(X$8="","",(W154+W155))</f>
        <v/>
      </c>
      <c r="Y154" s="29" t="str">
        <f t="shared" ref="Y154" si="1933">IF(Y$8="","",(X154+X155))</f>
        <v/>
      </c>
      <c r="Z154" s="29" t="str">
        <f>IF(Z$8="","",(Y154+Y155))</f>
        <v/>
      </c>
      <c r="AA154" s="29" t="str">
        <f t="shared" ref="AA154" si="1934">IF(AA$8="","",(Z154+Z155))</f>
        <v/>
      </c>
      <c r="AB154" s="29" t="str">
        <f t="shared" ref="AB154" si="1935">IF(AB$8="","",(AA154+AA155))</f>
        <v/>
      </c>
      <c r="AC154" s="29" t="str">
        <f t="shared" ref="AC154" si="1936">IF(AC$8="","",(AB154+AB155))</f>
        <v/>
      </c>
      <c r="AD154" s="29" t="str">
        <f>IF(AD$8="","",(AC154+AC155))</f>
        <v/>
      </c>
      <c r="AE154" s="29" t="str">
        <f t="shared" ref="AE154" si="1937">IF(AE$8="","",(AD154+AD155))</f>
        <v/>
      </c>
      <c r="AF154" s="29" t="str">
        <f t="shared" ref="AF154" si="1938">IF(AF$8="","",(AE154+AE155))</f>
        <v/>
      </c>
      <c r="AG154" s="29" t="str">
        <f>IF(AG$8="","",(AF154+AF155))</f>
        <v/>
      </c>
      <c r="AH154" s="29" t="str">
        <f t="shared" ref="AH154" si="1939">IF(AH$8="","",(AG154+AG155))</f>
        <v/>
      </c>
      <c r="AI154" s="29" t="str">
        <f t="shared" ref="AI154" si="1940">IF(AI$8="","",(AH154+AH155))</f>
        <v/>
      </c>
      <c r="AJ154" s="29" t="str">
        <f>IF(AJ$8="","",(AI154+AI155))</f>
        <v/>
      </c>
      <c r="AK154" s="29" t="str">
        <f t="shared" ref="AK154" si="1941">IF(AK$8="","",(AJ154+AJ155))</f>
        <v/>
      </c>
      <c r="AL154" s="29" t="str">
        <f t="shared" ref="AL154" si="1942">IF(AL$8="","",(AK154+AK155))</f>
        <v/>
      </c>
      <c r="AM154" s="29" t="str">
        <f t="shared" ref="AM154" si="1943">IF(AM$8="","",(AL154+AL155))</f>
        <v/>
      </c>
      <c r="AN154" s="29" t="str">
        <f t="shared" ref="AN154:AS154" si="1944">IF(AN$8="","",(AM154+AM155))</f>
        <v/>
      </c>
      <c r="AO154" s="29" t="str">
        <f t="shared" si="1944"/>
        <v/>
      </c>
      <c r="AP154" s="29" t="str">
        <f t="shared" si="1944"/>
        <v/>
      </c>
      <c r="AQ154" s="29" t="str">
        <f t="shared" si="1944"/>
        <v/>
      </c>
      <c r="AR154" s="29" t="str">
        <f t="shared" si="1944"/>
        <v/>
      </c>
      <c r="AS154" s="29" t="str">
        <f t="shared" si="1944"/>
        <v/>
      </c>
    </row>
    <row r="155" spans="1:45" s="1" customFormat="1" ht="11.25" x14ac:dyDescent="0.15">
      <c r="A155" s="14"/>
      <c r="B155" s="30" t="s">
        <v>7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>
        <v>2</v>
      </c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</row>
    <row r="156" spans="1:45" s="1" customFormat="1" ht="11.25" x14ac:dyDescent="0.15">
      <c r="A156" s="7"/>
      <c r="B156" s="30" t="s">
        <v>8</v>
      </c>
      <c r="C156" s="35">
        <v>0</v>
      </c>
      <c r="D156" s="35">
        <v>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f t="shared" ref="M156:M157" si="1945">IF(M$8="","",L156)</f>
        <v>0</v>
      </c>
      <c r="N156" s="35">
        <f t="shared" ref="N156:N157" si="1946">IF(N$8="","",M156)</f>
        <v>0</v>
      </c>
      <c r="O156" s="35">
        <f>IF(O$8="","",N156)</f>
        <v>0</v>
      </c>
      <c r="P156" s="35" t="str">
        <f t="shared" ref="P156:P157" si="1947">IF(P$8="","",O156)</f>
        <v/>
      </c>
      <c r="Q156" s="35" t="str">
        <f t="shared" ref="Q156:Q157" si="1948">IF(Q$8="","",P156)</f>
        <v/>
      </c>
      <c r="R156" s="35" t="str">
        <f t="shared" ref="R156:R157" si="1949">IF(R$8="","",Q156)</f>
        <v/>
      </c>
      <c r="S156" s="35" t="str">
        <f t="shared" ref="S156:S157" si="1950">IF(S$8="","",R156)</f>
        <v/>
      </c>
      <c r="T156" s="35" t="str">
        <f t="shared" ref="T156:T157" si="1951">IF(T$8="","",S156)</f>
        <v/>
      </c>
      <c r="U156" s="35" t="str">
        <f t="shared" ref="U156:U157" si="1952">IF(U$8="","",T156)</f>
        <v/>
      </c>
      <c r="V156" s="35" t="str">
        <f t="shared" ref="V156:V157" si="1953">IF(V$8="","",U156)</f>
        <v/>
      </c>
      <c r="W156" s="35" t="str">
        <f t="shared" ref="W156:W157" si="1954">IF(W$8="","",V156)</f>
        <v/>
      </c>
      <c r="X156" s="35" t="str">
        <f t="shared" ref="X156:X157" si="1955">IF(X$8="","",W156)</f>
        <v/>
      </c>
      <c r="Y156" s="35" t="str">
        <f t="shared" ref="Y156:Y157" si="1956">IF(Y$8="","",X156)</f>
        <v/>
      </c>
      <c r="Z156" s="35" t="str">
        <f t="shared" ref="Z156:Z157" si="1957">IF(Z$8="","",Y156)</f>
        <v/>
      </c>
      <c r="AA156" s="35" t="str">
        <f t="shared" ref="AA156:AA157" si="1958">IF(AA$8="","",Z156)</f>
        <v/>
      </c>
      <c r="AB156" s="35" t="str">
        <f t="shared" ref="AB156:AB157" si="1959">IF(AB$8="","",AA156)</f>
        <v/>
      </c>
      <c r="AC156" s="35" t="str">
        <f t="shared" ref="AC156:AC157" si="1960">IF(AC$8="","",AB156)</f>
        <v/>
      </c>
      <c r="AD156" s="35" t="str">
        <f t="shared" ref="AD156:AD157" si="1961">IF(AD$8="","",AC156)</f>
        <v/>
      </c>
      <c r="AE156" s="35" t="str">
        <f t="shared" ref="AE156:AE157" si="1962">IF(AE$8="","",AD156)</f>
        <v/>
      </c>
      <c r="AF156" s="35" t="str">
        <f t="shared" ref="AF156:AF157" si="1963">IF(AF$8="","",AE156)</f>
        <v/>
      </c>
      <c r="AG156" s="35" t="str">
        <f t="shared" ref="AG156:AG157" si="1964">IF(AG$8="","",AF156)</f>
        <v/>
      </c>
      <c r="AH156" s="35" t="str">
        <f t="shared" ref="AH156:AH157" si="1965">IF(AH$8="","",AG156)</f>
        <v/>
      </c>
      <c r="AI156" s="35" t="str">
        <f t="shared" ref="AI156:AI157" si="1966">IF(AI$8="","",AH156)</f>
        <v/>
      </c>
      <c r="AJ156" s="35" t="str">
        <f t="shared" ref="AJ156:AJ157" si="1967">IF(AJ$8="","",AI156)</f>
        <v/>
      </c>
      <c r="AK156" s="35" t="str">
        <f t="shared" ref="AK156:AK157" si="1968">IF(AK$8="","",AJ156)</f>
        <v/>
      </c>
      <c r="AL156" s="35" t="str">
        <f t="shared" ref="AL156:AL157" si="1969">IF(AL$8="","",AK156)</f>
        <v/>
      </c>
      <c r="AM156" s="35" t="str">
        <f t="shared" ref="AM156:AM157" si="1970">IF(AM$8="","",AL156)</f>
        <v/>
      </c>
      <c r="AN156" s="35" t="str">
        <f t="shared" ref="AN156:AS156" si="1971">IF(AN$8="","",AM156)</f>
        <v/>
      </c>
      <c r="AO156" s="35" t="str">
        <f t="shared" si="1971"/>
        <v/>
      </c>
      <c r="AP156" s="35" t="str">
        <f t="shared" si="1971"/>
        <v/>
      </c>
      <c r="AQ156" s="35" t="str">
        <f t="shared" si="1971"/>
        <v/>
      </c>
      <c r="AR156" s="35" t="str">
        <f t="shared" si="1971"/>
        <v/>
      </c>
      <c r="AS156" s="35" t="str">
        <f t="shared" si="1971"/>
        <v/>
      </c>
    </row>
    <row r="157" spans="1:45" s="85" customFormat="1" ht="11.25" x14ac:dyDescent="0.15">
      <c r="A157" s="14" t="s">
        <v>9</v>
      </c>
      <c r="B157" s="33" t="s">
        <v>10</v>
      </c>
      <c r="C157" s="32" t="s">
        <v>337</v>
      </c>
      <c r="D157" s="32" t="s">
        <v>337</v>
      </c>
      <c r="E157" s="32" t="s">
        <v>337</v>
      </c>
      <c r="F157" s="32" t="s">
        <v>337</v>
      </c>
      <c r="G157" s="32" t="s">
        <v>337</v>
      </c>
      <c r="H157" s="32" t="s">
        <v>337</v>
      </c>
      <c r="I157" s="32" t="s">
        <v>337</v>
      </c>
      <c r="J157" s="32" t="s">
        <v>337</v>
      </c>
      <c r="K157" s="32" t="s">
        <v>337</v>
      </c>
      <c r="L157" s="32" t="s">
        <v>337</v>
      </c>
      <c r="M157" s="32" t="str">
        <f t="shared" si="1945"/>
        <v>モンチッチマルチケース</v>
      </c>
      <c r="N157" s="32" t="str">
        <f t="shared" si="1946"/>
        <v>モンチッチマルチケース</v>
      </c>
      <c r="O157" s="32" t="s">
        <v>364</v>
      </c>
      <c r="P157" s="32" t="str">
        <f t="shared" si="1947"/>
        <v/>
      </c>
      <c r="Q157" s="32" t="str">
        <f t="shared" si="1948"/>
        <v/>
      </c>
      <c r="R157" s="32" t="str">
        <f t="shared" si="1949"/>
        <v/>
      </c>
      <c r="S157" s="32" t="str">
        <f t="shared" si="1950"/>
        <v/>
      </c>
      <c r="T157" s="32" t="str">
        <f t="shared" si="1951"/>
        <v/>
      </c>
      <c r="U157" s="32" t="str">
        <f t="shared" si="1952"/>
        <v/>
      </c>
      <c r="V157" s="32" t="str">
        <f t="shared" si="1953"/>
        <v/>
      </c>
      <c r="W157" s="32" t="str">
        <f t="shared" si="1954"/>
        <v/>
      </c>
      <c r="X157" s="32" t="str">
        <f t="shared" si="1955"/>
        <v/>
      </c>
      <c r="Y157" s="32" t="str">
        <f t="shared" si="1956"/>
        <v/>
      </c>
      <c r="Z157" s="32" t="str">
        <f t="shared" si="1957"/>
        <v/>
      </c>
      <c r="AA157" s="32" t="str">
        <f t="shared" si="1958"/>
        <v/>
      </c>
      <c r="AB157" s="32" t="str">
        <f t="shared" si="1959"/>
        <v/>
      </c>
      <c r="AC157" s="32" t="str">
        <f t="shared" si="1960"/>
        <v/>
      </c>
      <c r="AD157" s="32" t="str">
        <f t="shared" si="1961"/>
        <v/>
      </c>
      <c r="AE157" s="32" t="str">
        <f t="shared" si="1962"/>
        <v/>
      </c>
      <c r="AF157" s="32" t="str">
        <f t="shared" si="1963"/>
        <v/>
      </c>
      <c r="AG157" s="32" t="str">
        <f t="shared" si="1964"/>
        <v/>
      </c>
      <c r="AH157" s="32" t="str">
        <f t="shared" si="1965"/>
        <v/>
      </c>
      <c r="AI157" s="32" t="str">
        <f t="shared" si="1966"/>
        <v/>
      </c>
      <c r="AJ157" s="32" t="str">
        <f t="shared" si="1967"/>
        <v/>
      </c>
      <c r="AK157" s="32" t="str">
        <f t="shared" si="1968"/>
        <v/>
      </c>
      <c r="AL157" s="32" t="str">
        <f t="shared" si="1969"/>
        <v/>
      </c>
      <c r="AM157" s="32" t="str">
        <f t="shared" si="1970"/>
        <v/>
      </c>
      <c r="AN157" s="32" t="str">
        <f t="shared" ref="AN157:AS157" si="1972">IF(AN$8="","",AM157)</f>
        <v/>
      </c>
      <c r="AO157" s="32" t="str">
        <f t="shared" si="1972"/>
        <v/>
      </c>
      <c r="AP157" s="32" t="str">
        <f t="shared" si="1972"/>
        <v/>
      </c>
      <c r="AQ157" s="32" t="str">
        <f t="shared" si="1972"/>
        <v/>
      </c>
      <c r="AR157" s="32" t="str">
        <f t="shared" si="1972"/>
        <v/>
      </c>
      <c r="AS157" s="32" t="str">
        <f t="shared" si="1972"/>
        <v/>
      </c>
    </row>
    <row r="158" spans="1:45" s="1" customFormat="1" ht="11.25" x14ac:dyDescent="0.15">
      <c r="A158" s="7">
        <f>AVERAGE(C159:AS159)*30*100</f>
        <v>29538.461538461543</v>
      </c>
      <c r="B158" s="30" t="s">
        <v>12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</row>
    <row r="159" spans="1:45" s="1" customFormat="1" ht="11.25" x14ac:dyDescent="0.15">
      <c r="A159" s="7">
        <f>SUM(C159:AS159)</f>
        <v>128</v>
      </c>
      <c r="B159" s="27" t="s">
        <v>13</v>
      </c>
      <c r="C159" s="26">
        <v>0</v>
      </c>
      <c r="D159" s="26">
        <v>0</v>
      </c>
      <c r="E159" s="26">
        <v>17</v>
      </c>
      <c r="F159" s="26">
        <v>0</v>
      </c>
      <c r="G159" s="26">
        <v>0</v>
      </c>
      <c r="H159" s="26">
        <v>30</v>
      </c>
      <c r="I159" s="26">
        <v>0</v>
      </c>
      <c r="J159" s="26">
        <v>0</v>
      </c>
      <c r="K159" s="26">
        <v>0</v>
      </c>
      <c r="L159" s="26">
        <v>31</v>
      </c>
      <c r="M159" s="26">
        <f t="shared" ref="M159:M160" si="1973">IF(M$8="","",M152-L152)</f>
        <v>0</v>
      </c>
      <c r="N159" s="26">
        <f t="shared" ref="N159:N160" si="1974">IF(N$8="","",N152-M152)</f>
        <v>0</v>
      </c>
      <c r="O159" s="26">
        <f t="shared" ref="O159:O160" si="1975">IF(O$8="","",O152-N152)</f>
        <v>50</v>
      </c>
      <c r="P159" s="26" t="str">
        <f t="shared" ref="P159:P160" si="1976">IF(P$8="","",P152-O152)</f>
        <v/>
      </c>
      <c r="Q159" s="26" t="str">
        <f t="shared" ref="Q159:Q160" si="1977">IF(Q$8="","",Q152-P152)</f>
        <v/>
      </c>
      <c r="R159" s="26" t="str">
        <f t="shared" ref="R159:R160" si="1978">IF(R$8="","",R152-Q152)</f>
        <v/>
      </c>
      <c r="S159" s="26" t="str">
        <f t="shared" ref="S159:S160" si="1979">IF(S$8="","",S152-R152)</f>
        <v/>
      </c>
      <c r="T159" s="26" t="str">
        <f t="shared" ref="T159:T160" si="1980">IF(T$8="","",T152-S152)</f>
        <v/>
      </c>
      <c r="U159" s="26" t="str">
        <f t="shared" ref="U159:U160" si="1981">IF(U$8="","",U152-T152)</f>
        <v/>
      </c>
      <c r="V159" s="26" t="str">
        <f t="shared" ref="V159:V160" si="1982">IF(V$8="","",V152-U152)</f>
        <v/>
      </c>
      <c r="W159" s="26" t="str">
        <f t="shared" ref="W159:W160" si="1983">IF(W$8="","",W152-V152)</f>
        <v/>
      </c>
      <c r="X159" s="26" t="str">
        <f t="shared" ref="X159:X160" si="1984">IF(X$8="","",X152-W152)</f>
        <v/>
      </c>
      <c r="Y159" s="26" t="str">
        <f t="shared" ref="Y159:Y160" si="1985">IF(Y$8="","",Y152-X152)</f>
        <v/>
      </c>
      <c r="Z159" s="26" t="str">
        <f t="shared" ref="Z159:Z160" si="1986">IF(Z$8="","",Z152-Y152)</f>
        <v/>
      </c>
      <c r="AA159" s="26" t="str">
        <f t="shared" ref="AA159:AA160" si="1987">IF(AA$8="","",AA152-Z152)</f>
        <v/>
      </c>
      <c r="AB159" s="26" t="str">
        <f t="shared" ref="AB159:AB160" si="1988">IF(AB$8="","",AB152-AA152)</f>
        <v/>
      </c>
      <c r="AC159" s="26" t="str">
        <f t="shared" ref="AC159:AC160" si="1989">IF(AC$8="","",AC152-AB152)</f>
        <v/>
      </c>
      <c r="AD159" s="26" t="str">
        <f t="shared" ref="AD159:AD160" si="1990">IF(AD$8="","",AD152-AC152)</f>
        <v/>
      </c>
      <c r="AE159" s="26" t="str">
        <f t="shared" ref="AE159:AE160" si="1991">IF(AE$8="","",AE152-AD152)</f>
        <v/>
      </c>
      <c r="AF159" s="26" t="str">
        <f t="shared" ref="AF159:AF160" si="1992">IF(AF$8="","",AF152-AE152)</f>
        <v/>
      </c>
      <c r="AG159" s="26" t="str">
        <f t="shared" ref="AG159:AG160" si="1993">IF(AG$8="","",AG152-AF152)</f>
        <v/>
      </c>
      <c r="AH159" s="26" t="str">
        <f t="shared" ref="AH159:AH160" si="1994">IF(AH$8="","",AH152-AG152)</f>
        <v/>
      </c>
      <c r="AI159" s="26" t="str">
        <f t="shared" ref="AI159:AI160" si="1995">IF(AI$8="","",AI152-AH152)</f>
        <v/>
      </c>
      <c r="AJ159" s="26" t="str">
        <f t="shared" ref="AJ159:AJ160" si="1996">IF(AJ$8="","",AJ152-AI152)</f>
        <v/>
      </c>
      <c r="AK159" s="26" t="str">
        <f t="shared" ref="AK159:AK160" si="1997">IF(AK$8="","",AK152-AJ152)</f>
        <v/>
      </c>
      <c r="AL159" s="26" t="str">
        <f t="shared" ref="AL159:AL160" si="1998">IF(AL$8="","",AL152-AK152)</f>
        <v/>
      </c>
      <c r="AM159" s="26" t="str">
        <f t="shared" ref="AM159:AM160" si="1999">IF(AM$8="","",AM152-AL152)</f>
        <v/>
      </c>
      <c r="AN159" s="26" t="str">
        <f t="shared" ref="AN159:AS159" si="2000">IF(AN$8="","",AN152-AM152)</f>
        <v/>
      </c>
      <c r="AO159" s="26" t="str">
        <f t="shared" si="2000"/>
        <v/>
      </c>
      <c r="AP159" s="26" t="str">
        <f t="shared" si="2000"/>
        <v/>
      </c>
      <c r="AQ159" s="26" t="str">
        <f t="shared" si="2000"/>
        <v/>
      </c>
      <c r="AR159" s="26" t="str">
        <f t="shared" si="2000"/>
        <v/>
      </c>
      <c r="AS159" s="26" t="str">
        <f t="shared" si="2000"/>
        <v/>
      </c>
    </row>
    <row r="160" spans="1:45" s="1" customFormat="1" ht="11.25" x14ac:dyDescent="0.15">
      <c r="A160" s="7">
        <f>SUM(C160:AS160)</f>
        <v>3</v>
      </c>
      <c r="B160" s="27" t="s">
        <v>14</v>
      </c>
      <c r="C160" s="26">
        <v>0</v>
      </c>
      <c r="D160" s="26">
        <v>0</v>
      </c>
      <c r="E160" s="26">
        <v>0</v>
      </c>
      <c r="F160" s="26">
        <v>0</v>
      </c>
      <c r="G160" s="26">
        <v>0</v>
      </c>
      <c r="H160" s="26">
        <v>1</v>
      </c>
      <c r="I160" s="26">
        <v>0</v>
      </c>
      <c r="J160" s="26">
        <v>0</v>
      </c>
      <c r="K160" s="26">
        <v>0</v>
      </c>
      <c r="L160" s="26">
        <v>0</v>
      </c>
      <c r="M160" s="26">
        <f t="shared" si="1973"/>
        <v>0</v>
      </c>
      <c r="N160" s="26">
        <f t="shared" si="1974"/>
        <v>0</v>
      </c>
      <c r="O160" s="26">
        <f t="shared" si="1975"/>
        <v>2</v>
      </c>
      <c r="P160" s="26" t="str">
        <f t="shared" si="1976"/>
        <v/>
      </c>
      <c r="Q160" s="26" t="str">
        <f t="shared" si="1977"/>
        <v/>
      </c>
      <c r="R160" s="26" t="str">
        <f t="shared" si="1978"/>
        <v/>
      </c>
      <c r="S160" s="26" t="str">
        <f t="shared" si="1979"/>
        <v/>
      </c>
      <c r="T160" s="26" t="str">
        <f t="shared" si="1980"/>
        <v/>
      </c>
      <c r="U160" s="26" t="str">
        <f t="shared" si="1981"/>
        <v/>
      </c>
      <c r="V160" s="26" t="str">
        <f t="shared" si="1982"/>
        <v/>
      </c>
      <c r="W160" s="26" t="str">
        <f t="shared" si="1983"/>
        <v/>
      </c>
      <c r="X160" s="26" t="str">
        <f t="shared" si="1984"/>
        <v/>
      </c>
      <c r="Y160" s="26" t="str">
        <f t="shared" si="1985"/>
        <v/>
      </c>
      <c r="Z160" s="26" t="str">
        <f t="shared" si="1986"/>
        <v/>
      </c>
      <c r="AA160" s="26" t="str">
        <f t="shared" si="1987"/>
        <v/>
      </c>
      <c r="AB160" s="26" t="str">
        <f t="shared" si="1988"/>
        <v/>
      </c>
      <c r="AC160" s="26" t="str">
        <f t="shared" si="1989"/>
        <v/>
      </c>
      <c r="AD160" s="26" t="str">
        <f t="shared" si="1990"/>
        <v/>
      </c>
      <c r="AE160" s="26" t="str">
        <f t="shared" si="1991"/>
        <v/>
      </c>
      <c r="AF160" s="26" t="str">
        <f t="shared" si="1992"/>
        <v/>
      </c>
      <c r="AG160" s="26" t="str">
        <f t="shared" si="1993"/>
        <v/>
      </c>
      <c r="AH160" s="26" t="str">
        <f t="shared" si="1994"/>
        <v/>
      </c>
      <c r="AI160" s="26" t="str">
        <f t="shared" si="1995"/>
        <v/>
      </c>
      <c r="AJ160" s="26" t="str">
        <f t="shared" si="1996"/>
        <v/>
      </c>
      <c r="AK160" s="26" t="str">
        <f t="shared" si="1997"/>
        <v/>
      </c>
      <c r="AL160" s="26" t="str">
        <f t="shared" si="1998"/>
        <v/>
      </c>
      <c r="AM160" s="26" t="str">
        <f t="shared" si="1999"/>
        <v/>
      </c>
      <c r="AN160" s="26" t="str">
        <f t="shared" ref="AN160:AS160" si="2001">IF(AN$8="","",AN153-AM153)</f>
        <v/>
      </c>
      <c r="AO160" s="26" t="str">
        <f t="shared" si="2001"/>
        <v/>
      </c>
      <c r="AP160" s="26" t="str">
        <f t="shared" si="2001"/>
        <v/>
      </c>
      <c r="AQ160" s="26" t="str">
        <f t="shared" si="2001"/>
        <v/>
      </c>
      <c r="AR160" s="26" t="str">
        <f t="shared" si="2001"/>
        <v/>
      </c>
      <c r="AS160" s="26" t="str">
        <f t="shared" si="2001"/>
        <v/>
      </c>
    </row>
    <row r="161" spans="1:45" s="1" customFormat="1" ht="11.25" x14ac:dyDescent="0.15">
      <c r="A161" s="7">
        <f>SUM(C161:AS161)</f>
        <v>1</v>
      </c>
      <c r="B161" s="27" t="s">
        <v>15</v>
      </c>
      <c r="C161" s="26">
        <v>0</v>
      </c>
      <c r="D161" s="26">
        <v>0</v>
      </c>
      <c r="E161" s="26">
        <v>0</v>
      </c>
      <c r="F161" s="26">
        <v>0</v>
      </c>
      <c r="G161" s="26">
        <v>0</v>
      </c>
      <c r="H161" s="26">
        <v>1</v>
      </c>
      <c r="I161" s="26">
        <v>0</v>
      </c>
      <c r="J161" s="26">
        <v>0</v>
      </c>
      <c r="K161" s="26">
        <v>0</v>
      </c>
      <c r="L161" s="26">
        <v>0</v>
      </c>
      <c r="M161" s="26">
        <f t="shared" ref="M161" si="2002">IF(M$8="","",L154+L155-M154)</f>
        <v>0</v>
      </c>
      <c r="N161" s="26">
        <f t="shared" ref="N161" si="2003">IF(N$8="","",M154+M155-N154)</f>
        <v>0</v>
      </c>
      <c r="O161" s="26">
        <f t="shared" ref="O161" si="2004">IF(O$8="","",N154+N155-O154)</f>
        <v>0</v>
      </c>
      <c r="P161" s="26" t="str">
        <f t="shared" ref="P161" si="2005">IF(P$8="","",O154+O155-P154)</f>
        <v/>
      </c>
      <c r="Q161" s="26" t="str">
        <f t="shared" ref="Q161" si="2006">IF(Q$8="","",P154+P155-Q154)</f>
        <v/>
      </c>
      <c r="R161" s="26" t="str">
        <f t="shared" ref="R161" si="2007">IF(R$8="","",Q154+Q155-R154)</f>
        <v/>
      </c>
      <c r="S161" s="26" t="str">
        <f t="shared" ref="S161" si="2008">IF(S$8="","",R154+R155-S154)</f>
        <v/>
      </c>
      <c r="T161" s="26" t="str">
        <f t="shared" ref="T161" si="2009">IF(T$8="","",S154+S155-T154)</f>
        <v/>
      </c>
      <c r="U161" s="26" t="str">
        <f t="shared" ref="U161" si="2010">IF(U$8="","",T154+T155-U154)</f>
        <v/>
      </c>
      <c r="V161" s="26" t="str">
        <f t="shared" ref="V161" si="2011">IF(V$8="","",U154+U155-V154)</f>
        <v/>
      </c>
      <c r="W161" s="26" t="str">
        <f t="shared" ref="W161" si="2012">IF(W$8="","",V154+V155-W154)</f>
        <v/>
      </c>
      <c r="X161" s="26" t="str">
        <f t="shared" ref="X161" si="2013">IF(X$8="","",W154+W155-X154)</f>
        <v/>
      </c>
      <c r="Y161" s="26" t="str">
        <f t="shared" ref="Y161" si="2014">IF(Y$8="","",X154+X155-Y154)</f>
        <v/>
      </c>
      <c r="Z161" s="26" t="str">
        <f t="shared" ref="Z161" si="2015">IF(Z$8="","",Y154+Y155-Z154)</f>
        <v/>
      </c>
      <c r="AA161" s="26" t="str">
        <f t="shared" ref="AA161" si="2016">IF(AA$8="","",Z154+Z155-AA154)</f>
        <v/>
      </c>
      <c r="AB161" s="26" t="str">
        <f t="shared" ref="AB161" si="2017">IF(AB$8="","",AA154+AA155-AB154)</f>
        <v/>
      </c>
      <c r="AC161" s="26" t="str">
        <f t="shared" ref="AC161" si="2018">IF(AC$8="","",AB154+AB155-AC154)</f>
        <v/>
      </c>
      <c r="AD161" s="26" t="str">
        <f t="shared" ref="AD161" si="2019">IF(AD$8="","",AC154+AC155-AD154)</f>
        <v/>
      </c>
      <c r="AE161" s="26" t="str">
        <f t="shared" ref="AE161" si="2020">IF(AE$8="","",AD154+AD155-AE154)</f>
        <v/>
      </c>
      <c r="AF161" s="26" t="str">
        <f t="shared" ref="AF161" si="2021">IF(AF$8="","",AE154+AE155-AF154)</f>
        <v/>
      </c>
      <c r="AG161" s="26" t="str">
        <f t="shared" ref="AG161" si="2022">IF(AG$8="","",AF154+AF155-AG154)</f>
        <v/>
      </c>
      <c r="AH161" s="26" t="str">
        <f t="shared" ref="AH161" si="2023">IF(AH$8="","",AG154+AG155-AH154)</f>
        <v/>
      </c>
      <c r="AI161" s="26" t="str">
        <f t="shared" ref="AI161" si="2024">IF(AI$8="","",AH154+AH155-AI154)</f>
        <v/>
      </c>
      <c r="AJ161" s="26" t="str">
        <f t="shared" ref="AJ161" si="2025">IF(AJ$8="","",AI154+AI155-AJ154)</f>
        <v/>
      </c>
      <c r="AK161" s="26" t="str">
        <f t="shared" ref="AK161" si="2026">IF(AK$8="","",AJ154+AJ155-AK154)</f>
        <v/>
      </c>
      <c r="AL161" s="26" t="str">
        <f t="shared" ref="AL161" si="2027">IF(AL$8="","",AK154+AK155-AL154)</f>
        <v/>
      </c>
      <c r="AM161" s="26" t="str">
        <f t="shared" ref="AM161" si="2028">IF(AM$8="","",AL154+AL155-AM154)</f>
        <v/>
      </c>
      <c r="AN161" s="26" t="str">
        <f t="shared" ref="AN161:AS161" si="2029">IF(AN$8="","",AM154+AM155-AN154)</f>
        <v/>
      </c>
      <c r="AO161" s="26" t="str">
        <f t="shared" si="2029"/>
        <v/>
      </c>
      <c r="AP161" s="26" t="str">
        <f t="shared" si="2029"/>
        <v/>
      </c>
      <c r="AQ161" s="26" t="str">
        <f t="shared" si="2029"/>
        <v/>
      </c>
      <c r="AR161" s="26" t="str">
        <f t="shared" si="2029"/>
        <v/>
      </c>
      <c r="AS161" s="26" t="str">
        <f t="shared" si="2029"/>
        <v/>
      </c>
    </row>
    <row r="162" spans="1:45" s="1" customFormat="1" ht="11.25" x14ac:dyDescent="0.15">
      <c r="A162" s="7">
        <f>SUM(C162:AS162)</f>
        <v>0</v>
      </c>
      <c r="B162" s="27" t="s">
        <v>16</v>
      </c>
      <c r="C162" s="26">
        <v>0</v>
      </c>
      <c r="D162" s="26">
        <v>0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6">
        <v>0</v>
      </c>
      <c r="L162" s="26">
        <v>0</v>
      </c>
      <c r="M162" s="26">
        <f t="shared" ref="J162:AM162" si="2030">IF(M$8="","",M161*M156)</f>
        <v>0</v>
      </c>
      <c r="N162" s="26">
        <f t="shared" si="2030"/>
        <v>0</v>
      </c>
      <c r="O162" s="26">
        <f t="shared" si="2030"/>
        <v>0</v>
      </c>
      <c r="P162" s="26" t="str">
        <f t="shared" si="2030"/>
        <v/>
      </c>
      <c r="Q162" s="26" t="str">
        <f t="shared" si="2030"/>
        <v/>
      </c>
      <c r="R162" s="26" t="str">
        <f t="shared" si="2030"/>
        <v/>
      </c>
      <c r="S162" s="26" t="str">
        <f t="shared" si="2030"/>
        <v/>
      </c>
      <c r="T162" s="26" t="str">
        <f t="shared" si="2030"/>
        <v/>
      </c>
      <c r="U162" s="26" t="str">
        <f t="shared" si="2030"/>
        <v/>
      </c>
      <c r="V162" s="26" t="str">
        <f t="shared" si="2030"/>
        <v/>
      </c>
      <c r="W162" s="26" t="str">
        <f t="shared" si="2030"/>
        <v/>
      </c>
      <c r="X162" s="26" t="str">
        <f t="shared" si="2030"/>
        <v/>
      </c>
      <c r="Y162" s="26" t="str">
        <f t="shared" si="2030"/>
        <v/>
      </c>
      <c r="Z162" s="26" t="str">
        <f t="shared" si="2030"/>
        <v/>
      </c>
      <c r="AA162" s="26" t="str">
        <f t="shared" si="2030"/>
        <v/>
      </c>
      <c r="AB162" s="26" t="str">
        <f t="shared" si="2030"/>
        <v/>
      </c>
      <c r="AC162" s="26" t="str">
        <f t="shared" si="2030"/>
        <v/>
      </c>
      <c r="AD162" s="26" t="str">
        <f t="shared" si="2030"/>
        <v/>
      </c>
      <c r="AE162" s="26" t="str">
        <f t="shared" si="2030"/>
        <v/>
      </c>
      <c r="AF162" s="26" t="str">
        <f t="shared" si="2030"/>
        <v/>
      </c>
      <c r="AG162" s="26" t="str">
        <f t="shared" si="2030"/>
        <v/>
      </c>
      <c r="AH162" s="26" t="str">
        <f t="shared" si="2030"/>
        <v/>
      </c>
      <c r="AI162" s="26" t="str">
        <f t="shared" si="2030"/>
        <v/>
      </c>
      <c r="AJ162" s="26" t="str">
        <f t="shared" si="2030"/>
        <v/>
      </c>
      <c r="AK162" s="26" t="str">
        <f t="shared" si="2030"/>
        <v/>
      </c>
      <c r="AL162" s="26" t="str">
        <f t="shared" si="2030"/>
        <v/>
      </c>
      <c r="AM162" s="26" t="str">
        <f t="shared" si="2030"/>
        <v/>
      </c>
      <c r="AN162" s="26" t="str">
        <f t="shared" ref="AN162:AS162" si="2031">IF(AN$8="","",AN161*AN156)</f>
        <v/>
      </c>
      <c r="AO162" s="26" t="str">
        <f t="shared" si="2031"/>
        <v/>
      </c>
      <c r="AP162" s="26" t="str">
        <f t="shared" si="2031"/>
        <v/>
      </c>
      <c r="AQ162" s="26" t="str">
        <f t="shared" si="2031"/>
        <v/>
      </c>
      <c r="AR162" s="26" t="str">
        <f t="shared" si="2031"/>
        <v/>
      </c>
      <c r="AS162" s="26" t="str">
        <f t="shared" si="2031"/>
        <v/>
      </c>
    </row>
    <row r="163" spans="1:45" s="1" customFormat="1" ht="12" thickBot="1" x14ac:dyDescent="0.2">
      <c r="A163" s="4">
        <f>IF(A162="","",A162/(A159*100))</f>
        <v>0</v>
      </c>
      <c r="B163" s="27" t="s">
        <v>18</v>
      </c>
      <c r="C163" s="42" t="s">
        <v>19</v>
      </c>
      <c r="D163" s="42" t="s">
        <v>19</v>
      </c>
      <c r="E163" s="42" t="s">
        <v>19</v>
      </c>
      <c r="F163" s="42" t="s">
        <v>19</v>
      </c>
      <c r="G163" s="42" t="s">
        <v>19</v>
      </c>
      <c r="H163" s="42" t="s">
        <v>19</v>
      </c>
      <c r="I163" s="42" t="s">
        <v>19</v>
      </c>
      <c r="J163" s="42" t="s">
        <v>19</v>
      </c>
      <c r="K163" s="42" t="s">
        <v>19</v>
      </c>
      <c r="L163" s="42" t="s">
        <v>19</v>
      </c>
      <c r="M163" s="42" t="str">
        <f t="shared" ref="J163:AM163" si="2032">IF(M$8="","",IF(M162=0,"",M162/(M159*100)))</f>
        <v/>
      </c>
      <c r="N163" s="42" t="str">
        <f t="shared" si="2032"/>
        <v/>
      </c>
      <c r="O163" s="42" t="str">
        <f t="shared" si="2032"/>
        <v/>
      </c>
      <c r="P163" s="42" t="str">
        <f t="shared" si="2032"/>
        <v/>
      </c>
      <c r="Q163" s="42" t="str">
        <f t="shared" si="2032"/>
        <v/>
      </c>
      <c r="R163" s="42" t="str">
        <f t="shared" si="2032"/>
        <v/>
      </c>
      <c r="S163" s="42" t="str">
        <f t="shared" si="2032"/>
        <v/>
      </c>
      <c r="T163" s="42" t="str">
        <f t="shared" si="2032"/>
        <v/>
      </c>
      <c r="U163" s="42" t="str">
        <f t="shared" si="2032"/>
        <v/>
      </c>
      <c r="V163" s="42" t="str">
        <f t="shared" si="2032"/>
        <v/>
      </c>
      <c r="W163" s="42" t="str">
        <f t="shared" si="2032"/>
        <v/>
      </c>
      <c r="X163" s="42" t="str">
        <f t="shared" si="2032"/>
        <v/>
      </c>
      <c r="Y163" s="42" t="str">
        <f t="shared" si="2032"/>
        <v/>
      </c>
      <c r="Z163" s="42" t="str">
        <f t="shared" si="2032"/>
        <v/>
      </c>
      <c r="AA163" s="42" t="str">
        <f t="shared" si="2032"/>
        <v/>
      </c>
      <c r="AB163" s="42" t="str">
        <f t="shared" si="2032"/>
        <v/>
      </c>
      <c r="AC163" s="42" t="str">
        <f t="shared" si="2032"/>
        <v/>
      </c>
      <c r="AD163" s="42" t="str">
        <f t="shared" si="2032"/>
        <v/>
      </c>
      <c r="AE163" s="42" t="str">
        <f t="shared" si="2032"/>
        <v/>
      </c>
      <c r="AF163" s="42" t="str">
        <f t="shared" si="2032"/>
        <v/>
      </c>
      <c r="AG163" s="42" t="str">
        <f t="shared" si="2032"/>
        <v/>
      </c>
      <c r="AH163" s="42" t="str">
        <f t="shared" si="2032"/>
        <v/>
      </c>
      <c r="AI163" s="42" t="str">
        <f t="shared" si="2032"/>
        <v/>
      </c>
      <c r="AJ163" s="42" t="str">
        <f t="shared" si="2032"/>
        <v/>
      </c>
      <c r="AK163" s="42" t="str">
        <f t="shared" si="2032"/>
        <v/>
      </c>
      <c r="AL163" s="42" t="str">
        <f t="shared" si="2032"/>
        <v/>
      </c>
      <c r="AM163" s="42" t="str">
        <f t="shared" si="2032"/>
        <v/>
      </c>
      <c r="AN163" s="42" t="str">
        <f t="shared" ref="AN163:AS163" si="2033">IF(AN$8="","",IF(AN162=0,"",AN162/(AN159*100)))</f>
        <v/>
      </c>
      <c r="AO163" s="42" t="str">
        <f t="shared" si="2033"/>
        <v/>
      </c>
      <c r="AP163" s="42" t="str">
        <f t="shared" si="2033"/>
        <v/>
      </c>
      <c r="AQ163" s="42" t="str">
        <f t="shared" si="2033"/>
        <v/>
      </c>
      <c r="AR163" s="42" t="str">
        <f t="shared" si="2033"/>
        <v/>
      </c>
      <c r="AS163" s="42" t="str">
        <f t="shared" si="2033"/>
        <v/>
      </c>
    </row>
    <row r="164" spans="1:45" s="1" customFormat="1" ht="11.25" x14ac:dyDescent="0.15">
      <c r="A164" s="17" t="s">
        <v>83</v>
      </c>
      <c r="B164" s="41" t="s">
        <v>2</v>
      </c>
      <c r="C164" s="35">
        <v>5723</v>
      </c>
      <c r="D164" s="35">
        <v>5723</v>
      </c>
      <c r="E164" s="35">
        <v>5748</v>
      </c>
      <c r="F164" s="35">
        <v>5748</v>
      </c>
      <c r="G164" s="35">
        <v>5748</v>
      </c>
      <c r="H164" s="35">
        <v>5807</v>
      </c>
      <c r="I164" s="35">
        <v>5807</v>
      </c>
      <c r="J164" s="35">
        <v>5807</v>
      </c>
      <c r="K164" s="35">
        <v>5807</v>
      </c>
      <c r="L164" s="35">
        <v>5869</v>
      </c>
      <c r="M164" s="35">
        <f t="shared" ref="M164:M165" si="2034">IF(M$8="","",L164)</f>
        <v>5869</v>
      </c>
      <c r="N164" s="35">
        <f t="shared" ref="N164:N165" si="2035">IF(N$8="","",M164)</f>
        <v>5869</v>
      </c>
      <c r="O164" s="35">
        <v>5946</v>
      </c>
      <c r="P164" s="35" t="str">
        <f>IF(P$8="","",O164)</f>
        <v/>
      </c>
      <c r="Q164" s="35" t="str">
        <f t="shared" ref="Q164:Q165" si="2036">IF(Q$8="","",P164)</f>
        <v/>
      </c>
      <c r="R164" s="35" t="str">
        <f t="shared" ref="R164:R165" si="2037">IF(R$8="","",Q164)</f>
        <v/>
      </c>
      <c r="S164" s="35" t="str">
        <f>IF(S$8="","",R164)</f>
        <v/>
      </c>
      <c r="T164" s="35" t="str">
        <f t="shared" ref="T164:T165" si="2038">IF(T$8="","",S164)</f>
        <v/>
      </c>
      <c r="U164" s="35" t="str">
        <f t="shared" ref="U164:U165" si="2039">IF(U$8="","",T164)</f>
        <v/>
      </c>
      <c r="V164" s="35" t="str">
        <f>IF(V$8="","",U164)</f>
        <v/>
      </c>
      <c r="W164" s="35" t="str">
        <f t="shared" ref="W164:W165" si="2040">IF(W$8="","",V164)</f>
        <v/>
      </c>
      <c r="X164" s="35" t="str">
        <f t="shared" ref="X164:X165" si="2041">IF(X$8="","",W164)</f>
        <v/>
      </c>
      <c r="Y164" s="35" t="str">
        <f t="shared" ref="Y164:Y165" si="2042">IF(Y$8="","",X164)</f>
        <v/>
      </c>
      <c r="Z164" s="35" t="str">
        <f>IF(Z$8="","",Y164)</f>
        <v/>
      </c>
      <c r="AA164" s="35" t="str">
        <f t="shared" ref="AA164:AA165" si="2043">IF(AA$8="","",Z164)</f>
        <v/>
      </c>
      <c r="AB164" s="35" t="str">
        <f t="shared" ref="AB164:AB165" si="2044">IF(AB$8="","",AA164)</f>
        <v/>
      </c>
      <c r="AC164" s="35" t="str">
        <f t="shared" ref="AC164:AC165" si="2045">IF(AC$8="","",AB164)</f>
        <v/>
      </c>
      <c r="AD164" s="35" t="str">
        <f>IF(AD$8="","",AC164)</f>
        <v/>
      </c>
      <c r="AE164" s="35" t="str">
        <f t="shared" ref="AE164:AE165" si="2046">IF(AE$8="","",AD164)</f>
        <v/>
      </c>
      <c r="AF164" s="35" t="str">
        <f t="shared" ref="AF164:AF165" si="2047">IF(AF$8="","",AE164)</f>
        <v/>
      </c>
      <c r="AG164" s="35" t="str">
        <f>IF(AG$8="","",AF164)</f>
        <v/>
      </c>
      <c r="AH164" s="35" t="str">
        <f t="shared" ref="AH164:AH165" si="2048">IF(AH$8="","",AG164)</f>
        <v/>
      </c>
      <c r="AI164" s="35" t="str">
        <f t="shared" ref="AI164:AI165" si="2049">IF(AI$8="","",AH164)</f>
        <v/>
      </c>
      <c r="AJ164" s="35" t="str">
        <f>IF(AJ$8="","",AI164)</f>
        <v/>
      </c>
      <c r="AK164" s="35" t="str">
        <f t="shared" ref="AK164:AK165" si="2050">IF(AK$8="","",AJ164)</f>
        <v/>
      </c>
      <c r="AL164" s="35" t="str">
        <f t="shared" ref="AL164:AL165" si="2051">IF(AL$8="","",AK164)</f>
        <v/>
      </c>
      <c r="AM164" s="35" t="str">
        <f t="shared" ref="AM164:AM165" si="2052">IF(AM$8="","",AL164)</f>
        <v/>
      </c>
      <c r="AN164" s="35" t="str">
        <f>IF(AN$8="","",AM164)</f>
        <v/>
      </c>
      <c r="AO164" s="35" t="str">
        <f t="shared" ref="AN164:AS164" si="2053">IF(AO$8="","",AN164)</f>
        <v/>
      </c>
      <c r="AP164" s="35" t="str">
        <f t="shared" si="2053"/>
        <v/>
      </c>
      <c r="AQ164" s="35" t="str">
        <f t="shared" si="2053"/>
        <v/>
      </c>
      <c r="AR164" s="35" t="str">
        <f t="shared" si="2053"/>
        <v/>
      </c>
      <c r="AS164" s="35" t="str">
        <f t="shared" si="2053"/>
        <v/>
      </c>
    </row>
    <row r="165" spans="1:45" s="1" customFormat="1" ht="11.25" x14ac:dyDescent="0.15">
      <c r="A165" s="16" t="s">
        <v>38</v>
      </c>
      <c r="B165" s="30" t="s">
        <v>4</v>
      </c>
      <c r="C165" s="29">
        <v>182</v>
      </c>
      <c r="D165" s="29">
        <v>182</v>
      </c>
      <c r="E165" s="29">
        <v>182</v>
      </c>
      <c r="F165" s="29">
        <v>182</v>
      </c>
      <c r="G165" s="29">
        <v>182</v>
      </c>
      <c r="H165" s="29">
        <v>183</v>
      </c>
      <c r="I165" s="29">
        <v>183</v>
      </c>
      <c r="J165" s="29">
        <v>183</v>
      </c>
      <c r="K165" s="29">
        <v>183</v>
      </c>
      <c r="L165" s="29">
        <v>184</v>
      </c>
      <c r="M165" s="29">
        <f t="shared" si="2034"/>
        <v>184</v>
      </c>
      <c r="N165" s="29">
        <f t="shared" si="2035"/>
        <v>184</v>
      </c>
      <c r="O165" s="29">
        <v>185</v>
      </c>
      <c r="P165" s="29" t="str">
        <f t="shared" ref="P165" si="2054">IF(P$8="","",O165)</f>
        <v/>
      </c>
      <c r="Q165" s="29" t="str">
        <f t="shared" si="2036"/>
        <v/>
      </c>
      <c r="R165" s="29" t="str">
        <f t="shared" si="2037"/>
        <v/>
      </c>
      <c r="S165" s="29" t="str">
        <f t="shared" ref="S165" si="2055">IF(S$8="","",R165)</f>
        <v/>
      </c>
      <c r="T165" s="29" t="str">
        <f t="shared" si="2038"/>
        <v/>
      </c>
      <c r="U165" s="29" t="str">
        <f t="shared" si="2039"/>
        <v/>
      </c>
      <c r="V165" s="29" t="str">
        <f>IF(V$8="","",U165)</f>
        <v/>
      </c>
      <c r="W165" s="29" t="str">
        <f t="shared" si="2040"/>
        <v/>
      </c>
      <c r="X165" s="29" t="str">
        <f t="shared" si="2041"/>
        <v/>
      </c>
      <c r="Y165" s="29" t="str">
        <f t="shared" si="2042"/>
        <v/>
      </c>
      <c r="Z165" s="29" t="str">
        <f t="shared" ref="Z165" si="2056">IF(Z$8="","",Y165)</f>
        <v/>
      </c>
      <c r="AA165" s="29" t="str">
        <f t="shared" si="2043"/>
        <v/>
      </c>
      <c r="AB165" s="29" t="str">
        <f t="shared" si="2044"/>
        <v/>
      </c>
      <c r="AC165" s="29" t="str">
        <f t="shared" si="2045"/>
        <v/>
      </c>
      <c r="AD165" s="29" t="str">
        <f>IF(AD$8="","",AC165)</f>
        <v/>
      </c>
      <c r="AE165" s="29" t="str">
        <f t="shared" si="2046"/>
        <v/>
      </c>
      <c r="AF165" s="29" t="str">
        <f t="shared" si="2047"/>
        <v/>
      </c>
      <c r="AG165" s="29" t="str">
        <f t="shared" ref="AG165" si="2057">IF(AG$8="","",AF165)</f>
        <v/>
      </c>
      <c r="AH165" s="29" t="str">
        <f t="shared" si="2048"/>
        <v/>
      </c>
      <c r="AI165" s="29" t="str">
        <f t="shared" si="2049"/>
        <v/>
      </c>
      <c r="AJ165" s="29" t="str">
        <f>IF(AJ$8="","",AI165)</f>
        <v/>
      </c>
      <c r="AK165" s="29" t="str">
        <f t="shared" si="2050"/>
        <v/>
      </c>
      <c r="AL165" s="29" t="str">
        <f t="shared" si="2051"/>
        <v/>
      </c>
      <c r="AM165" s="29" t="str">
        <f t="shared" si="2052"/>
        <v/>
      </c>
      <c r="AN165" s="29" t="str">
        <f>IF(AN$8="","",AM165)</f>
        <v/>
      </c>
      <c r="AO165" s="29" t="str">
        <f t="shared" ref="AN165:AS165" si="2058">IF(AO$8="","",AN165)</f>
        <v/>
      </c>
      <c r="AP165" s="29" t="str">
        <f t="shared" si="2058"/>
        <v/>
      </c>
      <c r="AQ165" s="29" t="str">
        <f t="shared" si="2058"/>
        <v/>
      </c>
      <c r="AR165" s="29" t="str">
        <f t="shared" si="2058"/>
        <v/>
      </c>
      <c r="AS165" s="29" t="str">
        <f t="shared" si="2058"/>
        <v/>
      </c>
    </row>
    <row r="166" spans="1:45" s="1" customFormat="1" ht="11.25" x14ac:dyDescent="0.15">
      <c r="A166" s="15">
        <v>3</v>
      </c>
      <c r="B166" s="30" t="s">
        <v>5</v>
      </c>
      <c r="C166" s="29">
        <v>17</v>
      </c>
      <c r="D166" s="29">
        <v>17</v>
      </c>
      <c r="E166" s="29">
        <v>17</v>
      </c>
      <c r="F166" s="29">
        <v>17</v>
      </c>
      <c r="G166" s="29">
        <v>17</v>
      </c>
      <c r="H166" s="29">
        <v>17</v>
      </c>
      <c r="I166" s="29">
        <v>17</v>
      </c>
      <c r="J166" s="29">
        <v>17</v>
      </c>
      <c r="K166" s="29">
        <v>17</v>
      </c>
      <c r="L166" s="29">
        <v>15</v>
      </c>
      <c r="M166" s="29">
        <f t="shared" ref="M166" si="2059">IF(M$8="","",(L166+L167))</f>
        <v>15</v>
      </c>
      <c r="N166" s="29">
        <f t="shared" ref="N166" si="2060">IF(N$8="","",(M166+M167))</f>
        <v>15</v>
      </c>
      <c r="O166" s="29">
        <v>14</v>
      </c>
      <c r="P166" s="29" t="str">
        <f>IF(P$8="","",(O166+O167))</f>
        <v/>
      </c>
      <c r="Q166" s="29" t="str">
        <f t="shared" ref="Q166" si="2061">IF(Q$8="","",(P166+P167))</f>
        <v/>
      </c>
      <c r="R166" s="29" t="str">
        <f t="shared" ref="R166" si="2062">IF(R$8="","",(Q166+Q167))</f>
        <v/>
      </c>
      <c r="S166" s="29" t="str">
        <f>IF(S$8="","",(R166+R167))</f>
        <v/>
      </c>
      <c r="T166" s="29" t="str">
        <f t="shared" ref="T166" si="2063">IF(T$8="","",(S166+S167))</f>
        <v/>
      </c>
      <c r="U166" s="29" t="str">
        <f t="shared" ref="U166" si="2064">IF(U$8="","",(T166+T167))</f>
        <v/>
      </c>
      <c r="V166" s="29" t="str">
        <f>IF(V$8="","",(U166+U167))</f>
        <v/>
      </c>
      <c r="W166" s="29" t="str">
        <f t="shared" ref="W166" si="2065">IF(W$8="","",(V166+V167))</f>
        <v/>
      </c>
      <c r="X166" s="29" t="str">
        <f t="shared" ref="X166" si="2066">IF(X$8="","",(W166+W167))</f>
        <v/>
      </c>
      <c r="Y166" s="29" t="str">
        <f t="shared" ref="Y166" si="2067">IF(Y$8="","",(X166+X167))</f>
        <v/>
      </c>
      <c r="Z166" s="29" t="str">
        <f t="shared" ref="Z166" si="2068">IF(Z$8="","",(Y166+Y167))</f>
        <v/>
      </c>
      <c r="AA166" s="29" t="str">
        <f t="shared" ref="AA166" si="2069">IF(AA$8="","",(Z166+Z167))</f>
        <v/>
      </c>
      <c r="AB166" s="29" t="str">
        <f t="shared" ref="AB166" si="2070">IF(AB$8="","",(AA166+AA167))</f>
        <v/>
      </c>
      <c r="AC166" s="29" t="str">
        <f t="shared" ref="AC166" si="2071">IF(AC$8="","",(AB166+AB167))</f>
        <v/>
      </c>
      <c r="AD166" s="29" t="str">
        <f>IF(AD$8="","",(AC166+AC167))</f>
        <v/>
      </c>
      <c r="AE166" s="29" t="str">
        <f t="shared" ref="AE166" si="2072">IF(AE$8="","",(AD166+AD167))</f>
        <v/>
      </c>
      <c r="AF166" s="29" t="str">
        <f t="shared" ref="AF166" si="2073">IF(AF$8="","",(AE166+AE167))</f>
        <v/>
      </c>
      <c r="AG166" s="29" t="str">
        <f t="shared" ref="AG166" si="2074">IF(AG$8="","",(AF166+AF167))</f>
        <v/>
      </c>
      <c r="AH166" s="29" t="str">
        <f t="shared" ref="AH166" si="2075">IF(AH$8="","",(AG166+AG167))</f>
        <v/>
      </c>
      <c r="AI166" s="29" t="str">
        <f t="shared" ref="AI166" si="2076">IF(AI$8="","",(AH166+AH167))</f>
        <v/>
      </c>
      <c r="AJ166" s="29" t="str">
        <f t="shared" ref="AJ166" si="2077">IF(AJ$8="","",(AI166+AI167))</f>
        <v/>
      </c>
      <c r="AK166" s="29" t="str">
        <f t="shared" ref="AK166" si="2078">IF(AK$8="","",(AJ166+AJ167))</f>
        <v/>
      </c>
      <c r="AL166" s="29" t="str">
        <f t="shared" ref="AL166" si="2079">IF(AL$8="","",(AK166+AK167))</f>
        <v/>
      </c>
      <c r="AM166" s="29" t="str">
        <f t="shared" ref="AM166" si="2080">IF(AM$8="","",(AL166+AL167))</f>
        <v/>
      </c>
      <c r="AN166" s="29" t="str">
        <f>IF(AN$8="","",(AM166+AM167))</f>
        <v/>
      </c>
      <c r="AO166" s="29" t="str">
        <f t="shared" ref="AN166:AS166" si="2081">IF(AO$8="","",(AN166+AN167))</f>
        <v/>
      </c>
      <c r="AP166" s="29" t="str">
        <f t="shared" si="2081"/>
        <v/>
      </c>
      <c r="AQ166" s="29" t="str">
        <f t="shared" si="2081"/>
        <v/>
      </c>
      <c r="AR166" s="29" t="str">
        <f t="shared" si="2081"/>
        <v/>
      </c>
      <c r="AS166" s="29" t="str">
        <f t="shared" si="2081"/>
        <v/>
      </c>
    </row>
    <row r="167" spans="1:45" s="1" customFormat="1" ht="11.25" x14ac:dyDescent="0.15">
      <c r="A167" s="14"/>
      <c r="B167" s="30" t="s">
        <v>7</v>
      </c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</row>
    <row r="168" spans="1:45" s="1" customFormat="1" ht="11.25" x14ac:dyDescent="0.15">
      <c r="A168" s="7"/>
      <c r="B168" s="30" t="s">
        <v>8</v>
      </c>
      <c r="C168" s="35">
        <v>0</v>
      </c>
      <c r="D168" s="35">
        <v>0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f t="shared" ref="M168:M169" si="2082">IF(M$8="","",L168)</f>
        <v>0</v>
      </c>
      <c r="N168" s="35">
        <f t="shared" ref="N168:N169" si="2083">IF(N$8="","",M168)</f>
        <v>0</v>
      </c>
      <c r="O168" s="35">
        <f t="shared" ref="O168:O169" si="2084">IF(O$8="","",N168)</f>
        <v>0</v>
      </c>
      <c r="P168" s="35" t="str">
        <f t="shared" ref="P168:P169" si="2085">IF(P$8="","",O168)</f>
        <v/>
      </c>
      <c r="Q168" s="35" t="str">
        <f t="shared" ref="Q168:Q169" si="2086">IF(Q$8="","",P168)</f>
        <v/>
      </c>
      <c r="R168" s="35" t="str">
        <f t="shared" ref="R168:R169" si="2087">IF(R$8="","",Q168)</f>
        <v/>
      </c>
      <c r="S168" s="35" t="str">
        <f t="shared" ref="S168:S169" si="2088">IF(S$8="","",R168)</f>
        <v/>
      </c>
      <c r="T168" s="35" t="str">
        <f t="shared" ref="T168:T169" si="2089">IF(T$8="","",S168)</f>
        <v/>
      </c>
      <c r="U168" s="35" t="str">
        <f t="shared" ref="U168:U169" si="2090">IF(U$8="","",T168)</f>
        <v/>
      </c>
      <c r="V168" s="35" t="str">
        <f t="shared" ref="V168:V169" si="2091">IF(V$8="","",U168)</f>
        <v/>
      </c>
      <c r="W168" s="35" t="str">
        <f t="shared" ref="W168:W169" si="2092">IF(W$8="","",V168)</f>
        <v/>
      </c>
      <c r="X168" s="35" t="str">
        <f t="shared" ref="X168:X169" si="2093">IF(X$8="","",W168)</f>
        <v/>
      </c>
      <c r="Y168" s="35" t="str">
        <f t="shared" ref="Y168:Y169" si="2094">IF(Y$8="","",X168)</f>
        <v/>
      </c>
      <c r="Z168" s="35" t="str">
        <f t="shared" ref="Z168:Z169" si="2095">IF(Z$8="","",Y168)</f>
        <v/>
      </c>
      <c r="AA168" s="35" t="str">
        <f t="shared" ref="AA168:AA169" si="2096">IF(AA$8="","",Z168)</f>
        <v/>
      </c>
      <c r="AB168" s="35" t="str">
        <f t="shared" ref="AB168:AB169" si="2097">IF(AB$8="","",AA168)</f>
        <v/>
      </c>
      <c r="AC168" s="35" t="str">
        <f t="shared" ref="AC168:AC169" si="2098">IF(AC$8="","",AB168)</f>
        <v/>
      </c>
      <c r="AD168" s="35" t="str">
        <f t="shared" ref="AD168:AD169" si="2099">IF(AD$8="","",AC168)</f>
        <v/>
      </c>
      <c r="AE168" s="35" t="str">
        <f t="shared" ref="AE168:AE169" si="2100">IF(AE$8="","",AD168)</f>
        <v/>
      </c>
      <c r="AF168" s="35" t="str">
        <f t="shared" ref="AF168:AF169" si="2101">IF(AF$8="","",AE168)</f>
        <v/>
      </c>
      <c r="AG168" s="35" t="str">
        <f t="shared" ref="AG168:AG169" si="2102">IF(AG$8="","",AF168)</f>
        <v/>
      </c>
      <c r="AH168" s="35" t="str">
        <f t="shared" ref="AH168:AH169" si="2103">IF(AH$8="","",AG168)</f>
        <v/>
      </c>
      <c r="AI168" s="35" t="str">
        <f t="shared" ref="AI168:AI169" si="2104">IF(AI$8="","",AH168)</f>
        <v/>
      </c>
      <c r="AJ168" s="35" t="str">
        <f t="shared" ref="AJ168:AJ169" si="2105">IF(AJ$8="","",AI168)</f>
        <v/>
      </c>
      <c r="AK168" s="35" t="str">
        <f t="shared" ref="AK168:AK169" si="2106">IF(AK$8="","",AJ168)</f>
        <v/>
      </c>
      <c r="AL168" s="35" t="str">
        <f t="shared" ref="AL168:AL169" si="2107">IF(AL$8="","",AK168)</f>
        <v/>
      </c>
      <c r="AM168" s="35" t="str">
        <f t="shared" ref="AM168:AM169" si="2108">IF(AM$8="","",AL168)</f>
        <v/>
      </c>
      <c r="AN168" s="35" t="str">
        <f t="shared" ref="AN168:AS168" si="2109">IF(AN$8="","",AM168)</f>
        <v/>
      </c>
      <c r="AO168" s="35" t="str">
        <f t="shared" si="2109"/>
        <v/>
      </c>
      <c r="AP168" s="35" t="str">
        <f t="shared" si="2109"/>
        <v/>
      </c>
      <c r="AQ168" s="35" t="str">
        <f t="shared" si="2109"/>
        <v/>
      </c>
      <c r="AR168" s="35" t="str">
        <f t="shared" si="2109"/>
        <v/>
      </c>
      <c r="AS168" s="35" t="str">
        <f t="shared" si="2109"/>
        <v/>
      </c>
    </row>
    <row r="169" spans="1:45" s="85" customFormat="1" ht="11.25" x14ac:dyDescent="0.15">
      <c r="A169" s="14" t="s">
        <v>9</v>
      </c>
      <c r="B169" s="33" t="s">
        <v>10</v>
      </c>
      <c r="C169" s="32" t="s">
        <v>69</v>
      </c>
      <c r="D169" s="32" t="s">
        <v>69</v>
      </c>
      <c r="E169" s="32" t="s">
        <v>69</v>
      </c>
      <c r="F169" s="32" t="s">
        <v>69</v>
      </c>
      <c r="G169" s="32" t="s">
        <v>69</v>
      </c>
      <c r="H169" s="32" t="s">
        <v>69</v>
      </c>
      <c r="I169" s="32" t="s">
        <v>69</v>
      </c>
      <c r="J169" s="32" t="s">
        <v>69</v>
      </c>
      <c r="K169" s="32" t="s">
        <v>69</v>
      </c>
      <c r="L169" s="32" t="s">
        <v>69</v>
      </c>
      <c r="M169" s="32" t="str">
        <f t="shared" si="2082"/>
        <v>バタースクイーズ</v>
      </c>
      <c r="N169" s="32" t="str">
        <f t="shared" si="2083"/>
        <v>バタースクイーズ</v>
      </c>
      <c r="O169" s="32" t="str">
        <f t="shared" si="2084"/>
        <v>バタースクイーズ</v>
      </c>
      <c r="P169" s="32" t="str">
        <f t="shared" si="2085"/>
        <v/>
      </c>
      <c r="Q169" s="32" t="str">
        <f t="shared" si="2086"/>
        <v/>
      </c>
      <c r="R169" s="32" t="str">
        <f t="shared" si="2087"/>
        <v/>
      </c>
      <c r="S169" s="32" t="str">
        <f t="shared" si="2088"/>
        <v/>
      </c>
      <c r="T169" s="32" t="str">
        <f t="shared" si="2089"/>
        <v/>
      </c>
      <c r="U169" s="32" t="str">
        <f t="shared" si="2090"/>
        <v/>
      </c>
      <c r="V169" s="32" t="str">
        <f t="shared" si="2091"/>
        <v/>
      </c>
      <c r="W169" s="32" t="str">
        <f t="shared" si="2092"/>
        <v/>
      </c>
      <c r="X169" s="32" t="str">
        <f t="shared" si="2093"/>
        <v/>
      </c>
      <c r="Y169" s="32" t="str">
        <f t="shared" si="2094"/>
        <v/>
      </c>
      <c r="Z169" s="32" t="str">
        <f t="shared" si="2095"/>
        <v/>
      </c>
      <c r="AA169" s="32" t="str">
        <f t="shared" si="2096"/>
        <v/>
      </c>
      <c r="AB169" s="32" t="str">
        <f t="shared" si="2097"/>
        <v/>
      </c>
      <c r="AC169" s="32" t="str">
        <f t="shared" si="2098"/>
        <v/>
      </c>
      <c r="AD169" s="32" t="str">
        <f t="shared" si="2099"/>
        <v/>
      </c>
      <c r="AE169" s="32" t="str">
        <f t="shared" si="2100"/>
        <v/>
      </c>
      <c r="AF169" s="32" t="str">
        <f t="shared" si="2101"/>
        <v/>
      </c>
      <c r="AG169" s="32" t="str">
        <f t="shared" si="2102"/>
        <v/>
      </c>
      <c r="AH169" s="32" t="str">
        <f t="shared" si="2103"/>
        <v/>
      </c>
      <c r="AI169" s="32" t="str">
        <f t="shared" si="2104"/>
        <v/>
      </c>
      <c r="AJ169" s="32" t="str">
        <f t="shared" si="2105"/>
        <v/>
      </c>
      <c r="AK169" s="32" t="str">
        <f t="shared" si="2106"/>
        <v/>
      </c>
      <c r="AL169" s="32" t="str">
        <f t="shared" si="2107"/>
        <v/>
      </c>
      <c r="AM169" s="32" t="str">
        <f t="shared" si="2108"/>
        <v/>
      </c>
      <c r="AN169" s="32" t="str">
        <f t="shared" ref="AN169:AS169" si="2110">IF(AN$8="","",AM169)</f>
        <v/>
      </c>
      <c r="AO169" s="32" t="str">
        <f t="shared" si="2110"/>
        <v/>
      </c>
      <c r="AP169" s="32" t="str">
        <f t="shared" si="2110"/>
        <v/>
      </c>
      <c r="AQ169" s="32" t="str">
        <f t="shared" si="2110"/>
        <v/>
      </c>
      <c r="AR169" s="32" t="str">
        <f t="shared" si="2110"/>
        <v/>
      </c>
      <c r="AS169" s="32" t="str">
        <f t="shared" si="2110"/>
        <v/>
      </c>
    </row>
    <row r="170" spans="1:45" s="1" customFormat="1" ht="11.25" x14ac:dyDescent="0.15">
      <c r="A170" s="7">
        <f>AVERAGE(C171:AS171)*30*100</f>
        <v>51461.538461538461</v>
      </c>
      <c r="B170" s="30" t="s">
        <v>12</v>
      </c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</row>
    <row r="171" spans="1:45" s="1" customFormat="1" ht="11.25" x14ac:dyDescent="0.15">
      <c r="A171" s="7">
        <f>SUM(C171:AS171)</f>
        <v>223</v>
      </c>
      <c r="B171" s="27" t="s">
        <v>13</v>
      </c>
      <c r="C171" s="26">
        <v>0</v>
      </c>
      <c r="D171" s="26">
        <v>0</v>
      </c>
      <c r="E171" s="26">
        <v>25</v>
      </c>
      <c r="F171" s="26">
        <v>0</v>
      </c>
      <c r="G171" s="26">
        <v>0</v>
      </c>
      <c r="H171" s="26">
        <v>59</v>
      </c>
      <c r="I171" s="26">
        <v>0</v>
      </c>
      <c r="J171" s="26">
        <v>0</v>
      </c>
      <c r="K171" s="26">
        <v>0</v>
      </c>
      <c r="L171" s="26">
        <v>62</v>
      </c>
      <c r="M171" s="26">
        <f t="shared" ref="M171:M172" si="2111">IF(M$8="","",M164-L164)</f>
        <v>0</v>
      </c>
      <c r="N171" s="26">
        <f t="shared" ref="N171:N172" si="2112">IF(N$8="","",N164-M164)</f>
        <v>0</v>
      </c>
      <c r="O171" s="26">
        <f t="shared" ref="O171:O172" si="2113">IF(O$8="","",O164-N164)</f>
        <v>77</v>
      </c>
      <c r="P171" s="26" t="str">
        <f t="shared" ref="P171:P172" si="2114">IF(P$8="","",P164-O164)</f>
        <v/>
      </c>
      <c r="Q171" s="26" t="str">
        <f t="shared" ref="Q171:Q172" si="2115">IF(Q$8="","",Q164-P164)</f>
        <v/>
      </c>
      <c r="R171" s="26" t="str">
        <f t="shared" ref="R171:R172" si="2116">IF(R$8="","",R164-Q164)</f>
        <v/>
      </c>
      <c r="S171" s="26" t="str">
        <f t="shared" ref="S171:S172" si="2117">IF(S$8="","",S164-R164)</f>
        <v/>
      </c>
      <c r="T171" s="26" t="str">
        <f t="shared" ref="T171:T172" si="2118">IF(T$8="","",T164-S164)</f>
        <v/>
      </c>
      <c r="U171" s="26" t="str">
        <f t="shared" ref="U171:U172" si="2119">IF(U$8="","",U164-T164)</f>
        <v/>
      </c>
      <c r="V171" s="26" t="str">
        <f t="shared" ref="V171:V172" si="2120">IF(V$8="","",V164-U164)</f>
        <v/>
      </c>
      <c r="W171" s="26" t="str">
        <f t="shared" ref="W171:W172" si="2121">IF(W$8="","",W164-V164)</f>
        <v/>
      </c>
      <c r="X171" s="26" t="str">
        <f t="shared" ref="X171:X172" si="2122">IF(X$8="","",X164-W164)</f>
        <v/>
      </c>
      <c r="Y171" s="26" t="str">
        <f t="shared" ref="Y171:Y172" si="2123">IF(Y$8="","",Y164-X164)</f>
        <v/>
      </c>
      <c r="Z171" s="26" t="str">
        <f t="shared" ref="Z171:Z172" si="2124">IF(Z$8="","",Z164-Y164)</f>
        <v/>
      </c>
      <c r="AA171" s="26" t="str">
        <f t="shared" ref="AA171:AA172" si="2125">IF(AA$8="","",AA164-Z164)</f>
        <v/>
      </c>
      <c r="AB171" s="26" t="str">
        <f t="shared" ref="AB171:AB172" si="2126">IF(AB$8="","",AB164-AA164)</f>
        <v/>
      </c>
      <c r="AC171" s="26" t="str">
        <f t="shared" ref="AC171:AC172" si="2127">IF(AC$8="","",AC164-AB164)</f>
        <v/>
      </c>
      <c r="AD171" s="26" t="str">
        <f t="shared" ref="AD171:AD172" si="2128">IF(AD$8="","",AD164-AC164)</f>
        <v/>
      </c>
      <c r="AE171" s="26" t="str">
        <f t="shared" ref="AE171:AE172" si="2129">IF(AE$8="","",AE164-AD164)</f>
        <v/>
      </c>
      <c r="AF171" s="26" t="str">
        <f t="shared" ref="AF171:AF172" si="2130">IF(AF$8="","",AF164-AE164)</f>
        <v/>
      </c>
      <c r="AG171" s="26" t="str">
        <f t="shared" ref="AG171:AG172" si="2131">IF(AG$8="","",AG164-AF164)</f>
        <v/>
      </c>
      <c r="AH171" s="26" t="str">
        <f t="shared" ref="AH171:AH172" si="2132">IF(AH$8="","",AH164-AG164)</f>
        <v/>
      </c>
      <c r="AI171" s="26" t="str">
        <f t="shared" ref="AI171:AI172" si="2133">IF(AI$8="","",AI164-AH164)</f>
        <v/>
      </c>
      <c r="AJ171" s="26" t="str">
        <f t="shared" ref="AJ171:AJ172" si="2134">IF(AJ$8="","",AJ164-AI164)</f>
        <v/>
      </c>
      <c r="AK171" s="26" t="str">
        <f t="shared" ref="AK171:AK172" si="2135">IF(AK$8="","",AK164-AJ164)</f>
        <v/>
      </c>
      <c r="AL171" s="26" t="str">
        <f t="shared" ref="AL171:AL172" si="2136">IF(AL$8="","",AL164-AK164)</f>
        <v/>
      </c>
      <c r="AM171" s="26" t="str">
        <f t="shared" ref="AM171:AM172" si="2137">IF(AM$8="","",AM164-AL164)</f>
        <v/>
      </c>
      <c r="AN171" s="26" t="str">
        <f t="shared" ref="AN171:AS171" si="2138">IF(AN$8="","",AN164-AM164)</f>
        <v/>
      </c>
      <c r="AO171" s="26" t="str">
        <f t="shared" si="2138"/>
        <v/>
      </c>
      <c r="AP171" s="26" t="str">
        <f t="shared" si="2138"/>
        <v/>
      </c>
      <c r="AQ171" s="26" t="str">
        <f t="shared" si="2138"/>
        <v/>
      </c>
      <c r="AR171" s="26" t="str">
        <f t="shared" si="2138"/>
        <v/>
      </c>
      <c r="AS171" s="26" t="str">
        <f t="shared" si="2138"/>
        <v/>
      </c>
    </row>
    <row r="172" spans="1:45" s="1" customFormat="1" ht="11.25" x14ac:dyDescent="0.15">
      <c r="A172" s="7">
        <f>SUM(C172:AS172)</f>
        <v>3</v>
      </c>
      <c r="B172" s="27" t="s">
        <v>14</v>
      </c>
      <c r="C172" s="26">
        <v>0</v>
      </c>
      <c r="D172" s="26">
        <v>0</v>
      </c>
      <c r="E172" s="26">
        <v>0</v>
      </c>
      <c r="F172" s="26">
        <v>0</v>
      </c>
      <c r="G172" s="26">
        <v>0</v>
      </c>
      <c r="H172" s="26">
        <v>1</v>
      </c>
      <c r="I172" s="26">
        <v>0</v>
      </c>
      <c r="J172" s="26">
        <v>0</v>
      </c>
      <c r="K172" s="26">
        <v>0</v>
      </c>
      <c r="L172" s="26">
        <v>1</v>
      </c>
      <c r="M172" s="26">
        <f t="shared" si="2111"/>
        <v>0</v>
      </c>
      <c r="N172" s="26">
        <f t="shared" si="2112"/>
        <v>0</v>
      </c>
      <c r="O172" s="26">
        <f t="shared" si="2113"/>
        <v>1</v>
      </c>
      <c r="P172" s="26" t="str">
        <f t="shared" si="2114"/>
        <v/>
      </c>
      <c r="Q172" s="26" t="str">
        <f t="shared" si="2115"/>
        <v/>
      </c>
      <c r="R172" s="26" t="str">
        <f t="shared" si="2116"/>
        <v/>
      </c>
      <c r="S172" s="26" t="str">
        <f t="shared" si="2117"/>
        <v/>
      </c>
      <c r="T172" s="26" t="str">
        <f t="shared" si="2118"/>
        <v/>
      </c>
      <c r="U172" s="26" t="str">
        <f t="shared" si="2119"/>
        <v/>
      </c>
      <c r="V172" s="26" t="str">
        <f t="shared" si="2120"/>
        <v/>
      </c>
      <c r="W172" s="26" t="str">
        <f t="shared" si="2121"/>
        <v/>
      </c>
      <c r="X172" s="26" t="str">
        <f t="shared" si="2122"/>
        <v/>
      </c>
      <c r="Y172" s="26" t="str">
        <f t="shared" si="2123"/>
        <v/>
      </c>
      <c r="Z172" s="26" t="str">
        <f t="shared" si="2124"/>
        <v/>
      </c>
      <c r="AA172" s="26" t="str">
        <f t="shared" si="2125"/>
        <v/>
      </c>
      <c r="AB172" s="26" t="str">
        <f t="shared" si="2126"/>
        <v/>
      </c>
      <c r="AC172" s="26" t="str">
        <f t="shared" si="2127"/>
        <v/>
      </c>
      <c r="AD172" s="26" t="str">
        <f t="shared" si="2128"/>
        <v/>
      </c>
      <c r="AE172" s="26" t="str">
        <f t="shared" si="2129"/>
        <v/>
      </c>
      <c r="AF172" s="26" t="str">
        <f t="shared" si="2130"/>
        <v/>
      </c>
      <c r="AG172" s="26" t="str">
        <f t="shared" si="2131"/>
        <v/>
      </c>
      <c r="AH172" s="26" t="str">
        <f t="shared" si="2132"/>
        <v/>
      </c>
      <c r="AI172" s="26" t="str">
        <f t="shared" si="2133"/>
        <v/>
      </c>
      <c r="AJ172" s="26" t="str">
        <f t="shared" si="2134"/>
        <v/>
      </c>
      <c r="AK172" s="26" t="str">
        <f t="shared" si="2135"/>
        <v/>
      </c>
      <c r="AL172" s="26" t="str">
        <f t="shared" si="2136"/>
        <v/>
      </c>
      <c r="AM172" s="26" t="str">
        <f t="shared" si="2137"/>
        <v/>
      </c>
      <c r="AN172" s="26" t="str">
        <f t="shared" ref="AN172:AS172" si="2139">IF(AN$8="","",AN165-AM165)</f>
        <v/>
      </c>
      <c r="AO172" s="26" t="str">
        <f t="shared" si="2139"/>
        <v/>
      </c>
      <c r="AP172" s="26" t="str">
        <f t="shared" si="2139"/>
        <v/>
      </c>
      <c r="AQ172" s="26" t="str">
        <f t="shared" si="2139"/>
        <v/>
      </c>
      <c r="AR172" s="26" t="str">
        <f t="shared" si="2139"/>
        <v/>
      </c>
      <c r="AS172" s="26" t="str">
        <f t="shared" si="2139"/>
        <v/>
      </c>
    </row>
    <row r="173" spans="1:45" s="1" customFormat="1" ht="11.25" x14ac:dyDescent="0.15">
      <c r="A173" s="7">
        <f>SUM(C173:AS173)</f>
        <v>3</v>
      </c>
      <c r="B173" s="27" t="s">
        <v>15</v>
      </c>
      <c r="C173" s="26">
        <v>0</v>
      </c>
      <c r="D173" s="26">
        <v>0</v>
      </c>
      <c r="E173" s="26">
        <v>0</v>
      </c>
      <c r="F173" s="26">
        <v>0</v>
      </c>
      <c r="G173" s="26">
        <v>0</v>
      </c>
      <c r="H173" s="26">
        <v>0</v>
      </c>
      <c r="I173" s="26">
        <v>0</v>
      </c>
      <c r="J173" s="26">
        <v>0</v>
      </c>
      <c r="K173" s="26">
        <v>0</v>
      </c>
      <c r="L173" s="26">
        <v>2</v>
      </c>
      <c r="M173" s="26">
        <f t="shared" ref="M173" si="2140">IF(M$8="","",L166+L167-M166)</f>
        <v>0</v>
      </c>
      <c r="N173" s="26">
        <f t="shared" ref="N173" si="2141">IF(N$8="","",M166+M167-N166)</f>
        <v>0</v>
      </c>
      <c r="O173" s="26">
        <f t="shared" ref="O173" si="2142">IF(O$8="","",N166+N167-O166)</f>
        <v>1</v>
      </c>
      <c r="P173" s="26" t="str">
        <f t="shared" ref="P173" si="2143">IF(P$8="","",O166+O167-P166)</f>
        <v/>
      </c>
      <c r="Q173" s="26" t="str">
        <f t="shared" ref="Q173" si="2144">IF(Q$8="","",P166+P167-Q166)</f>
        <v/>
      </c>
      <c r="R173" s="26" t="str">
        <f t="shared" ref="R173" si="2145">IF(R$8="","",Q166+Q167-R166)</f>
        <v/>
      </c>
      <c r="S173" s="26" t="str">
        <f t="shared" ref="S173" si="2146">IF(S$8="","",R166+R167-S166)</f>
        <v/>
      </c>
      <c r="T173" s="26" t="str">
        <f t="shared" ref="T173" si="2147">IF(T$8="","",S166+S167-T166)</f>
        <v/>
      </c>
      <c r="U173" s="26" t="str">
        <f t="shared" ref="U173" si="2148">IF(U$8="","",T166+T167-U166)</f>
        <v/>
      </c>
      <c r="V173" s="26" t="str">
        <f t="shared" ref="V173" si="2149">IF(V$8="","",U166+U167-V166)</f>
        <v/>
      </c>
      <c r="W173" s="26" t="str">
        <f t="shared" ref="W173" si="2150">IF(W$8="","",V166+V167-W166)</f>
        <v/>
      </c>
      <c r="X173" s="26" t="str">
        <f t="shared" ref="X173" si="2151">IF(X$8="","",W166+W167-X166)</f>
        <v/>
      </c>
      <c r="Y173" s="26" t="str">
        <f t="shared" ref="Y173" si="2152">IF(Y$8="","",X166+X167-Y166)</f>
        <v/>
      </c>
      <c r="Z173" s="26" t="str">
        <f t="shared" ref="Z173" si="2153">IF(Z$8="","",Y166+Y167-Z166)</f>
        <v/>
      </c>
      <c r="AA173" s="26" t="str">
        <f t="shared" ref="AA173" si="2154">IF(AA$8="","",Z166+Z167-AA166)</f>
        <v/>
      </c>
      <c r="AB173" s="26" t="str">
        <f t="shared" ref="AB173" si="2155">IF(AB$8="","",AA166+AA167-AB166)</f>
        <v/>
      </c>
      <c r="AC173" s="26" t="str">
        <f t="shared" ref="AC173" si="2156">IF(AC$8="","",AB166+AB167-AC166)</f>
        <v/>
      </c>
      <c r="AD173" s="26" t="str">
        <f t="shared" ref="AD173" si="2157">IF(AD$8="","",AC166+AC167-AD166)</f>
        <v/>
      </c>
      <c r="AE173" s="26" t="str">
        <f t="shared" ref="AE173" si="2158">IF(AE$8="","",AD166+AD167-AE166)</f>
        <v/>
      </c>
      <c r="AF173" s="26" t="str">
        <f t="shared" ref="AF173" si="2159">IF(AF$8="","",AE166+AE167-AF166)</f>
        <v/>
      </c>
      <c r="AG173" s="26" t="str">
        <f t="shared" ref="AG173" si="2160">IF(AG$8="","",AF166+AF167-AG166)</f>
        <v/>
      </c>
      <c r="AH173" s="26" t="str">
        <f t="shared" ref="AH173" si="2161">IF(AH$8="","",AG166+AG167-AH166)</f>
        <v/>
      </c>
      <c r="AI173" s="26" t="str">
        <f t="shared" ref="AI173" si="2162">IF(AI$8="","",AH166+AH167-AI166)</f>
        <v/>
      </c>
      <c r="AJ173" s="26" t="str">
        <f t="shared" ref="AJ173" si="2163">IF(AJ$8="","",AI166+AI167-AJ166)</f>
        <v/>
      </c>
      <c r="AK173" s="26" t="str">
        <f t="shared" ref="AK173" si="2164">IF(AK$8="","",AJ166+AJ167-AK166)</f>
        <v/>
      </c>
      <c r="AL173" s="26" t="str">
        <f t="shared" ref="AL173" si="2165">IF(AL$8="","",AK166+AK167-AL166)</f>
        <v/>
      </c>
      <c r="AM173" s="26" t="str">
        <f t="shared" ref="AM173" si="2166">IF(AM$8="","",AL166+AL167-AM166)</f>
        <v/>
      </c>
      <c r="AN173" s="26" t="str">
        <f t="shared" ref="AN173:AS173" si="2167">IF(AN$8="","",AM166+AM167-AN166)</f>
        <v/>
      </c>
      <c r="AO173" s="26" t="str">
        <f t="shared" si="2167"/>
        <v/>
      </c>
      <c r="AP173" s="26" t="str">
        <f t="shared" si="2167"/>
        <v/>
      </c>
      <c r="AQ173" s="26" t="str">
        <f t="shared" si="2167"/>
        <v/>
      </c>
      <c r="AR173" s="26" t="str">
        <f t="shared" si="2167"/>
        <v/>
      </c>
      <c r="AS173" s="26" t="str">
        <f t="shared" si="2167"/>
        <v/>
      </c>
    </row>
    <row r="174" spans="1:45" s="1" customFormat="1" ht="11.25" x14ac:dyDescent="0.15">
      <c r="A174" s="7">
        <f>SUM(C174:AS174)</f>
        <v>0</v>
      </c>
      <c r="B174" s="27" t="s">
        <v>16</v>
      </c>
      <c r="C174" s="26">
        <v>0</v>
      </c>
      <c r="D174" s="26">
        <v>0</v>
      </c>
      <c r="E174" s="26">
        <v>0</v>
      </c>
      <c r="F174" s="26">
        <v>0</v>
      </c>
      <c r="G174" s="26">
        <v>0</v>
      </c>
      <c r="H174" s="26">
        <v>0</v>
      </c>
      <c r="I174" s="26">
        <v>0</v>
      </c>
      <c r="J174" s="26">
        <v>0</v>
      </c>
      <c r="K174" s="26">
        <v>0</v>
      </c>
      <c r="L174" s="26">
        <v>0</v>
      </c>
      <c r="M174" s="26">
        <f t="shared" ref="J174:AM174" si="2168">IF(M$8="","",M173*M168)</f>
        <v>0</v>
      </c>
      <c r="N174" s="26">
        <f t="shared" si="2168"/>
        <v>0</v>
      </c>
      <c r="O174" s="26">
        <f t="shared" si="2168"/>
        <v>0</v>
      </c>
      <c r="P174" s="26" t="str">
        <f t="shared" si="2168"/>
        <v/>
      </c>
      <c r="Q174" s="26" t="str">
        <f t="shared" si="2168"/>
        <v/>
      </c>
      <c r="R174" s="26" t="str">
        <f t="shared" si="2168"/>
        <v/>
      </c>
      <c r="S174" s="26" t="str">
        <f t="shared" si="2168"/>
        <v/>
      </c>
      <c r="T174" s="26" t="str">
        <f t="shared" si="2168"/>
        <v/>
      </c>
      <c r="U174" s="26" t="str">
        <f t="shared" si="2168"/>
        <v/>
      </c>
      <c r="V174" s="26" t="str">
        <f t="shared" si="2168"/>
        <v/>
      </c>
      <c r="W174" s="26" t="str">
        <f t="shared" si="2168"/>
        <v/>
      </c>
      <c r="X174" s="26" t="str">
        <f t="shared" si="2168"/>
        <v/>
      </c>
      <c r="Y174" s="26" t="str">
        <f t="shared" si="2168"/>
        <v/>
      </c>
      <c r="Z174" s="26" t="str">
        <f t="shared" si="2168"/>
        <v/>
      </c>
      <c r="AA174" s="26" t="str">
        <f t="shared" si="2168"/>
        <v/>
      </c>
      <c r="AB174" s="26" t="str">
        <f t="shared" si="2168"/>
        <v/>
      </c>
      <c r="AC174" s="26" t="str">
        <f t="shared" si="2168"/>
        <v/>
      </c>
      <c r="AD174" s="26" t="str">
        <f t="shared" si="2168"/>
        <v/>
      </c>
      <c r="AE174" s="26" t="str">
        <f t="shared" si="2168"/>
        <v/>
      </c>
      <c r="AF174" s="26" t="str">
        <f t="shared" si="2168"/>
        <v/>
      </c>
      <c r="AG174" s="26" t="str">
        <f t="shared" si="2168"/>
        <v/>
      </c>
      <c r="AH174" s="26" t="str">
        <f t="shared" si="2168"/>
        <v/>
      </c>
      <c r="AI174" s="26" t="str">
        <f t="shared" si="2168"/>
        <v/>
      </c>
      <c r="AJ174" s="26" t="str">
        <f t="shared" si="2168"/>
        <v/>
      </c>
      <c r="AK174" s="26" t="str">
        <f t="shared" si="2168"/>
        <v/>
      </c>
      <c r="AL174" s="26" t="str">
        <f t="shared" si="2168"/>
        <v/>
      </c>
      <c r="AM174" s="26" t="str">
        <f t="shared" si="2168"/>
        <v/>
      </c>
      <c r="AN174" s="26" t="str">
        <f t="shared" ref="AN174:AS174" si="2169">IF(AN$8="","",AN173*AN168)</f>
        <v/>
      </c>
      <c r="AO174" s="26" t="str">
        <f t="shared" si="2169"/>
        <v/>
      </c>
      <c r="AP174" s="26" t="str">
        <f t="shared" si="2169"/>
        <v/>
      </c>
      <c r="AQ174" s="26" t="str">
        <f t="shared" si="2169"/>
        <v/>
      </c>
      <c r="AR174" s="26" t="str">
        <f t="shared" si="2169"/>
        <v/>
      </c>
      <c r="AS174" s="26" t="str">
        <f t="shared" si="2169"/>
        <v/>
      </c>
    </row>
    <row r="175" spans="1:45" s="1" customFormat="1" ht="12" thickBot="1" x14ac:dyDescent="0.2">
      <c r="A175" s="4">
        <f>IF(A174="","",A174/(A171*100))</f>
        <v>0</v>
      </c>
      <c r="B175" s="27" t="s">
        <v>18</v>
      </c>
      <c r="C175" s="42" t="s">
        <v>19</v>
      </c>
      <c r="D175" s="42" t="s">
        <v>19</v>
      </c>
      <c r="E175" s="42" t="s">
        <v>19</v>
      </c>
      <c r="F175" s="42" t="s">
        <v>19</v>
      </c>
      <c r="G175" s="42" t="s">
        <v>19</v>
      </c>
      <c r="H175" s="42" t="s">
        <v>19</v>
      </c>
      <c r="I175" s="42" t="s">
        <v>19</v>
      </c>
      <c r="J175" s="42" t="s">
        <v>19</v>
      </c>
      <c r="K175" s="42" t="s">
        <v>19</v>
      </c>
      <c r="L175" s="42" t="s">
        <v>19</v>
      </c>
      <c r="M175" s="42" t="str">
        <f t="shared" ref="J175:AM175" si="2170">IF(M$8="","",IF(M174=0,"",M174/(M171*100)))</f>
        <v/>
      </c>
      <c r="N175" s="42" t="str">
        <f t="shared" si="2170"/>
        <v/>
      </c>
      <c r="O175" s="42" t="str">
        <f t="shared" si="2170"/>
        <v/>
      </c>
      <c r="P175" s="42" t="str">
        <f t="shared" si="2170"/>
        <v/>
      </c>
      <c r="Q175" s="42" t="str">
        <f t="shared" si="2170"/>
        <v/>
      </c>
      <c r="R175" s="42" t="str">
        <f t="shared" si="2170"/>
        <v/>
      </c>
      <c r="S175" s="42" t="str">
        <f t="shared" si="2170"/>
        <v/>
      </c>
      <c r="T175" s="42" t="str">
        <f t="shared" si="2170"/>
        <v/>
      </c>
      <c r="U175" s="42" t="str">
        <f t="shared" si="2170"/>
        <v/>
      </c>
      <c r="V175" s="42" t="str">
        <f t="shared" si="2170"/>
        <v/>
      </c>
      <c r="W175" s="42" t="str">
        <f t="shared" si="2170"/>
        <v/>
      </c>
      <c r="X175" s="42" t="str">
        <f t="shared" si="2170"/>
        <v/>
      </c>
      <c r="Y175" s="42" t="str">
        <f t="shared" si="2170"/>
        <v/>
      </c>
      <c r="Z175" s="42" t="str">
        <f t="shared" si="2170"/>
        <v/>
      </c>
      <c r="AA175" s="42" t="str">
        <f t="shared" si="2170"/>
        <v/>
      </c>
      <c r="AB175" s="42" t="str">
        <f t="shared" si="2170"/>
        <v/>
      </c>
      <c r="AC175" s="42" t="str">
        <f t="shared" si="2170"/>
        <v/>
      </c>
      <c r="AD175" s="42" t="str">
        <f t="shared" si="2170"/>
        <v/>
      </c>
      <c r="AE175" s="42" t="str">
        <f t="shared" si="2170"/>
        <v/>
      </c>
      <c r="AF175" s="42" t="str">
        <f t="shared" si="2170"/>
        <v/>
      </c>
      <c r="AG175" s="42" t="str">
        <f t="shared" si="2170"/>
        <v/>
      </c>
      <c r="AH175" s="42" t="str">
        <f t="shared" si="2170"/>
        <v/>
      </c>
      <c r="AI175" s="42" t="str">
        <f t="shared" si="2170"/>
        <v/>
      </c>
      <c r="AJ175" s="42" t="str">
        <f t="shared" si="2170"/>
        <v/>
      </c>
      <c r="AK175" s="42" t="str">
        <f t="shared" si="2170"/>
        <v/>
      </c>
      <c r="AL175" s="42" t="str">
        <f t="shared" si="2170"/>
        <v/>
      </c>
      <c r="AM175" s="42" t="str">
        <f t="shared" si="2170"/>
        <v/>
      </c>
      <c r="AN175" s="42" t="str">
        <f t="shared" ref="AN175:AS175" si="2171">IF(AN$8="","",IF(AN174=0,"",AN174/(AN171*100)))</f>
        <v/>
      </c>
      <c r="AO175" s="42" t="str">
        <f t="shared" si="2171"/>
        <v/>
      </c>
      <c r="AP175" s="42" t="str">
        <f t="shared" si="2171"/>
        <v/>
      </c>
      <c r="AQ175" s="42" t="str">
        <f t="shared" si="2171"/>
        <v/>
      </c>
      <c r="AR175" s="42" t="str">
        <f t="shared" si="2171"/>
        <v/>
      </c>
      <c r="AS175" s="42" t="str">
        <f t="shared" si="2171"/>
        <v/>
      </c>
    </row>
    <row r="176" spans="1:45" s="1" customFormat="1" ht="11.25" x14ac:dyDescent="0.15">
      <c r="A176" s="17" t="s">
        <v>83</v>
      </c>
      <c r="B176" s="41" t="s">
        <v>2</v>
      </c>
      <c r="C176" s="35">
        <v>5255</v>
      </c>
      <c r="D176" s="35">
        <v>5255</v>
      </c>
      <c r="E176" s="35">
        <v>5317</v>
      </c>
      <c r="F176" s="35">
        <v>5317</v>
      </c>
      <c r="G176" s="35">
        <v>5317</v>
      </c>
      <c r="H176" s="35">
        <v>5355</v>
      </c>
      <c r="I176" s="35">
        <v>5355</v>
      </c>
      <c r="J176" s="35">
        <v>5355</v>
      </c>
      <c r="K176" s="35">
        <v>5355</v>
      </c>
      <c r="L176" s="35">
        <v>5417</v>
      </c>
      <c r="M176" s="35">
        <f t="shared" ref="M176:M177" si="2172">IF(M$8="","",L176)</f>
        <v>5417</v>
      </c>
      <c r="N176" s="35">
        <f t="shared" ref="N176:N177" si="2173">IF(N$8="","",M176)</f>
        <v>5417</v>
      </c>
      <c r="O176" s="35">
        <v>5458</v>
      </c>
      <c r="P176" s="35" t="str">
        <f>IF(P$8="","",O176)</f>
        <v/>
      </c>
      <c r="Q176" s="35" t="str">
        <f t="shared" ref="Q176:Q177" si="2174">IF(Q$8="","",P176)</f>
        <v/>
      </c>
      <c r="R176" s="35" t="str">
        <f t="shared" ref="R176:R177" si="2175">IF(R$8="","",Q176)</f>
        <v/>
      </c>
      <c r="S176" s="35" t="str">
        <f>IF(S$8="","",R176)</f>
        <v/>
      </c>
      <c r="T176" s="35" t="str">
        <f t="shared" ref="T176:T177" si="2176">IF(T$8="","",S176)</f>
        <v/>
      </c>
      <c r="U176" s="35" t="str">
        <f t="shared" ref="U176:U177" si="2177">IF(U$8="","",T176)</f>
        <v/>
      </c>
      <c r="V176" s="35" t="str">
        <f>IF(V$8="","",U176)</f>
        <v/>
      </c>
      <c r="W176" s="35" t="str">
        <f t="shared" ref="W176:W177" si="2178">IF(W$8="","",V176)</f>
        <v/>
      </c>
      <c r="X176" s="35" t="str">
        <f t="shared" ref="X176:X177" si="2179">IF(X$8="","",W176)</f>
        <v/>
      </c>
      <c r="Y176" s="35" t="str">
        <f t="shared" ref="Y176:Y177" si="2180">IF(Y$8="","",X176)</f>
        <v/>
      </c>
      <c r="Z176" s="35" t="str">
        <f>IF(Z$8="","",Y176)</f>
        <v/>
      </c>
      <c r="AA176" s="35" t="str">
        <f t="shared" ref="AA176:AA177" si="2181">IF(AA$8="","",Z176)</f>
        <v/>
      </c>
      <c r="AB176" s="35" t="str">
        <f t="shared" ref="AB176:AB177" si="2182">IF(AB$8="","",AA176)</f>
        <v/>
      </c>
      <c r="AC176" s="35" t="str">
        <f t="shared" ref="AC176:AC177" si="2183">IF(AC$8="","",AB176)</f>
        <v/>
      </c>
      <c r="AD176" s="35" t="str">
        <f>IF(AD$8="","",AC176)</f>
        <v/>
      </c>
      <c r="AE176" s="35" t="str">
        <f t="shared" ref="AE176:AE177" si="2184">IF(AE$8="","",AD176)</f>
        <v/>
      </c>
      <c r="AF176" s="35" t="str">
        <f t="shared" ref="AF176:AF177" si="2185">IF(AF$8="","",AE176)</f>
        <v/>
      </c>
      <c r="AG176" s="35" t="str">
        <f>IF(AG$8="","",AF176)</f>
        <v/>
      </c>
      <c r="AH176" s="35" t="str">
        <f t="shared" ref="AH176:AH177" si="2186">IF(AH$8="","",AG176)</f>
        <v/>
      </c>
      <c r="AI176" s="35" t="str">
        <f t="shared" ref="AI176:AI177" si="2187">IF(AI$8="","",AH176)</f>
        <v/>
      </c>
      <c r="AJ176" s="35" t="str">
        <f>IF(AJ$8="","",AI176)</f>
        <v/>
      </c>
      <c r="AK176" s="35" t="str">
        <f t="shared" ref="AK176:AK177" si="2188">IF(AK$8="","",AJ176)</f>
        <v/>
      </c>
      <c r="AL176" s="35" t="str">
        <f t="shared" ref="AL176:AL177" si="2189">IF(AL$8="","",AK176)</f>
        <v/>
      </c>
      <c r="AM176" s="35" t="str">
        <f t="shared" ref="AM176:AM177" si="2190">IF(AM$8="","",AL176)</f>
        <v/>
      </c>
      <c r="AN176" s="35" t="str">
        <f>IF(AN$8="","",AM176)</f>
        <v/>
      </c>
      <c r="AO176" s="35" t="str">
        <f t="shared" ref="AN176:AS176" si="2191">IF(AO$8="","",AN176)</f>
        <v/>
      </c>
      <c r="AP176" s="35" t="str">
        <f t="shared" si="2191"/>
        <v/>
      </c>
      <c r="AQ176" s="35" t="str">
        <f t="shared" si="2191"/>
        <v/>
      </c>
      <c r="AR176" s="35" t="str">
        <f t="shared" si="2191"/>
        <v/>
      </c>
      <c r="AS176" s="35" t="str">
        <f t="shared" si="2191"/>
        <v/>
      </c>
    </row>
    <row r="177" spans="1:45" s="1" customFormat="1" ht="11.25" x14ac:dyDescent="0.15">
      <c r="A177" s="16" t="s">
        <v>38</v>
      </c>
      <c r="B177" s="30" t="s">
        <v>4</v>
      </c>
      <c r="C177" s="29">
        <v>145</v>
      </c>
      <c r="D177" s="29">
        <v>145</v>
      </c>
      <c r="E177" s="29">
        <v>147</v>
      </c>
      <c r="F177" s="29">
        <v>147</v>
      </c>
      <c r="G177" s="29">
        <v>147</v>
      </c>
      <c r="H177" s="29">
        <v>147</v>
      </c>
      <c r="I177" s="29">
        <v>147</v>
      </c>
      <c r="J177" s="29">
        <v>147</v>
      </c>
      <c r="K177" s="29">
        <v>147</v>
      </c>
      <c r="L177" s="29">
        <v>147</v>
      </c>
      <c r="M177" s="29">
        <f t="shared" si="2172"/>
        <v>147</v>
      </c>
      <c r="N177" s="29">
        <f t="shared" si="2173"/>
        <v>147</v>
      </c>
      <c r="O177" s="29">
        <v>147</v>
      </c>
      <c r="P177" s="29" t="str">
        <f>IF(P$8="","",O177)</f>
        <v/>
      </c>
      <c r="Q177" s="29" t="str">
        <f t="shared" si="2174"/>
        <v/>
      </c>
      <c r="R177" s="29" t="str">
        <f t="shared" si="2175"/>
        <v/>
      </c>
      <c r="S177" s="29" t="str">
        <f>IF(S$8="","",R177)</f>
        <v/>
      </c>
      <c r="T177" s="29" t="str">
        <f t="shared" si="2176"/>
        <v/>
      </c>
      <c r="U177" s="29" t="str">
        <f t="shared" si="2177"/>
        <v/>
      </c>
      <c r="V177" s="29" t="str">
        <f>IF(V$8="","",U177)</f>
        <v/>
      </c>
      <c r="W177" s="29" t="str">
        <f t="shared" si="2178"/>
        <v/>
      </c>
      <c r="X177" s="29" t="str">
        <f t="shared" si="2179"/>
        <v/>
      </c>
      <c r="Y177" s="29" t="str">
        <f t="shared" si="2180"/>
        <v/>
      </c>
      <c r="Z177" s="29" t="str">
        <f>IF(Z$8="","",Y177)</f>
        <v/>
      </c>
      <c r="AA177" s="29" t="str">
        <f t="shared" si="2181"/>
        <v/>
      </c>
      <c r="AB177" s="29" t="str">
        <f t="shared" si="2182"/>
        <v/>
      </c>
      <c r="AC177" s="29" t="str">
        <f t="shared" si="2183"/>
        <v/>
      </c>
      <c r="AD177" s="29" t="str">
        <f>IF(AD$8="","",AC177)</f>
        <v/>
      </c>
      <c r="AE177" s="29" t="str">
        <f t="shared" si="2184"/>
        <v/>
      </c>
      <c r="AF177" s="29" t="str">
        <f t="shared" si="2185"/>
        <v/>
      </c>
      <c r="AG177" s="29" t="str">
        <f>IF(AG$8="","",AF177)</f>
        <v/>
      </c>
      <c r="AH177" s="29" t="str">
        <f t="shared" si="2186"/>
        <v/>
      </c>
      <c r="AI177" s="29" t="str">
        <f t="shared" si="2187"/>
        <v/>
      </c>
      <c r="AJ177" s="29" t="str">
        <f t="shared" ref="AJ176:AJ177" si="2192">IF(AJ$8="","",AI177)</f>
        <v/>
      </c>
      <c r="AK177" s="29" t="str">
        <f t="shared" si="2188"/>
        <v/>
      </c>
      <c r="AL177" s="29" t="str">
        <f t="shared" si="2189"/>
        <v/>
      </c>
      <c r="AM177" s="29" t="str">
        <f t="shared" si="2190"/>
        <v/>
      </c>
      <c r="AN177" s="29" t="str">
        <f t="shared" ref="AN177:AS177" si="2193">IF(AN$8="","",AM177)</f>
        <v/>
      </c>
      <c r="AO177" s="29" t="str">
        <f t="shared" si="2193"/>
        <v/>
      </c>
      <c r="AP177" s="29" t="str">
        <f t="shared" si="2193"/>
        <v/>
      </c>
      <c r="AQ177" s="29" t="str">
        <f t="shared" si="2193"/>
        <v/>
      </c>
      <c r="AR177" s="29" t="str">
        <f t="shared" si="2193"/>
        <v/>
      </c>
      <c r="AS177" s="29" t="str">
        <f t="shared" si="2193"/>
        <v/>
      </c>
    </row>
    <row r="178" spans="1:45" s="1" customFormat="1" ht="11.25" x14ac:dyDescent="0.15">
      <c r="A178" s="15">
        <v>4</v>
      </c>
      <c r="B178" s="30" t="s">
        <v>5</v>
      </c>
      <c r="C178" s="29">
        <v>6</v>
      </c>
      <c r="D178" s="29">
        <v>6</v>
      </c>
      <c r="E178" s="29">
        <v>4</v>
      </c>
      <c r="F178" s="29">
        <v>4</v>
      </c>
      <c r="G178" s="29">
        <v>4</v>
      </c>
      <c r="H178" s="29">
        <v>4</v>
      </c>
      <c r="I178" s="29">
        <v>4</v>
      </c>
      <c r="J178" s="29">
        <v>4</v>
      </c>
      <c r="K178" s="29">
        <v>4</v>
      </c>
      <c r="L178" s="29">
        <v>4</v>
      </c>
      <c r="M178" s="29">
        <f t="shared" ref="M178" si="2194">IF(M$8="","",(L178+L179))</f>
        <v>4</v>
      </c>
      <c r="N178" s="29">
        <f t="shared" ref="N178" si="2195">IF(N$8="","",(M178+M179))</f>
        <v>4</v>
      </c>
      <c r="O178" s="29">
        <f>IF(O$8="","",(N178+N179))</f>
        <v>3</v>
      </c>
      <c r="P178" s="29" t="str">
        <f>IF(P$8="","",(O178+O179))</f>
        <v/>
      </c>
      <c r="Q178" s="29" t="str">
        <f t="shared" ref="Q178" si="2196">IF(Q$8="","",(P178+P179))</f>
        <v/>
      </c>
      <c r="R178" s="29" t="str">
        <f t="shared" ref="R178" si="2197">IF(R$8="","",(Q178+Q179))</f>
        <v/>
      </c>
      <c r="S178" s="29" t="str">
        <f>IF(S$8="","",(R178+R179))</f>
        <v/>
      </c>
      <c r="T178" s="29" t="str">
        <f t="shared" ref="T178" si="2198">IF(T$8="","",(S178+S179))</f>
        <v/>
      </c>
      <c r="U178" s="29" t="str">
        <f t="shared" ref="U178" si="2199">IF(U$8="","",(T178+T179))</f>
        <v/>
      </c>
      <c r="V178" s="29" t="str">
        <f>IF(V$8="","",(U178+U179))</f>
        <v/>
      </c>
      <c r="W178" s="29" t="str">
        <f t="shared" ref="W178" si="2200">IF(W$8="","",(V178+V179))</f>
        <v/>
      </c>
      <c r="X178" s="29" t="str">
        <f t="shared" ref="X178" si="2201">IF(X$8="","",(W178+W179))</f>
        <v/>
      </c>
      <c r="Y178" s="29" t="str">
        <f t="shared" ref="Y178" si="2202">IF(Y$8="","",(X178+X179))</f>
        <v/>
      </c>
      <c r="Z178" s="29" t="str">
        <f>IF(Z$8="","",(Y178+Y179))</f>
        <v/>
      </c>
      <c r="AA178" s="29" t="str">
        <f t="shared" ref="AA178" si="2203">IF(AA$8="","",(Z178+Z179))</f>
        <v/>
      </c>
      <c r="AB178" s="29" t="str">
        <f t="shared" ref="AB178" si="2204">IF(AB$8="","",(AA178+AA179))</f>
        <v/>
      </c>
      <c r="AC178" s="29" t="str">
        <f t="shared" ref="AC178" si="2205">IF(AC$8="","",(AB178+AB179))</f>
        <v/>
      </c>
      <c r="AD178" s="29" t="str">
        <f>IF(AD$8="","",(AC178+AC179))</f>
        <v/>
      </c>
      <c r="AE178" s="29" t="str">
        <f t="shared" ref="AE178" si="2206">IF(AE$8="","",(AD178+AD179))</f>
        <v/>
      </c>
      <c r="AF178" s="29" t="str">
        <f t="shared" ref="AF178" si="2207">IF(AF$8="","",(AE178+AE179))</f>
        <v/>
      </c>
      <c r="AG178" s="29" t="str">
        <f>IF(AG$8="","",(AF178+AF179))</f>
        <v/>
      </c>
      <c r="AH178" s="29" t="str">
        <f t="shared" ref="AH178" si="2208">IF(AH$8="","",(AG178+AG179))</f>
        <v/>
      </c>
      <c r="AI178" s="29" t="str">
        <f t="shared" ref="AI178" si="2209">IF(AI$8="","",(AH178+AH179))</f>
        <v/>
      </c>
      <c r="AJ178" s="29" t="str">
        <f t="shared" ref="AJ178" si="2210">IF(AJ$8="","",(AI178+AI179))</f>
        <v/>
      </c>
      <c r="AK178" s="29" t="str">
        <f t="shared" ref="AK178" si="2211">IF(AK$8="","",(AJ178+AJ179))</f>
        <v/>
      </c>
      <c r="AL178" s="29" t="str">
        <f t="shared" ref="AL178" si="2212">IF(AL$8="","",(AK178+AK179))</f>
        <v/>
      </c>
      <c r="AM178" s="29" t="str">
        <f t="shared" ref="AM178" si="2213">IF(AM$8="","",(AL178+AL179))</f>
        <v/>
      </c>
      <c r="AN178" s="29" t="str">
        <f t="shared" ref="AN178:AS178" si="2214">IF(AN$8="","",(AM178+AM179))</f>
        <v/>
      </c>
      <c r="AO178" s="29" t="str">
        <f t="shared" si="2214"/>
        <v/>
      </c>
      <c r="AP178" s="29" t="str">
        <f t="shared" si="2214"/>
        <v/>
      </c>
      <c r="AQ178" s="29" t="str">
        <f t="shared" si="2214"/>
        <v/>
      </c>
      <c r="AR178" s="29" t="str">
        <f t="shared" si="2214"/>
        <v/>
      </c>
      <c r="AS178" s="29" t="str">
        <f t="shared" si="2214"/>
        <v/>
      </c>
    </row>
    <row r="179" spans="1:45" s="1" customFormat="1" ht="11.25" x14ac:dyDescent="0.15">
      <c r="A179" s="14"/>
      <c r="B179" s="30" t="s">
        <v>7</v>
      </c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>
        <v>-1</v>
      </c>
      <c r="O179" s="29">
        <v>2</v>
      </c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</row>
    <row r="180" spans="1:45" s="1" customFormat="1" ht="11.25" x14ac:dyDescent="0.15">
      <c r="A180" s="7"/>
      <c r="B180" s="30" t="s">
        <v>8</v>
      </c>
      <c r="C180" s="35">
        <v>400</v>
      </c>
      <c r="D180" s="35">
        <v>400</v>
      </c>
      <c r="E180" s="35">
        <v>400</v>
      </c>
      <c r="F180" s="35">
        <v>400</v>
      </c>
      <c r="G180" s="35">
        <v>400</v>
      </c>
      <c r="H180" s="35">
        <v>400</v>
      </c>
      <c r="I180" s="35">
        <v>400</v>
      </c>
      <c r="J180" s="35">
        <v>400</v>
      </c>
      <c r="K180" s="35">
        <v>400</v>
      </c>
      <c r="L180" s="35">
        <v>400</v>
      </c>
      <c r="M180" s="35">
        <f t="shared" ref="M180:M181" si="2215">IF(M$8="","",L180)</f>
        <v>400</v>
      </c>
      <c r="N180" s="35">
        <f t="shared" ref="N180:N181" si="2216">IF(N$8="","",M180)</f>
        <v>400</v>
      </c>
      <c r="O180" s="35">
        <f t="shared" ref="O180:O181" si="2217">IF(O$8="","",N180)</f>
        <v>400</v>
      </c>
      <c r="P180" s="35" t="str">
        <f t="shared" ref="P180:P181" si="2218">IF(P$8="","",O180)</f>
        <v/>
      </c>
      <c r="Q180" s="35" t="str">
        <f t="shared" ref="Q180:Q181" si="2219">IF(Q$8="","",P180)</f>
        <v/>
      </c>
      <c r="R180" s="35" t="str">
        <f t="shared" ref="R180:R181" si="2220">IF(R$8="","",Q180)</f>
        <v/>
      </c>
      <c r="S180" s="35" t="str">
        <f t="shared" ref="S180:S181" si="2221">IF(S$8="","",R180)</f>
        <v/>
      </c>
      <c r="T180" s="35" t="str">
        <f t="shared" ref="T180:T181" si="2222">IF(T$8="","",S180)</f>
        <v/>
      </c>
      <c r="U180" s="35" t="str">
        <f t="shared" ref="U180:U181" si="2223">IF(U$8="","",T180)</f>
        <v/>
      </c>
      <c r="V180" s="35" t="str">
        <f t="shared" ref="V180:V181" si="2224">IF(V$8="","",U180)</f>
        <v/>
      </c>
      <c r="W180" s="35" t="str">
        <f t="shared" ref="W180:W181" si="2225">IF(W$8="","",V180)</f>
        <v/>
      </c>
      <c r="X180" s="35" t="str">
        <f t="shared" ref="X180:X181" si="2226">IF(X$8="","",W180)</f>
        <v/>
      </c>
      <c r="Y180" s="35" t="str">
        <f t="shared" ref="Y180:Y181" si="2227">IF(Y$8="","",X180)</f>
        <v/>
      </c>
      <c r="Z180" s="35" t="str">
        <f t="shared" ref="Z180:Z181" si="2228">IF(Z$8="","",Y180)</f>
        <v/>
      </c>
      <c r="AA180" s="35" t="str">
        <f t="shared" ref="AA180:AA181" si="2229">IF(AA$8="","",Z180)</f>
        <v/>
      </c>
      <c r="AB180" s="35" t="str">
        <f t="shared" ref="AB180:AB181" si="2230">IF(AB$8="","",AA180)</f>
        <v/>
      </c>
      <c r="AC180" s="35" t="str">
        <f t="shared" ref="AC180:AC181" si="2231">IF(AC$8="","",AB180)</f>
        <v/>
      </c>
      <c r="AD180" s="35" t="str">
        <f t="shared" ref="AD180:AD181" si="2232">IF(AD$8="","",AC180)</f>
        <v/>
      </c>
      <c r="AE180" s="35" t="str">
        <f t="shared" ref="AE180:AE181" si="2233">IF(AE$8="","",AD180)</f>
        <v/>
      </c>
      <c r="AF180" s="35" t="str">
        <f t="shared" ref="AF180:AF181" si="2234">IF(AF$8="","",AE180)</f>
        <v/>
      </c>
      <c r="AG180" s="35" t="str">
        <f t="shared" ref="AG180:AG181" si="2235">IF(AG$8="","",AF180)</f>
        <v/>
      </c>
      <c r="AH180" s="35" t="str">
        <f t="shared" ref="AH180:AH181" si="2236">IF(AH$8="","",AG180)</f>
        <v/>
      </c>
      <c r="AI180" s="35" t="str">
        <f t="shared" ref="AI180:AI181" si="2237">IF(AI$8="","",AH180)</f>
        <v/>
      </c>
      <c r="AJ180" s="35" t="str">
        <f t="shared" ref="AJ180:AJ181" si="2238">IF(AJ$8="","",AI180)</f>
        <v/>
      </c>
      <c r="AK180" s="35" t="str">
        <f t="shared" ref="AK180:AK181" si="2239">IF(AK$8="","",AJ180)</f>
        <v/>
      </c>
      <c r="AL180" s="35" t="str">
        <f t="shared" ref="AL180:AL181" si="2240">IF(AL$8="","",AK180)</f>
        <v/>
      </c>
      <c r="AM180" s="35" t="str">
        <f t="shared" ref="AM180:AM181" si="2241">IF(AM$8="","",AL180)</f>
        <v/>
      </c>
      <c r="AN180" s="35" t="str">
        <f t="shared" ref="AN180:AS180" si="2242">IF(AN$8="","",AM180)</f>
        <v/>
      </c>
      <c r="AO180" s="35" t="str">
        <f t="shared" si="2242"/>
        <v/>
      </c>
      <c r="AP180" s="35" t="str">
        <f t="shared" si="2242"/>
        <v/>
      </c>
      <c r="AQ180" s="35" t="str">
        <f t="shared" si="2242"/>
        <v/>
      </c>
      <c r="AR180" s="35" t="str">
        <f t="shared" si="2242"/>
        <v/>
      </c>
      <c r="AS180" s="35" t="str">
        <f t="shared" si="2242"/>
        <v/>
      </c>
    </row>
    <row r="181" spans="1:45" s="85" customFormat="1" ht="11.25" x14ac:dyDescent="0.15">
      <c r="A181" s="14" t="s">
        <v>9</v>
      </c>
      <c r="B181" s="33" t="s">
        <v>10</v>
      </c>
      <c r="C181" s="32" t="s">
        <v>52</v>
      </c>
      <c r="D181" s="32" t="s">
        <v>52</v>
      </c>
      <c r="E181" s="32" t="s">
        <v>52</v>
      </c>
      <c r="F181" s="32" t="s">
        <v>52</v>
      </c>
      <c r="G181" s="32" t="s">
        <v>52</v>
      </c>
      <c r="H181" s="32" t="s">
        <v>52</v>
      </c>
      <c r="I181" s="32" t="s">
        <v>52</v>
      </c>
      <c r="J181" s="32" t="s">
        <v>52</v>
      </c>
      <c r="K181" s="32" t="s">
        <v>52</v>
      </c>
      <c r="L181" s="32" t="s">
        <v>52</v>
      </c>
      <c r="M181" s="32" t="str">
        <f t="shared" si="2215"/>
        <v>ギャルキティフェイスポーチ</v>
      </c>
      <c r="N181" s="32" t="str">
        <f t="shared" si="2216"/>
        <v>ギャルキティフェイスポーチ</v>
      </c>
      <c r="O181" s="32" t="str">
        <f t="shared" si="2217"/>
        <v>ギャルキティフェイスポーチ</v>
      </c>
      <c r="P181" s="32" t="str">
        <f t="shared" si="2218"/>
        <v/>
      </c>
      <c r="Q181" s="32" t="str">
        <f t="shared" si="2219"/>
        <v/>
      </c>
      <c r="R181" s="32" t="str">
        <f t="shared" si="2220"/>
        <v/>
      </c>
      <c r="S181" s="32" t="str">
        <f t="shared" si="2221"/>
        <v/>
      </c>
      <c r="T181" s="32" t="str">
        <f t="shared" si="2222"/>
        <v/>
      </c>
      <c r="U181" s="32" t="str">
        <f t="shared" si="2223"/>
        <v/>
      </c>
      <c r="V181" s="32" t="str">
        <f t="shared" si="2224"/>
        <v/>
      </c>
      <c r="W181" s="32" t="str">
        <f t="shared" si="2225"/>
        <v/>
      </c>
      <c r="X181" s="32" t="str">
        <f t="shared" si="2226"/>
        <v/>
      </c>
      <c r="Y181" s="32" t="str">
        <f t="shared" si="2227"/>
        <v/>
      </c>
      <c r="Z181" s="32" t="str">
        <f t="shared" si="2228"/>
        <v/>
      </c>
      <c r="AA181" s="32" t="str">
        <f t="shared" si="2229"/>
        <v/>
      </c>
      <c r="AB181" s="32" t="str">
        <f t="shared" si="2230"/>
        <v/>
      </c>
      <c r="AC181" s="32" t="str">
        <f t="shared" si="2231"/>
        <v/>
      </c>
      <c r="AD181" s="32" t="str">
        <f t="shared" si="2232"/>
        <v/>
      </c>
      <c r="AE181" s="32" t="str">
        <f t="shared" si="2233"/>
        <v/>
      </c>
      <c r="AF181" s="32" t="str">
        <f t="shared" si="2234"/>
        <v/>
      </c>
      <c r="AG181" s="32" t="str">
        <f t="shared" si="2235"/>
        <v/>
      </c>
      <c r="AH181" s="32" t="str">
        <f t="shared" si="2236"/>
        <v/>
      </c>
      <c r="AI181" s="32" t="str">
        <f t="shared" si="2237"/>
        <v/>
      </c>
      <c r="AJ181" s="32" t="str">
        <f t="shared" si="2238"/>
        <v/>
      </c>
      <c r="AK181" s="32" t="str">
        <f t="shared" si="2239"/>
        <v/>
      </c>
      <c r="AL181" s="32" t="str">
        <f t="shared" si="2240"/>
        <v/>
      </c>
      <c r="AM181" s="32" t="str">
        <f t="shared" si="2241"/>
        <v/>
      </c>
      <c r="AN181" s="32" t="str">
        <f t="shared" ref="AN181:AS181" si="2243">IF(AN$8="","",AM181)</f>
        <v/>
      </c>
      <c r="AO181" s="32" t="str">
        <f t="shared" si="2243"/>
        <v/>
      </c>
      <c r="AP181" s="32" t="str">
        <f t="shared" si="2243"/>
        <v/>
      </c>
      <c r="AQ181" s="32" t="str">
        <f t="shared" si="2243"/>
        <v/>
      </c>
      <c r="AR181" s="32" t="str">
        <f t="shared" si="2243"/>
        <v/>
      </c>
      <c r="AS181" s="32" t="str">
        <f t="shared" si="2243"/>
        <v/>
      </c>
    </row>
    <row r="182" spans="1:45" s="1" customFormat="1" ht="11.25" x14ac:dyDescent="0.15">
      <c r="A182" s="7">
        <f>AVERAGE(C183:AS183)*30*100</f>
        <v>46846.153846153844</v>
      </c>
      <c r="B182" s="30" t="s">
        <v>12</v>
      </c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</row>
    <row r="183" spans="1:45" s="1" customFormat="1" ht="11.25" x14ac:dyDescent="0.15">
      <c r="A183" s="7">
        <f>SUM(C183:AS183)</f>
        <v>203</v>
      </c>
      <c r="B183" s="27" t="s">
        <v>13</v>
      </c>
      <c r="C183" s="26">
        <v>0</v>
      </c>
      <c r="D183" s="26">
        <v>0</v>
      </c>
      <c r="E183" s="26">
        <v>62</v>
      </c>
      <c r="F183" s="26">
        <v>0</v>
      </c>
      <c r="G183" s="26">
        <v>0</v>
      </c>
      <c r="H183" s="26">
        <v>38</v>
      </c>
      <c r="I183" s="26">
        <v>0</v>
      </c>
      <c r="J183" s="26">
        <v>0</v>
      </c>
      <c r="K183" s="26">
        <v>0</v>
      </c>
      <c r="L183" s="26">
        <v>62</v>
      </c>
      <c r="M183" s="26">
        <f t="shared" ref="M183:M184" si="2244">IF(M$8="","",M176-L176)</f>
        <v>0</v>
      </c>
      <c r="N183" s="26">
        <f t="shared" ref="N183:N184" si="2245">IF(N$8="","",N176-M176)</f>
        <v>0</v>
      </c>
      <c r="O183" s="26">
        <f t="shared" ref="O183:O184" si="2246">IF(O$8="","",O176-N176)</f>
        <v>41</v>
      </c>
      <c r="P183" s="26" t="str">
        <f t="shared" ref="P183:P184" si="2247">IF(P$8="","",P176-O176)</f>
        <v/>
      </c>
      <c r="Q183" s="26" t="str">
        <f t="shared" ref="Q183:Q184" si="2248">IF(Q$8="","",Q176-P176)</f>
        <v/>
      </c>
      <c r="R183" s="26" t="str">
        <f t="shared" ref="R183:R184" si="2249">IF(R$8="","",R176-Q176)</f>
        <v/>
      </c>
      <c r="S183" s="26" t="str">
        <f t="shared" ref="S183:S184" si="2250">IF(S$8="","",S176-R176)</f>
        <v/>
      </c>
      <c r="T183" s="26" t="str">
        <f t="shared" ref="T183:T184" si="2251">IF(T$8="","",T176-S176)</f>
        <v/>
      </c>
      <c r="U183" s="26" t="str">
        <f t="shared" ref="U183:U184" si="2252">IF(U$8="","",U176-T176)</f>
        <v/>
      </c>
      <c r="V183" s="26" t="str">
        <f t="shared" ref="V183:V184" si="2253">IF(V$8="","",V176-U176)</f>
        <v/>
      </c>
      <c r="W183" s="26" t="str">
        <f t="shared" ref="W183:W184" si="2254">IF(W$8="","",W176-V176)</f>
        <v/>
      </c>
      <c r="X183" s="26" t="str">
        <f t="shared" ref="X183:X184" si="2255">IF(X$8="","",X176-W176)</f>
        <v/>
      </c>
      <c r="Y183" s="26" t="str">
        <f t="shared" ref="Y183:Y184" si="2256">IF(Y$8="","",Y176-X176)</f>
        <v/>
      </c>
      <c r="Z183" s="26" t="str">
        <f t="shared" ref="Z183:Z184" si="2257">IF(Z$8="","",Z176-Y176)</f>
        <v/>
      </c>
      <c r="AA183" s="26" t="str">
        <f t="shared" ref="AA183:AA184" si="2258">IF(AA$8="","",AA176-Z176)</f>
        <v/>
      </c>
      <c r="AB183" s="26" t="str">
        <f t="shared" ref="AB183:AB184" si="2259">IF(AB$8="","",AB176-AA176)</f>
        <v/>
      </c>
      <c r="AC183" s="26" t="str">
        <f t="shared" ref="AC183:AC184" si="2260">IF(AC$8="","",AC176-AB176)</f>
        <v/>
      </c>
      <c r="AD183" s="26" t="str">
        <f t="shared" ref="AD183:AD184" si="2261">IF(AD$8="","",AD176-AC176)</f>
        <v/>
      </c>
      <c r="AE183" s="26" t="str">
        <f t="shared" ref="AE183:AE184" si="2262">IF(AE$8="","",AE176-AD176)</f>
        <v/>
      </c>
      <c r="AF183" s="26" t="str">
        <f t="shared" ref="AF183:AF184" si="2263">IF(AF$8="","",AF176-AE176)</f>
        <v/>
      </c>
      <c r="AG183" s="26" t="str">
        <f t="shared" ref="AG183:AG184" si="2264">IF(AG$8="","",AG176-AF176)</f>
        <v/>
      </c>
      <c r="AH183" s="26" t="str">
        <f t="shared" ref="AH183:AH184" si="2265">IF(AH$8="","",AH176-AG176)</f>
        <v/>
      </c>
      <c r="AI183" s="26" t="str">
        <f t="shared" ref="AI183:AI184" si="2266">IF(AI$8="","",AI176-AH176)</f>
        <v/>
      </c>
      <c r="AJ183" s="26" t="str">
        <f t="shared" ref="AJ183:AJ184" si="2267">IF(AJ$8="","",AJ176-AI176)</f>
        <v/>
      </c>
      <c r="AK183" s="26" t="str">
        <f t="shared" ref="AK183:AK184" si="2268">IF(AK$8="","",AK176-AJ176)</f>
        <v/>
      </c>
      <c r="AL183" s="26" t="str">
        <f t="shared" ref="AL183:AL184" si="2269">IF(AL$8="","",AL176-AK176)</f>
        <v/>
      </c>
      <c r="AM183" s="26" t="str">
        <f t="shared" ref="AM183:AM184" si="2270">IF(AM$8="","",AM176-AL176)</f>
        <v/>
      </c>
      <c r="AN183" s="26" t="str">
        <f t="shared" ref="AN183:AS183" si="2271">IF(AN$8="","",AN176-AM176)</f>
        <v/>
      </c>
      <c r="AO183" s="26" t="str">
        <f t="shared" si="2271"/>
        <v/>
      </c>
      <c r="AP183" s="26" t="str">
        <f t="shared" si="2271"/>
        <v/>
      </c>
      <c r="AQ183" s="26" t="str">
        <f t="shared" si="2271"/>
        <v/>
      </c>
      <c r="AR183" s="26" t="str">
        <f t="shared" si="2271"/>
        <v/>
      </c>
      <c r="AS183" s="26" t="str">
        <f t="shared" si="2271"/>
        <v/>
      </c>
    </row>
    <row r="184" spans="1:45" s="1" customFormat="1" ht="11.25" x14ac:dyDescent="0.15">
      <c r="A184" s="7">
        <f>SUM(C184:AS184)</f>
        <v>2</v>
      </c>
      <c r="B184" s="27" t="s">
        <v>14</v>
      </c>
      <c r="C184" s="26">
        <v>0</v>
      </c>
      <c r="D184" s="26">
        <v>0</v>
      </c>
      <c r="E184" s="26">
        <v>2</v>
      </c>
      <c r="F184" s="26">
        <v>0</v>
      </c>
      <c r="G184" s="26">
        <v>0</v>
      </c>
      <c r="H184" s="26">
        <v>0</v>
      </c>
      <c r="I184" s="26">
        <v>0</v>
      </c>
      <c r="J184" s="26">
        <v>0</v>
      </c>
      <c r="K184" s="26">
        <v>0</v>
      </c>
      <c r="L184" s="26">
        <v>0</v>
      </c>
      <c r="M184" s="26">
        <f t="shared" si="2244"/>
        <v>0</v>
      </c>
      <c r="N184" s="26">
        <f t="shared" si="2245"/>
        <v>0</v>
      </c>
      <c r="O184" s="26">
        <f t="shared" si="2246"/>
        <v>0</v>
      </c>
      <c r="P184" s="26" t="str">
        <f t="shared" si="2247"/>
        <v/>
      </c>
      <c r="Q184" s="26" t="str">
        <f t="shared" si="2248"/>
        <v/>
      </c>
      <c r="R184" s="26" t="str">
        <f t="shared" si="2249"/>
        <v/>
      </c>
      <c r="S184" s="26" t="str">
        <f t="shared" si="2250"/>
        <v/>
      </c>
      <c r="T184" s="26" t="str">
        <f t="shared" si="2251"/>
        <v/>
      </c>
      <c r="U184" s="26" t="str">
        <f t="shared" si="2252"/>
        <v/>
      </c>
      <c r="V184" s="26" t="str">
        <f t="shared" si="2253"/>
        <v/>
      </c>
      <c r="W184" s="26" t="str">
        <f t="shared" si="2254"/>
        <v/>
      </c>
      <c r="X184" s="26" t="str">
        <f t="shared" si="2255"/>
        <v/>
      </c>
      <c r="Y184" s="26" t="str">
        <f t="shared" si="2256"/>
        <v/>
      </c>
      <c r="Z184" s="26" t="str">
        <f t="shared" si="2257"/>
        <v/>
      </c>
      <c r="AA184" s="26" t="str">
        <f t="shared" si="2258"/>
        <v/>
      </c>
      <c r="AB184" s="26" t="str">
        <f t="shared" si="2259"/>
        <v/>
      </c>
      <c r="AC184" s="26" t="str">
        <f t="shared" si="2260"/>
        <v/>
      </c>
      <c r="AD184" s="26" t="str">
        <f t="shared" si="2261"/>
        <v/>
      </c>
      <c r="AE184" s="26" t="str">
        <f t="shared" si="2262"/>
        <v/>
      </c>
      <c r="AF184" s="26" t="str">
        <f t="shared" si="2263"/>
        <v/>
      </c>
      <c r="AG184" s="26" t="str">
        <f t="shared" si="2264"/>
        <v/>
      </c>
      <c r="AH184" s="26" t="str">
        <f t="shared" si="2265"/>
        <v/>
      </c>
      <c r="AI184" s="26" t="str">
        <f t="shared" si="2266"/>
        <v/>
      </c>
      <c r="AJ184" s="26" t="str">
        <f t="shared" si="2267"/>
        <v/>
      </c>
      <c r="AK184" s="26" t="str">
        <f t="shared" si="2268"/>
        <v/>
      </c>
      <c r="AL184" s="26" t="str">
        <f t="shared" si="2269"/>
        <v/>
      </c>
      <c r="AM184" s="26" t="str">
        <f t="shared" si="2270"/>
        <v/>
      </c>
      <c r="AN184" s="26" t="str">
        <f t="shared" ref="AN184:AS184" si="2272">IF(AN$8="","",AN177-AM177)</f>
        <v/>
      </c>
      <c r="AO184" s="26" t="str">
        <f t="shared" si="2272"/>
        <v/>
      </c>
      <c r="AP184" s="26" t="str">
        <f t="shared" si="2272"/>
        <v/>
      </c>
      <c r="AQ184" s="26" t="str">
        <f t="shared" si="2272"/>
        <v/>
      </c>
      <c r="AR184" s="26" t="str">
        <f t="shared" si="2272"/>
        <v/>
      </c>
      <c r="AS184" s="26" t="str">
        <f t="shared" si="2272"/>
        <v/>
      </c>
    </row>
    <row r="185" spans="1:45" s="1" customFormat="1" ht="11.25" x14ac:dyDescent="0.15">
      <c r="A185" s="7">
        <f>SUM(C185:AS185)</f>
        <v>2</v>
      </c>
      <c r="B185" s="27" t="s">
        <v>15</v>
      </c>
      <c r="C185" s="26">
        <v>0</v>
      </c>
      <c r="D185" s="26">
        <v>0</v>
      </c>
      <c r="E185" s="26">
        <v>2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6">
        <v>0</v>
      </c>
      <c r="L185" s="26">
        <v>0</v>
      </c>
      <c r="M185" s="26">
        <f t="shared" ref="M185" si="2273">IF(M$8="","",L178+L179-M178)</f>
        <v>0</v>
      </c>
      <c r="N185" s="26">
        <f t="shared" ref="N185" si="2274">IF(N$8="","",M178+M179-N178)</f>
        <v>0</v>
      </c>
      <c r="O185" s="26">
        <f t="shared" ref="O185" si="2275">IF(O$8="","",N178+N179-O178)</f>
        <v>0</v>
      </c>
      <c r="P185" s="26" t="str">
        <f t="shared" ref="P185" si="2276">IF(P$8="","",O178+O179-P178)</f>
        <v/>
      </c>
      <c r="Q185" s="26" t="str">
        <f t="shared" ref="Q185" si="2277">IF(Q$8="","",P178+P179-Q178)</f>
        <v/>
      </c>
      <c r="R185" s="26" t="str">
        <f t="shared" ref="R185" si="2278">IF(R$8="","",Q178+Q179-R178)</f>
        <v/>
      </c>
      <c r="S185" s="26" t="str">
        <f t="shared" ref="S185" si="2279">IF(S$8="","",R178+R179-S178)</f>
        <v/>
      </c>
      <c r="T185" s="26" t="str">
        <f t="shared" ref="T185" si="2280">IF(T$8="","",S178+S179-T178)</f>
        <v/>
      </c>
      <c r="U185" s="26" t="str">
        <f t="shared" ref="U185" si="2281">IF(U$8="","",T178+T179-U178)</f>
        <v/>
      </c>
      <c r="V185" s="26" t="str">
        <f t="shared" ref="V185" si="2282">IF(V$8="","",U178+U179-V178)</f>
        <v/>
      </c>
      <c r="W185" s="26" t="str">
        <f t="shared" ref="W185" si="2283">IF(W$8="","",V178+V179-W178)</f>
        <v/>
      </c>
      <c r="X185" s="26" t="str">
        <f t="shared" ref="X185" si="2284">IF(X$8="","",W178+W179-X178)</f>
        <v/>
      </c>
      <c r="Y185" s="26" t="str">
        <f t="shared" ref="Y185" si="2285">IF(Y$8="","",X178+X179-Y178)</f>
        <v/>
      </c>
      <c r="Z185" s="26" t="str">
        <f t="shared" ref="Z185" si="2286">IF(Z$8="","",Y178+Y179-Z178)</f>
        <v/>
      </c>
      <c r="AA185" s="26" t="str">
        <f t="shared" ref="AA185" si="2287">IF(AA$8="","",Z178+Z179-AA178)</f>
        <v/>
      </c>
      <c r="AB185" s="26" t="str">
        <f t="shared" ref="AB185" si="2288">IF(AB$8="","",AA178+AA179-AB178)</f>
        <v/>
      </c>
      <c r="AC185" s="26" t="str">
        <f t="shared" ref="AC185" si="2289">IF(AC$8="","",AB178+AB179-AC178)</f>
        <v/>
      </c>
      <c r="AD185" s="26" t="str">
        <f t="shared" ref="AD185" si="2290">IF(AD$8="","",AC178+AC179-AD178)</f>
        <v/>
      </c>
      <c r="AE185" s="26" t="str">
        <f t="shared" ref="AE185" si="2291">IF(AE$8="","",AD178+AD179-AE178)</f>
        <v/>
      </c>
      <c r="AF185" s="26" t="str">
        <f t="shared" ref="AF185" si="2292">IF(AF$8="","",AE178+AE179-AF178)</f>
        <v/>
      </c>
      <c r="AG185" s="26" t="str">
        <f t="shared" ref="AG185" si="2293">IF(AG$8="","",AF178+AF179-AG178)</f>
        <v/>
      </c>
      <c r="AH185" s="26" t="str">
        <f t="shared" ref="AH185" si="2294">IF(AH$8="","",AG178+AG179-AH178)</f>
        <v/>
      </c>
      <c r="AI185" s="26" t="str">
        <f t="shared" ref="AI185" si="2295">IF(AI$8="","",AH178+AH179-AI178)</f>
        <v/>
      </c>
      <c r="AJ185" s="26" t="str">
        <f t="shared" ref="AJ185" si="2296">IF(AJ$8="","",AI178+AI179-AJ178)</f>
        <v/>
      </c>
      <c r="AK185" s="26" t="str">
        <f t="shared" ref="AK185" si="2297">IF(AK$8="","",AJ178+AJ179-AK178)</f>
        <v/>
      </c>
      <c r="AL185" s="26" t="str">
        <f t="shared" ref="AL185" si="2298">IF(AL$8="","",AK178+AK179-AL178)</f>
        <v/>
      </c>
      <c r="AM185" s="26" t="str">
        <f t="shared" ref="AM185" si="2299">IF(AM$8="","",AL178+AL179-AM178)</f>
        <v/>
      </c>
      <c r="AN185" s="26" t="str">
        <f t="shared" ref="AN185:AS185" si="2300">IF(AN$8="","",AM178+AM179-AN178)</f>
        <v/>
      </c>
      <c r="AO185" s="26" t="str">
        <f t="shared" si="2300"/>
        <v/>
      </c>
      <c r="AP185" s="26" t="str">
        <f t="shared" si="2300"/>
        <v/>
      </c>
      <c r="AQ185" s="26" t="str">
        <f t="shared" si="2300"/>
        <v/>
      </c>
      <c r="AR185" s="26" t="str">
        <f t="shared" si="2300"/>
        <v/>
      </c>
      <c r="AS185" s="26" t="str">
        <f t="shared" si="2300"/>
        <v/>
      </c>
    </row>
    <row r="186" spans="1:45" s="1" customFormat="1" ht="11.25" x14ac:dyDescent="0.15">
      <c r="A186" s="7">
        <f>SUM(C186:AS186)</f>
        <v>800</v>
      </c>
      <c r="B186" s="27" t="s">
        <v>16</v>
      </c>
      <c r="C186" s="26">
        <v>0</v>
      </c>
      <c r="D186" s="26">
        <v>0</v>
      </c>
      <c r="E186" s="26">
        <v>800</v>
      </c>
      <c r="F186" s="26">
        <v>0</v>
      </c>
      <c r="G186" s="26">
        <v>0</v>
      </c>
      <c r="H186" s="26">
        <v>0</v>
      </c>
      <c r="I186" s="26">
        <v>0</v>
      </c>
      <c r="J186" s="26">
        <v>0</v>
      </c>
      <c r="K186" s="26">
        <v>0</v>
      </c>
      <c r="L186" s="26">
        <v>0</v>
      </c>
      <c r="M186" s="26">
        <f t="shared" ref="J186:AM186" si="2301">IF(M$8="","",M185*M180)</f>
        <v>0</v>
      </c>
      <c r="N186" s="26">
        <f t="shared" si="2301"/>
        <v>0</v>
      </c>
      <c r="O186" s="26">
        <f t="shared" si="2301"/>
        <v>0</v>
      </c>
      <c r="P186" s="26" t="str">
        <f t="shared" si="2301"/>
        <v/>
      </c>
      <c r="Q186" s="26" t="str">
        <f t="shared" si="2301"/>
        <v/>
      </c>
      <c r="R186" s="26" t="str">
        <f t="shared" si="2301"/>
        <v/>
      </c>
      <c r="S186" s="26" t="str">
        <f t="shared" si="2301"/>
        <v/>
      </c>
      <c r="T186" s="26" t="str">
        <f t="shared" si="2301"/>
        <v/>
      </c>
      <c r="U186" s="26" t="str">
        <f t="shared" si="2301"/>
        <v/>
      </c>
      <c r="V186" s="26" t="str">
        <f t="shared" si="2301"/>
        <v/>
      </c>
      <c r="W186" s="26" t="str">
        <f t="shared" si="2301"/>
        <v/>
      </c>
      <c r="X186" s="26" t="str">
        <f t="shared" si="2301"/>
        <v/>
      </c>
      <c r="Y186" s="26" t="str">
        <f t="shared" si="2301"/>
        <v/>
      </c>
      <c r="Z186" s="26" t="str">
        <f t="shared" si="2301"/>
        <v/>
      </c>
      <c r="AA186" s="26" t="str">
        <f t="shared" si="2301"/>
        <v/>
      </c>
      <c r="AB186" s="26" t="str">
        <f t="shared" si="2301"/>
        <v/>
      </c>
      <c r="AC186" s="26" t="str">
        <f t="shared" si="2301"/>
        <v/>
      </c>
      <c r="AD186" s="26" t="str">
        <f t="shared" si="2301"/>
        <v/>
      </c>
      <c r="AE186" s="26" t="str">
        <f t="shared" si="2301"/>
        <v/>
      </c>
      <c r="AF186" s="26" t="str">
        <f t="shared" si="2301"/>
        <v/>
      </c>
      <c r="AG186" s="26" t="str">
        <f t="shared" si="2301"/>
        <v/>
      </c>
      <c r="AH186" s="26" t="str">
        <f t="shared" si="2301"/>
        <v/>
      </c>
      <c r="AI186" s="26" t="str">
        <f t="shared" si="2301"/>
        <v/>
      </c>
      <c r="AJ186" s="26" t="str">
        <f t="shared" si="2301"/>
        <v/>
      </c>
      <c r="AK186" s="26" t="str">
        <f t="shared" si="2301"/>
        <v/>
      </c>
      <c r="AL186" s="26" t="str">
        <f t="shared" si="2301"/>
        <v/>
      </c>
      <c r="AM186" s="26" t="str">
        <f t="shared" si="2301"/>
        <v/>
      </c>
      <c r="AN186" s="26" t="str">
        <f t="shared" ref="AN186:AS186" si="2302">IF(AN$8="","",AN185*AN180)</f>
        <v/>
      </c>
      <c r="AO186" s="26" t="str">
        <f t="shared" si="2302"/>
        <v/>
      </c>
      <c r="AP186" s="26" t="str">
        <f t="shared" si="2302"/>
        <v/>
      </c>
      <c r="AQ186" s="26" t="str">
        <f t="shared" si="2302"/>
        <v/>
      </c>
      <c r="AR186" s="26" t="str">
        <f t="shared" si="2302"/>
        <v/>
      </c>
      <c r="AS186" s="26" t="str">
        <f t="shared" si="2302"/>
        <v/>
      </c>
    </row>
    <row r="187" spans="1:45" s="1" customFormat="1" ht="12" thickBot="1" x14ac:dyDescent="0.2">
      <c r="A187" s="4">
        <f>IF(A186="","",A186/(A183*100))</f>
        <v>3.9408866995073892E-2</v>
      </c>
      <c r="B187" s="24" t="s">
        <v>18</v>
      </c>
      <c r="C187" s="23" t="s">
        <v>19</v>
      </c>
      <c r="D187" s="23" t="s">
        <v>19</v>
      </c>
      <c r="E187" s="23">
        <v>0.12903225806451613</v>
      </c>
      <c r="F187" s="23" t="s">
        <v>19</v>
      </c>
      <c r="G187" s="23" t="s">
        <v>19</v>
      </c>
      <c r="H187" s="23" t="s">
        <v>19</v>
      </c>
      <c r="I187" s="23" t="s">
        <v>19</v>
      </c>
      <c r="J187" s="23" t="s">
        <v>19</v>
      </c>
      <c r="K187" s="23" t="s">
        <v>19</v>
      </c>
      <c r="L187" s="23" t="s">
        <v>19</v>
      </c>
      <c r="M187" s="23" t="str">
        <f t="shared" ref="J187:AM187" si="2303">IF(M$8="","",IF(M186=0,"",M186/(M183*100)))</f>
        <v/>
      </c>
      <c r="N187" s="23" t="str">
        <f t="shared" si="2303"/>
        <v/>
      </c>
      <c r="O187" s="23" t="str">
        <f t="shared" si="2303"/>
        <v/>
      </c>
      <c r="P187" s="23" t="str">
        <f t="shared" si="2303"/>
        <v/>
      </c>
      <c r="Q187" s="23" t="str">
        <f t="shared" si="2303"/>
        <v/>
      </c>
      <c r="R187" s="23" t="str">
        <f t="shared" si="2303"/>
        <v/>
      </c>
      <c r="S187" s="23" t="str">
        <f t="shared" si="2303"/>
        <v/>
      </c>
      <c r="T187" s="23" t="str">
        <f t="shared" si="2303"/>
        <v/>
      </c>
      <c r="U187" s="23" t="str">
        <f t="shared" si="2303"/>
        <v/>
      </c>
      <c r="V187" s="23" t="str">
        <f t="shared" si="2303"/>
        <v/>
      </c>
      <c r="W187" s="23" t="str">
        <f t="shared" si="2303"/>
        <v/>
      </c>
      <c r="X187" s="23" t="str">
        <f t="shared" si="2303"/>
        <v/>
      </c>
      <c r="Y187" s="23" t="str">
        <f t="shared" si="2303"/>
        <v/>
      </c>
      <c r="Z187" s="23" t="str">
        <f t="shared" si="2303"/>
        <v/>
      </c>
      <c r="AA187" s="23" t="str">
        <f t="shared" si="2303"/>
        <v/>
      </c>
      <c r="AB187" s="23" t="str">
        <f t="shared" si="2303"/>
        <v/>
      </c>
      <c r="AC187" s="23" t="str">
        <f t="shared" si="2303"/>
        <v/>
      </c>
      <c r="AD187" s="23" t="str">
        <f t="shared" si="2303"/>
        <v/>
      </c>
      <c r="AE187" s="23" t="str">
        <f t="shared" si="2303"/>
        <v/>
      </c>
      <c r="AF187" s="23" t="str">
        <f t="shared" si="2303"/>
        <v/>
      </c>
      <c r="AG187" s="23" t="str">
        <f t="shared" si="2303"/>
        <v/>
      </c>
      <c r="AH187" s="23" t="str">
        <f t="shared" si="2303"/>
        <v/>
      </c>
      <c r="AI187" s="23" t="str">
        <f t="shared" si="2303"/>
        <v/>
      </c>
      <c r="AJ187" s="23" t="str">
        <f t="shared" si="2303"/>
        <v/>
      </c>
      <c r="AK187" s="23" t="str">
        <f t="shared" si="2303"/>
        <v/>
      </c>
      <c r="AL187" s="23" t="str">
        <f t="shared" si="2303"/>
        <v/>
      </c>
      <c r="AM187" s="23" t="str">
        <f t="shared" si="2303"/>
        <v/>
      </c>
      <c r="AN187" s="23" t="str">
        <f t="shared" ref="AN187:AS187" si="2304">IF(AN$8="","",IF(AN186=0,"",AN186/(AN183*100)))</f>
        <v/>
      </c>
      <c r="AO187" s="23" t="str">
        <f t="shared" si="2304"/>
        <v/>
      </c>
      <c r="AP187" s="23" t="str">
        <f t="shared" si="2304"/>
        <v/>
      </c>
      <c r="AQ187" s="23" t="str">
        <f t="shared" si="2304"/>
        <v/>
      </c>
      <c r="AR187" s="23" t="str">
        <f t="shared" si="2304"/>
        <v/>
      </c>
      <c r="AS187" s="23" t="str">
        <f t="shared" si="2304"/>
        <v/>
      </c>
    </row>
    <row r="188" spans="1:45" s="1" customFormat="1" ht="11.25" x14ac:dyDescent="0.15">
      <c r="A188" s="17" t="s">
        <v>83</v>
      </c>
      <c r="B188" s="39" t="s">
        <v>2</v>
      </c>
      <c r="C188" s="38">
        <v>6272</v>
      </c>
      <c r="D188" s="38">
        <v>6272</v>
      </c>
      <c r="E188" s="38">
        <v>6353</v>
      </c>
      <c r="F188" s="38">
        <v>6353</v>
      </c>
      <c r="G188" s="38">
        <v>6353</v>
      </c>
      <c r="H188" s="38">
        <v>6471</v>
      </c>
      <c r="I188" s="38">
        <v>6471</v>
      </c>
      <c r="J188" s="38">
        <v>6471</v>
      </c>
      <c r="K188" s="38">
        <v>6471</v>
      </c>
      <c r="L188" s="38">
        <v>6562</v>
      </c>
      <c r="M188" s="38">
        <f t="shared" ref="M188:M189" si="2305">IF(M$8="","",L188)</f>
        <v>6562</v>
      </c>
      <c r="N188" s="38">
        <f t="shared" ref="N188:N189" si="2306">IF(N$8="","",M188)</f>
        <v>6562</v>
      </c>
      <c r="O188" s="38">
        <v>6597</v>
      </c>
      <c r="P188" s="38" t="str">
        <f>IF(P$8="","",O188)</f>
        <v/>
      </c>
      <c r="Q188" s="38" t="str">
        <f t="shared" ref="Q188:Q189" si="2307">IF(Q$8="","",P188)</f>
        <v/>
      </c>
      <c r="R188" s="38" t="str">
        <f t="shared" ref="R188:R189" si="2308">IF(R$8="","",Q188)</f>
        <v/>
      </c>
      <c r="S188" s="38" t="str">
        <f>IF(S$8="","",R188)</f>
        <v/>
      </c>
      <c r="T188" s="38" t="str">
        <f t="shared" ref="T188:T189" si="2309">IF(T$8="","",S188)</f>
        <v/>
      </c>
      <c r="U188" s="38" t="str">
        <f t="shared" ref="U188:U189" si="2310">IF(U$8="","",T188)</f>
        <v/>
      </c>
      <c r="V188" s="38" t="str">
        <f>IF(V$8="","",U188)</f>
        <v/>
      </c>
      <c r="W188" s="38" t="str">
        <f t="shared" ref="W188:W189" si="2311">IF(W$8="","",V188)</f>
        <v/>
      </c>
      <c r="X188" s="38" t="str">
        <f t="shared" ref="X188:X189" si="2312">IF(X$8="","",W188)</f>
        <v/>
      </c>
      <c r="Y188" s="38" t="str">
        <f t="shared" ref="Y188:Y189" si="2313">IF(Y$8="","",X188)</f>
        <v/>
      </c>
      <c r="Z188" s="38" t="str">
        <f>IF(Z$8="","",Y188)</f>
        <v/>
      </c>
      <c r="AA188" s="38" t="str">
        <f t="shared" ref="AA188:AA189" si="2314">IF(AA$8="","",Z188)</f>
        <v/>
      </c>
      <c r="AB188" s="38" t="str">
        <f t="shared" ref="AB188:AB189" si="2315">IF(AB$8="","",AA188)</f>
        <v/>
      </c>
      <c r="AC188" s="38" t="str">
        <f t="shared" ref="AC188:AC189" si="2316">IF(AC$8="","",AB188)</f>
        <v/>
      </c>
      <c r="AD188" s="38" t="str">
        <f>IF(AD$8="","",AC188)</f>
        <v/>
      </c>
      <c r="AE188" s="38" t="str">
        <f t="shared" ref="AE188:AE189" si="2317">IF(AE$8="","",AD188)</f>
        <v/>
      </c>
      <c r="AF188" s="38" t="str">
        <f t="shared" ref="AF188:AF189" si="2318">IF(AF$8="","",AE188)</f>
        <v/>
      </c>
      <c r="AG188" s="38" t="str">
        <f>IF(AG$8="","",AF188)</f>
        <v/>
      </c>
      <c r="AH188" s="38" t="str">
        <f t="shared" ref="AH188:AH189" si="2319">IF(AH$8="","",AG188)</f>
        <v/>
      </c>
      <c r="AI188" s="38" t="str">
        <f t="shared" ref="AI188:AI189" si="2320">IF(AI$8="","",AH188)</f>
        <v/>
      </c>
      <c r="AJ188" s="38" t="str">
        <f>IF(AJ$8="","",AI188)</f>
        <v/>
      </c>
      <c r="AK188" s="38" t="str">
        <f t="shared" ref="AK188:AK189" si="2321">IF(AK$8="","",AJ188)</f>
        <v/>
      </c>
      <c r="AL188" s="38" t="str">
        <f t="shared" ref="AL188:AL189" si="2322">IF(AL$8="","",AK188)</f>
        <v/>
      </c>
      <c r="AM188" s="38" t="str">
        <f t="shared" ref="AM188:AM189" si="2323">IF(AM$8="","",AL188)</f>
        <v/>
      </c>
      <c r="AN188" s="38" t="str">
        <f>IF(AN$8="","",AM188)</f>
        <v/>
      </c>
      <c r="AO188" s="38" t="str">
        <f t="shared" ref="AN188:AS188" si="2324">IF(AO$8="","",AN188)</f>
        <v/>
      </c>
      <c r="AP188" s="38" t="str">
        <f t="shared" si="2324"/>
        <v/>
      </c>
      <c r="AQ188" s="38" t="str">
        <f t="shared" si="2324"/>
        <v/>
      </c>
      <c r="AR188" s="38" t="str">
        <f t="shared" si="2324"/>
        <v/>
      </c>
      <c r="AS188" s="38" t="str">
        <f t="shared" si="2324"/>
        <v/>
      </c>
    </row>
    <row r="189" spans="1:45" s="1" customFormat="1" ht="11.25" x14ac:dyDescent="0.15">
      <c r="A189" s="16" t="s">
        <v>89</v>
      </c>
      <c r="B189" s="30" t="s">
        <v>4</v>
      </c>
      <c r="C189" s="29">
        <v>127</v>
      </c>
      <c r="D189" s="29">
        <v>127</v>
      </c>
      <c r="E189" s="29">
        <v>128</v>
      </c>
      <c r="F189" s="29">
        <v>128</v>
      </c>
      <c r="G189" s="29">
        <v>128</v>
      </c>
      <c r="H189" s="29">
        <v>128</v>
      </c>
      <c r="I189" s="29">
        <v>128</v>
      </c>
      <c r="J189" s="29">
        <v>128</v>
      </c>
      <c r="K189" s="29">
        <v>128</v>
      </c>
      <c r="L189" s="29">
        <v>129</v>
      </c>
      <c r="M189" s="29">
        <f t="shared" si="2305"/>
        <v>129</v>
      </c>
      <c r="N189" s="29">
        <f t="shared" si="2306"/>
        <v>129</v>
      </c>
      <c r="O189" s="29">
        <v>129</v>
      </c>
      <c r="P189" s="29" t="str">
        <f t="shared" ref="P189" si="2325">IF(P$8="","",O189)</f>
        <v/>
      </c>
      <c r="Q189" s="29" t="str">
        <f t="shared" si="2307"/>
        <v/>
      </c>
      <c r="R189" s="29" t="str">
        <f t="shared" si="2308"/>
        <v/>
      </c>
      <c r="S189" s="29" t="str">
        <f>IF(S$8="","",R189)</f>
        <v/>
      </c>
      <c r="T189" s="29" t="str">
        <f t="shared" si="2309"/>
        <v/>
      </c>
      <c r="U189" s="29" t="str">
        <f t="shared" si="2310"/>
        <v/>
      </c>
      <c r="V189" s="29" t="str">
        <f>IF(V$8="","",U189)</f>
        <v/>
      </c>
      <c r="W189" s="29" t="str">
        <f t="shared" si="2311"/>
        <v/>
      </c>
      <c r="X189" s="29" t="str">
        <f t="shared" si="2312"/>
        <v/>
      </c>
      <c r="Y189" s="29" t="str">
        <f t="shared" si="2313"/>
        <v/>
      </c>
      <c r="Z189" s="29" t="str">
        <f>IF(Z$8="","",Y189)</f>
        <v/>
      </c>
      <c r="AA189" s="29" t="str">
        <f t="shared" si="2314"/>
        <v/>
      </c>
      <c r="AB189" s="29" t="str">
        <f t="shared" si="2315"/>
        <v/>
      </c>
      <c r="AC189" s="29" t="str">
        <f t="shared" si="2316"/>
        <v/>
      </c>
      <c r="AD189" s="29" t="str">
        <f t="shared" ref="AD189" si="2326">IF(AD$8="","",AC189)</f>
        <v/>
      </c>
      <c r="AE189" s="29" t="str">
        <f t="shared" si="2317"/>
        <v/>
      </c>
      <c r="AF189" s="29" t="str">
        <f t="shared" si="2318"/>
        <v/>
      </c>
      <c r="AG189" s="29" t="str">
        <f>IF(AG$8="","",AF189)</f>
        <v/>
      </c>
      <c r="AH189" s="29" t="str">
        <f t="shared" si="2319"/>
        <v/>
      </c>
      <c r="AI189" s="29" t="str">
        <f t="shared" si="2320"/>
        <v/>
      </c>
      <c r="AJ189" s="29" t="str">
        <f t="shared" ref="AJ188:AJ189" si="2327">IF(AJ$8="","",AI189)</f>
        <v/>
      </c>
      <c r="AK189" s="29" t="str">
        <f t="shared" si="2321"/>
        <v/>
      </c>
      <c r="AL189" s="29" t="str">
        <f t="shared" si="2322"/>
        <v/>
      </c>
      <c r="AM189" s="29" t="str">
        <f t="shared" si="2323"/>
        <v/>
      </c>
      <c r="AN189" s="29" t="str">
        <f>IF(AN$8="","",AM189)</f>
        <v/>
      </c>
      <c r="AO189" s="29" t="str">
        <f t="shared" ref="AN189:AS189" si="2328">IF(AO$8="","",AN189)</f>
        <v/>
      </c>
      <c r="AP189" s="29" t="str">
        <f t="shared" si="2328"/>
        <v/>
      </c>
      <c r="AQ189" s="29" t="str">
        <f t="shared" si="2328"/>
        <v/>
      </c>
      <c r="AR189" s="29" t="str">
        <f t="shared" si="2328"/>
        <v/>
      </c>
      <c r="AS189" s="29" t="str">
        <f t="shared" si="2328"/>
        <v/>
      </c>
    </row>
    <row r="190" spans="1:45" s="1" customFormat="1" ht="11.25" x14ac:dyDescent="0.15">
      <c r="A190" s="15">
        <v>1</v>
      </c>
      <c r="B190" s="30" t="s">
        <v>5</v>
      </c>
      <c r="C190" s="29">
        <v>6</v>
      </c>
      <c r="D190" s="29">
        <v>6</v>
      </c>
      <c r="E190" s="29">
        <v>7</v>
      </c>
      <c r="F190" s="29">
        <v>11</v>
      </c>
      <c r="G190" s="29">
        <v>11</v>
      </c>
      <c r="H190" s="29">
        <v>11</v>
      </c>
      <c r="I190" s="29">
        <v>11</v>
      </c>
      <c r="J190" s="29">
        <v>11</v>
      </c>
      <c r="K190" s="29">
        <v>11</v>
      </c>
      <c r="L190" s="29">
        <v>10</v>
      </c>
      <c r="M190" s="29">
        <f t="shared" ref="M190" si="2329">IF(M$8="","",(L190+L191))</f>
        <v>10</v>
      </c>
      <c r="N190" s="29">
        <f t="shared" ref="N190" si="2330">IF(N$8="","",(M190+M191))</f>
        <v>10</v>
      </c>
      <c r="O190" s="29">
        <f>IF(O$8="","",(N190+N191))</f>
        <v>10</v>
      </c>
      <c r="P190" s="29" t="str">
        <f t="shared" ref="P190" si="2331">IF(P$8="","",(O190+O191))</f>
        <v/>
      </c>
      <c r="Q190" s="29" t="str">
        <f t="shared" ref="Q190" si="2332">IF(Q$8="","",(P190+P191))</f>
        <v/>
      </c>
      <c r="R190" s="29" t="str">
        <f t="shared" ref="R190" si="2333">IF(R$8="","",(Q190+Q191))</f>
        <v/>
      </c>
      <c r="S190" s="29" t="str">
        <f>IF(S$8="","",(R190+R191))</f>
        <v/>
      </c>
      <c r="T190" s="29" t="str">
        <f t="shared" ref="T190" si="2334">IF(T$8="","",(S190+S191))</f>
        <v/>
      </c>
      <c r="U190" s="29" t="str">
        <f t="shared" ref="U190" si="2335">IF(U$8="","",(T190+T191))</f>
        <v/>
      </c>
      <c r="V190" s="29" t="str">
        <f>IF(V$8="","",(U190+U191))</f>
        <v/>
      </c>
      <c r="W190" s="29" t="str">
        <f t="shared" ref="W190" si="2336">IF(W$8="","",(V190+V191))</f>
        <v/>
      </c>
      <c r="X190" s="29" t="str">
        <f t="shared" ref="X190" si="2337">IF(X$8="","",(W190+W191))</f>
        <v/>
      </c>
      <c r="Y190" s="29" t="str">
        <f t="shared" ref="Y190" si="2338">IF(Y$8="","",(X190+X191))</f>
        <v/>
      </c>
      <c r="Z190" s="29" t="str">
        <f>IF(Z$8="","",(Y190+Y191))</f>
        <v/>
      </c>
      <c r="AA190" s="29" t="str">
        <f t="shared" ref="AA190" si="2339">IF(AA$8="","",(Z190+Z191))</f>
        <v/>
      </c>
      <c r="AB190" s="29" t="str">
        <f t="shared" ref="AB190" si="2340">IF(AB$8="","",(AA190+AA191))</f>
        <v/>
      </c>
      <c r="AC190" s="29" t="str">
        <f t="shared" ref="AC190" si="2341">IF(AC$8="","",(AB190+AB191))</f>
        <v/>
      </c>
      <c r="AD190" s="29" t="str">
        <f>IF(AD$8="","",(AC190+AC191))</f>
        <v/>
      </c>
      <c r="AE190" s="29" t="str">
        <f t="shared" ref="AE190" si="2342">IF(AE$8="","",(AD190+AD191))</f>
        <v/>
      </c>
      <c r="AF190" s="29" t="str">
        <f t="shared" ref="AF190" si="2343">IF(AF$8="","",(AE190+AE191))</f>
        <v/>
      </c>
      <c r="AG190" s="29" t="str">
        <f>IF(AG$8="","",(AF190+AF191))</f>
        <v/>
      </c>
      <c r="AH190" s="29" t="str">
        <f t="shared" ref="AH190" si="2344">IF(AH$8="","",(AG190+AG191))</f>
        <v/>
      </c>
      <c r="AI190" s="29" t="str">
        <f t="shared" ref="AI190" si="2345">IF(AI$8="","",(AH190+AH191))</f>
        <v/>
      </c>
      <c r="AJ190" s="29" t="str">
        <f t="shared" ref="AJ190" si="2346">IF(AJ$8="","",(AI190+AI191))</f>
        <v/>
      </c>
      <c r="AK190" s="29" t="str">
        <f t="shared" ref="AK190" si="2347">IF(AK$8="","",(AJ190+AJ191))</f>
        <v/>
      </c>
      <c r="AL190" s="29" t="str">
        <f t="shared" ref="AL190" si="2348">IF(AL$8="","",(AK190+AK191))</f>
        <v/>
      </c>
      <c r="AM190" s="29" t="str">
        <f t="shared" ref="AM190" si="2349">IF(AM$8="","",(AL190+AL191))</f>
        <v/>
      </c>
      <c r="AN190" s="29" t="str">
        <f>IF(AN$8="","",(AM190+AM191))</f>
        <v/>
      </c>
      <c r="AO190" s="29" t="str">
        <f t="shared" ref="AN190:AS190" si="2350">IF(AO$8="","",(AN190+AN191))</f>
        <v/>
      </c>
      <c r="AP190" s="29" t="str">
        <f t="shared" si="2350"/>
        <v/>
      </c>
      <c r="AQ190" s="29" t="str">
        <f t="shared" si="2350"/>
        <v/>
      </c>
      <c r="AR190" s="29" t="str">
        <f t="shared" si="2350"/>
        <v/>
      </c>
      <c r="AS190" s="29" t="str">
        <f t="shared" si="2350"/>
        <v/>
      </c>
    </row>
    <row r="191" spans="1:45" s="1" customFormat="1" ht="11.25" x14ac:dyDescent="0.15">
      <c r="A191" s="92" t="s">
        <v>6</v>
      </c>
      <c r="B191" s="30" t="s">
        <v>7</v>
      </c>
      <c r="C191" s="29"/>
      <c r="D191" s="29">
        <v>2</v>
      </c>
      <c r="E191" s="29">
        <v>4</v>
      </c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</row>
    <row r="192" spans="1:45" s="1" customFormat="1" ht="11.25" x14ac:dyDescent="0.15">
      <c r="A192" s="93">
        <f>+(A195+A207+A219+A231)*100</f>
        <v>81500</v>
      </c>
      <c r="B192" s="30" t="s">
        <v>8</v>
      </c>
      <c r="C192" s="35">
        <v>800</v>
      </c>
      <c r="D192" s="35">
        <v>800</v>
      </c>
      <c r="E192" s="35">
        <v>800</v>
      </c>
      <c r="F192" s="35">
        <v>800</v>
      </c>
      <c r="G192" s="35">
        <v>800</v>
      </c>
      <c r="H192" s="35">
        <v>800</v>
      </c>
      <c r="I192" s="35">
        <v>800</v>
      </c>
      <c r="J192" s="35">
        <v>800</v>
      </c>
      <c r="K192" s="35">
        <v>800</v>
      </c>
      <c r="L192" s="35">
        <v>800</v>
      </c>
      <c r="M192" s="35">
        <f t="shared" ref="M192:M193" si="2351">IF(M$8="","",L192)</f>
        <v>800</v>
      </c>
      <c r="N192" s="35">
        <f t="shared" ref="N192:N193" si="2352">IF(N$8="","",M192)</f>
        <v>800</v>
      </c>
      <c r="O192" s="35">
        <f t="shared" ref="O192:O193" si="2353">IF(O$8="","",N192)</f>
        <v>800</v>
      </c>
      <c r="P192" s="35" t="str">
        <f t="shared" ref="P192:P193" si="2354">IF(P$8="","",O192)</f>
        <v/>
      </c>
      <c r="Q192" s="35" t="str">
        <f t="shared" ref="Q192:Q193" si="2355">IF(Q$8="","",P192)</f>
        <v/>
      </c>
      <c r="R192" s="35" t="str">
        <f t="shared" ref="R192:R193" si="2356">IF(R$8="","",Q192)</f>
        <v/>
      </c>
      <c r="S192" s="35" t="str">
        <f t="shared" ref="S192:S193" si="2357">IF(S$8="","",R192)</f>
        <v/>
      </c>
      <c r="T192" s="35" t="str">
        <f t="shared" ref="T192:T193" si="2358">IF(T$8="","",S192)</f>
        <v/>
      </c>
      <c r="U192" s="35" t="str">
        <f t="shared" ref="U192:U193" si="2359">IF(U$8="","",T192)</f>
        <v/>
      </c>
      <c r="V192" s="35" t="str">
        <f t="shared" ref="V192:V193" si="2360">IF(V$8="","",U192)</f>
        <v/>
      </c>
      <c r="W192" s="35" t="str">
        <f t="shared" ref="W192:W193" si="2361">IF(W$8="","",V192)</f>
        <v/>
      </c>
      <c r="X192" s="35" t="str">
        <f t="shared" ref="X192:X193" si="2362">IF(X$8="","",W192)</f>
        <v/>
      </c>
      <c r="Y192" s="35" t="str">
        <f t="shared" ref="Y192:Y193" si="2363">IF(Y$8="","",X192)</f>
        <v/>
      </c>
      <c r="Z192" s="35" t="str">
        <f t="shared" ref="Z192:Z193" si="2364">IF(Z$8="","",Y192)</f>
        <v/>
      </c>
      <c r="AA192" s="35" t="str">
        <f t="shared" ref="AA192:AA193" si="2365">IF(AA$8="","",Z192)</f>
        <v/>
      </c>
      <c r="AB192" s="35" t="str">
        <f t="shared" ref="AB192:AB193" si="2366">IF(AB$8="","",AA192)</f>
        <v/>
      </c>
      <c r="AC192" s="35" t="str">
        <f t="shared" ref="AC192:AC193" si="2367">IF(AC$8="","",AB192)</f>
        <v/>
      </c>
      <c r="AD192" s="35" t="str">
        <f t="shared" ref="AD192:AD193" si="2368">IF(AD$8="","",AC192)</f>
        <v/>
      </c>
      <c r="AE192" s="35" t="str">
        <f t="shared" ref="AE192:AE193" si="2369">IF(AE$8="","",AD192)</f>
        <v/>
      </c>
      <c r="AF192" s="35" t="str">
        <f t="shared" ref="AF192:AF193" si="2370">IF(AF$8="","",AE192)</f>
        <v/>
      </c>
      <c r="AG192" s="35" t="str">
        <f t="shared" ref="AG192:AG193" si="2371">IF(AG$8="","",AF192)</f>
        <v/>
      </c>
      <c r="AH192" s="35" t="str">
        <f t="shared" ref="AH192:AH193" si="2372">IF(AH$8="","",AG192)</f>
        <v/>
      </c>
      <c r="AI192" s="35" t="str">
        <f t="shared" ref="AI192:AI193" si="2373">IF(AI$8="","",AH192)</f>
        <v/>
      </c>
      <c r="AJ192" s="35" t="str">
        <f t="shared" ref="AJ192:AJ193" si="2374">IF(AJ$8="","",AI192)</f>
        <v/>
      </c>
      <c r="AK192" s="35" t="str">
        <f t="shared" ref="AK192:AK193" si="2375">IF(AK$8="","",AJ192)</f>
        <v/>
      </c>
      <c r="AL192" s="35" t="str">
        <f t="shared" ref="AL192:AL193" si="2376">IF(AL$8="","",AK192)</f>
        <v/>
      </c>
      <c r="AM192" s="35" t="str">
        <f t="shared" ref="AM192:AM193" si="2377">IF(AM$8="","",AL192)</f>
        <v/>
      </c>
      <c r="AN192" s="35" t="str">
        <f t="shared" ref="AN192:AS192" si="2378">IF(AN$8="","",AM192)</f>
        <v/>
      </c>
      <c r="AO192" s="35" t="str">
        <f t="shared" si="2378"/>
        <v/>
      </c>
      <c r="AP192" s="35" t="str">
        <f t="shared" si="2378"/>
        <v/>
      </c>
      <c r="AQ192" s="35" t="str">
        <f t="shared" si="2378"/>
        <v/>
      </c>
      <c r="AR192" s="35" t="str">
        <f t="shared" si="2378"/>
        <v/>
      </c>
      <c r="AS192" s="35" t="str">
        <f t="shared" si="2378"/>
        <v/>
      </c>
    </row>
    <row r="193" spans="1:45" s="85" customFormat="1" ht="11.25" x14ac:dyDescent="0.15">
      <c r="A193" s="14" t="s">
        <v>9</v>
      </c>
      <c r="B193" s="33" t="s">
        <v>10</v>
      </c>
      <c r="C193" s="32" t="s">
        <v>39</v>
      </c>
      <c r="D193" s="32" t="s">
        <v>39</v>
      </c>
      <c r="E193" s="32" t="s">
        <v>360</v>
      </c>
      <c r="F193" s="32" t="s">
        <v>360</v>
      </c>
      <c r="G193" s="32" t="s">
        <v>360</v>
      </c>
      <c r="H193" s="32" t="s">
        <v>360</v>
      </c>
      <c r="I193" s="32" t="s">
        <v>360</v>
      </c>
      <c r="J193" s="32" t="s">
        <v>360</v>
      </c>
      <c r="K193" s="32" t="s">
        <v>360</v>
      </c>
      <c r="L193" s="32" t="s">
        <v>360</v>
      </c>
      <c r="M193" s="32" t="str">
        <f t="shared" si="2351"/>
        <v>パンケーキスクイーズ</v>
      </c>
      <c r="N193" s="32" t="str">
        <f t="shared" si="2352"/>
        <v>パンケーキスクイーズ</v>
      </c>
      <c r="O193" s="32" t="str">
        <f t="shared" si="2353"/>
        <v>パンケーキスクイーズ</v>
      </c>
      <c r="P193" s="32" t="str">
        <f t="shared" si="2354"/>
        <v/>
      </c>
      <c r="Q193" s="32" t="str">
        <f t="shared" si="2355"/>
        <v/>
      </c>
      <c r="R193" s="32" t="str">
        <f t="shared" si="2356"/>
        <v/>
      </c>
      <c r="S193" s="32" t="str">
        <f t="shared" si="2357"/>
        <v/>
      </c>
      <c r="T193" s="32" t="str">
        <f t="shared" si="2358"/>
        <v/>
      </c>
      <c r="U193" s="32" t="str">
        <f t="shared" si="2359"/>
        <v/>
      </c>
      <c r="V193" s="32" t="str">
        <f t="shared" si="2360"/>
        <v/>
      </c>
      <c r="W193" s="32" t="str">
        <f t="shared" si="2361"/>
        <v/>
      </c>
      <c r="X193" s="32" t="str">
        <f t="shared" si="2362"/>
        <v/>
      </c>
      <c r="Y193" s="32" t="str">
        <f t="shared" si="2363"/>
        <v/>
      </c>
      <c r="Z193" s="32" t="str">
        <f t="shared" si="2364"/>
        <v/>
      </c>
      <c r="AA193" s="32" t="str">
        <f t="shared" si="2365"/>
        <v/>
      </c>
      <c r="AB193" s="32" t="str">
        <f t="shared" si="2366"/>
        <v/>
      </c>
      <c r="AC193" s="32" t="str">
        <f t="shared" si="2367"/>
        <v/>
      </c>
      <c r="AD193" s="32" t="str">
        <f t="shared" si="2368"/>
        <v/>
      </c>
      <c r="AE193" s="32" t="str">
        <f t="shared" si="2369"/>
        <v/>
      </c>
      <c r="AF193" s="32" t="str">
        <f t="shared" si="2370"/>
        <v/>
      </c>
      <c r="AG193" s="32" t="str">
        <f>IF(AG$8="","",AF193)</f>
        <v/>
      </c>
      <c r="AH193" s="32" t="str">
        <f t="shared" si="2372"/>
        <v/>
      </c>
      <c r="AI193" s="32" t="str">
        <f t="shared" si="2373"/>
        <v/>
      </c>
      <c r="AJ193" s="32" t="str">
        <f t="shared" si="2374"/>
        <v/>
      </c>
      <c r="AK193" s="32" t="str">
        <f t="shared" si="2375"/>
        <v/>
      </c>
      <c r="AL193" s="32" t="str">
        <f t="shared" si="2376"/>
        <v/>
      </c>
      <c r="AM193" s="32" t="str">
        <f t="shared" si="2377"/>
        <v/>
      </c>
      <c r="AN193" s="32" t="str">
        <f t="shared" ref="AN193:AS193" si="2379">IF(AN$8="","",AM193)</f>
        <v/>
      </c>
      <c r="AO193" s="32" t="str">
        <f t="shared" si="2379"/>
        <v/>
      </c>
      <c r="AP193" s="32" t="str">
        <f t="shared" si="2379"/>
        <v/>
      </c>
      <c r="AQ193" s="32" t="str">
        <f t="shared" si="2379"/>
        <v/>
      </c>
      <c r="AR193" s="32" t="str">
        <f t="shared" si="2379"/>
        <v/>
      </c>
      <c r="AS193" s="32" t="str">
        <f t="shared" si="2379"/>
        <v/>
      </c>
    </row>
    <row r="194" spans="1:45" s="1" customFormat="1" ht="11.25" x14ac:dyDescent="0.15">
      <c r="A194" s="7">
        <f>AVERAGE(C195:AS195)*30*100</f>
        <v>75000</v>
      </c>
      <c r="B194" s="30" t="s">
        <v>12</v>
      </c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</row>
    <row r="195" spans="1:45" s="1" customFormat="1" ht="11.25" x14ac:dyDescent="0.15">
      <c r="A195" s="7">
        <f>SUM(C195:AS195)</f>
        <v>325</v>
      </c>
      <c r="B195" s="27" t="s">
        <v>13</v>
      </c>
      <c r="C195" s="26">
        <v>0</v>
      </c>
      <c r="D195" s="26">
        <v>0</v>
      </c>
      <c r="E195" s="26">
        <v>81</v>
      </c>
      <c r="F195" s="26">
        <v>0</v>
      </c>
      <c r="G195" s="26">
        <v>0</v>
      </c>
      <c r="H195" s="26">
        <v>118</v>
      </c>
      <c r="I195" s="26">
        <v>0</v>
      </c>
      <c r="J195" s="26">
        <v>0</v>
      </c>
      <c r="K195" s="26">
        <v>0</v>
      </c>
      <c r="L195" s="26">
        <v>91</v>
      </c>
      <c r="M195" s="26">
        <f t="shared" ref="M195:M196" si="2380">IF(M$8="","",M188-L188)</f>
        <v>0</v>
      </c>
      <c r="N195" s="26">
        <f t="shared" ref="N195:N196" si="2381">IF(N$8="","",N188-M188)</f>
        <v>0</v>
      </c>
      <c r="O195" s="26">
        <f t="shared" ref="O195:O196" si="2382">IF(O$8="","",O188-N188)</f>
        <v>35</v>
      </c>
      <c r="P195" s="26" t="str">
        <f t="shared" ref="P195:P196" si="2383">IF(P$8="","",P188-O188)</f>
        <v/>
      </c>
      <c r="Q195" s="26" t="str">
        <f t="shared" ref="Q195:Q196" si="2384">IF(Q$8="","",Q188-P188)</f>
        <v/>
      </c>
      <c r="R195" s="26" t="str">
        <f t="shared" ref="R195:R196" si="2385">IF(R$8="","",R188-Q188)</f>
        <v/>
      </c>
      <c r="S195" s="26" t="str">
        <f t="shared" ref="S195:S196" si="2386">IF(S$8="","",S188-R188)</f>
        <v/>
      </c>
      <c r="T195" s="26" t="str">
        <f t="shared" ref="T195:T196" si="2387">IF(T$8="","",T188-S188)</f>
        <v/>
      </c>
      <c r="U195" s="26" t="str">
        <f t="shared" ref="U195:U196" si="2388">IF(U$8="","",U188-T188)</f>
        <v/>
      </c>
      <c r="V195" s="26" t="str">
        <f t="shared" ref="V195:V196" si="2389">IF(V$8="","",V188-U188)</f>
        <v/>
      </c>
      <c r="W195" s="26" t="str">
        <f t="shared" ref="W195:W196" si="2390">IF(W$8="","",W188-V188)</f>
        <v/>
      </c>
      <c r="X195" s="26" t="str">
        <f t="shared" ref="X195:X196" si="2391">IF(X$8="","",X188-W188)</f>
        <v/>
      </c>
      <c r="Y195" s="26" t="str">
        <f t="shared" ref="Y195:Y196" si="2392">IF(Y$8="","",Y188-X188)</f>
        <v/>
      </c>
      <c r="Z195" s="26" t="str">
        <f t="shared" ref="Z195:Z196" si="2393">IF(Z$8="","",Z188-Y188)</f>
        <v/>
      </c>
      <c r="AA195" s="26" t="str">
        <f t="shared" ref="AA195:AA196" si="2394">IF(AA$8="","",AA188-Z188)</f>
        <v/>
      </c>
      <c r="AB195" s="26" t="str">
        <f t="shared" ref="AB195:AB196" si="2395">IF(AB$8="","",AB188-AA188)</f>
        <v/>
      </c>
      <c r="AC195" s="26" t="str">
        <f t="shared" ref="AC195:AC196" si="2396">IF(AC$8="","",AC188-AB188)</f>
        <v/>
      </c>
      <c r="AD195" s="26" t="str">
        <f t="shared" ref="AD195:AD196" si="2397">IF(AD$8="","",AD188-AC188)</f>
        <v/>
      </c>
      <c r="AE195" s="26" t="str">
        <f t="shared" ref="AE195:AE196" si="2398">IF(AE$8="","",AE188-AD188)</f>
        <v/>
      </c>
      <c r="AF195" s="26" t="str">
        <f t="shared" ref="AF195:AF196" si="2399">IF(AF$8="","",AF188-AE188)</f>
        <v/>
      </c>
      <c r="AG195" s="26" t="str">
        <f t="shared" ref="AG195:AG196" si="2400">IF(AG$8="","",AG188-AF188)</f>
        <v/>
      </c>
      <c r="AH195" s="26" t="str">
        <f t="shared" ref="AH195:AH196" si="2401">IF(AH$8="","",AH188-AG188)</f>
        <v/>
      </c>
      <c r="AI195" s="26" t="str">
        <f t="shared" ref="AI195:AI196" si="2402">IF(AI$8="","",AI188-AH188)</f>
        <v/>
      </c>
      <c r="AJ195" s="26" t="str">
        <f t="shared" ref="AJ195:AJ196" si="2403">IF(AJ$8="","",AJ188-AI188)</f>
        <v/>
      </c>
      <c r="AK195" s="26" t="str">
        <f t="shared" ref="AK195:AK196" si="2404">IF(AK$8="","",AK188-AJ188)</f>
        <v/>
      </c>
      <c r="AL195" s="26" t="str">
        <f t="shared" ref="AL195:AL196" si="2405">IF(AL$8="","",AL188-AK188)</f>
        <v/>
      </c>
      <c r="AM195" s="26" t="str">
        <f t="shared" ref="AM195:AM196" si="2406">IF(AM$8="","",AM188-AL188)</f>
        <v/>
      </c>
      <c r="AN195" s="26" t="str">
        <f t="shared" ref="AN195:AS195" si="2407">IF(AN$8="","",AN188-AM188)</f>
        <v/>
      </c>
      <c r="AO195" s="26" t="str">
        <f t="shared" si="2407"/>
        <v/>
      </c>
      <c r="AP195" s="26" t="str">
        <f t="shared" si="2407"/>
        <v/>
      </c>
      <c r="AQ195" s="26" t="str">
        <f t="shared" si="2407"/>
        <v/>
      </c>
      <c r="AR195" s="26" t="str">
        <f t="shared" si="2407"/>
        <v/>
      </c>
      <c r="AS195" s="26" t="str">
        <f t="shared" si="2407"/>
        <v/>
      </c>
    </row>
    <row r="196" spans="1:45" s="1" customFormat="1" ht="11.25" x14ac:dyDescent="0.15">
      <c r="A196" s="7">
        <f>SUM(C196:AS196)</f>
        <v>2</v>
      </c>
      <c r="B196" s="27" t="s">
        <v>14</v>
      </c>
      <c r="C196" s="26">
        <v>0</v>
      </c>
      <c r="D196" s="26">
        <v>0</v>
      </c>
      <c r="E196" s="26">
        <v>1</v>
      </c>
      <c r="F196" s="26">
        <v>0</v>
      </c>
      <c r="G196" s="26">
        <v>0</v>
      </c>
      <c r="H196" s="26">
        <v>0</v>
      </c>
      <c r="I196" s="26">
        <v>0</v>
      </c>
      <c r="J196" s="26">
        <v>0</v>
      </c>
      <c r="K196" s="26">
        <v>0</v>
      </c>
      <c r="L196" s="26">
        <v>1</v>
      </c>
      <c r="M196" s="26">
        <f t="shared" si="2380"/>
        <v>0</v>
      </c>
      <c r="N196" s="26">
        <f t="shared" si="2381"/>
        <v>0</v>
      </c>
      <c r="O196" s="26">
        <f t="shared" si="2382"/>
        <v>0</v>
      </c>
      <c r="P196" s="26" t="str">
        <f t="shared" si="2383"/>
        <v/>
      </c>
      <c r="Q196" s="26" t="str">
        <f t="shared" si="2384"/>
        <v/>
      </c>
      <c r="R196" s="26" t="str">
        <f t="shared" si="2385"/>
        <v/>
      </c>
      <c r="S196" s="26" t="str">
        <f t="shared" si="2386"/>
        <v/>
      </c>
      <c r="T196" s="26" t="str">
        <f t="shared" si="2387"/>
        <v/>
      </c>
      <c r="U196" s="26" t="str">
        <f t="shared" si="2388"/>
        <v/>
      </c>
      <c r="V196" s="26" t="str">
        <f t="shared" si="2389"/>
        <v/>
      </c>
      <c r="W196" s="26" t="str">
        <f t="shared" si="2390"/>
        <v/>
      </c>
      <c r="X196" s="26" t="str">
        <f t="shared" si="2391"/>
        <v/>
      </c>
      <c r="Y196" s="26" t="str">
        <f t="shared" si="2392"/>
        <v/>
      </c>
      <c r="Z196" s="26" t="str">
        <f t="shared" si="2393"/>
        <v/>
      </c>
      <c r="AA196" s="26" t="str">
        <f t="shared" si="2394"/>
        <v/>
      </c>
      <c r="AB196" s="26" t="str">
        <f t="shared" si="2395"/>
        <v/>
      </c>
      <c r="AC196" s="26" t="str">
        <f t="shared" si="2396"/>
        <v/>
      </c>
      <c r="AD196" s="26" t="str">
        <f t="shared" si="2397"/>
        <v/>
      </c>
      <c r="AE196" s="26" t="str">
        <f t="shared" si="2398"/>
        <v/>
      </c>
      <c r="AF196" s="26" t="str">
        <f t="shared" si="2399"/>
        <v/>
      </c>
      <c r="AG196" s="26" t="str">
        <f t="shared" si="2400"/>
        <v/>
      </c>
      <c r="AH196" s="26" t="str">
        <f t="shared" si="2401"/>
        <v/>
      </c>
      <c r="AI196" s="26" t="str">
        <f t="shared" si="2402"/>
        <v/>
      </c>
      <c r="AJ196" s="26" t="str">
        <f t="shared" si="2403"/>
        <v/>
      </c>
      <c r="AK196" s="26" t="str">
        <f t="shared" si="2404"/>
        <v/>
      </c>
      <c r="AL196" s="26" t="str">
        <f t="shared" si="2405"/>
        <v/>
      </c>
      <c r="AM196" s="26" t="str">
        <f t="shared" si="2406"/>
        <v/>
      </c>
      <c r="AN196" s="26" t="str">
        <f t="shared" ref="AN196:AS196" si="2408">IF(AN$8="","",AN189-AM189)</f>
        <v/>
      </c>
      <c r="AO196" s="26" t="str">
        <f t="shared" si="2408"/>
        <v/>
      </c>
      <c r="AP196" s="26" t="str">
        <f t="shared" si="2408"/>
        <v/>
      </c>
      <c r="AQ196" s="26" t="str">
        <f t="shared" si="2408"/>
        <v/>
      </c>
      <c r="AR196" s="26" t="str">
        <f t="shared" si="2408"/>
        <v/>
      </c>
      <c r="AS196" s="26" t="str">
        <f t="shared" si="2408"/>
        <v/>
      </c>
    </row>
    <row r="197" spans="1:45" s="1" customFormat="1" ht="11.25" x14ac:dyDescent="0.15">
      <c r="A197" s="7">
        <f>SUM(C197:AS197)</f>
        <v>2</v>
      </c>
      <c r="B197" s="27" t="s">
        <v>15</v>
      </c>
      <c r="C197" s="26">
        <v>0</v>
      </c>
      <c r="D197" s="26">
        <v>0</v>
      </c>
      <c r="E197" s="26">
        <v>1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6">
        <v>0</v>
      </c>
      <c r="L197" s="26">
        <v>1</v>
      </c>
      <c r="M197" s="26">
        <f t="shared" ref="M197" si="2409">IF(M$8="","",L190+L191-M190)</f>
        <v>0</v>
      </c>
      <c r="N197" s="26">
        <f t="shared" ref="N197" si="2410">IF(N$8="","",M190+M191-N190)</f>
        <v>0</v>
      </c>
      <c r="O197" s="26">
        <f t="shared" ref="O197" si="2411">IF(O$8="","",N190+N191-O190)</f>
        <v>0</v>
      </c>
      <c r="P197" s="26" t="str">
        <f t="shared" ref="P197" si="2412">IF(P$8="","",O190+O191-P190)</f>
        <v/>
      </c>
      <c r="Q197" s="26" t="str">
        <f t="shared" ref="Q197" si="2413">IF(Q$8="","",P190+P191-Q190)</f>
        <v/>
      </c>
      <c r="R197" s="26" t="str">
        <f t="shared" ref="R197" si="2414">IF(R$8="","",Q190+Q191-R190)</f>
        <v/>
      </c>
      <c r="S197" s="26" t="str">
        <f t="shared" ref="S197" si="2415">IF(S$8="","",R190+R191-S190)</f>
        <v/>
      </c>
      <c r="T197" s="26" t="str">
        <f t="shared" ref="T197" si="2416">IF(T$8="","",S190+S191-T190)</f>
        <v/>
      </c>
      <c r="U197" s="26" t="str">
        <f t="shared" ref="U197" si="2417">IF(U$8="","",T190+T191-U190)</f>
        <v/>
      </c>
      <c r="V197" s="26" t="str">
        <f t="shared" ref="V197" si="2418">IF(V$8="","",U190+U191-V190)</f>
        <v/>
      </c>
      <c r="W197" s="26" t="str">
        <f t="shared" ref="W197" si="2419">IF(W$8="","",V190+V191-W190)</f>
        <v/>
      </c>
      <c r="X197" s="26" t="str">
        <f t="shared" ref="X197" si="2420">IF(X$8="","",W190+W191-X190)</f>
        <v/>
      </c>
      <c r="Y197" s="26" t="str">
        <f t="shared" ref="Y197" si="2421">IF(Y$8="","",X190+X191-Y190)</f>
        <v/>
      </c>
      <c r="Z197" s="26" t="str">
        <f t="shared" ref="Z197" si="2422">IF(Z$8="","",Y190+Y191-Z190)</f>
        <v/>
      </c>
      <c r="AA197" s="26" t="str">
        <f t="shared" ref="AA197" si="2423">IF(AA$8="","",Z190+Z191-AA190)</f>
        <v/>
      </c>
      <c r="AB197" s="26" t="str">
        <f t="shared" ref="AB197" si="2424">IF(AB$8="","",AA190+AA191-AB190)</f>
        <v/>
      </c>
      <c r="AC197" s="26" t="str">
        <f t="shared" ref="AC197" si="2425">IF(AC$8="","",AB190+AB191-AC190)</f>
        <v/>
      </c>
      <c r="AD197" s="26" t="str">
        <f t="shared" ref="AD197" si="2426">IF(AD$8="","",AC190+AC191-AD190)</f>
        <v/>
      </c>
      <c r="AE197" s="26" t="str">
        <f t="shared" ref="AE197" si="2427">IF(AE$8="","",AD190+AD191-AE190)</f>
        <v/>
      </c>
      <c r="AF197" s="26" t="str">
        <f t="shared" ref="AF197" si="2428">IF(AF$8="","",AE190+AE191-AF190)</f>
        <v/>
      </c>
      <c r="AG197" s="26" t="str">
        <f t="shared" ref="AG197" si="2429">IF(AG$8="","",AF190+AF191-AG190)</f>
        <v/>
      </c>
      <c r="AH197" s="26" t="str">
        <f t="shared" ref="AH197" si="2430">IF(AH$8="","",AG190+AG191-AH190)</f>
        <v/>
      </c>
      <c r="AI197" s="26" t="str">
        <f t="shared" ref="AI197" si="2431">IF(AI$8="","",AH190+AH191-AI190)</f>
        <v/>
      </c>
      <c r="AJ197" s="26" t="str">
        <f t="shared" ref="AJ197" si="2432">IF(AJ$8="","",AI190+AI191-AJ190)</f>
        <v/>
      </c>
      <c r="AK197" s="26" t="str">
        <f t="shared" ref="AK197" si="2433">IF(AK$8="","",AJ190+AJ191-AK190)</f>
        <v/>
      </c>
      <c r="AL197" s="26" t="str">
        <f t="shared" ref="AL197" si="2434">IF(AL$8="","",AK190+AK191-AL190)</f>
        <v/>
      </c>
      <c r="AM197" s="26" t="str">
        <f t="shared" ref="AM197" si="2435">IF(AM$8="","",AL190+AL191-AM190)</f>
        <v/>
      </c>
      <c r="AN197" s="26" t="str">
        <f t="shared" ref="AN197:AS197" si="2436">IF(AN$8="","",AM190+AM191-AN190)</f>
        <v/>
      </c>
      <c r="AO197" s="26" t="str">
        <f t="shared" si="2436"/>
        <v/>
      </c>
      <c r="AP197" s="26" t="str">
        <f t="shared" si="2436"/>
        <v/>
      </c>
      <c r="AQ197" s="26" t="str">
        <f t="shared" si="2436"/>
        <v/>
      </c>
      <c r="AR197" s="26" t="str">
        <f t="shared" si="2436"/>
        <v/>
      </c>
      <c r="AS197" s="26" t="str">
        <f t="shared" si="2436"/>
        <v/>
      </c>
    </row>
    <row r="198" spans="1:45" s="1" customFormat="1" ht="11.25" x14ac:dyDescent="0.15">
      <c r="A198" s="7">
        <f>SUM(C198:AS198)</f>
        <v>1600</v>
      </c>
      <c r="B198" s="27" t="s">
        <v>16</v>
      </c>
      <c r="C198" s="26">
        <v>0</v>
      </c>
      <c r="D198" s="26">
        <v>0</v>
      </c>
      <c r="E198" s="26">
        <v>800</v>
      </c>
      <c r="F198" s="26">
        <v>0</v>
      </c>
      <c r="G198" s="26">
        <v>0</v>
      </c>
      <c r="H198" s="26">
        <v>0</v>
      </c>
      <c r="I198" s="26">
        <v>0</v>
      </c>
      <c r="J198" s="26">
        <v>0</v>
      </c>
      <c r="K198" s="26">
        <v>0</v>
      </c>
      <c r="L198" s="26">
        <v>800</v>
      </c>
      <c r="M198" s="26">
        <f t="shared" ref="J198:AM198" si="2437">IF(M$8="","",M197*M192)</f>
        <v>0</v>
      </c>
      <c r="N198" s="26">
        <f t="shared" si="2437"/>
        <v>0</v>
      </c>
      <c r="O198" s="26">
        <f t="shared" si="2437"/>
        <v>0</v>
      </c>
      <c r="P198" s="26" t="str">
        <f t="shared" si="2437"/>
        <v/>
      </c>
      <c r="Q198" s="26" t="str">
        <f t="shared" si="2437"/>
        <v/>
      </c>
      <c r="R198" s="26" t="str">
        <f t="shared" si="2437"/>
        <v/>
      </c>
      <c r="S198" s="26" t="str">
        <f t="shared" si="2437"/>
        <v/>
      </c>
      <c r="T198" s="26" t="str">
        <f t="shared" si="2437"/>
        <v/>
      </c>
      <c r="U198" s="26" t="str">
        <f t="shared" si="2437"/>
        <v/>
      </c>
      <c r="V198" s="26" t="str">
        <f t="shared" si="2437"/>
        <v/>
      </c>
      <c r="W198" s="26" t="str">
        <f t="shared" si="2437"/>
        <v/>
      </c>
      <c r="X198" s="26" t="str">
        <f t="shared" si="2437"/>
        <v/>
      </c>
      <c r="Y198" s="26" t="str">
        <f t="shared" si="2437"/>
        <v/>
      </c>
      <c r="Z198" s="26" t="str">
        <f t="shared" si="2437"/>
        <v/>
      </c>
      <c r="AA198" s="26" t="str">
        <f t="shared" si="2437"/>
        <v/>
      </c>
      <c r="AB198" s="26" t="str">
        <f t="shared" si="2437"/>
        <v/>
      </c>
      <c r="AC198" s="26" t="str">
        <f t="shared" si="2437"/>
        <v/>
      </c>
      <c r="AD198" s="26" t="str">
        <f t="shared" si="2437"/>
        <v/>
      </c>
      <c r="AE198" s="26" t="str">
        <f t="shared" si="2437"/>
        <v/>
      </c>
      <c r="AF198" s="26" t="str">
        <f t="shared" si="2437"/>
        <v/>
      </c>
      <c r="AG198" s="26" t="str">
        <f t="shared" si="2437"/>
        <v/>
      </c>
      <c r="AH198" s="26" t="str">
        <f t="shared" si="2437"/>
        <v/>
      </c>
      <c r="AI198" s="26" t="str">
        <f t="shared" si="2437"/>
        <v/>
      </c>
      <c r="AJ198" s="26" t="str">
        <f t="shared" si="2437"/>
        <v/>
      </c>
      <c r="AK198" s="26" t="str">
        <f t="shared" si="2437"/>
        <v/>
      </c>
      <c r="AL198" s="26" t="str">
        <f t="shared" si="2437"/>
        <v/>
      </c>
      <c r="AM198" s="26" t="str">
        <f t="shared" si="2437"/>
        <v/>
      </c>
      <c r="AN198" s="26" t="str">
        <f t="shared" ref="AN198:AS198" si="2438">IF(AN$8="","",AN197*AN192)</f>
        <v/>
      </c>
      <c r="AO198" s="26" t="str">
        <f t="shared" si="2438"/>
        <v/>
      </c>
      <c r="AP198" s="26" t="str">
        <f t="shared" si="2438"/>
        <v/>
      </c>
      <c r="AQ198" s="26" t="str">
        <f t="shared" si="2438"/>
        <v/>
      </c>
      <c r="AR198" s="26" t="str">
        <f t="shared" si="2438"/>
        <v/>
      </c>
      <c r="AS198" s="26" t="str">
        <f t="shared" si="2438"/>
        <v/>
      </c>
    </row>
    <row r="199" spans="1:45" s="1" customFormat="1" ht="12" thickBot="1" x14ac:dyDescent="0.2">
      <c r="A199" s="4">
        <f>IF(A198="","",A198/(A195*100))</f>
        <v>4.9230769230769231E-2</v>
      </c>
      <c r="B199" s="27" t="s">
        <v>18</v>
      </c>
      <c r="C199" s="42" t="s">
        <v>19</v>
      </c>
      <c r="D199" s="42" t="s">
        <v>19</v>
      </c>
      <c r="E199" s="42">
        <v>9.8765432098765427E-2</v>
      </c>
      <c r="F199" s="42" t="s">
        <v>19</v>
      </c>
      <c r="G199" s="42" t="s">
        <v>19</v>
      </c>
      <c r="H199" s="42" t="s">
        <v>19</v>
      </c>
      <c r="I199" s="42" t="s">
        <v>19</v>
      </c>
      <c r="J199" s="42" t="s">
        <v>19</v>
      </c>
      <c r="K199" s="42" t="s">
        <v>19</v>
      </c>
      <c r="L199" s="42">
        <v>8.7912087912087919E-2</v>
      </c>
      <c r="M199" s="42" t="str">
        <f t="shared" ref="J199:AM199" si="2439">IF(M$8="","",IF(M198=0,"",M198/(M195*100)))</f>
        <v/>
      </c>
      <c r="N199" s="42" t="str">
        <f t="shared" si="2439"/>
        <v/>
      </c>
      <c r="O199" s="42" t="str">
        <f t="shared" si="2439"/>
        <v/>
      </c>
      <c r="P199" s="42" t="str">
        <f t="shared" si="2439"/>
        <v/>
      </c>
      <c r="Q199" s="42" t="str">
        <f t="shared" si="2439"/>
        <v/>
      </c>
      <c r="R199" s="42" t="str">
        <f t="shared" si="2439"/>
        <v/>
      </c>
      <c r="S199" s="42" t="str">
        <f t="shared" si="2439"/>
        <v/>
      </c>
      <c r="T199" s="42" t="str">
        <f t="shared" si="2439"/>
        <v/>
      </c>
      <c r="U199" s="42" t="str">
        <f t="shared" si="2439"/>
        <v/>
      </c>
      <c r="V199" s="42" t="str">
        <f t="shared" si="2439"/>
        <v/>
      </c>
      <c r="W199" s="42" t="str">
        <f t="shared" si="2439"/>
        <v/>
      </c>
      <c r="X199" s="42" t="str">
        <f t="shared" si="2439"/>
        <v/>
      </c>
      <c r="Y199" s="42" t="str">
        <f t="shared" si="2439"/>
        <v/>
      </c>
      <c r="Z199" s="42" t="str">
        <f t="shared" si="2439"/>
        <v/>
      </c>
      <c r="AA199" s="42" t="str">
        <f t="shared" si="2439"/>
        <v/>
      </c>
      <c r="AB199" s="42" t="str">
        <f t="shared" si="2439"/>
        <v/>
      </c>
      <c r="AC199" s="42" t="str">
        <f t="shared" si="2439"/>
        <v/>
      </c>
      <c r="AD199" s="42" t="str">
        <f t="shared" si="2439"/>
        <v/>
      </c>
      <c r="AE199" s="42" t="str">
        <f t="shared" si="2439"/>
        <v/>
      </c>
      <c r="AF199" s="42" t="str">
        <f t="shared" si="2439"/>
        <v/>
      </c>
      <c r="AG199" s="42" t="str">
        <f t="shared" si="2439"/>
        <v/>
      </c>
      <c r="AH199" s="42" t="str">
        <f t="shared" si="2439"/>
        <v/>
      </c>
      <c r="AI199" s="42" t="str">
        <f t="shared" si="2439"/>
        <v/>
      </c>
      <c r="AJ199" s="42" t="str">
        <f t="shared" si="2439"/>
        <v/>
      </c>
      <c r="AK199" s="42" t="str">
        <f t="shared" si="2439"/>
        <v/>
      </c>
      <c r="AL199" s="42" t="str">
        <f t="shared" si="2439"/>
        <v/>
      </c>
      <c r="AM199" s="42" t="str">
        <f t="shared" si="2439"/>
        <v/>
      </c>
      <c r="AN199" s="42" t="str">
        <f t="shared" ref="AN199:AS199" si="2440">IF(AN$8="","",IF(AN198=0,"",AN198/(AN195*100)))</f>
        <v/>
      </c>
      <c r="AO199" s="42" t="str">
        <f t="shared" si="2440"/>
        <v/>
      </c>
      <c r="AP199" s="42" t="str">
        <f t="shared" si="2440"/>
        <v/>
      </c>
      <c r="AQ199" s="42" t="str">
        <f t="shared" si="2440"/>
        <v/>
      </c>
      <c r="AR199" s="42" t="str">
        <f t="shared" si="2440"/>
        <v/>
      </c>
      <c r="AS199" s="42" t="str">
        <f t="shared" si="2440"/>
        <v/>
      </c>
    </row>
    <row r="200" spans="1:45" s="1" customFormat="1" ht="11.25" x14ac:dyDescent="0.15">
      <c r="A200" s="17" t="s">
        <v>83</v>
      </c>
      <c r="B200" s="41" t="s">
        <v>2</v>
      </c>
      <c r="C200" s="35">
        <v>6589</v>
      </c>
      <c r="D200" s="35">
        <v>6589</v>
      </c>
      <c r="E200" s="35">
        <v>6618</v>
      </c>
      <c r="F200" s="35">
        <v>6618</v>
      </c>
      <c r="G200" s="35">
        <v>6618</v>
      </c>
      <c r="H200" s="35">
        <v>6668</v>
      </c>
      <c r="I200" s="35">
        <v>6668</v>
      </c>
      <c r="J200" s="35">
        <v>6668</v>
      </c>
      <c r="K200" s="35">
        <v>6668</v>
      </c>
      <c r="L200" s="35">
        <v>6730</v>
      </c>
      <c r="M200" s="35">
        <f t="shared" ref="M200:M201" si="2441">IF(M$8="","",L200)</f>
        <v>6730</v>
      </c>
      <c r="N200" s="35">
        <f t="shared" ref="N200:N201" si="2442">IF(N$8="","",M200)</f>
        <v>6730</v>
      </c>
      <c r="O200" s="35">
        <v>6755</v>
      </c>
      <c r="P200" s="35" t="str">
        <f>IF(P$8="","",O200)</f>
        <v/>
      </c>
      <c r="Q200" s="35" t="str">
        <f t="shared" ref="Q200:Q201" si="2443">IF(Q$8="","",P200)</f>
        <v/>
      </c>
      <c r="R200" s="35" t="str">
        <f t="shared" ref="R200:R201" si="2444">IF(R$8="","",Q200)</f>
        <v/>
      </c>
      <c r="S200" s="35" t="str">
        <f>IF(S$8="","",R200)</f>
        <v/>
      </c>
      <c r="T200" s="35" t="str">
        <f t="shared" ref="T200:T201" si="2445">IF(T$8="","",S200)</f>
        <v/>
      </c>
      <c r="U200" s="35" t="str">
        <f t="shared" ref="U200:U201" si="2446">IF(U$8="","",T200)</f>
        <v/>
      </c>
      <c r="V200" s="35" t="str">
        <f>IF(V$8="","",U200)</f>
        <v/>
      </c>
      <c r="W200" s="35" t="str">
        <f t="shared" ref="W200:W201" si="2447">IF(W$8="","",V200)</f>
        <v/>
      </c>
      <c r="X200" s="35" t="str">
        <f t="shared" ref="X200:X201" si="2448">IF(X$8="","",W200)</f>
        <v/>
      </c>
      <c r="Y200" s="35" t="str">
        <f t="shared" ref="Y200:Y201" si="2449">IF(Y$8="","",X200)</f>
        <v/>
      </c>
      <c r="Z200" s="35" t="str">
        <f>IF(Z$8="","",Y200)</f>
        <v/>
      </c>
      <c r="AA200" s="35" t="str">
        <f t="shared" ref="AA200:AA201" si="2450">IF(AA$8="","",Z200)</f>
        <v/>
      </c>
      <c r="AB200" s="35" t="str">
        <f t="shared" ref="AB200:AB201" si="2451">IF(AB$8="","",AA200)</f>
        <v/>
      </c>
      <c r="AC200" s="35" t="str">
        <f t="shared" ref="AC200:AC201" si="2452">IF(AC$8="","",AB200)</f>
        <v/>
      </c>
      <c r="AD200" s="35" t="str">
        <f>IF(AD$8="","",AC200)</f>
        <v/>
      </c>
      <c r="AE200" s="35" t="str">
        <f t="shared" ref="AE200:AE201" si="2453">IF(AE$8="","",AD200)</f>
        <v/>
      </c>
      <c r="AF200" s="35" t="str">
        <f t="shared" ref="AF200:AF201" si="2454">IF(AF$8="","",AE200)</f>
        <v/>
      </c>
      <c r="AG200" s="35" t="str">
        <f>IF(AG$8="","",AF200)</f>
        <v/>
      </c>
      <c r="AH200" s="35" t="str">
        <f t="shared" ref="AH200:AH201" si="2455">IF(AH$8="","",AG200)</f>
        <v/>
      </c>
      <c r="AI200" s="35" t="str">
        <f t="shared" ref="AI200:AI201" si="2456">IF(AI$8="","",AH200)</f>
        <v/>
      </c>
      <c r="AJ200" s="35" t="str">
        <f>IF(AJ$8="","",AI200)</f>
        <v/>
      </c>
      <c r="AK200" s="35" t="str">
        <f t="shared" ref="AK200:AK201" si="2457">IF(AK$8="","",AJ200)</f>
        <v/>
      </c>
      <c r="AL200" s="35" t="str">
        <f t="shared" ref="AL200:AL201" si="2458">IF(AL$8="","",AK200)</f>
        <v/>
      </c>
      <c r="AM200" s="35" t="str">
        <f t="shared" ref="AM200:AM201" si="2459">IF(AM$8="","",AL200)</f>
        <v/>
      </c>
      <c r="AN200" s="35" t="str">
        <f>IF(AN$8="","",AM200)</f>
        <v/>
      </c>
      <c r="AO200" s="35" t="str">
        <f t="shared" ref="AN200:AS200" si="2460">IF(AO$8="","",AN200)</f>
        <v/>
      </c>
      <c r="AP200" s="35" t="str">
        <f t="shared" si="2460"/>
        <v/>
      </c>
      <c r="AQ200" s="35" t="str">
        <f t="shared" si="2460"/>
        <v/>
      </c>
      <c r="AR200" s="35" t="str">
        <f t="shared" si="2460"/>
        <v/>
      </c>
      <c r="AS200" s="35" t="str">
        <f t="shared" si="2460"/>
        <v/>
      </c>
    </row>
    <row r="201" spans="1:45" s="1" customFormat="1" ht="11.25" x14ac:dyDescent="0.15">
      <c r="A201" s="16" t="s">
        <v>89</v>
      </c>
      <c r="B201" s="30" t="s">
        <v>4</v>
      </c>
      <c r="C201" s="29">
        <v>144</v>
      </c>
      <c r="D201" s="29">
        <v>144</v>
      </c>
      <c r="E201" s="29">
        <v>144</v>
      </c>
      <c r="F201" s="29">
        <v>144</v>
      </c>
      <c r="G201" s="29">
        <v>144</v>
      </c>
      <c r="H201" s="29">
        <v>145</v>
      </c>
      <c r="I201" s="29">
        <v>145</v>
      </c>
      <c r="J201" s="29">
        <v>145</v>
      </c>
      <c r="K201" s="29">
        <v>145</v>
      </c>
      <c r="L201" s="29">
        <v>149</v>
      </c>
      <c r="M201" s="29">
        <f t="shared" si="2441"/>
        <v>149</v>
      </c>
      <c r="N201" s="29">
        <f t="shared" si="2442"/>
        <v>149</v>
      </c>
      <c r="O201" s="29">
        <v>150</v>
      </c>
      <c r="P201" s="29" t="str">
        <f>IF(P$8="","",O201)</f>
        <v/>
      </c>
      <c r="Q201" s="29" t="str">
        <f t="shared" si="2443"/>
        <v/>
      </c>
      <c r="R201" s="29" t="str">
        <f t="shared" si="2444"/>
        <v/>
      </c>
      <c r="S201" s="29" t="str">
        <f>IF(S$8="","",R201)</f>
        <v/>
      </c>
      <c r="T201" s="29" t="str">
        <f t="shared" si="2445"/>
        <v/>
      </c>
      <c r="U201" s="29" t="str">
        <f t="shared" si="2446"/>
        <v/>
      </c>
      <c r="V201" s="29" t="str">
        <f>IF(V$8="","",U201)</f>
        <v/>
      </c>
      <c r="W201" s="29" t="str">
        <f t="shared" si="2447"/>
        <v/>
      </c>
      <c r="X201" s="29" t="str">
        <f t="shared" si="2448"/>
        <v/>
      </c>
      <c r="Y201" s="29" t="str">
        <f t="shared" si="2449"/>
        <v/>
      </c>
      <c r="Z201" s="29" t="str">
        <f>IF(Z$8="","",Y201)</f>
        <v/>
      </c>
      <c r="AA201" s="29" t="str">
        <f t="shared" si="2450"/>
        <v/>
      </c>
      <c r="AB201" s="29" t="str">
        <f t="shared" si="2451"/>
        <v/>
      </c>
      <c r="AC201" s="29" t="str">
        <f t="shared" si="2452"/>
        <v/>
      </c>
      <c r="AD201" s="29" t="str">
        <f>IF(AD$8="","",AC201)</f>
        <v/>
      </c>
      <c r="AE201" s="29" t="str">
        <f t="shared" si="2453"/>
        <v/>
      </c>
      <c r="AF201" s="29" t="str">
        <f t="shared" si="2454"/>
        <v/>
      </c>
      <c r="AG201" s="29" t="str">
        <f>IF(AG$8="","",AF201)</f>
        <v/>
      </c>
      <c r="AH201" s="29" t="str">
        <f t="shared" si="2455"/>
        <v/>
      </c>
      <c r="AI201" s="29" t="str">
        <f t="shared" si="2456"/>
        <v/>
      </c>
      <c r="AJ201" s="29" t="str">
        <f>IF(AJ$8="","",AI201)</f>
        <v/>
      </c>
      <c r="AK201" s="29" t="str">
        <f t="shared" si="2457"/>
        <v/>
      </c>
      <c r="AL201" s="29" t="str">
        <f t="shared" si="2458"/>
        <v/>
      </c>
      <c r="AM201" s="29" t="str">
        <f t="shared" si="2459"/>
        <v/>
      </c>
      <c r="AN201" s="29" t="str">
        <f>IF(AN$8="","",AM201)</f>
        <v/>
      </c>
      <c r="AO201" s="29" t="str">
        <f t="shared" ref="AN201:AS201" si="2461">IF(AO$8="","",AN201)</f>
        <v/>
      </c>
      <c r="AP201" s="29" t="str">
        <f t="shared" si="2461"/>
        <v/>
      </c>
      <c r="AQ201" s="29" t="str">
        <f t="shared" si="2461"/>
        <v/>
      </c>
      <c r="AR201" s="29" t="str">
        <f t="shared" si="2461"/>
        <v/>
      </c>
      <c r="AS201" s="29" t="str">
        <f t="shared" si="2461"/>
        <v/>
      </c>
    </row>
    <row r="202" spans="1:45" s="1" customFormat="1" ht="11.25" x14ac:dyDescent="0.15">
      <c r="A202" s="15">
        <v>2</v>
      </c>
      <c r="B202" s="30" t="s">
        <v>5</v>
      </c>
      <c r="C202" s="29">
        <v>11</v>
      </c>
      <c r="D202" s="29">
        <v>11</v>
      </c>
      <c r="E202" s="29">
        <v>11</v>
      </c>
      <c r="F202" s="29">
        <v>11</v>
      </c>
      <c r="G202" s="29">
        <v>11</v>
      </c>
      <c r="H202" s="29">
        <v>10</v>
      </c>
      <c r="I202" s="29">
        <v>10</v>
      </c>
      <c r="J202" s="29">
        <v>10</v>
      </c>
      <c r="K202" s="29">
        <v>10</v>
      </c>
      <c r="L202" s="29">
        <v>8</v>
      </c>
      <c r="M202" s="29">
        <f t="shared" ref="M202" si="2462">IF(M$8="","",(L202+L203))</f>
        <v>8</v>
      </c>
      <c r="N202" s="29">
        <f t="shared" ref="N202" si="2463">IF(N$8="","",(M202+M203))</f>
        <v>8</v>
      </c>
      <c r="O202" s="29">
        <v>7</v>
      </c>
      <c r="P202" s="29" t="str">
        <f t="shared" ref="P202" si="2464">IF(P$8="","",(O202+O203))</f>
        <v/>
      </c>
      <c r="Q202" s="29" t="str">
        <f t="shared" ref="Q202" si="2465">IF(Q$8="","",(P202+P203))</f>
        <v/>
      </c>
      <c r="R202" s="29" t="str">
        <f t="shared" ref="R202" si="2466">IF(R$8="","",(Q202+Q203))</f>
        <v/>
      </c>
      <c r="S202" s="29" t="str">
        <f>IF(S$8="","",(R202+R203))</f>
        <v/>
      </c>
      <c r="T202" s="29" t="str">
        <f t="shared" ref="T202" si="2467">IF(T$8="","",(S202+S203))</f>
        <v/>
      </c>
      <c r="U202" s="29" t="str">
        <f t="shared" ref="U202" si="2468">IF(U$8="","",(T202+T203))</f>
        <v/>
      </c>
      <c r="V202" s="29" t="str">
        <f>IF(V$8="","",(U202+U203))</f>
        <v/>
      </c>
      <c r="W202" s="29" t="str">
        <f t="shared" ref="W202" si="2469">IF(W$8="","",(V202+V203))</f>
        <v/>
      </c>
      <c r="X202" s="29" t="str">
        <f t="shared" ref="X202" si="2470">IF(X$8="","",(W202+W203))</f>
        <v/>
      </c>
      <c r="Y202" s="29" t="str">
        <f t="shared" ref="Y202" si="2471">IF(Y$8="","",(X202+X203))</f>
        <v/>
      </c>
      <c r="Z202" s="29" t="str">
        <f>IF(Z$8="","",(Y202+Y203))</f>
        <v/>
      </c>
      <c r="AA202" s="29" t="str">
        <f t="shared" ref="AA202" si="2472">IF(AA$8="","",(Z202+Z203))</f>
        <v/>
      </c>
      <c r="AB202" s="29" t="str">
        <f t="shared" ref="AB202" si="2473">IF(AB$8="","",(AA202+AA203))</f>
        <v/>
      </c>
      <c r="AC202" s="29" t="str">
        <f t="shared" ref="AC202" si="2474">IF(AC$8="","",(AB202+AB203))</f>
        <v/>
      </c>
      <c r="AD202" s="29" t="str">
        <f>IF(AD$8="","",(AC202+AC203))</f>
        <v/>
      </c>
      <c r="AE202" s="29" t="str">
        <f t="shared" ref="AE202" si="2475">IF(AE$8="","",(AD202+AD203))</f>
        <v/>
      </c>
      <c r="AF202" s="29" t="str">
        <f t="shared" ref="AF202" si="2476">IF(AF$8="","",(AE202+AE203))</f>
        <v/>
      </c>
      <c r="AG202" s="29" t="str">
        <f t="shared" ref="AG202" si="2477">IF(AG$8="","",(AF202+AF203))</f>
        <v/>
      </c>
      <c r="AH202" s="29" t="str">
        <f t="shared" ref="AH202" si="2478">IF(AH$8="","",(AG202+AG203))</f>
        <v/>
      </c>
      <c r="AI202" s="29" t="str">
        <f t="shared" ref="AI202" si="2479">IF(AI$8="","",(AH202+AH203))</f>
        <v/>
      </c>
      <c r="AJ202" s="29" t="str">
        <f>IF(AJ$8="","",(AI202+AI203))</f>
        <v/>
      </c>
      <c r="AK202" s="29" t="str">
        <f t="shared" ref="AK202" si="2480">IF(AK$8="","",(AJ202+AJ203))</f>
        <v/>
      </c>
      <c r="AL202" s="29" t="str">
        <f t="shared" ref="AL202" si="2481">IF(AL$8="","",(AK202+AK203))</f>
        <v/>
      </c>
      <c r="AM202" s="29" t="str">
        <f t="shared" ref="AM202" si="2482">IF(AM$8="","",(AL202+AL203))</f>
        <v/>
      </c>
      <c r="AN202" s="29" t="str">
        <f>IF(AN$8="","",(AM202+AM203))</f>
        <v/>
      </c>
      <c r="AO202" s="29" t="str">
        <f t="shared" ref="AN202:AS202" si="2483">IF(AO$8="","",(AN202+AN203))</f>
        <v/>
      </c>
      <c r="AP202" s="29" t="str">
        <f t="shared" si="2483"/>
        <v/>
      </c>
      <c r="AQ202" s="29" t="str">
        <f t="shared" si="2483"/>
        <v/>
      </c>
      <c r="AR202" s="29" t="str">
        <f t="shared" si="2483"/>
        <v/>
      </c>
      <c r="AS202" s="29" t="str">
        <f t="shared" si="2483"/>
        <v/>
      </c>
    </row>
    <row r="203" spans="1:45" s="1" customFormat="1" ht="11.25" x14ac:dyDescent="0.15">
      <c r="A203" s="14"/>
      <c r="B203" s="30" t="s">
        <v>7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>
        <v>5</v>
      </c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</row>
    <row r="204" spans="1:45" s="1" customFormat="1" ht="11.25" x14ac:dyDescent="0.15">
      <c r="A204" s="7"/>
      <c r="B204" s="30" t="s">
        <v>8</v>
      </c>
      <c r="C204" s="35">
        <v>400</v>
      </c>
      <c r="D204" s="35">
        <v>400</v>
      </c>
      <c r="E204" s="35">
        <v>400</v>
      </c>
      <c r="F204" s="35">
        <v>400</v>
      </c>
      <c r="G204" s="35">
        <v>400</v>
      </c>
      <c r="H204" s="35">
        <v>400</v>
      </c>
      <c r="I204" s="35">
        <v>400</v>
      </c>
      <c r="J204" s="35">
        <v>400</v>
      </c>
      <c r="K204" s="35">
        <v>400</v>
      </c>
      <c r="L204" s="35">
        <v>400</v>
      </c>
      <c r="M204" s="35">
        <f t="shared" ref="M204:M205" si="2484">IF(M$8="","",L204)</f>
        <v>400</v>
      </c>
      <c r="N204" s="35">
        <f t="shared" ref="N204:N205" si="2485">IF(N$8="","",M204)</f>
        <v>400</v>
      </c>
      <c r="O204" s="35">
        <f t="shared" ref="O204:O205" si="2486">IF(O$8="","",N204)</f>
        <v>400</v>
      </c>
      <c r="P204" s="35" t="str">
        <f t="shared" ref="P204:P205" si="2487">IF(P$8="","",O204)</f>
        <v/>
      </c>
      <c r="Q204" s="35" t="str">
        <f t="shared" ref="Q204:Q205" si="2488">IF(Q$8="","",P204)</f>
        <v/>
      </c>
      <c r="R204" s="35" t="str">
        <f t="shared" ref="R204:R205" si="2489">IF(R$8="","",Q204)</f>
        <v/>
      </c>
      <c r="S204" s="35" t="str">
        <f t="shared" ref="S204:S205" si="2490">IF(S$8="","",R204)</f>
        <v/>
      </c>
      <c r="T204" s="35" t="str">
        <f t="shared" ref="T204:T205" si="2491">IF(T$8="","",S204)</f>
        <v/>
      </c>
      <c r="U204" s="35" t="str">
        <f t="shared" ref="U204:U205" si="2492">IF(U$8="","",T204)</f>
        <v/>
      </c>
      <c r="V204" s="35" t="str">
        <f t="shared" ref="V204" si="2493">IF(V$8="","",U204)</f>
        <v/>
      </c>
      <c r="W204" s="35" t="str">
        <f t="shared" ref="W204:W205" si="2494">IF(W$8="","",V204)</f>
        <v/>
      </c>
      <c r="X204" s="35" t="str">
        <f t="shared" ref="X204:X205" si="2495">IF(X$8="","",W204)</f>
        <v/>
      </c>
      <c r="Y204" s="35" t="str">
        <f t="shared" ref="Y204:Y205" si="2496">IF(Y$8="","",X204)</f>
        <v/>
      </c>
      <c r="Z204" s="35" t="str">
        <f t="shared" ref="Z204:Z205" si="2497">IF(Z$8="","",Y204)</f>
        <v/>
      </c>
      <c r="AA204" s="35" t="str">
        <f t="shared" ref="AA204:AA205" si="2498">IF(AA$8="","",Z204)</f>
        <v/>
      </c>
      <c r="AB204" s="35" t="str">
        <f t="shared" ref="AB204:AB205" si="2499">IF(AB$8="","",AA204)</f>
        <v/>
      </c>
      <c r="AC204" s="35" t="str">
        <f t="shared" ref="AC204:AC205" si="2500">IF(AC$8="","",AB204)</f>
        <v/>
      </c>
      <c r="AD204" s="35" t="str">
        <f t="shared" ref="AD204:AD205" si="2501">IF(AD$8="","",AC204)</f>
        <v/>
      </c>
      <c r="AE204" s="35" t="str">
        <f t="shared" ref="AE204:AE205" si="2502">IF(AE$8="","",AD204)</f>
        <v/>
      </c>
      <c r="AF204" s="35" t="str">
        <f t="shared" ref="AF204:AF205" si="2503">IF(AF$8="","",AE204)</f>
        <v/>
      </c>
      <c r="AG204" s="35" t="str">
        <f t="shared" ref="AG204:AG205" si="2504">IF(AG$8="","",AF204)</f>
        <v/>
      </c>
      <c r="AH204" s="35" t="str">
        <f t="shared" ref="AH204:AH205" si="2505">IF(AH$8="","",AG204)</f>
        <v/>
      </c>
      <c r="AI204" s="35" t="str">
        <f t="shared" ref="AI204:AI205" si="2506">IF(AI$8="","",AH204)</f>
        <v/>
      </c>
      <c r="AJ204" s="35" t="str">
        <f t="shared" ref="AJ204:AJ205" si="2507">IF(AJ$8="","",AI204)</f>
        <v/>
      </c>
      <c r="AK204" s="35" t="str">
        <f t="shared" ref="AK204:AK205" si="2508">IF(AK$8="","",AJ204)</f>
        <v/>
      </c>
      <c r="AL204" s="35" t="str">
        <f t="shared" ref="AL204:AL205" si="2509">IF(AL$8="","",AK204)</f>
        <v/>
      </c>
      <c r="AM204" s="35" t="str">
        <f t="shared" ref="AM204:AM205" si="2510">IF(AM$8="","",AL204)</f>
        <v/>
      </c>
      <c r="AN204" s="35" t="str">
        <f t="shared" ref="AN204:AS204" si="2511">IF(AN$8="","",AM204)</f>
        <v/>
      </c>
      <c r="AO204" s="35" t="str">
        <f t="shared" si="2511"/>
        <v/>
      </c>
      <c r="AP204" s="35" t="str">
        <f t="shared" si="2511"/>
        <v/>
      </c>
      <c r="AQ204" s="35" t="str">
        <f t="shared" si="2511"/>
        <v/>
      </c>
      <c r="AR204" s="35" t="str">
        <f t="shared" si="2511"/>
        <v/>
      </c>
      <c r="AS204" s="35" t="str">
        <f t="shared" si="2511"/>
        <v/>
      </c>
    </row>
    <row r="205" spans="1:45" s="85" customFormat="1" ht="11.25" x14ac:dyDescent="0.15">
      <c r="A205" s="14" t="s">
        <v>9</v>
      </c>
      <c r="B205" s="33" t="s">
        <v>10</v>
      </c>
      <c r="C205" s="32" t="s">
        <v>339</v>
      </c>
      <c r="D205" s="32" t="s">
        <v>339</v>
      </c>
      <c r="E205" s="32" t="s">
        <v>339</v>
      </c>
      <c r="F205" s="32" t="s">
        <v>339</v>
      </c>
      <c r="G205" s="32" t="s">
        <v>339</v>
      </c>
      <c r="H205" s="32" t="s">
        <v>339</v>
      </c>
      <c r="I205" s="32" t="s">
        <v>339</v>
      </c>
      <c r="J205" s="32" t="s">
        <v>339</v>
      </c>
      <c r="K205" s="32" t="s">
        <v>339</v>
      </c>
      <c r="L205" s="32" t="s">
        <v>339</v>
      </c>
      <c r="M205" s="32" t="str">
        <f t="shared" si="2484"/>
        <v>モンチッチマスコットフルーツ</v>
      </c>
      <c r="N205" s="32" t="str">
        <f t="shared" si="2485"/>
        <v>モンチッチマスコットフルーツ</v>
      </c>
      <c r="O205" s="32" t="str">
        <f t="shared" si="2486"/>
        <v>モンチッチマスコットフルーツ</v>
      </c>
      <c r="P205" s="32" t="str">
        <f t="shared" si="2487"/>
        <v/>
      </c>
      <c r="Q205" s="32" t="str">
        <f t="shared" si="2488"/>
        <v/>
      </c>
      <c r="R205" s="32" t="str">
        <f t="shared" si="2489"/>
        <v/>
      </c>
      <c r="S205" s="32" t="str">
        <f t="shared" si="2490"/>
        <v/>
      </c>
      <c r="T205" s="32" t="str">
        <f t="shared" si="2491"/>
        <v/>
      </c>
      <c r="U205" s="32" t="str">
        <f t="shared" si="2492"/>
        <v/>
      </c>
      <c r="V205" s="32" t="str">
        <f>IF(V$8="","",U205)</f>
        <v/>
      </c>
      <c r="W205" s="32" t="str">
        <f t="shared" si="2494"/>
        <v/>
      </c>
      <c r="X205" s="32" t="str">
        <f t="shared" si="2495"/>
        <v/>
      </c>
      <c r="Y205" s="32" t="str">
        <f t="shared" si="2496"/>
        <v/>
      </c>
      <c r="Z205" s="32" t="str">
        <f t="shared" si="2497"/>
        <v/>
      </c>
      <c r="AA205" s="32" t="str">
        <f t="shared" si="2498"/>
        <v/>
      </c>
      <c r="AB205" s="32" t="str">
        <f t="shared" si="2499"/>
        <v/>
      </c>
      <c r="AC205" s="32" t="str">
        <f t="shared" si="2500"/>
        <v/>
      </c>
      <c r="AD205" s="32" t="str">
        <f t="shared" si="2501"/>
        <v/>
      </c>
      <c r="AE205" s="32" t="str">
        <f t="shared" si="2502"/>
        <v/>
      </c>
      <c r="AF205" s="32" t="str">
        <f t="shared" si="2503"/>
        <v/>
      </c>
      <c r="AG205" s="32" t="str">
        <f t="shared" si="2504"/>
        <v/>
      </c>
      <c r="AH205" s="32" t="str">
        <f t="shared" si="2505"/>
        <v/>
      </c>
      <c r="AI205" s="32" t="str">
        <f t="shared" si="2506"/>
        <v/>
      </c>
      <c r="AJ205" s="32" t="str">
        <f t="shared" si="2507"/>
        <v/>
      </c>
      <c r="AK205" s="32" t="str">
        <f t="shared" si="2508"/>
        <v/>
      </c>
      <c r="AL205" s="32" t="str">
        <f t="shared" si="2509"/>
        <v/>
      </c>
      <c r="AM205" s="32" t="str">
        <f t="shared" si="2510"/>
        <v/>
      </c>
      <c r="AN205" s="32" t="str">
        <f t="shared" ref="AN205:AS205" si="2512">IF(AN$8="","",AM205)</f>
        <v/>
      </c>
      <c r="AO205" s="32" t="str">
        <f t="shared" si="2512"/>
        <v/>
      </c>
      <c r="AP205" s="32" t="str">
        <f t="shared" si="2512"/>
        <v/>
      </c>
      <c r="AQ205" s="32" t="str">
        <f t="shared" si="2512"/>
        <v/>
      </c>
      <c r="AR205" s="32" t="str">
        <f t="shared" si="2512"/>
        <v/>
      </c>
      <c r="AS205" s="32" t="str">
        <f t="shared" si="2512"/>
        <v/>
      </c>
    </row>
    <row r="206" spans="1:45" s="1" customFormat="1" ht="11.25" x14ac:dyDescent="0.15">
      <c r="A206" s="7">
        <f>AVERAGE(C207:AS207)*30*100</f>
        <v>38307.692307692312</v>
      </c>
      <c r="B206" s="30" t="s">
        <v>12</v>
      </c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</row>
    <row r="207" spans="1:45" s="1" customFormat="1" ht="11.25" x14ac:dyDescent="0.15">
      <c r="A207" s="7">
        <f>SUM(C207:AS207)</f>
        <v>166</v>
      </c>
      <c r="B207" s="27" t="s">
        <v>13</v>
      </c>
      <c r="C207" s="26">
        <v>0</v>
      </c>
      <c r="D207" s="26">
        <v>0</v>
      </c>
      <c r="E207" s="26">
        <v>29</v>
      </c>
      <c r="F207" s="26">
        <v>0</v>
      </c>
      <c r="G207" s="26">
        <v>0</v>
      </c>
      <c r="H207" s="26">
        <v>50</v>
      </c>
      <c r="I207" s="26">
        <v>0</v>
      </c>
      <c r="J207" s="26">
        <v>0</v>
      </c>
      <c r="K207" s="26">
        <v>0</v>
      </c>
      <c r="L207" s="26">
        <v>62</v>
      </c>
      <c r="M207" s="26">
        <f t="shared" ref="M207:M208" si="2513">IF(M$8="","",M200-L200)</f>
        <v>0</v>
      </c>
      <c r="N207" s="26">
        <f t="shared" ref="N207:N208" si="2514">IF(N$8="","",N200-M200)</f>
        <v>0</v>
      </c>
      <c r="O207" s="26">
        <f t="shared" ref="O207:O208" si="2515">IF(O$8="","",O200-N200)</f>
        <v>25</v>
      </c>
      <c r="P207" s="26" t="str">
        <f t="shared" ref="P207:P208" si="2516">IF(P$8="","",P200-O200)</f>
        <v/>
      </c>
      <c r="Q207" s="26" t="str">
        <f t="shared" ref="Q207:Q208" si="2517">IF(Q$8="","",Q200-P200)</f>
        <v/>
      </c>
      <c r="R207" s="26" t="str">
        <f t="shared" ref="R207:R208" si="2518">IF(R$8="","",R200-Q200)</f>
        <v/>
      </c>
      <c r="S207" s="26" t="str">
        <f t="shared" ref="S207:S208" si="2519">IF(S$8="","",S200-R200)</f>
        <v/>
      </c>
      <c r="T207" s="26" t="str">
        <f t="shared" ref="T207:T208" si="2520">IF(T$8="","",T200-S200)</f>
        <v/>
      </c>
      <c r="U207" s="26" t="str">
        <f t="shared" ref="U207:U208" si="2521">IF(U$8="","",U200-T200)</f>
        <v/>
      </c>
      <c r="V207" s="26" t="str">
        <f t="shared" ref="V207:V208" si="2522">IF(V$8="","",V200-U200)</f>
        <v/>
      </c>
      <c r="W207" s="26" t="str">
        <f t="shared" ref="W207:W208" si="2523">IF(W$8="","",W200-V200)</f>
        <v/>
      </c>
      <c r="X207" s="26" t="str">
        <f t="shared" ref="X207:X208" si="2524">IF(X$8="","",X200-W200)</f>
        <v/>
      </c>
      <c r="Y207" s="26" t="str">
        <f t="shared" ref="Y207:Y208" si="2525">IF(Y$8="","",Y200-X200)</f>
        <v/>
      </c>
      <c r="Z207" s="26" t="str">
        <f t="shared" ref="Z207:Z208" si="2526">IF(Z$8="","",Z200-Y200)</f>
        <v/>
      </c>
      <c r="AA207" s="26" t="str">
        <f t="shared" ref="AA207:AA208" si="2527">IF(AA$8="","",AA200-Z200)</f>
        <v/>
      </c>
      <c r="AB207" s="26" t="str">
        <f t="shared" ref="AB207:AB208" si="2528">IF(AB$8="","",AB200-AA200)</f>
        <v/>
      </c>
      <c r="AC207" s="26" t="str">
        <f t="shared" ref="AC207:AC208" si="2529">IF(AC$8="","",AC200-AB200)</f>
        <v/>
      </c>
      <c r="AD207" s="26" t="str">
        <f t="shared" ref="AD207:AD208" si="2530">IF(AD$8="","",AD200-AC200)</f>
        <v/>
      </c>
      <c r="AE207" s="26" t="str">
        <f t="shared" ref="AE207:AE208" si="2531">IF(AE$8="","",AE200-AD200)</f>
        <v/>
      </c>
      <c r="AF207" s="26" t="str">
        <f t="shared" ref="AF207:AF208" si="2532">IF(AF$8="","",AF200-AE200)</f>
        <v/>
      </c>
      <c r="AG207" s="26" t="str">
        <f t="shared" ref="AG207:AG208" si="2533">IF(AG$8="","",AG200-AF200)</f>
        <v/>
      </c>
      <c r="AH207" s="26" t="str">
        <f t="shared" ref="AH207:AH208" si="2534">IF(AH$8="","",AH200-AG200)</f>
        <v/>
      </c>
      <c r="AI207" s="26" t="str">
        <f t="shared" ref="AI207:AI208" si="2535">IF(AI$8="","",AI200-AH200)</f>
        <v/>
      </c>
      <c r="AJ207" s="26" t="str">
        <f t="shared" ref="AJ207:AJ208" si="2536">IF(AJ$8="","",AJ200-AI200)</f>
        <v/>
      </c>
      <c r="AK207" s="26" t="str">
        <f t="shared" ref="AK207:AK208" si="2537">IF(AK$8="","",AK200-AJ200)</f>
        <v/>
      </c>
      <c r="AL207" s="26" t="str">
        <f t="shared" ref="AL207:AL208" si="2538">IF(AL$8="","",AL200-AK200)</f>
        <v/>
      </c>
      <c r="AM207" s="26" t="str">
        <f t="shared" ref="AM207:AM208" si="2539">IF(AM$8="","",AM200-AL200)</f>
        <v/>
      </c>
      <c r="AN207" s="26" t="str">
        <f t="shared" ref="AN207:AS207" si="2540">IF(AN$8="","",AN200-AM200)</f>
        <v/>
      </c>
      <c r="AO207" s="26" t="str">
        <f t="shared" si="2540"/>
        <v/>
      </c>
      <c r="AP207" s="26" t="str">
        <f t="shared" si="2540"/>
        <v/>
      </c>
      <c r="AQ207" s="26" t="str">
        <f t="shared" si="2540"/>
        <v/>
      </c>
      <c r="AR207" s="26" t="str">
        <f t="shared" si="2540"/>
        <v/>
      </c>
      <c r="AS207" s="26" t="str">
        <f t="shared" si="2540"/>
        <v/>
      </c>
    </row>
    <row r="208" spans="1:45" s="1" customFormat="1" ht="11.25" x14ac:dyDescent="0.15">
      <c r="A208" s="7">
        <f>SUM(C208:AS208)</f>
        <v>6</v>
      </c>
      <c r="B208" s="27" t="s">
        <v>14</v>
      </c>
      <c r="C208" s="26">
        <v>0</v>
      </c>
      <c r="D208" s="26">
        <v>0</v>
      </c>
      <c r="E208" s="26">
        <v>0</v>
      </c>
      <c r="F208" s="26">
        <v>0</v>
      </c>
      <c r="G208" s="26">
        <v>0</v>
      </c>
      <c r="H208" s="26">
        <v>1</v>
      </c>
      <c r="I208" s="26">
        <v>0</v>
      </c>
      <c r="J208" s="26">
        <v>0</v>
      </c>
      <c r="K208" s="26">
        <v>0</v>
      </c>
      <c r="L208" s="26">
        <v>4</v>
      </c>
      <c r="M208" s="26">
        <f t="shared" si="2513"/>
        <v>0</v>
      </c>
      <c r="N208" s="26">
        <f t="shared" si="2514"/>
        <v>0</v>
      </c>
      <c r="O208" s="26">
        <f t="shared" si="2515"/>
        <v>1</v>
      </c>
      <c r="P208" s="26" t="str">
        <f t="shared" si="2516"/>
        <v/>
      </c>
      <c r="Q208" s="26" t="str">
        <f t="shared" si="2517"/>
        <v/>
      </c>
      <c r="R208" s="26" t="str">
        <f t="shared" si="2518"/>
        <v/>
      </c>
      <c r="S208" s="26" t="str">
        <f t="shared" si="2519"/>
        <v/>
      </c>
      <c r="T208" s="26" t="str">
        <f t="shared" si="2520"/>
        <v/>
      </c>
      <c r="U208" s="26" t="str">
        <f t="shared" si="2521"/>
        <v/>
      </c>
      <c r="V208" s="26" t="str">
        <f t="shared" si="2522"/>
        <v/>
      </c>
      <c r="W208" s="26" t="str">
        <f t="shared" si="2523"/>
        <v/>
      </c>
      <c r="X208" s="26" t="str">
        <f t="shared" si="2524"/>
        <v/>
      </c>
      <c r="Y208" s="26" t="str">
        <f t="shared" si="2525"/>
        <v/>
      </c>
      <c r="Z208" s="26" t="str">
        <f t="shared" si="2526"/>
        <v/>
      </c>
      <c r="AA208" s="26" t="str">
        <f t="shared" si="2527"/>
        <v/>
      </c>
      <c r="AB208" s="26" t="str">
        <f t="shared" si="2528"/>
        <v/>
      </c>
      <c r="AC208" s="26" t="str">
        <f t="shared" si="2529"/>
        <v/>
      </c>
      <c r="AD208" s="26" t="str">
        <f t="shared" si="2530"/>
        <v/>
      </c>
      <c r="AE208" s="26" t="str">
        <f t="shared" si="2531"/>
        <v/>
      </c>
      <c r="AF208" s="26" t="str">
        <f t="shared" si="2532"/>
        <v/>
      </c>
      <c r="AG208" s="26" t="str">
        <f t="shared" si="2533"/>
        <v/>
      </c>
      <c r="AH208" s="26" t="str">
        <f t="shared" si="2534"/>
        <v/>
      </c>
      <c r="AI208" s="26" t="str">
        <f t="shared" si="2535"/>
        <v/>
      </c>
      <c r="AJ208" s="26" t="str">
        <f t="shared" si="2536"/>
        <v/>
      </c>
      <c r="AK208" s="26" t="str">
        <f t="shared" si="2537"/>
        <v/>
      </c>
      <c r="AL208" s="26" t="str">
        <f t="shared" si="2538"/>
        <v/>
      </c>
      <c r="AM208" s="26" t="str">
        <f t="shared" si="2539"/>
        <v/>
      </c>
      <c r="AN208" s="26" t="str">
        <f t="shared" ref="AN208:AS208" si="2541">IF(AN$8="","",AN201-AM201)</f>
        <v/>
      </c>
      <c r="AO208" s="26" t="str">
        <f t="shared" si="2541"/>
        <v/>
      </c>
      <c r="AP208" s="26" t="str">
        <f t="shared" si="2541"/>
        <v/>
      </c>
      <c r="AQ208" s="26" t="str">
        <f t="shared" si="2541"/>
        <v/>
      </c>
      <c r="AR208" s="26" t="str">
        <f t="shared" si="2541"/>
        <v/>
      </c>
      <c r="AS208" s="26" t="str">
        <f t="shared" si="2541"/>
        <v/>
      </c>
    </row>
    <row r="209" spans="1:45" s="1" customFormat="1" ht="11.25" x14ac:dyDescent="0.15">
      <c r="A209" s="7">
        <f>SUM(C209:AS209)</f>
        <v>4</v>
      </c>
      <c r="B209" s="27" t="s">
        <v>15</v>
      </c>
      <c r="C209" s="26">
        <v>0</v>
      </c>
      <c r="D209" s="26">
        <v>0</v>
      </c>
      <c r="E209" s="26">
        <v>0</v>
      </c>
      <c r="F209" s="26">
        <v>0</v>
      </c>
      <c r="G209" s="26">
        <v>0</v>
      </c>
      <c r="H209" s="26">
        <v>1</v>
      </c>
      <c r="I209" s="26">
        <v>0</v>
      </c>
      <c r="J209" s="26">
        <v>0</v>
      </c>
      <c r="K209" s="26">
        <v>0</v>
      </c>
      <c r="L209" s="26">
        <v>2</v>
      </c>
      <c r="M209" s="26">
        <f t="shared" ref="M209" si="2542">IF(M$8="","",L202+L203-M202)</f>
        <v>0</v>
      </c>
      <c r="N209" s="26">
        <f t="shared" ref="N209" si="2543">IF(N$8="","",M202+M203-N202)</f>
        <v>0</v>
      </c>
      <c r="O209" s="26">
        <f t="shared" ref="O209" si="2544">IF(O$8="","",N202+N203-O202)</f>
        <v>1</v>
      </c>
      <c r="P209" s="26" t="str">
        <f t="shared" ref="P209" si="2545">IF(P$8="","",O202+O203-P202)</f>
        <v/>
      </c>
      <c r="Q209" s="26" t="str">
        <f t="shared" ref="Q209" si="2546">IF(Q$8="","",P202+P203-Q202)</f>
        <v/>
      </c>
      <c r="R209" s="26" t="str">
        <f t="shared" ref="R209" si="2547">IF(R$8="","",Q202+Q203-R202)</f>
        <v/>
      </c>
      <c r="S209" s="26" t="str">
        <f t="shared" ref="S209" si="2548">IF(S$8="","",R202+R203-S202)</f>
        <v/>
      </c>
      <c r="T209" s="26" t="str">
        <f t="shared" ref="T209" si="2549">IF(T$8="","",S202+S203-T202)</f>
        <v/>
      </c>
      <c r="U209" s="26" t="str">
        <f t="shared" ref="U209" si="2550">IF(U$8="","",T202+T203-U202)</f>
        <v/>
      </c>
      <c r="V209" s="26" t="str">
        <f t="shared" ref="V209" si="2551">IF(V$8="","",U202+U203-V202)</f>
        <v/>
      </c>
      <c r="W209" s="26" t="str">
        <f t="shared" ref="W209" si="2552">IF(W$8="","",V202+V203-W202)</f>
        <v/>
      </c>
      <c r="X209" s="26" t="str">
        <f t="shared" ref="X209" si="2553">IF(X$8="","",W202+W203-X202)</f>
        <v/>
      </c>
      <c r="Y209" s="26" t="str">
        <f t="shared" ref="Y209" si="2554">IF(Y$8="","",X202+X203-Y202)</f>
        <v/>
      </c>
      <c r="Z209" s="26" t="str">
        <f t="shared" ref="Z209" si="2555">IF(Z$8="","",Y202+Y203-Z202)</f>
        <v/>
      </c>
      <c r="AA209" s="26" t="str">
        <f t="shared" ref="AA209" si="2556">IF(AA$8="","",Z202+Z203-AA202)</f>
        <v/>
      </c>
      <c r="AB209" s="26" t="str">
        <f t="shared" ref="AB209" si="2557">IF(AB$8="","",AA202+AA203-AB202)</f>
        <v/>
      </c>
      <c r="AC209" s="26" t="str">
        <f t="shared" ref="AC209" si="2558">IF(AC$8="","",AB202+AB203-AC202)</f>
        <v/>
      </c>
      <c r="AD209" s="26" t="str">
        <f t="shared" ref="AD209" si="2559">IF(AD$8="","",AC202+AC203-AD202)</f>
        <v/>
      </c>
      <c r="AE209" s="26" t="str">
        <f t="shared" ref="AE209" si="2560">IF(AE$8="","",AD202+AD203-AE202)</f>
        <v/>
      </c>
      <c r="AF209" s="26" t="str">
        <f t="shared" ref="AF209" si="2561">IF(AF$8="","",AE202+AE203-AF202)</f>
        <v/>
      </c>
      <c r="AG209" s="26" t="str">
        <f t="shared" ref="AG209" si="2562">IF(AG$8="","",AF202+AF203-AG202)</f>
        <v/>
      </c>
      <c r="AH209" s="26" t="str">
        <f t="shared" ref="AH209" si="2563">IF(AH$8="","",AG202+AG203-AH202)</f>
        <v/>
      </c>
      <c r="AI209" s="26" t="str">
        <f t="shared" ref="AI209" si="2564">IF(AI$8="","",AH202+AH203-AI202)</f>
        <v/>
      </c>
      <c r="AJ209" s="26" t="str">
        <f t="shared" ref="AJ209" si="2565">IF(AJ$8="","",AI202+AI203-AJ202)</f>
        <v/>
      </c>
      <c r="AK209" s="26" t="str">
        <f t="shared" ref="AK209" si="2566">IF(AK$8="","",AJ202+AJ203-AK202)</f>
        <v/>
      </c>
      <c r="AL209" s="26" t="str">
        <f t="shared" ref="AL209" si="2567">IF(AL$8="","",AK202+AK203-AL202)</f>
        <v/>
      </c>
      <c r="AM209" s="26" t="str">
        <f t="shared" ref="AM209" si="2568">IF(AM$8="","",AL202+AL203-AM202)</f>
        <v/>
      </c>
      <c r="AN209" s="26" t="str">
        <f t="shared" ref="AN209:AS209" si="2569">IF(AN$8="","",AM202+AM203-AN202)</f>
        <v/>
      </c>
      <c r="AO209" s="26" t="str">
        <f t="shared" si="2569"/>
        <v/>
      </c>
      <c r="AP209" s="26" t="str">
        <f t="shared" si="2569"/>
        <v/>
      </c>
      <c r="AQ209" s="26" t="str">
        <f t="shared" si="2569"/>
        <v/>
      </c>
      <c r="AR209" s="26" t="str">
        <f t="shared" si="2569"/>
        <v/>
      </c>
      <c r="AS209" s="26" t="str">
        <f t="shared" si="2569"/>
        <v/>
      </c>
    </row>
    <row r="210" spans="1:45" s="1" customFormat="1" ht="11.25" x14ac:dyDescent="0.15">
      <c r="A210" s="7">
        <f>SUM(C210:AS210)</f>
        <v>1600</v>
      </c>
      <c r="B210" s="27" t="s">
        <v>16</v>
      </c>
      <c r="C210" s="26">
        <v>0</v>
      </c>
      <c r="D210" s="26">
        <v>0</v>
      </c>
      <c r="E210" s="26">
        <v>0</v>
      </c>
      <c r="F210" s="26">
        <v>0</v>
      </c>
      <c r="G210" s="26">
        <v>0</v>
      </c>
      <c r="H210" s="26">
        <v>400</v>
      </c>
      <c r="I210" s="26">
        <v>0</v>
      </c>
      <c r="J210" s="26">
        <v>0</v>
      </c>
      <c r="K210" s="26">
        <v>0</v>
      </c>
      <c r="L210" s="26">
        <v>800</v>
      </c>
      <c r="M210" s="26">
        <f t="shared" ref="J210:AM210" si="2570">IF(M$8="","",M209*M204)</f>
        <v>0</v>
      </c>
      <c r="N210" s="26">
        <f t="shared" si="2570"/>
        <v>0</v>
      </c>
      <c r="O210" s="26">
        <f t="shared" si="2570"/>
        <v>400</v>
      </c>
      <c r="P210" s="26" t="str">
        <f t="shared" si="2570"/>
        <v/>
      </c>
      <c r="Q210" s="26" t="str">
        <f t="shared" si="2570"/>
        <v/>
      </c>
      <c r="R210" s="26" t="str">
        <f t="shared" si="2570"/>
        <v/>
      </c>
      <c r="S210" s="26" t="str">
        <f t="shared" si="2570"/>
        <v/>
      </c>
      <c r="T210" s="26" t="str">
        <f t="shared" si="2570"/>
        <v/>
      </c>
      <c r="U210" s="26" t="str">
        <f t="shared" si="2570"/>
        <v/>
      </c>
      <c r="V210" s="26" t="str">
        <f t="shared" si="2570"/>
        <v/>
      </c>
      <c r="W210" s="26" t="str">
        <f t="shared" si="2570"/>
        <v/>
      </c>
      <c r="X210" s="26" t="str">
        <f t="shared" si="2570"/>
        <v/>
      </c>
      <c r="Y210" s="26" t="str">
        <f t="shared" si="2570"/>
        <v/>
      </c>
      <c r="Z210" s="26" t="str">
        <f t="shared" si="2570"/>
        <v/>
      </c>
      <c r="AA210" s="26" t="str">
        <f t="shared" si="2570"/>
        <v/>
      </c>
      <c r="AB210" s="26" t="str">
        <f t="shared" si="2570"/>
        <v/>
      </c>
      <c r="AC210" s="26" t="str">
        <f t="shared" si="2570"/>
        <v/>
      </c>
      <c r="AD210" s="26" t="str">
        <f t="shared" si="2570"/>
        <v/>
      </c>
      <c r="AE210" s="26" t="str">
        <f t="shared" si="2570"/>
        <v/>
      </c>
      <c r="AF210" s="26" t="str">
        <f t="shared" si="2570"/>
        <v/>
      </c>
      <c r="AG210" s="26" t="str">
        <f t="shared" si="2570"/>
        <v/>
      </c>
      <c r="AH210" s="26" t="str">
        <f t="shared" si="2570"/>
        <v/>
      </c>
      <c r="AI210" s="26" t="str">
        <f t="shared" si="2570"/>
        <v/>
      </c>
      <c r="AJ210" s="26" t="str">
        <f t="shared" si="2570"/>
        <v/>
      </c>
      <c r="AK210" s="26" t="str">
        <f t="shared" si="2570"/>
        <v/>
      </c>
      <c r="AL210" s="26" t="str">
        <f t="shared" si="2570"/>
        <v/>
      </c>
      <c r="AM210" s="26" t="str">
        <f t="shared" si="2570"/>
        <v/>
      </c>
      <c r="AN210" s="26" t="str">
        <f t="shared" ref="AN210:AS210" si="2571">IF(AN$8="","",AN209*AN204)</f>
        <v/>
      </c>
      <c r="AO210" s="26" t="str">
        <f t="shared" si="2571"/>
        <v/>
      </c>
      <c r="AP210" s="26" t="str">
        <f t="shared" si="2571"/>
        <v/>
      </c>
      <c r="AQ210" s="26" t="str">
        <f t="shared" si="2571"/>
        <v/>
      </c>
      <c r="AR210" s="26" t="str">
        <f t="shared" si="2571"/>
        <v/>
      </c>
      <c r="AS210" s="26" t="str">
        <f t="shared" si="2571"/>
        <v/>
      </c>
    </row>
    <row r="211" spans="1:45" s="1" customFormat="1" ht="12" thickBot="1" x14ac:dyDescent="0.2">
      <c r="A211" s="4">
        <f>IF(A210="","",A210/(A207*100))</f>
        <v>9.6385542168674704E-2</v>
      </c>
      <c r="B211" s="27" t="s">
        <v>18</v>
      </c>
      <c r="C211" s="42" t="s">
        <v>19</v>
      </c>
      <c r="D211" s="42" t="s">
        <v>19</v>
      </c>
      <c r="E211" s="42" t="s">
        <v>19</v>
      </c>
      <c r="F211" s="42" t="s">
        <v>19</v>
      </c>
      <c r="G211" s="42" t="s">
        <v>19</v>
      </c>
      <c r="H211" s="42">
        <v>0.08</v>
      </c>
      <c r="I211" s="42" t="s">
        <v>19</v>
      </c>
      <c r="J211" s="42" t="s">
        <v>19</v>
      </c>
      <c r="K211" s="42" t="s">
        <v>19</v>
      </c>
      <c r="L211" s="42">
        <v>0.12903225806451613</v>
      </c>
      <c r="M211" s="42" t="str">
        <f t="shared" ref="J211:AM211" si="2572">IF(M$8="","",IF(M210=0,"",M210/(M207*100)))</f>
        <v/>
      </c>
      <c r="N211" s="42" t="str">
        <f t="shared" si="2572"/>
        <v/>
      </c>
      <c r="O211" s="42">
        <f t="shared" si="2572"/>
        <v>0.16</v>
      </c>
      <c r="P211" s="42" t="str">
        <f t="shared" si="2572"/>
        <v/>
      </c>
      <c r="Q211" s="42" t="str">
        <f t="shared" si="2572"/>
        <v/>
      </c>
      <c r="R211" s="42" t="str">
        <f t="shared" si="2572"/>
        <v/>
      </c>
      <c r="S211" s="42" t="str">
        <f t="shared" si="2572"/>
        <v/>
      </c>
      <c r="T211" s="42" t="str">
        <f t="shared" si="2572"/>
        <v/>
      </c>
      <c r="U211" s="42" t="str">
        <f t="shared" si="2572"/>
        <v/>
      </c>
      <c r="V211" s="42" t="str">
        <f t="shared" si="2572"/>
        <v/>
      </c>
      <c r="W211" s="42" t="str">
        <f t="shared" si="2572"/>
        <v/>
      </c>
      <c r="X211" s="42" t="str">
        <f t="shared" si="2572"/>
        <v/>
      </c>
      <c r="Y211" s="42" t="str">
        <f t="shared" si="2572"/>
        <v/>
      </c>
      <c r="Z211" s="42" t="str">
        <f t="shared" si="2572"/>
        <v/>
      </c>
      <c r="AA211" s="42" t="str">
        <f t="shared" si="2572"/>
        <v/>
      </c>
      <c r="AB211" s="42" t="str">
        <f t="shared" si="2572"/>
        <v/>
      </c>
      <c r="AC211" s="42" t="str">
        <f t="shared" si="2572"/>
        <v/>
      </c>
      <c r="AD211" s="42" t="str">
        <f t="shared" si="2572"/>
        <v/>
      </c>
      <c r="AE211" s="42" t="str">
        <f t="shared" si="2572"/>
        <v/>
      </c>
      <c r="AF211" s="42" t="str">
        <f t="shared" si="2572"/>
        <v/>
      </c>
      <c r="AG211" s="42" t="str">
        <f t="shared" si="2572"/>
        <v/>
      </c>
      <c r="AH211" s="42" t="str">
        <f t="shared" si="2572"/>
        <v/>
      </c>
      <c r="AI211" s="42" t="str">
        <f t="shared" si="2572"/>
        <v/>
      </c>
      <c r="AJ211" s="42" t="str">
        <f t="shared" si="2572"/>
        <v/>
      </c>
      <c r="AK211" s="42" t="str">
        <f t="shared" si="2572"/>
        <v/>
      </c>
      <c r="AL211" s="42" t="str">
        <f t="shared" si="2572"/>
        <v/>
      </c>
      <c r="AM211" s="42" t="str">
        <f t="shared" si="2572"/>
        <v/>
      </c>
      <c r="AN211" s="42" t="str">
        <f t="shared" ref="AN211:AS211" si="2573">IF(AN$8="","",IF(AN210=0,"",AN210/(AN207*100)))</f>
        <v/>
      </c>
      <c r="AO211" s="42" t="str">
        <f t="shared" si="2573"/>
        <v/>
      </c>
      <c r="AP211" s="42" t="str">
        <f t="shared" si="2573"/>
        <v/>
      </c>
      <c r="AQ211" s="42" t="str">
        <f t="shared" si="2573"/>
        <v/>
      </c>
      <c r="AR211" s="42" t="str">
        <f t="shared" si="2573"/>
        <v/>
      </c>
      <c r="AS211" s="42" t="str">
        <f t="shared" si="2573"/>
        <v/>
      </c>
    </row>
    <row r="212" spans="1:45" s="1" customFormat="1" ht="11.25" x14ac:dyDescent="0.15">
      <c r="A212" s="17" t="s">
        <v>83</v>
      </c>
      <c r="B212" s="41" t="s">
        <v>2</v>
      </c>
      <c r="C212" s="35">
        <v>6110</v>
      </c>
      <c r="D212" s="35">
        <v>6110</v>
      </c>
      <c r="E212" s="35">
        <v>6147</v>
      </c>
      <c r="F212" s="35">
        <v>6147</v>
      </c>
      <c r="G212" s="35">
        <v>6147</v>
      </c>
      <c r="H212" s="35">
        <v>6215</v>
      </c>
      <c r="I212" s="35">
        <v>6215</v>
      </c>
      <c r="J212" s="35">
        <v>6215</v>
      </c>
      <c r="K212" s="35">
        <v>6215</v>
      </c>
      <c r="L212" s="35">
        <v>6260</v>
      </c>
      <c r="M212" s="35">
        <f t="shared" ref="M212:M213" si="2574">IF(M$8="","",L212)</f>
        <v>6260</v>
      </c>
      <c r="N212" s="35">
        <f t="shared" ref="N212:N213" si="2575">IF(N$8="","",M212)</f>
        <v>6260</v>
      </c>
      <c r="O212" s="35">
        <v>6291</v>
      </c>
      <c r="P212" s="35" t="str">
        <f>IF(P$8="","",O212)</f>
        <v/>
      </c>
      <c r="Q212" s="35" t="str">
        <f t="shared" ref="Q212:Q213" si="2576">IF(Q$8="","",P212)</f>
        <v/>
      </c>
      <c r="R212" s="35" t="str">
        <f t="shared" ref="R212:R213" si="2577">IF(R$8="","",Q212)</f>
        <v/>
      </c>
      <c r="S212" s="35" t="str">
        <f>IF(S$8="","",R212)</f>
        <v/>
      </c>
      <c r="T212" s="35" t="str">
        <f t="shared" ref="T212:T213" si="2578">IF(T$8="","",S212)</f>
        <v/>
      </c>
      <c r="U212" s="35" t="str">
        <f t="shared" ref="U212:U213" si="2579">IF(U$8="","",T212)</f>
        <v/>
      </c>
      <c r="V212" s="35" t="str">
        <f>IF(V$8="","",U212)</f>
        <v/>
      </c>
      <c r="W212" s="35" t="str">
        <f t="shared" ref="W212:W213" si="2580">IF(W$8="","",V212)</f>
        <v/>
      </c>
      <c r="X212" s="35" t="str">
        <f t="shared" ref="X212:X213" si="2581">IF(X$8="","",W212)</f>
        <v/>
      </c>
      <c r="Y212" s="35" t="str">
        <f t="shared" ref="Y212:Y213" si="2582">IF(Y$8="","",X212)</f>
        <v/>
      </c>
      <c r="Z212" s="35" t="str">
        <f>IF(Z$8="","",Y212)</f>
        <v/>
      </c>
      <c r="AA212" s="35" t="str">
        <f t="shared" ref="AA212:AA213" si="2583">IF(AA$8="","",Z212)</f>
        <v/>
      </c>
      <c r="AB212" s="35" t="str">
        <f t="shared" ref="AB212:AB213" si="2584">IF(AB$8="","",AA212)</f>
        <v/>
      </c>
      <c r="AC212" s="35" t="str">
        <f t="shared" ref="AC212:AC213" si="2585">IF(AC$8="","",AB212)</f>
        <v/>
      </c>
      <c r="AD212" s="35" t="str">
        <f>IF(AD$8="","",AC212)</f>
        <v/>
      </c>
      <c r="AE212" s="35" t="str">
        <f t="shared" ref="AE212:AE213" si="2586">IF(AE$8="","",AD212)</f>
        <v/>
      </c>
      <c r="AF212" s="35" t="str">
        <f t="shared" ref="AF212:AF213" si="2587">IF(AF$8="","",AE212)</f>
        <v/>
      </c>
      <c r="AG212" s="35" t="str">
        <f>IF(AG$8="","",AF212)</f>
        <v/>
      </c>
      <c r="AH212" s="35" t="str">
        <f t="shared" ref="AH212:AH213" si="2588">IF(AH$8="","",AG212)</f>
        <v/>
      </c>
      <c r="AI212" s="35" t="str">
        <f t="shared" ref="AI212:AI213" si="2589">IF(AI$8="","",AH212)</f>
        <v/>
      </c>
      <c r="AJ212" s="35" t="str">
        <f>IF(AJ$8="","",AI212)</f>
        <v/>
      </c>
      <c r="AK212" s="35" t="str">
        <f t="shared" ref="AK212:AK213" si="2590">IF(AK$8="","",AJ212)</f>
        <v/>
      </c>
      <c r="AL212" s="35" t="str">
        <f t="shared" ref="AL212:AL213" si="2591">IF(AL$8="","",AK212)</f>
        <v/>
      </c>
      <c r="AM212" s="35" t="str">
        <f t="shared" ref="AM212:AM213" si="2592">IF(AM$8="","",AL212)</f>
        <v/>
      </c>
      <c r="AN212" s="35" t="str">
        <f>IF(AN$8="","",AM212)</f>
        <v/>
      </c>
      <c r="AO212" s="35" t="str">
        <f t="shared" ref="AN212:AS212" si="2593">IF(AO$8="","",AN212)</f>
        <v/>
      </c>
      <c r="AP212" s="35" t="str">
        <f t="shared" si="2593"/>
        <v/>
      </c>
      <c r="AQ212" s="35" t="str">
        <f t="shared" si="2593"/>
        <v/>
      </c>
      <c r="AR212" s="35" t="str">
        <f t="shared" si="2593"/>
        <v/>
      </c>
      <c r="AS212" s="35" t="str">
        <f t="shared" si="2593"/>
        <v/>
      </c>
    </row>
    <row r="213" spans="1:45" s="1" customFormat="1" ht="11.25" x14ac:dyDescent="0.15">
      <c r="A213" s="16" t="s">
        <v>89</v>
      </c>
      <c r="B213" s="30" t="s">
        <v>4</v>
      </c>
      <c r="C213" s="29">
        <v>157</v>
      </c>
      <c r="D213" s="29">
        <v>157</v>
      </c>
      <c r="E213" s="29">
        <v>157</v>
      </c>
      <c r="F213" s="29">
        <v>157</v>
      </c>
      <c r="G213" s="29">
        <v>157</v>
      </c>
      <c r="H213" s="29">
        <v>157</v>
      </c>
      <c r="I213" s="29">
        <v>157</v>
      </c>
      <c r="J213" s="29">
        <v>157</v>
      </c>
      <c r="K213" s="29">
        <v>157</v>
      </c>
      <c r="L213" s="29">
        <v>157</v>
      </c>
      <c r="M213" s="29">
        <f t="shared" si="2574"/>
        <v>157</v>
      </c>
      <c r="N213" s="29">
        <f t="shared" si="2575"/>
        <v>157</v>
      </c>
      <c r="O213" s="29">
        <v>158</v>
      </c>
      <c r="P213" s="29" t="str">
        <f t="shared" ref="P213" si="2594">IF(P$8="","",O213)</f>
        <v/>
      </c>
      <c r="Q213" s="29" t="str">
        <f t="shared" si="2576"/>
        <v/>
      </c>
      <c r="R213" s="29" t="str">
        <f t="shared" si="2577"/>
        <v/>
      </c>
      <c r="S213" s="29" t="str">
        <f>IF(S$8="","",R213)</f>
        <v/>
      </c>
      <c r="T213" s="29" t="str">
        <f t="shared" si="2578"/>
        <v/>
      </c>
      <c r="U213" s="29" t="str">
        <f t="shared" si="2579"/>
        <v/>
      </c>
      <c r="V213" s="29" t="str">
        <f>IF(V$8="","",U213)</f>
        <v/>
      </c>
      <c r="W213" s="29" t="str">
        <f t="shared" si="2580"/>
        <v/>
      </c>
      <c r="X213" s="29" t="str">
        <f t="shared" si="2581"/>
        <v/>
      </c>
      <c r="Y213" s="29" t="str">
        <f t="shared" si="2582"/>
        <v/>
      </c>
      <c r="Z213" s="29" t="str">
        <f>IF(Z$8="","",Y213)</f>
        <v/>
      </c>
      <c r="AA213" s="29" t="str">
        <f t="shared" si="2583"/>
        <v/>
      </c>
      <c r="AB213" s="29" t="str">
        <f t="shared" si="2584"/>
        <v/>
      </c>
      <c r="AC213" s="29" t="str">
        <f t="shared" si="2585"/>
        <v/>
      </c>
      <c r="AD213" s="29" t="str">
        <f>IF(AD$8="","",AC213)</f>
        <v/>
      </c>
      <c r="AE213" s="29" t="str">
        <f t="shared" si="2586"/>
        <v/>
      </c>
      <c r="AF213" s="29" t="str">
        <f t="shared" si="2587"/>
        <v/>
      </c>
      <c r="AG213" s="29" t="str">
        <f>IF(AG$8="","",AF213)</f>
        <v/>
      </c>
      <c r="AH213" s="29" t="str">
        <f t="shared" si="2588"/>
        <v/>
      </c>
      <c r="AI213" s="29" t="str">
        <f t="shared" si="2589"/>
        <v/>
      </c>
      <c r="AJ213" s="29" t="str">
        <f t="shared" ref="AJ212:AJ213" si="2595">IF(AJ$8="","",AI213)</f>
        <v/>
      </c>
      <c r="AK213" s="29" t="str">
        <f t="shared" si="2590"/>
        <v/>
      </c>
      <c r="AL213" s="29" t="str">
        <f t="shared" si="2591"/>
        <v/>
      </c>
      <c r="AM213" s="29" t="str">
        <f t="shared" si="2592"/>
        <v/>
      </c>
      <c r="AN213" s="29" t="str">
        <f t="shared" ref="AN213:AS213" si="2596">IF(AN$8="","",AM213)</f>
        <v/>
      </c>
      <c r="AO213" s="29" t="str">
        <f t="shared" si="2596"/>
        <v/>
      </c>
      <c r="AP213" s="29" t="str">
        <f t="shared" si="2596"/>
        <v/>
      </c>
      <c r="AQ213" s="29" t="str">
        <f t="shared" si="2596"/>
        <v/>
      </c>
      <c r="AR213" s="29" t="str">
        <f t="shared" si="2596"/>
        <v/>
      </c>
      <c r="AS213" s="29" t="str">
        <f t="shared" si="2596"/>
        <v/>
      </c>
    </row>
    <row r="214" spans="1:45" s="1" customFormat="1" ht="11.25" x14ac:dyDescent="0.15">
      <c r="A214" s="15">
        <v>3</v>
      </c>
      <c r="B214" s="30" t="s">
        <v>5</v>
      </c>
      <c r="C214" s="29">
        <v>18</v>
      </c>
      <c r="D214" s="29">
        <v>18</v>
      </c>
      <c r="E214" s="29">
        <v>18</v>
      </c>
      <c r="F214" s="29">
        <v>18</v>
      </c>
      <c r="G214" s="29">
        <v>18</v>
      </c>
      <c r="H214" s="29">
        <v>18</v>
      </c>
      <c r="I214" s="29">
        <v>18</v>
      </c>
      <c r="J214" s="29">
        <v>18</v>
      </c>
      <c r="K214" s="29">
        <v>18</v>
      </c>
      <c r="L214" s="29">
        <v>15</v>
      </c>
      <c r="M214" s="29">
        <f t="shared" ref="M214" si="2597">IF(M$8="","",(L214+L215))</f>
        <v>15</v>
      </c>
      <c r="N214" s="29">
        <f t="shared" ref="N214" si="2598">IF(N$8="","",(M214+M215))</f>
        <v>15</v>
      </c>
      <c r="O214" s="29">
        <v>14</v>
      </c>
      <c r="P214" s="29" t="str">
        <f t="shared" ref="P214" si="2599">IF(P$8="","",(O214+O215))</f>
        <v/>
      </c>
      <c r="Q214" s="29" t="str">
        <f t="shared" ref="Q214" si="2600">IF(Q$8="","",(P214+P215))</f>
        <v/>
      </c>
      <c r="R214" s="29" t="str">
        <f t="shared" ref="R214" si="2601">IF(R$8="","",(Q214+Q215))</f>
        <v/>
      </c>
      <c r="S214" s="29" t="str">
        <f>IF(S$8="","",(R214+R215))</f>
        <v/>
      </c>
      <c r="T214" s="29" t="str">
        <f t="shared" ref="T214" si="2602">IF(T$8="","",(S214+S215))</f>
        <v/>
      </c>
      <c r="U214" s="29" t="str">
        <f t="shared" ref="U214" si="2603">IF(U$8="","",(T214+T215))</f>
        <v/>
      </c>
      <c r="V214" s="29" t="str">
        <f>IF(V$8="","",(U214+U215))</f>
        <v/>
      </c>
      <c r="W214" s="29" t="str">
        <f t="shared" ref="W214" si="2604">IF(W$8="","",(V214+V215))</f>
        <v/>
      </c>
      <c r="X214" s="29" t="str">
        <f t="shared" ref="X214" si="2605">IF(X$8="","",(W214+W215))</f>
        <v/>
      </c>
      <c r="Y214" s="29" t="str">
        <f t="shared" ref="Y214" si="2606">IF(Y$8="","",(X214+X215))</f>
        <v/>
      </c>
      <c r="Z214" s="29" t="str">
        <f>IF(Z$8="","",(Y214+Y215))</f>
        <v/>
      </c>
      <c r="AA214" s="29" t="str">
        <f t="shared" ref="AA214" si="2607">IF(AA$8="","",(Z214+Z215))</f>
        <v/>
      </c>
      <c r="AB214" s="29" t="str">
        <f t="shared" ref="AB214" si="2608">IF(AB$8="","",(AA214+AA215))</f>
        <v/>
      </c>
      <c r="AC214" s="29" t="str">
        <f t="shared" ref="AC214" si="2609">IF(AC$8="","",(AB214+AB215))</f>
        <v/>
      </c>
      <c r="AD214" s="29" t="str">
        <f>IF(AD$8="","",(AC214+AC215))</f>
        <v/>
      </c>
      <c r="AE214" s="29" t="str">
        <f t="shared" ref="AE214" si="2610">IF(AE$8="","",(AD214+AD215))</f>
        <v/>
      </c>
      <c r="AF214" s="29" t="str">
        <f t="shared" ref="AF214" si="2611">IF(AF$8="","",(AE214+AE215))</f>
        <v/>
      </c>
      <c r="AG214" s="29" t="str">
        <f t="shared" ref="AG214" si="2612">IF(AG$8="","",(AF214+AF215))</f>
        <v/>
      </c>
      <c r="AH214" s="29" t="str">
        <f t="shared" ref="AH214" si="2613">IF(AH$8="","",(AG214+AG215))</f>
        <v/>
      </c>
      <c r="AI214" s="29" t="str">
        <f t="shared" ref="AI214" si="2614">IF(AI$8="","",(AH214+AH215))</f>
        <v/>
      </c>
      <c r="AJ214" s="29" t="str">
        <f t="shared" ref="AJ214" si="2615">IF(AJ$8="","",(AI214+AI215))</f>
        <v/>
      </c>
      <c r="AK214" s="29" t="str">
        <f t="shared" ref="AK214" si="2616">IF(AK$8="","",(AJ214+AJ215))</f>
        <v/>
      </c>
      <c r="AL214" s="29" t="str">
        <f t="shared" ref="AL214" si="2617">IF(AL$8="","",(AK214+AK215))</f>
        <v/>
      </c>
      <c r="AM214" s="29" t="str">
        <f t="shared" ref="AM214" si="2618">IF(AM$8="","",(AL214+AL215))</f>
        <v/>
      </c>
      <c r="AN214" s="29" t="str">
        <f>IF(AN$8="","",(AM214+AM215))</f>
        <v/>
      </c>
      <c r="AO214" s="29" t="str">
        <f t="shared" ref="AN214:AS214" si="2619">IF(AO$8="","",(AN214+AN215))</f>
        <v/>
      </c>
      <c r="AP214" s="29" t="str">
        <f t="shared" si="2619"/>
        <v/>
      </c>
      <c r="AQ214" s="29" t="str">
        <f t="shared" si="2619"/>
        <v/>
      </c>
      <c r="AR214" s="29" t="str">
        <f t="shared" si="2619"/>
        <v/>
      </c>
      <c r="AS214" s="29" t="str">
        <f t="shared" si="2619"/>
        <v/>
      </c>
    </row>
    <row r="215" spans="1:45" s="1" customFormat="1" ht="11.25" x14ac:dyDescent="0.15">
      <c r="A215" s="14"/>
      <c r="B215" s="30" t="s">
        <v>7</v>
      </c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</row>
    <row r="216" spans="1:45" s="1" customFormat="1" ht="11.25" x14ac:dyDescent="0.15">
      <c r="A216" s="7"/>
      <c r="B216" s="30" t="s">
        <v>8</v>
      </c>
      <c r="C216" s="35">
        <v>400</v>
      </c>
      <c r="D216" s="35">
        <v>400</v>
      </c>
      <c r="E216" s="35">
        <v>400</v>
      </c>
      <c r="F216" s="35">
        <v>400</v>
      </c>
      <c r="G216" s="35">
        <v>400</v>
      </c>
      <c r="H216" s="35">
        <v>400</v>
      </c>
      <c r="I216" s="35">
        <v>400</v>
      </c>
      <c r="J216" s="35">
        <v>400</v>
      </c>
      <c r="K216" s="35">
        <v>400</v>
      </c>
      <c r="L216" s="35">
        <v>400</v>
      </c>
      <c r="M216" s="35">
        <f t="shared" ref="M216:M217" si="2620">IF(M$8="","",L216)</f>
        <v>400</v>
      </c>
      <c r="N216" s="35">
        <f t="shared" ref="N216:N217" si="2621">IF(N$8="","",M216)</f>
        <v>400</v>
      </c>
      <c r="O216" s="35">
        <f t="shared" ref="O216:O217" si="2622">IF(O$8="","",N216)</f>
        <v>400</v>
      </c>
      <c r="P216" s="35" t="str">
        <f t="shared" ref="P216" si="2623">IF(P$8="","",O216)</f>
        <v/>
      </c>
      <c r="Q216" s="35" t="str">
        <f t="shared" ref="Q216:Q217" si="2624">IF(Q$8="","",P216)</f>
        <v/>
      </c>
      <c r="R216" s="35" t="str">
        <f t="shared" ref="R216:R217" si="2625">IF(R$8="","",Q216)</f>
        <v/>
      </c>
      <c r="S216" s="35" t="str">
        <f t="shared" ref="S216:S217" si="2626">IF(S$8="","",R216)</f>
        <v/>
      </c>
      <c r="T216" s="35" t="str">
        <f t="shared" ref="T216:T217" si="2627">IF(T$8="","",S216)</f>
        <v/>
      </c>
      <c r="U216" s="35" t="str">
        <f t="shared" ref="U216:U217" si="2628">IF(U$8="","",T216)</f>
        <v/>
      </c>
      <c r="V216" s="35" t="str">
        <f t="shared" ref="V216:V217" si="2629">IF(V$8="","",U216)</f>
        <v/>
      </c>
      <c r="W216" s="35" t="str">
        <f t="shared" ref="W216:W217" si="2630">IF(W$8="","",V216)</f>
        <v/>
      </c>
      <c r="X216" s="35" t="str">
        <f t="shared" ref="X216:X217" si="2631">IF(X$8="","",W216)</f>
        <v/>
      </c>
      <c r="Y216" s="35" t="str">
        <f t="shared" ref="Y216:Y217" si="2632">IF(Y$8="","",X216)</f>
        <v/>
      </c>
      <c r="Z216" s="35" t="str">
        <f t="shared" ref="Z216:Z217" si="2633">IF(Z$8="","",Y216)</f>
        <v/>
      </c>
      <c r="AA216" s="35" t="str">
        <f t="shared" ref="AA216:AA217" si="2634">IF(AA$8="","",Z216)</f>
        <v/>
      </c>
      <c r="AB216" s="35" t="str">
        <f t="shared" ref="AB216:AB217" si="2635">IF(AB$8="","",AA216)</f>
        <v/>
      </c>
      <c r="AC216" s="35" t="str">
        <f t="shared" ref="AC216:AC217" si="2636">IF(AC$8="","",AB216)</f>
        <v/>
      </c>
      <c r="AD216" s="35" t="str">
        <f t="shared" ref="AD216:AD217" si="2637">IF(AD$8="","",AC216)</f>
        <v/>
      </c>
      <c r="AE216" s="35" t="str">
        <f t="shared" ref="AE216:AE217" si="2638">IF(AE$8="","",AD216)</f>
        <v/>
      </c>
      <c r="AF216" s="35" t="str">
        <f t="shared" ref="AF216:AF217" si="2639">IF(AF$8="","",AE216)</f>
        <v/>
      </c>
      <c r="AG216" s="35" t="str">
        <f t="shared" ref="AG216:AG217" si="2640">IF(AG$8="","",AF216)</f>
        <v/>
      </c>
      <c r="AH216" s="35" t="str">
        <f t="shared" ref="AH216:AH217" si="2641">IF(AH$8="","",AG216)</f>
        <v/>
      </c>
      <c r="AI216" s="35" t="str">
        <f t="shared" ref="AI216:AI217" si="2642">IF(AI$8="","",AH216)</f>
        <v/>
      </c>
      <c r="AJ216" s="35" t="str">
        <f t="shared" ref="AJ216:AJ217" si="2643">IF(AJ$8="","",AI216)</f>
        <v/>
      </c>
      <c r="AK216" s="35" t="str">
        <f t="shared" ref="AK216:AK217" si="2644">IF(AK$8="","",AJ216)</f>
        <v/>
      </c>
      <c r="AL216" s="35" t="str">
        <f t="shared" ref="AL216:AL217" si="2645">IF(AL$8="","",AK216)</f>
        <v/>
      </c>
      <c r="AM216" s="35" t="str">
        <f t="shared" ref="AM216:AM217" si="2646">IF(AM$8="","",AL216)</f>
        <v/>
      </c>
      <c r="AN216" s="35" t="str">
        <f t="shared" ref="AN216:AS216" si="2647">IF(AN$8="","",AM216)</f>
        <v/>
      </c>
      <c r="AO216" s="35" t="str">
        <f t="shared" si="2647"/>
        <v/>
      </c>
      <c r="AP216" s="35" t="str">
        <f t="shared" si="2647"/>
        <v/>
      </c>
      <c r="AQ216" s="35" t="str">
        <f t="shared" si="2647"/>
        <v/>
      </c>
      <c r="AR216" s="35" t="str">
        <f t="shared" si="2647"/>
        <v/>
      </c>
      <c r="AS216" s="35" t="str">
        <f t="shared" si="2647"/>
        <v/>
      </c>
    </row>
    <row r="217" spans="1:45" s="85" customFormat="1" ht="11.25" x14ac:dyDescent="0.15">
      <c r="A217" s="14" t="s">
        <v>9</v>
      </c>
      <c r="B217" s="33" t="s">
        <v>10</v>
      </c>
      <c r="C217" s="32" t="s">
        <v>354</v>
      </c>
      <c r="D217" s="32" t="s">
        <v>354</v>
      </c>
      <c r="E217" s="32" t="s">
        <v>354</v>
      </c>
      <c r="F217" s="32" t="s">
        <v>354</v>
      </c>
      <c r="G217" s="32" t="s">
        <v>354</v>
      </c>
      <c r="H217" s="32" t="s">
        <v>354</v>
      </c>
      <c r="I217" s="32" t="s">
        <v>354</v>
      </c>
      <c r="J217" s="32" t="s">
        <v>354</v>
      </c>
      <c r="K217" s="32" t="s">
        <v>354</v>
      </c>
      <c r="L217" s="32" t="s">
        <v>354</v>
      </c>
      <c r="M217" s="32" t="str">
        <f t="shared" si="2620"/>
        <v>フルーツスクイーズ</v>
      </c>
      <c r="N217" s="32" t="str">
        <f t="shared" si="2621"/>
        <v>フルーツスクイーズ</v>
      </c>
      <c r="O217" s="32" t="str">
        <f t="shared" si="2622"/>
        <v>フルーツスクイーズ</v>
      </c>
      <c r="P217" s="32" t="str">
        <f>IF(P$8="","",O217)</f>
        <v/>
      </c>
      <c r="Q217" s="32" t="str">
        <f t="shared" si="2624"/>
        <v/>
      </c>
      <c r="R217" s="32" t="str">
        <f t="shared" si="2625"/>
        <v/>
      </c>
      <c r="S217" s="32" t="str">
        <f t="shared" si="2626"/>
        <v/>
      </c>
      <c r="T217" s="32" t="str">
        <f t="shared" si="2627"/>
        <v/>
      </c>
      <c r="U217" s="32" t="str">
        <f t="shared" si="2628"/>
        <v/>
      </c>
      <c r="V217" s="32" t="str">
        <f t="shared" si="2629"/>
        <v/>
      </c>
      <c r="W217" s="32" t="str">
        <f t="shared" si="2630"/>
        <v/>
      </c>
      <c r="X217" s="32" t="str">
        <f t="shared" si="2631"/>
        <v/>
      </c>
      <c r="Y217" s="32" t="str">
        <f t="shared" si="2632"/>
        <v/>
      </c>
      <c r="Z217" s="32" t="str">
        <f t="shared" si="2633"/>
        <v/>
      </c>
      <c r="AA217" s="32" t="str">
        <f t="shared" si="2634"/>
        <v/>
      </c>
      <c r="AB217" s="32" t="str">
        <f t="shared" si="2635"/>
        <v/>
      </c>
      <c r="AC217" s="32" t="str">
        <f t="shared" si="2636"/>
        <v/>
      </c>
      <c r="AD217" s="32" t="str">
        <f t="shared" si="2637"/>
        <v/>
      </c>
      <c r="AE217" s="32" t="str">
        <f t="shared" si="2638"/>
        <v/>
      </c>
      <c r="AF217" s="32" t="str">
        <f t="shared" si="2639"/>
        <v/>
      </c>
      <c r="AG217" s="32" t="str">
        <f t="shared" si="2640"/>
        <v/>
      </c>
      <c r="AH217" s="32" t="str">
        <f t="shared" si="2641"/>
        <v/>
      </c>
      <c r="AI217" s="32" t="str">
        <f t="shared" si="2642"/>
        <v/>
      </c>
      <c r="AJ217" s="32" t="str">
        <f t="shared" si="2643"/>
        <v/>
      </c>
      <c r="AK217" s="32" t="str">
        <f t="shared" si="2644"/>
        <v/>
      </c>
      <c r="AL217" s="32" t="str">
        <f t="shared" si="2645"/>
        <v/>
      </c>
      <c r="AM217" s="32" t="str">
        <f t="shared" si="2646"/>
        <v/>
      </c>
      <c r="AN217" s="32" t="str">
        <f t="shared" ref="AN217:AS217" si="2648">IF(AN$8="","",AM217)</f>
        <v/>
      </c>
      <c r="AO217" s="32" t="str">
        <f t="shared" si="2648"/>
        <v/>
      </c>
      <c r="AP217" s="32" t="str">
        <f t="shared" si="2648"/>
        <v/>
      </c>
      <c r="AQ217" s="32" t="str">
        <f t="shared" si="2648"/>
        <v/>
      </c>
      <c r="AR217" s="32" t="str">
        <f t="shared" si="2648"/>
        <v/>
      </c>
      <c r="AS217" s="32" t="str">
        <f t="shared" si="2648"/>
        <v/>
      </c>
    </row>
    <row r="218" spans="1:45" s="1" customFormat="1" ht="11.25" x14ac:dyDescent="0.15">
      <c r="A218" s="7">
        <f>AVERAGE(C219:AS219)*30*100</f>
        <v>41769.230769230766</v>
      </c>
      <c r="B218" s="30" t="s">
        <v>12</v>
      </c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</row>
    <row r="219" spans="1:45" s="1" customFormat="1" ht="11.25" x14ac:dyDescent="0.15">
      <c r="A219" s="7">
        <f>SUM(C219:AS219)</f>
        <v>181</v>
      </c>
      <c r="B219" s="27" t="s">
        <v>13</v>
      </c>
      <c r="C219" s="26">
        <v>0</v>
      </c>
      <c r="D219" s="26">
        <v>0</v>
      </c>
      <c r="E219" s="26">
        <v>37</v>
      </c>
      <c r="F219" s="26">
        <v>0</v>
      </c>
      <c r="G219" s="26">
        <v>0</v>
      </c>
      <c r="H219" s="26">
        <v>68</v>
      </c>
      <c r="I219" s="26">
        <v>0</v>
      </c>
      <c r="J219" s="26">
        <v>0</v>
      </c>
      <c r="K219" s="26">
        <v>0</v>
      </c>
      <c r="L219" s="26">
        <v>45</v>
      </c>
      <c r="M219" s="26">
        <f t="shared" ref="M219:M220" si="2649">IF(M$8="","",M212-L212)</f>
        <v>0</v>
      </c>
      <c r="N219" s="26">
        <f t="shared" ref="N219:N220" si="2650">IF(N$8="","",N212-M212)</f>
        <v>0</v>
      </c>
      <c r="O219" s="26">
        <f t="shared" ref="O219:O220" si="2651">IF(O$8="","",O212-N212)</f>
        <v>31</v>
      </c>
      <c r="P219" s="26" t="str">
        <f t="shared" ref="P219:P220" si="2652">IF(P$8="","",P212-O212)</f>
        <v/>
      </c>
      <c r="Q219" s="26" t="str">
        <f t="shared" ref="Q219:Q220" si="2653">IF(Q$8="","",Q212-P212)</f>
        <v/>
      </c>
      <c r="R219" s="26" t="str">
        <f t="shared" ref="R219:R220" si="2654">IF(R$8="","",R212-Q212)</f>
        <v/>
      </c>
      <c r="S219" s="26" t="str">
        <f t="shared" ref="S219:S220" si="2655">IF(S$8="","",S212-R212)</f>
        <v/>
      </c>
      <c r="T219" s="26" t="str">
        <f t="shared" ref="T219:T220" si="2656">IF(T$8="","",T212-S212)</f>
        <v/>
      </c>
      <c r="U219" s="26" t="str">
        <f t="shared" ref="U219:U220" si="2657">IF(U$8="","",U212-T212)</f>
        <v/>
      </c>
      <c r="V219" s="26" t="str">
        <f t="shared" ref="V219:V220" si="2658">IF(V$8="","",V212-U212)</f>
        <v/>
      </c>
      <c r="W219" s="26" t="str">
        <f t="shared" ref="W219:W220" si="2659">IF(W$8="","",W212-V212)</f>
        <v/>
      </c>
      <c r="X219" s="26" t="str">
        <f t="shared" ref="X219:X220" si="2660">IF(X$8="","",X212-W212)</f>
        <v/>
      </c>
      <c r="Y219" s="26" t="str">
        <f t="shared" ref="Y219:Y220" si="2661">IF(Y$8="","",Y212-X212)</f>
        <v/>
      </c>
      <c r="Z219" s="26" t="str">
        <f t="shared" ref="Z219:Z220" si="2662">IF(Z$8="","",Z212-Y212)</f>
        <v/>
      </c>
      <c r="AA219" s="26" t="str">
        <f t="shared" ref="AA219:AA220" si="2663">IF(AA$8="","",AA212-Z212)</f>
        <v/>
      </c>
      <c r="AB219" s="26" t="str">
        <f t="shared" ref="AB219:AB220" si="2664">IF(AB$8="","",AB212-AA212)</f>
        <v/>
      </c>
      <c r="AC219" s="26" t="str">
        <f t="shared" ref="AC219:AC220" si="2665">IF(AC$8="","",AC212-AB212)</f>
        <v/>
      </c>
      <c r="AD219" s="26" t="str">
        <f t="shared" ref="AD219:AD220" si="2666">IF(AD$8="","",AD212-AC212)</f>
        <v/>
      </c>
      <c r="AE219" s="26" t="str">
        <f t="shared" ref="AE219:AE220" si="2667">IF(AE$8="","",AE212-AD212)</f>
        <v/>
      </c>
      <c r="AF219" s="26" t="str">
        <f t="shared" ref="AF219:AF220" si="2668">IF(AF$8="","",AF212-AE212)</f>
        <v/>
      </c>
      <c r="AG219" s="26" t="str">
        <f t="shared" ref="AG219:AG220" si="2669">IF(AG$8="","",AG212-AF212)</f>
        <v/>
      </c>
      <c r="AH219" s="26" t="str">
        <f t="shared" ref="AH219:AH220" si="2670">IF(AH$8="","",AH212-AG212)</f>
        <v/>
      </c>
      <c r="AI219" s="26" t="str">
        <f t="shared" ref="AI219:AI220" si="2671">IF(AI$8="","",AI212-AH212)</f>
        <v/>
      </c>
      <c r="AJ219" s="26" t="str">
        <f t="shared" ref="AJ219:AJ220" si="2672">IF(AJ$8="","",AJ212-AI212)</f>
        <v/>
      </c>
      <c r="AK219" s="26" t="str">
        <f t="shared" ref="AK219:AK220" si="2673">IF(AK$8="","",AK212-AJ212)</f>
        <v/>
      </c>
      <c r="AL219" s="26" t="str">
        <f t="shared" ref="AL219:AL220" si="2674">IF(AL$8="","",AL212-AK212)</f>
        <v/>
      </c>
      <c r="AM219" s="26" t="str">
        <f t="shared" ref="AM219:AM220" si="2675">IF(AM$8="","",AM212-AL212)</f>
        <v/>
      </c>
      <c r="AN219" s="26" t="str">
        <f t="shared" ref="AN219:AS219" si="2676">IF(AN$8="","",AN212-AM212)</f>
        <v/>
      </c>
      <c r="AO219" s="26" t="str">
        <f t="shared" si="2676"/>
        <v/>
      </c>
      <c r="AP219" s="26" t="str">
        <f t="shared" si="2676"/>
        <v/>
      </c>
      <c r="AQ219" s="26" t="str">
        <f t="shared" si="2676"/>
        <v/>
      </c>
      <c r="AR219" s="26" t="str">
        <f t="shared" si="2676"/>
        <v/>
      </c>
      <c r="AS219" s="26" t="str">
        <f t="shared" si="2676"/>
        <v/>
      </c>
    </row>
    <row r="220" spans="1:45" s="1" customFormat="1" ht="11.25" x14ac:dyDescent="0.15">
      <c r="A220" s="7">
        <f>SUM(C220:AS220)</f>
        <v>1</v>
      </c>
      <c r="B220" s="27" t="s">
        <v>14</v>
      </c>
      <c r="C220" s="26">
        <v>0</v>
      </c>
      <c r="D220" s="26">
        <v>0</v>
      </c>
      <c r="E220" s="26">
        <v>0</v>
      </c>
      <c r="F220" s="26">
        <v>0</v>
      </c>
      <c r="G220" s="26">
        <v>0</v>
      </c>
      <c r="H220" s="26">
        <v>0</v>
      </c>
      <c r="I220" s="26">
        <v>0</v>
      </c>
      <c r="J220" s="26">
        <v>0</v>
      </c>
      <c r="K220" s="26">
        <v>0</v>
      </c>
      <c r="L220" s="26">
        <v>0</v>
      </c>
      <c r="M220" s="26">
        <f t="shared" si="2649"/>
        <v>0</v>
      </c>
      <c r="N220" s="26">
        <f t="shared" si="2650"/>
        <v>0</v>
      </c>
      <c r="O220" s="26">
        <f t="shared" si="2651"/>
        <v>1</v>
      </c>
      <c r="P220" s="26" t="str">
        <f t="shared" si="2652"/>
        <v/>
      </c>
      <c r="Q220" s="26" t="str">
        <f t="shared" si="2653"/>
        <v/>
      </c>
      <c r="R220" s="26" t="str">
        <f t="shared" si="2654"/>
        <v/>
      </c>
      <c r="S220" s="26" t="str">
        <f t="shared" si="2655"/>
        <v/>
      </c>
      <c r="T220" s="26" t="str">
        <f t="shared" si="2656"/>
        <v/>
      </c>
      <c r="U220" s="26" t="str">
        <f t="shared" si="2657"/>
        <v/>
      </c>
      <c r="V220" s="26" t="str">
        <f t="shared" si="2658"/>
        <v/>
      </c>
      <c r="W220" s="26" t="str">
        <f t="shared" si="2659"/>
        <v/>
      </c>
      <c r="X220" s="26" t="str">
        <f t="shared" si="2660"/>
        <v/>
      </c>
      <c r="Y220" s="26" t="str">
        <f t="shared" si="2661"/>
        <v/>
      </c>
      <c r="Z220" s="26" t="str">
        <f t="shared" si="2662"/>
        <v/>
      </c>
      <c r="AA220" s="26" t="str">
        <f t="shared" si="2663"/>
        <v/>
      </c>
      <c r="AB220" s="26" t="str">
        <f t="shared" si="2664"/>
        <v/>
      </c>
      <c r="AC220" s="26" t="str">
        <f t="shared" si="2665"/>
        <v/>
      </c>
      <c r="AD220" s="26" t="str">
        <f t="shared" si="2666"/>
        <v/>
      </c>
      <c r="AE220" s="26" t="str">
        <f t="shared" si="2667"/>
        <v/>
      </c>
      <c r="AF220" s="26" t="str">
        <f t="shared" si="2668"/>
        <v/>
      </c>
      <c r="AG220" s="26" t="str">
        <f t="shared" si="2669"/>
        <v/>
      </c>
      <c r="AH220" s="26" t="str">
        <f t="shared" si="2670"/>
        <v/>
      </c>
      <c r="AI220" s="26" t="str">
        <f t="shared" si="2671"/>
        <v/>
      </c>
      <c r="AJ220" s="26" t="str">
        <f t="shared" si="2672"/>
        <v/>
      </c>
      <c r="AK220" s="26" t="str">
        <f t="shared" si="2673"/>
        <v/>
      </c>
      <c r="AL220" s="26" t="str">
        <f t="shared" si="2674"/>
        <v/>
      </c>
      <c r="AM220" s="26" t="str">
        <f t="shared" si="2675"/>
        <v/>
      </c>
      <c r="AN220" s="26" t="str">
        <f t="shared" ref="AN220:AS220" si="2677">IF(AN$8="","",AN213-AM213)</f>
        <v/>
      </c>
      <c r="AO220" s="26" t="str">
        <f t="shared" si="2677"/>
        <v/>
      </c>
      <c r="AP220" s="26" t="str">
        <f t="shared" si="2677"/>
        <v/>
      </c>
      <c r="AQ220" s="26" t="str">
        <f t="shared" si="2677"/>
        <v/>
      </c>
      <c r="AR220" s="26" t="str">
        <f t="shared" si="2677"/>
        <v/>
      </c>
      <c r="AS220" s="26" t="str">
        <f t="shared" si="2677"/>
        <v/>
      </c>
    </row>
    <row r="221" spans="1:45" s="1" customFormat="1" ht="11.25" x14ac:dyDescent="0.15">
      <c r="A221" s="7">
        <f>SUM(C221:AS221)</f>
        <v>4</v>
      </c>
      <c r="B221" s="27" t="s">
        <v>15</v>
      </c>
      <c r="C221" s="26">
        <v>0</v>
      </c>
      <c r="D221" s="26">
        <v>0</v>
      </c>
      <c r="E221" s="26">
        <v>0</v>
      </c>
      <c r="F221" s="26">
        <v>0</v>
      </c>
      <c r="G221" s="26">
        <v>0</v>
      </c>
      <c r="H221" s="26">
        <v>0</v>
      </c>
      <c r="I221" s="26">
        <v>0</v>
      </c>
      <c r="J221" s="26">
        <v>0</v>
      </c>
      <c r="K221" s="26">
        <v>0</v>
      </c>
      <c r="L221" s="26">
        <v>3</v>
      </c>
      <c r="M221" s="26">
        <f t="shared" ref="M221" si="2678">IF(M$8="","",L214+L215-M214)</f>
        <v>0</v>
      </c>
      <c r="N221" s="26">
        <f t="shared" ref="N221" si="2679">IF(N$8="","",M214+M215-N214)</f>
        <v>0</v>
      </c>
      <c r="O221" s="26">
        <f t="shared" ref="O221" si="2680">IF(O$8="","",N214+N215-O214)</f>
        <v>1</v>
      </c>
      <c r="P221" s="26" t="str">
        <f t="shared" ref="P221" si="2681">IF(P$8="","",O214+O215-P214)</f>
        <v/>
      </c>
      <c r="Q221" s="26" t="str">
        <f t="shared" ref="Q221" si="2682">IF(Q$8="","",P214+P215-Q214)</f>
        <v/>
      </c>
      <c r="R221" s="26" t="str">
        <f t="shared" ref="R221" si="2683">IF(R$8="","",Q214+Q215-R214)</f>
        <v/>
      </c>
      <c r="S221" s="26" t="str">
        <f t="shared" ref="S221" si="2684">IF(S$8="","",R214+R215-S214)</f>
        <v/>
      </c>
      <c r="T221" s="26" t="str">
        <f t="shared" ref="T221" si="2685">IF(T$8="","",S214+S215-T214)</f>
        <v/>
      </c>
      <c r="U221" s="26" t="str">
        <f t="shared" ref="U221" si="2686">IF(U$8="","",T214+T215-U214)</f>
        <v/>
      </c>
      <c r="V221" s="26" t="str">
        <f t="shared" ref="V221" si="2687">IF(V$8="","",U214+U215-V214)</f>
        <v/>
      </c>
      <c r="W221" s="26" t="str">
        <f t="shared" ref="W221" si="2688">IF(W$8="","",V214+V215-W214)</f>
        <v/>
      </c>
      <c r="X221" s="26" t="str">
        <f t="shared" ref="X221" si="2689">IF(X$8="","",W214+W215-X214)</f>
        <v/>
      </c>
      <c r="Y221" s="26" t="str">
        <f t="shared" ref="Y221" si="2690">IF(Y$8="","",X214+X215-Y214)</f>
        <v/>
      </c>
      <c r="Z221" s="26" t="str">
        <f t="shared" ref="Z221" si="2691">IF(Z$8="","",Y214+Y215-Z214)</f>
        <v/>
      </c>
      <c r="AA221" s="26" t="str">
        <f t="shared" ref="AA221" si="2692">IF(AA$8="","",Z214+Z215-AA214)</f>
        <v/>
      </c>
      <c r="AB221" s="26" t="str">
        <f t="shared" ref="AB221" si="2693">IF(AB$8="","",AA214+AA215-AB214)</f>
        <v/>
      </c>
      <c r="AC221" s="26" t="str">
        <f t="shared" ref="AC221" si="2694">IF(AC$8="","",AB214+AB215-AC214)</f>
        <v/>
      </c>
      <c r="AD221" s="26" t="str">
        <f t="shared" ref="AD221" si="2695">IF(AD$8="","",AC214+AC215-AD214)</f>
        <v/>
      </c>
      <c r="AE221" s="26" t="str">
        <f t="shared" ref="AE221" si="2696">IF(AE$8="","",AD214+AD215-AE214)</f>
        <v/>
      </c>
      <c r="AF221" s="26" t="str">
        <f t="shared" ref="AF221" si="2697">IF(AF$8="","",AE214+AE215-AF214)</f>
        <v/>
      </c>
      <c r="AG221" s="26" t="str">
        <f t="shared" ref="AG221" si="2698">IF(AG$8="","",AF214+AF215-AG214)</f>
        <v/>
      </c>
      <c r="AH221" s="26" t="str">
        <f t="shared" ref="AH221" si="2699">IF(AH$8="","",AG214+AG215-AH214)</f>
        <v/>
      </c>
      <c r="AI221" s="26" t="str">
        <f t="shared" ref="AI221" si="2700">IF(AI$8="","",AH214+AH215-AI214)</f>
        <v/>
      </c>
      <c r="AJ221" s="26" t="str">
        <f t="shared" ref="AJ221" si="2701">IF(AJ$8="","",AI214+AI215-AJ214)</f>
        <v/>
      </c>
      <c r="AK221" s="26" t="str">
        <f t="shared" ref="AK221" si="2702">IF(AK$8="","",AJ214+AJ215-AK214)</f>
        <v/>
      </c>
      <c r="AL221" s="26" t="str">
        <f t="shared" ref="AL221" si="2703">IF(AL$8="","",AK214+AK215-AL214)</f>
        <v/>
      </c>
      <c r="AM221" s="26" t="str">
        <f t="shared" ref="AM221" si="2704">IF(AM$8="","",AL214+AL215-AM214)</f>
        <v/>
      </c>
      <c r="AN221" s="26" t="str">
        <f t="shared" ref="AN221:AS221" si="2705">IF(AN$8="","",AM214+AM215-AN214)</f>
        <v/>
      </c>
      <c r="AO221" s="26" t="str">
        <f t="shared" si="2705"/>
        <v/>
      </c>
      <c r="AP221" s="26" t="str">
        <f t="shared" si="2705"/>
        <v/>
      </c>
      <c r="AQ221" s="26" t="str">
        <f t="shared" si="2705"/>
        <v/>
      </c>
      <c r="AR221" s="26" t="str">
        <f t="shared" si="2705"/>
        <v/>
      </c>
      <c r="AS221" s="26" t="str">
        <f t="shared" si="2705"/>
        <v/>
      </c>
    </row>
    <row r="222" spans="1:45" s="1" customFormat="1" ht="11.25" x14ac:dyDescent="0.15">
      <c r="A222" s="7">
        <f>SUM(C222:AS222)</f>
        <v>1600</v>
      </c>
      <c r="B222" s="27" t="s">
        <v>16</v>
      </c>
      <c r="C222" s="26">
        <v>0</v>
      </c>
      <c r="D222" s="26">
        <v>0</v>
      </c>
      <c r="E222" s="26">
        <v>0</v>
      </c>
      <c r="F222" s="26">
        <v>0</v>
      </c>
      <c r="G222" s="26">
        <v>0</v>
      </c>
      <c r="H222" s="26">
        <v>0</v>
      </c>
      <c r="I222" s="26">
        <v>0</v>
      </c>
      <c r="J222" s="26">
        <v>0</v>
      </c>
      <c r="K222" s="26">
        <v>0</v>
      </c>
      <c r="L222" s="26">
        <v>1200</v>
      </c>
      <c r="M222" s="26">
        <f t="shared" ref="J222:AM222" si="2706">IF(M$8="","",M221*M216)</f>
        <v>0</v>
      </c>
      <c r="N222" s="26">
        <f t="shared" si="2706"/>
        <v>0</v>
      </c>
      <c r="O222" s="26">
        <f t="shared" si="2706"/>
        <v>400</v>
      </c>
      <c r="P222" s="26" t="str">
        <f t="shared" si="2706"/>
        <v/>
      </c>
      <c r="Q222" s="26" t="str">
        <f t="shared" si="2706"/>
        <v/>
      </c>
      <c r="R222" s="26" t="str">
        <f t="shared" si="2706"/>
        <v/>
      </c>
      <c r="S222" s="26" t="str">
        <f t="shared" si="2706"/>
        <v/>
      </c>
      <c r="T222" s="26" t="str">
        <f t="shared" si="2706"/>
        <v/>
      </c>
      <c r="U222" s="26" t="str">
        <f t="shared" si="2706"/>
        <v/>
      </c>
      <c r="V222" s="26" t="str">
        <f t="shared" si="2706"/>
        <v/>
      </c>
      <c r="W222" s="26" t="str">
        <f t="shared" si="2706"/>
        <v/>
      </c>
      <c r="X222" s="26" t="str">
        <f t="shared" si="2706"/>
        <v/>
      </c>
      <c r="Y222" s="26" t="str">
        <f t="shared" si="2706"/>
        <v/>
      </c>
      <c r="Z222" s="26" t="str">
        <f t="shared" si="2706"/>
        <v/>
      </c>
      <c r="AA222" s="26" t="str">
        <f t="shared" si="2706"/>
        <v/>
      </c>
      <c r="AB222" s="26" t="str">
        <f t="shared" si="2706"/>
        <v/>
      </c>
      <c r="AC222" s="26" t="str">
        <f t="shared" si="2706"/>
        <v/>
      </c>
      <c r="AD222" s="26" t="str">
        <f t="shared" si="2706"/>
        <v/>
      </c>
      <c r="AE222" s="26" t="str">
        <f t="shared" si="2706"/>
        <v/>
      </c>
      <c r="AF222" s="26" t="str">
        <f t="shared" si="2706"/>
        <v/>
      </c>
      <c r="AG222" s="26" t="str">
        <f t="shared" si="2706"/>
        <v/>
      </c>
      <c r="AH222" s="26" t="str">
        <f t="shared" si="2706"/>
        <v/>
      </c>
      <c r="AI222" s="26" t="str">
        <f t="shared" si="2706"/>
        <v/>
      </c>
      <c r="AJ222" s="26" t="str">
        <f t="shared" si="2706"/>
        <v/>
      </c>
      <c r="AK222" s="26" t="str">
        <f t="shared" si="2706"/>
        <v/>
      </c>
      <c r="AL222" s="26" t="str">
        <f t="shared" si="2706"/>
        <v/>
      </c>
      <c r="AM222" s="26" t="str">
        <f t="shared" si="2706"/>
        <v/>
      </c>
      <c r="AN222" s="26" t="str">
        <f t="shared" ref="AN222:AS222" si="2707">IF(AN$8="","",AN221*AN216)</f>
        <v/>
      </c>
      <c r="AO222" s="26" t="str">
        <f t="shared" si="2707"/>
        <v/>
      </c>
      <c r="AP222" s="26" t="str">
        <f t="shared" si="2707"/>
        <v/>
      </c>
      <c r="AQ222" s="26" t="str">
        <f t="shared" si="2707"/>
        <v/>
      </c>
      <c r="AR222" s="26" t="str">
        <f t="shared" si="2707"/>
        <v/>
      </c>
      <c r="AS222" s="26" t="str">
        <f t="shared" si="2707"/>
        <v/>
      </c>
    </row>
    <row r="223" spans="1:45" s="1" customFormat="1" ht="12" thickBot="1" x14ac:dyDescent="0.2">
      <c r="A223" s="4">
        <f>IF(A222="","",A222/(A219*100))</f>
        <v>8.8397790055248615E-2</v>
      </c>
      <c r="B223" s="27" t="s">
        <v>18</v>
      </c>
      <c r="C223" s="42" t="s">
        <v>19</v>
      </c>
      <c r="D223" s="42" t="s">
        <v>19</v>
      </c>
      <c r="E223" s="42" t="s">
        <v>19</v>
      </c>
      <c r="F223" s="42" t="s">
        <v>19</v>
      </c>
      <c r="G223" s="42" t="s">
        <v>19</v>
      </c>
      <c r="H223" s="42" t="s">
        <v>19</v>
      </c>
      <c r="I223" s="42" t="s">
        <v>19</v>
      </c>
      <c r="J223" s="42" t="s">
        <v>19</v>
      </c>
      <c r="K223" s="42" t="s">
        <v>19</v>
      </c>
      <c r="L223" s="42">
        <v>0.26666666666666666</v>
      </c>
      <c r="M223" s="42" t="str">
        <f t="shared" ref="J223:AM223" si="2708">IF(M$8="","",IF(M222=0,"",M222/(M219*100)))</f>
        <v/>
      </c>
      <c r="N223" s="42" t="str">
        <f t="shared" si="2708"/>
        <v/>
      </c>
      <c r="O223" s="42">
        <f t="shared" si="2708"/>
        <v>0.12903225806451613</v>
      </c>
      <c r="P223" s="42" t="str">
        <f t="shared" si="2708"/>
        <v/>
      </c>
      <c r="Q223" s="42" t="str">
        <f t="shared" si="2708"/>
        <v/>
      </c>
      <c r="R223" s="42" t="str">
        <f t="shared" si="2708"/>
        <v/>
      </c>
      <c r="S223" s="42" t="str">
        <f t="shared" si="2708"/>
        <v/>
      </c>
      <c r="T223" s="42" t="str">
        <f t="shared" si="2708"/>
        <v/>
      </c>
      <c r="U223" s="42" t="str">
        <f t="shared" si="2708"/>
        <v/>
      </c>
      <c r="V223" s="42" t="str">
        <f t="shared" si="2708"/>
        <v/>
      </c>
      <c r="W223" s="42" t="str">
        <f t="shared" si="2708"/>
        <v/>
      </c>
      <c r="X223" s="42" t="str">
        <f t="shared" si="2708"/>
        <v/>
      </c>
      <c r="Y223" s="42" t="str">
        <f t="shared" si="2708"/>
        <v/>
      </c>
      <c r="Z223" s="42" t="str">
        <f t="shared" si="2708"/>
        <v/>
      </c>
      <c r="AA223" s="42" t="str">
        <f t="shared" si="2708"/>
        <v/>
      </c>
      <c r="AB223" s="42" t="str">
        <f t="shared" si="2708"/>
        <v/>
      </c>
      <c r="AC223" s="42" t="str">
        <f t="shared" si="2708"/>
        <v/>
      </c>
      <c r="AD223" s="42" t="str">
        <f t="shared" si="2708"/>
        <v/>
      </c>
      <c r="AE223" s="42" t="str">
        <f t="shared" si="2708"/>
        <v/>
      </c>
      <c r="AF223" s="42" t="str">
        <f t="shared" si="2708"/>
        <v/>
      </c>
      <c r="AG223" s="42" t="str">
        <f t="shared" si="2708"/>
        <v/>
      </c>
      <c r="AH223" s="42" t="str">
        <f t="shared" si="2708"/>
        <v/>
      </c>
      <c r="AI223" s="42" t="str">
        <f t="shared" si="2708"/>
        <v/>
      </c>
      <c r="AJ223" s="42" t="str">
        <f t="shared" si="2708"/>
        <v/>
      </c>
      <c r="AK223" s="42" t="str">
        <f t="shared" si="2708"/>
        <v/>
      </c>
      <c r="AL223" s="42" t="str">
        <f t="shared" si="2708"/>
        <v/>
      </c>
      <c r="AM223" s="42" t="str">
        <f t="shared" si="2708"/>
        <v/>
      </c>
      <c r="AN223" s="42" t="str">
        <f t="shared" ref="AN223:AS223" si="2709">IF(AN$8="","",IF(AN222=0,"",AN222/(AN219*100)))</f>
        <v/>
      </c>
      <c r="AO223" s="42" t="str">
        <f t="shared" si="2709"/>
        <v/>
      </c>
      <c r="AP223" s="42" t="str">
        <f t="shared" si="2709"/>
        <v/>
      </c>
      <c r="AQ223" s="42" t="str">
        <f t="shared" si="2709"/>
        <v/>
      </c>
      <c r="AR223" s="42" t="str">
        <f t="shared" si="2709"/>
        <v/>
      </c>
      <c r="AS223" s="42" t="str">
        <f t="shared" si="2709"/>
        <v/>
      </c>
    </row>
    <row r="224" spans="1:45" s="1" customFormat="1" ht="11.25" x14ac:dyDescent="0.15">
      <c r="A224" s="17" t="s">
        <v>83</v>
      </c>
      <c r="B224" s="41" t="s">
        <v>2</v>
      </c>
      <c r="C224" s="35">
        <v>6199</v>
      </c>
      <c r="D224" s="35">
        <v>6199</v>
      </c>
      <c r="E224" s="35">
        <v>6220</v>
      </c>
      <c r="F224" s="35">
        <v>6220</v>
      </c>
      <c r="G224" s="35">
        <v>6220</v>
      </c>
      <c r="H224" s="35">
        <v>6286</v>
      </c>
      <c r="I224" s="35">
        <v>6286</v>
      </c>
      <c r="J224" s="35">
        <v>6286</v>
      </c>
      <c r="K224" s="35">
        <v>6286</v>
      </c>
      <c r="L224" s="35">
        <v>6302</v>
      </c>
      <c r="M224" s="35">
        <f t="shared" ref="M224:M225" si="2710">IF(M$8="","",L224)</f>
        <v>6302</v>
      </c>
      <c r="N224" s="35">
        <f t="shared" ref="N224:N225" si="2711">IF(N$8="","",M224)</f>
        <v>6302</v>
      </c>
      <c r="O224" s="35">
        <v>6342</v>
      </c>
      <c r="P224" s="35" t="str">
        <f>IF(P$8="","",O224)</f>
        <v/>
      </c>
      <c r="Q224" s="35" t="str">
        <f t="shared" ref="Q224:Q225" si="2712">IF(Q$8="","",P224)</f>
        <v/>
      </c>
      <c r="R224" s="35" t="str">
        <f t="shared" ref="R224:R225" si="2713">IF(R$8="","",Q224)</f>
        <v/>
      </c>
      <c r="S224" s="35" t="str">
        <f>IF(S$8="","",R224)</f>
        <v/>
      </c>
      <c r="T224" s="35" t="str">
        <f t="shared" ref="T224:T225" si="2714">IF(T$8="","",S224)</f>
        <v/>
      </c>
      <c r="U224" s="35" t="str">
        <f t="shared" ref="U224:U225" si="2715">IF(U$8="","",T224)</f>
        <v/>
      </c>
      <c r="V224" s="35" t="str">
        <f>IF(V$8="","",U224)</f>
        <v/>
      </c>
      <c r="W224" s="35" t="str">
        <f t="shared" ref="W224:W225" si="2716">IF(W$8="","",V224)</f>
        <v/>
      </c>
      <c r="X224" s="35" t="str">
        <f t="shared" ref="X224:X225" si="2717">IF(X$8="","",W224)</f>
        <v/>
      </c>
      <c r="Y224" s="35" t="str">
        <f t="shared" ref="Y224:Y225" si="2718">IF(Y$8="","",X224)</f>
        <v/>
      </c>
      <c r="Z224" s="35" t="str">
        <f>IF(Z$8="","",Y224)</f>
        <v/>
      </c>
      <c r="AA224" s="35" t="str">
        <f t="shared" ref="AA224:AA225" si="2719">IF(AA$8="","",Z224)</f>
        <v/>
      </c>
      <c r="AB224" s="35" t="str">
        <f t="shared" ref="AB224:AB225" si="2720">IF(AB$8="","",AA224)</f>
        <v/>
      </c>
      <c r="AC224" s="35" t="str">
        <f t="shared" ref="AC224:AC225" si="2721">IF(AC$8="","",AB224)</f>
        <v/>
      </c>
      <c r="AD224" s="35" t="str">
        <f>IF(AD$8="","",AC224)</f>
        <v/>
      </c>
      <c r="AE224" s="35" t="str">
        <f t="shared" ref="AE224:AE225" si="2722">IF(AE$8="","",AD224)</f>
        <v/>
      </c>
      <c r="AF224" s="35" t="str">
        <f t="shared" ref="AF224:AF225" si="2723">IF(AF$8="","",AE224)</f>
        <v/>
      </c>
      <c r="AG224" s="35" t="str">
        <f>IF(AG$8="","",AF224)</f>
        <v/>
      </c>
      <c r="AH224" s="35" t="str">
        <f t="shared" ref="AH224:AH225" si="2724">IF(AH$8="","",AG224)</f>
        <v/>
      </c>
      <c r="AI224" s="35" t="str">
        <f t="shared" ref="AI224:AI225" si="2725">IF(AI$8="","",AH224)</f>
        <v/>
      </c>
      <c r="AJ224" s="35" t="str">
        <f>IF(AJ$8="","",AI224)</f>
        <v/>
      </c>
      <c r="AK224" s="35" t="str">
        <f t="shared" ref="AK224:AK225" si="2726">IF(AK$8="","",AJ224)</f>
        <v/>
      </c>
      <c r="AL224" s="35" t="str">
        <f t="shared" ref="AL224:AL225" si="2727">IF(AL$8="","",AK224)</f>
        <v/>
      </c>
      <c r="AM224" s="35" t="str">
        <f t="shared" ref="AM224:AM225" si="2728">IF(AM$8="","",AL224)</f>
        <v/>
      </c>
      <c r="AN224" s="35" t="str">
        <f>IF(AN$8="","",AM224)</f>
        <v/>
      </c>
      <c r="AO224" s="35" t="str">
        <f t="shared" ref="AN224:AS224" si="2729">IF(AO$8="","",AN224)</f>
        <v/>
      </c>
      <c r="AP224" s="35" t="str">
        <f t="shared" si="2729"/>
        <v/>
      </c>
      <c r="AQ224" s="35" t="str">
        <f t="shared" si="2729"/>
        <v/>
      </c>
      <c r="AR224" s="35" t="str">
        <f t="shared" si="2729"/>
        <v/>
      </c>
      <c r="AS224" s="35" t="str">
        <f t="shared" si="2729"/>
        <v/>
      </c>
    </row>
    <row r="225" spans="1:45" s="1" customFormat="1" ht="11.25" x14ac:dyDescent="0.15">
      <c r="A225" s="16" t="s">
        <v>89</v>
      </c>
      <c r="B225" s="30" t="s">
        <v>4</v>
      </c>
      <c r="C225" s="29">
        <v>262</v>
      </c>
      <c r="D225" s="29">
        <v>262</v>
      </c>
      <c r="E225" s="29">
        <v>262</v>
      </c>
      <c r="F225" s="29">
        <v>262</v>
      </c>
      <c r="G225" s="29">
        <v>262</v>
      </c>
      <c r="H225" s="29">
        <v>264</v>
      </c>
      <c r="I225" s="29">
        <v>264</v>
      </c>
      <c r="J225" s="29">
        <v>264</v>
      </c>
      <c r="K225" s="29">
        <v>264</v>
      </c>
      <c r="L225" s="29">
        <v>264</v>
      </c>
      <c r="M225" s="29">
        <f t="shared" si="2710"/>
        <v>264</v>
      </c>
      <c r="N225" s="29">
        <f t="shared" si="2711"/>
        <v>264</v>
      </c>
      <c r="O225" s="29">
        <v>266</v>
      </c>
      <c r="P225" s="29" t="str">
        <f>IF(P$8="","",O225)</f>
        <v/>
      </c>
      <c r="Q225" s="29" t="str">
        <f t="shared" si="2712"/>
        <v/>
      </c>
      <c r="R225" s="29" t="str">
        <f t="shared" si="2713"/>
        <v/>
      </c>
      <c r="S225" s="29" t="str">
        <f>IF(S$8="","",R225)</f>
        <v/>
      </c>
      <c r="T225" s="29" t="str">
        <f t="shared" si="2714"/>
        <v/>
      </c>
      <c r="U225" s="29" t="str">
        <f t="shared" si="2715"/>
        <v/>
      </c>
      <c r="V225" s="29" t="str">
        <f>IF(V$8="","",U225)</f>
        <v/>
      </c>
      <c r="W225" s="29" t="str">
        <f t="shared" si="2716"/>
        <v/>
      </c>
      <c r="X225" s="29" t="str">
        <f t="shared" si="2717"/>
        <v/>
      </c>
      <c r="Y225" s="29" t="str">
        <f t="shared" si="2718"/>
        <v/>
      </c>
      <c r="Z225" s="29" t="str">
        <f>IF(Z$8="","",Y225)</f>
        <v/>
      </c>
      <c r="AA225" s="29" t="str">
        <f t="shared" si="2719"/>
        <v/>
      </c>
      <c r="AB225" s="29" t="str">
        <f t="shared" si="2720"/>
        <v/>
      </c>
      <c r="AC225" s="29" t="str">
        <f t="shared" si="2721"/>
        <v/>
      </c>
      <c r="AD225" s="29" t="str">
        <f>IF(AD$8="","",AC225)</f>
        <v/>
      </c>
      <c r="AE225" s="29" t="str">
        <f t="shared" si="2722"/>
        <v/>
      </c>
      <c r="AF225" s="29" t="str">
        <f t="shared" si="2723"/>
        <v/>
      </c>
      <c r="AG225" s="29" t="str">
        <f>IF(AG$8="","",AF225)</f>
        <v/>
      </c>
      <c r="AH225" s="29" t="str">
        <f t="shared" si="2724"/>
        <v/>
      </c>
      <c r="AI225" s="29" t="str">
        <f t="shared" si="2725"/>
        <v/>
      </c>
      <c r="AJ225" s="29" t="str">
        <f>IF(AJ$8="","",AI225)</f>
        <v/>
      </c>
      <c r="AK225" s="29" t="str">
        <f t="shared" si="2726"/>
        <v/>
      </c>
      <c r="AL225" s="29" t="str">
        <f t="shared" si="2727"/>
        <v/>
      </c>
      <c r="AM225" s="29" t="str">
        <f t="shared" si="2728"/>
        <v/>
      </c>
      <c r="AN225" s="29" t="str">
        <f t="shared" ref="AN225:AS225" si="2730">IF(AN$8="","",AM225)</f>
        <v/>
      </c>
      <c r="AO225" s="29" t="str">
        <f t="shared" si="2730"/>
        <v/>
      </c>
      <c r="AP225" s="29" t="str">
        <f t="shared" si="2730"/>
        <v/>
      </c>
      <c r="AQ225" s="29" t="str">
        <f t="shared" si="2730"/>
        <v/>
      </c>
      <c r="AR225" s="29" t="str">
        <f t="shared" si="2730"/>
        <v/>
      </c>
      <c r="AS225" s="29" t="str">
        <f t="shared" si="2730"/>
        <v/>
      </c>
    </row>
    <row r="226" spans="1:45" s="1" customFormat="1" ht="11.25" x14ac:dyDescent="0.15">
      <c r="A226" s="15">
        <v>4</v>
      </c>
      <c r="B226" s="30" t="s">
        <v>5</v>
      </c>
      <c r="C226" s="29">
        <v>130</v>
      </c>
      <c r="D226" s="29">
        <v>130</v>
      </c>
      <c r="E226" s="29">
        <v>130</v>
      </c>
      <c r="F226" s="29">
        <v>130</v>
      </c>
      <c r="G226" s="29">
        <v>130</v>
      </c>
      <c r="H226" s="29">
        <v>128</v>
      </c>
      <c r="I226" s="29">
        <v>128</v>
      </c>
      <c r="J226" s="29">
        <v>128</v>
      </c>
      <c r="K226" s="29">
        <v>128</v>
      </c>
      <c r="L226" s="29">
        <v>128</v>
      </c>
      <c r="M226" s="29">
        <f t="shared" ref="M226" si="2731">IF(M$8="","",(L226+L227))</f>
        <v>128</v>
      </c>
      <c r="N226" s="29">
        <f t="shared" ref="N226" si="2732">IF(N$8="","",(M226+M227))</f>
        <v>128</v>
      </c>
      <c r="O226" s="29">
        <v>126</v>
      </c>
      <c r="P226" s="29" t="str">
        <f>IF(P$8="","",(O226+O227))</f>
        <v/>
      </c>
      <c r="Q226" s="29" t="str">
        <f t="shared" ref="Q226" si="2733">IF(Q$8="","",(P226+P227))</f>
        <v/>
      </c>
      <c r="R226" s="29" t="str">
        <f t="shared" ref="R226" si="2734">IF(R$8="","",(Q226+Q227))</f>
        <v/>
      </c>
      <c r="S226" s="29" t="str">
        <f>IF(S$8="","",(R226+R227))</f>
        <v/>
      </c>
      <c r="T226" s="29" t="str">
        <f t="shared" ref="T226" si="2735">IF(T$8="","",(S226+S227))</f>
        <v/>
      </c>
      <c r="U226" s="29" t="str">
        <f t="shared" ref="U226" si="2736">IF(U$8="","",(T226+T227))</f>
        <v/>
      </c>
      <c r="V226" s="29" t="str">
        <f>IF(V$8="","",(U226+U227))</f>
        <v/>
      </c>
      <c r="W226" s="29" t="str">
        <f t="shared" ref="W226" si="2737">IF(W$8="","",(V226+V227))</f>
        <v/>
      </c>
      <c r="X226" s="29" t="str">
        <f t="shared" ref="X226" si="2738">IF(X$8="","",(W226+W227))</f>
        <v/>
      </c>
      <c r="Y226" s="29" t="str">
        <f t="shared" ref="Y226" si="2739">IF(Y$8="","",(X226+X227))</f>
        <v/>
      </c>
      <c r="Z226" s="29" t="str">
        <f>IF(Z$8="","",(Y226+Y227))</f>
        <v/>
      </c>
      <c r="AA226" s="29" t="str">
        <f t="shared" ref="AA226" si="2740">IF(AA$8="","",(Z226+Z227))</f>
        <v/>
      </c>
      <c r="AB226" s="29" t="str">
        <f t="shared" ref="AB226" si="2741">IF(AB$8="","",(AA226+AA227))</f>
        <v/>
      </c>
      <c r="AC226" s="29" t="str">
        <f t="shared" ref="AC226" si="2742">IF(AC$8="","",(AB226+AB227))</f>
        <v/>
      </c>
      <c r="AD226" s="29" t="str">
        <f>IF(AD$8="","",(AC226+AC227))</f>
        <v/>
      </c>
      <c r="AE226" s="29" t="str">
        <f t="shared" ref="AE226" si="2743">IF(AE$8="","",(AD226+AD227))</f>
        <v/>
      </c>
      <c r="AF226" s="29" t="str">
        <f t="shared" ref="AF226" si="2744">IF(AF$8="","",(AE226+AE227))</f>
        <v/>
      </c>
      <c r="AG226" s="29" t="str">
        <f>IF(AG$8="","",(AF226+AF227))</f>
        <v/>
      </c>
      <c r="AH226" s="29" t="str">
        <f t="shared" ref="AH226" si="2745">IF(AH$8="","",(AG226+AG227))</f>
        <v/>
      </c>
      <c r="AI226" s="29" t="str">
        <f t="shared" ref="AI226" si="2746">IF(AI$8="","",(AH226+AH227))</f>
        <v/>
      </c>
      <c r="AJ226" s="29" t="str">
        <f>IF(AJ$8="","",(AI226+AI227))</f>
        <v/>
      </c>
      <c r="AK226" s="29" t="str">
        <f t="shared" ref="AK226" si="2747">IF(AK$8="","",(AJ226+AJ227))</f>
        <v/>
      </c>
      <c r="AL226" s="29" t="str">
        <f t="shared" ref="AL226" si="2748">IF(AL$8="","",(AK226+AK227))</f>
        <v/>
      </c>
      <c r="AM226" s="29" t="str">
        <f t="shared" ref="AM226" si="2749">IF(AM$8="","",(AL226+AL227))</f>
        <v/>
      </c>
      <c r="AN226" s="29" t="str">
        <f t="shared" ref="AN226:AS226" si="2750">IF(AN$8="","",(AM226+AM227))</f>
        <v/>
      </c>
      <c r="AO226" s="29" t="str">
        <f t="shared" si="2750"/>
        <v/>
      </c>
      <c r="AP226" s="29" t="str">
        <f t="shared" si="2750"/>
        <v/>
      </c>
      <c r="AQ226" s="29" t="str">
        <f t="shared" si="2750"/>
        <v/>
      </c>
      <c r="AR226" s="29" t="str">
        <f t="shared" si="2750"/>
        <v/>
      </c>
      <c r="AS226" s="29" t="str">
        <f t="shared" si="2750"/>
        <v/>
      </c>
    </row>
    <row r="227" spans="1:45" s="1" customFormat="1" ht="11.25" x14ac:dyDescent="0.15">
      <c r="A227" s="14"/>
      <c r="B227" s="30" t="s">
        <v>7</v>
      </c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</row>
    <row r="228" spans="1:45" s="1" customFormat="1" ht="11.25" x14ac:dyDescent="0.15">
      <c r="A228" s="7"/>
      <c r="B228" s="30" t="s">
        <v>8</v>
      </c>
      <c r="C228" s="35">
        <v>300</v>
      </c>
      <c r="D228" s="35">
        <v>300</v>
      </c>
      <c r="E228" s="35">
        <v>300</v>
      </c>
      <c r="F228" s="35">
        <v>300</v>
      </c>
      <c r="G228" s="35">
        <v>300</v>
      </c>
      <c r="H228" s="35">
        <v>300</v>
      </c>
      <c r="I228" s="35">
        <v>300</v>
      </c>
      <c r="J228" s="35">
        <v>300</v>
      </c>
      <c r="K228" s="35">
        <v>300</v>
      </c>
      <c r="L228" s="35">
        <v>300</v>
      </c>
      <c r="M228" s="35">
        <f t="shared" ref="M228:M229" si="2751">IF(M$8="","",L228)</f>
        <v>300</v>
      </c>
      <c r="N228" s="35">
        <f t="shared" ref="N228:N229" si="2752">IF(N$8="","",M228)</f>
        <v>300</v>
      </c>
      <c r="O228" s="35">
        <f t="shared" ref="O228:O229" si="2753">IF(O$8="","",N228)</f>
        <v>300</v>
      </c>
      <c r="P228" s="35" t="str">
        <f t="shared" ref="P228:P229" si="2754">IF(P$8="","",O228)</f>
        <v/>
      </c>
      <c r="Q228" s="35" t="str">
        <f t="shared" ref="Q228:Q229" si="2755">IF(Q$8="","",P228)</f>
        <v/>
      </c>
      <c r="R228" s="35" t="str">
        <f t="shared" ref="R228:R229" si="2756">IF(R$8="","",Q228)</f>
        <v/>
      </c>
      <c r="S228" s="35" t="str">
        <f t="shared" ref="S228:S229" si="2757">IF(S$8="","",R228)</f>
        <v/>
      </c>
      <c r="T228" s="35" t="str">
        <f t="shared" ref="T228:T229" si="2758">IF(T$8="","",S228)</f>
        <v/>
      </c>
      <c r="U228" s="35" t="str">
        <f t="shared" ref="U228:U229" si="2759">IF(U$8="","",T228)</f>
        <v/>
      </c>
      <c r="V228" s="35" t="str">
        <f t="shared" ref="V228:V229" si="2760">IF(V$8="","",U228)</f>
        <v/>
      </c>
      <c r="W228" s="35" t="str">
        <f t="shared" ref="W228:W229" si="2761">IF(W$8="","",V228)</f>
        <v/>
      </c>
      <c r="X228" s="35" t="str">
        <f t="shared" ref="X228:X229" si="2762">IF(X$8="","",W228)</f>
        <v/>
      </c>
      <c r="Y228" s="35" t="str">
        <f t="shared" ref="Y228:Y229" si="2763">IF(Y$8="","",X228)</f>
        <v/>
      </c>
      <c r="Z228" s="35" t="str">
        <f t="shared" ref="Z228:Z229" si="2764">IF(Z$8="","",Y228)</f>
        <v/>
      </c>
      <c r="AA228" s="35" t="str">
        <f t="shared" ref="AA228:AA229" si="2765">IF(AA$8="","",Z228)</f>
        <v/>
      </c>
      <c r="AB228" s="35" t="str">
        <f t="shared" ref="AB228:AB229" si="2766">IF(AB$8="","",AA228)</f>
        <v/>
      </c>
      <c r="AC228" s="35" t="str">
        <f t="shared" ref="AC228:AC229" si="2767">IF(AC$8="","",AB228)</f>
        <v/>
      </c>
      <c r="AD228" s="35" t="str">
        <f t="shared" ref="AD228:AD229" si="2768">IF(AD$8="","",AC228)</f>
        <v/>
      </c>
      <c r="AE228" s="35" t="str">
        <f t="shared" ref="AE228:AE229" si="2769">IF(AE$8="","",AD228)</f>
        <v/>
      </c>
      <c r="AF228" s="35" t="str">
        <f t="shared" ref="AF228:AF229" si="2770">IF(AF$8="","",AE228)</f>
        <v/>
      </c>
      <c r="AG228" s="35" t="str">
        <f t="shared" ref="AG228:AG229" si="2771">IF(AG$8="","",AF228)</f>
        <v/>
      </c>
      <c r="AH228" s="35" t="str">
        <f t="shared" ref="AH228:AH229" si="2772">IF(AH$8="","",AG228)</f>
        <v/>
      </c>
      <c r="AI228" s="35" t="str">
        <f t="shared" ref="AI228:AI229" si="2773">IF(AI$8="","",AH228)</f>
        <v/>
      </c>
      <c r="AJ228" s="35" t="str">
        <f t="shared" ref="AJ228:AJ229" si="2774">IF(AJ$8="","",AI228)</f>
        <v/>
      </c>
      <c r="AK228" s="35" t="str">
        <f t="shared" ref="AK228:AK229" si="2775">IF(AK$8="","",AJ228)</f>
        <v/>
      </c>
      <c r="AL228" s="35" t="str">
        <f t="shared" ref="AL228:AL229" si="2776">IF(AL$8="","",AK228)</f>
        <v/>
      </c>
      <c r="AM228" s="35" t="str">
        <f t="shared" ref="AM228:AM229" si="2777">IF(AM$8="","",AL228)</f>
        <v/>
      </c>
      <c r="AN228" s="35" t="str">
        <f t="shared" ref="AN228:AS228" si="2778">IF(AN$8="","",AM228)</f>
        <v/>
      </c>
      <c r="AO228" s="35" t="str">
        <f t="shared" si="2778"/>
        <v/>
      </c>
      <c r="AP228" s="35" t="str">
        <f t="shared" si="2778"/>
        <v/>
      </c>
      <c r="AQ228" s="35" t="str">
        <f t="shared" si="2778"/>
        <v/>
      </c>
      <c r="AR228" s="35" t="str">
        <f t="shared" si="2778"/>
        <v/>
      </c>
      <c r="AS228" s="35" t="str">
        <f t="shared" si="2778"/>
        <v/>
      </c>
    </row>
    <row r="229" spans="1:45" s="85" customFormat="1" ht="11.25" x14ac:dyDescent="0.15">
      <c r="A229" s="14" t="s">
        <v>9</v>
      </c>
      <c r="B229" s="33" t="s">
        <v>10</v>
      </c>
      <c r="C229" s="32" t="s">
        <v>78</v>
      </c>
      <c r="D229" s="32" t="s">
        <v>78</v>
      </c>
      <c r="E229" s="32" t="s">
        <v>78</v>
      </c>
      <c r="F229" s="32" t="s">
        <v>78</v>
      </c>
      <c r="G229" s="32" t="s">
        <v>78</v>
      </c>
      <c r="H229" s="32" t="s">
        <v>78</v>
      </c>
      <c r="I229" s="32" t="s">
        <v>78</v>
      </c>
      <c r="J229" s="32" t="s">
        <v>78</v>
      </c>
      <c r="K229" s="32" t="s">
        <v>78</v>
      </c>
      <c r="L229" s="32" t="s">
        <v>78</v>
      </c>
      <c r="M229" s="32" t="str">
        <f t="shared" si="2751"/>
        <v>アングリーベア</v>
      </c>
      <c r="N229" s="32" t="str">
        <f t="shared" si="2752"/>
        <v>アングリーベア</v>
      </c>
      <c r="O229" s="32" t="str">
        <f t="shared" si="2753"/>
        <v>アングリーベア</v>
      </c>
      <c r="P229" s="32" t="str">
        <f t="shared" si="2754"/>
        <v/>
      </c>
      <c r="Q229" s="32" t="str">
        <f t="shared" si="2755"/>
        <v/>
      </c>
      <c r="R229" s="32" t="str">
        <f t="shared" si="2756"/>
        <v/>
      </c>
      <c r="S229" s="32" t="str">
        <f t="shared" si="2757"/>
        <v/>
      </c>
      <c r="T229" s="32" t="str">
        <f t="shared" si="2758"/>
        <v/>
      </c>
      <c r="U229" s="32" t="str">
        <f t="shared" si="2759"/>
        <v/>
      </c>
      <c r="V229" s="32" t="str">
        <f t="shared" si="2760"/>
        <v/>
      </c>
      <c r="W229" s="32" t="str">
        <f t="shared" si="2761"/>
        <v/>
      </c>
      <c r="X229" s="32" t="str">
        <f t="shared" si="2762"/>
        <v/>
      </c>
      <c r="Y229" s="32" t="str">
        <f t="shared" si="2763"/>
        <v/>
      </c>
      <c r="Z229" s="32" t="str">
        <f t="shared" si="2764"/>
        <v/>
      </c>
      <c r="AA229" s="32" t="str">
        <f t="shared" si="2765"/>
        <v/>
      </c>
      <c r="AB229" s="32" t="str">
        <f t="shared" si="2766"/>
        <v/>
      </c>
      <c r="AC229" s="32" t="str">
        <f t="shared" si="2767"/>
        <v/>
      </c>
      <c r="AD229" s="32" t="str">
        <f t="shared" si="2768"/>
        <v/>
      </c>
      <c r="AE229" s="32" t="str">
        <f t="shared" si="2769"/>
        <v/>
      </c>
      <c r="AF229" s="32" t="str">
        <f t="shared" si="2770"/>
        <v/>
      </c>
      <c r="AG229" s="32" t="str">
        <f t="shared" si="2771"/>
        <v/>
      </c>
      <c r="AH229" s="32" t="str">
        <f t="shared" si="2772"/>
        <v/>
      </c>
      <c r="AI229" s="32" t="str">
        <f t="shared" si="2773"/>
        <v/>
      </c>
      <c r="AJ229" s="32" t="str">
        <f t="shared" si="2774"/>
        <v/>
      </c>
      <c r="AK229" s="32" t="str">
        <f t="shared" si="2775"/>
        <v/>
      </c>
      <c r="AL229" s="32" t="str">
        <f t="shared" si="2776"/>
        <v/>
      </c>
      <c r="AM229" s="32" t="str">
        <f t="shared" si="2777"/>
        <v/>
      </c>
      <c r="AN229" s="32" t="str">
        <f t="shared" ref="AN229:AS229" si="2779">IF(AN$8="","",AM229)</f>
        <v/>
      </c>
      <c r="AO229" s="32" t="str">
        <f t="shared" si="2779"/>
        <v/>
      </c>
      <c r="AP229" s="32" t="str">
        <f t="shared" si="2779"/>
        <v/>
      </c>
      <c r="AQ229" s="32" t="str">
        <f t="shared" si="2779"/>
        <v/>
      </c>
      <c r="AR229" s="32" t="str">
        <f t="shared" si="2779"/>
        <v/>
      </c>
      <c r="AS229" s="32" t="str">
        <f t="shared" si="2779"/>
        <v/>
      </c>
    </row>
    <row r="230" spans="1:45" s="1" customFormat="1" ht="11.25" x14ac:dyDescent="0.15">
      <c r="A230" s="7">
        <f>AVERAGE(C231:AS231)*30*100</f>
        <v>33000</v>
      </c>
      <c r="B230" s="30" t="s">
        <v>12</v>
      </c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</row>
    <row r="231" spans="1:45" s="1" customFormat="1" ht="11.25" x14ac:dyDescent="0.15">
      <c r="A231" s="7">
        <f>SUM(C231:AS231)</f>
        <v>143</v>
      </c>
      <c r="B231" s="27" t="s">
        <v>13</v>
      </c>
      <c r="C231" s="26">
        <v>0</v>
      </c>
      <c r="D231" s="26">
        <v>0</v>
      </c>
      <c r="E231" s="26">
        <v>21</v>
      </c>
      <c r="F231" s="26">
        <v>0</v>
      </c>
      <c r="G231" s="26">
        <v>0</v>
      </c>
      <c r="H231" s="26">
        <v>66</v>
      </c>
      <c r="I231" s="26">
        <v>0</v>
      </c>
      <c r="J231" s="26">
        <v>0</v>
      </c>
      <c r="K231" s="26">
        <v>0</v>
      </c>
      <c r="L231" s="26">
        <v>16</v>
      </c>
      <c r="M231" s="26">
        <f t="shared" ref="M231:M232" si="2780">IF(M$8="","",M224-L224)</f>
        <v>0</v>
      </c>
      <c r="N231" s="26">
        <f t="shared" ref="N231:N232" si="2781">IF(N$8="","",N224-M224)</f>
        <v>0</v>
      </c>
      <c r="O231" s="26">
        <f t="shared" ref="O231:O232" si="2782">IF(O$8="","",O224-N224)</f>
        <v>40</v>
      </c>
      <c r="P231" s="26" t="str">
        <f t="shared" ref="P231:P232" si="2783">IF(P$8="","",P224-O224)</f>
        <v/>
      </c>
      <c r="Q231" s="26" t="str">
        <f t="shared" ref="Q231:Q232" si="2784">IF(Q$8="","",Q224-P224)</f>
        <v/>
      </c>
      <c r="R231" s="26" t="str">
        <f t="shared" ref="R231:R232" si="2785">IF(R$8="","",R224-Q224)</f>
        <v/>
      </c>
      <c r="S231" s="26" t="str">
        <f t="shared" ref="S231:S232" si="2786">IF(S$8="","",S224-R224)</f>
        <v/>
      </c>
      <c r="T231" s="26" t="str">
        <f t="shared" ref="T231:T232" si="2787">IF(T$8="","",T224-S224)</f>
        <v/>
      </c>
      <c r="U231" s="26" t="str">
        <f t="shared" ref="U231:U232" si="2788">IF(U$8="","",U224-T224)</f>
        <v/>
      </c>
      <c r="V231" s="26" t="str">
        <f t="shared" ref="V231:V232" si="2789">IF(V$8="","",V224-U224)</f>
        <v/>
      </c>
      <c r="W231" s="26" t="str">
        <f t="shared" ref="W231:W232" si="2790">IF(W$8="","",W224-V224)</f>
        <v/>
      </c>
      <c r="X231" s="26" t="str">
        <f t="shared" ref="X231:X232" si="2791">IF(X$8="","",X224-W224)</f>
        <v/>
      </c>
      <c r="Y231" s="26" t="str">
        <f t="shared" ref="Y231:Y232" si="2792">IF(Y$8="","",Y224-X224)</f>
        <v/>
      </c>
      <c r="Z231" s="26" t="str">
        <f t="shared" ref="Z231:Z232" si="2793">IF(Z$8="","",Z224-Y224)</f>
        <v/>
      </c>
      <c r="AA231" s="26" t="str">
        <f t="shared" ref="AA231:AA232" si="2794">IF(AA$8="","",AA224-Z224)</f>
        <v/>
      </c>
      <c r="AB231" s="26" t="str">
        <f t="shared" ref="AB231:AB232" si="2795">IF(AB$8="","",AB224-AA224)</f>
        <v/>
      </c>
      <c r="AC231" s="26" t="str">
        <f t="shared" ref="AC231:AC232" si="2796">IF(AC$8="","",AC224-AB224)</f>
        <v/>
      </c>
      <c r="AD231" s="26" t="str">
        <f t="shared" ref="AD231:AD232" si="2797">IF(AD$8="","",AD224-AC224)</f>
        <v/>
      </c>
      <c r="AE231" s="26" t="str">
        <f t="shared" ref="AE231:AE232" si="2798">IF(AE$8="","",AE224-AD224)</f>
        <v/>
      </c>
      <c r="AF231" s="26" t="str">
        <f t="shared" ref="AF231:AF232" si="2799">IF(AF$8="","",AF224-AE224)</f>
        <v/>
      </c>
      <c r="AG231" s="26" t="str">
        <f t="shared" ref="AG231:AG232" si="2800">IF(AG$8="","",AG224-AF224)</f>
        <v/>
      </c>
      <c r="AH231" s="26" t="str">
        <f t="shared" ref="AH231:AH232" si="2801">IF(AH$8="","",AH224-AG224)</f>
        <v/>
      </c>
      <c r="AI231" s="26" t="str">
        <f t="shared" ref="AI231:AI232" si="2802">IF(AI$8="","",AI224-AH224)</f>
        <v/>
      </c>
      <c r="AJ231" s="26" t="str">
        <f t="shared" ref="AJ231:AJ232" si="2803">IF(AJ$8="","",AJ224-AI224)</f>
        <v/>
      </c>
      <c r="AK231" s="26" t="str">
        <f t="shared" ref="AK231:AK232" si="2804">IF(AK$8="","",AK224-AJ224)</f>
        <v/>
      </c>
      <c r="AL231" s="26" t="str">
        <f t="shared" ref="AL231:AL232" si="2805">IF(AL$8="","",AL224-AK224)</f>
        <v/>
      </c>
      <c r="AM231" s="26" t="str">
        <f t="shared" ref="AM231:AM232" si="2806">IF(AM$8="","",AM224-AL224)</f>
        <v/>
      </c>
      <c r="AN231" s="26" t="str">
        <f t="shared" ref="AN231:AS231" si="2807">IF(AN$8="","",AN224-AM224)</f>
        <v/>
      </c>
      <c r="AO231" s="26" t="str">
        <f t="shared" si="2807"/>
        <v/>
      </c>
      <c r="AP231" s="26" t="str">
        <f t="shared" si="2807"/>
        <v/>
      </c>
      <c r="AQ231" s="26" t="str">
        <f t="shared" si="2807"/>
        <v/>
      </c>
      <c r="AR231" s="26" t="str">
        <f t="shared" si="2807"/>
        <v/>
      </c>
      <c r="AS231" s="26" t="str">
        <f t="shared" si="2807"/>
        <v/>
      </c>
    </row>
    <row r="232" spans="1:45" s="1" customFormat="1" ht="11.25" x14ac:dyDescent="0.15">
      <c r="A232" s="7">
        <f>SUM(C232:AS232)</f>
        <v>4</v>
      </c>
      <c r="B232" s="27" t="s">
        <v>14</v>
      </c>
      <c r="C232" s="26">
        <v>0</v>
      </c>
      <c r="D232" s="26">
        <v>0</v>
      </c>
      <c r="E232" s="26">
        <v>0</v>
      </c>
      <c r="F232" s="26">
        <v>0</v>
      </c>
      <c r="G232" s="26">
        <v>0</v>
      </c>
      <c r="H232" s="26">
        <v>2</v>
      </c>
      <c r="I232" s="26">
        <v>0</v>
      </c>
      <c r="J232" s="26">
        <v>0</v>
      </c>
      <c r="K232" s="26">
        <v>0</v>
      </c>
      <c r="L232" s="26">
        <v>0</v>
      </c>
      <c r="M232" s="26">
        <f t="shared" si="2780"/>
        <v>0</v>
      </c>
      <c r="N232" s="26">
        <f t="shared" si="2781"/>
        <v>0</v>
      </c>
      <c r="O232" s="26">
        <f t="shared" si="2782"/>
        <v>2</v>
      </c>
      <c r="P232" s="26" t="str">
        <f t="shared" si="2783"/>
        <v/>
      </c>
      <c r="Q232" s="26" t="str">
        <f t="shared" si="2784"/>
        <v/>
      </c>
      <c r="R232" s="26" t="str">
        <f t="shared" si="2785"/>
        <v/>
      </c>
      <c r="S232" s="26" t="str">
        <f t="shared" si="2786"/>
        <v/>
      </c>
      <c r="T232" s="26" t="str">
        <f t="shared" si="2787"/>
        <v/>
      </c>
      <c r="U232" s="26" t="str">
        <f t="shared" si="2788"/>
        <v/>
      </c>
      <c r="V232" s="26" t="str">
        <f t="shared" si="2789"/>
        <v/>
      </c>
      <c r="W232" s="26" t="str">
        <f t="shared" si="2790"/>
        <v/>
      </c>
      <c r="X232" s="26" t="str">
        <f t="shared" si="2791"/>
        <v/>
      </c>
      <c r="Y232" s="26" t="str">
        <f t="shared" si="2792"/>
        <v/>
      </c>
      <c r="Z232" s="26" t="str">
        <f t="shared" si="2793"/>
        <v/>
      </c>
      <c r="AA232" s="26" t="str">
        <f t="shared" si="2794"/>
        <v/>
      </c>
      <c r="AB232" s="26" t="str">
        <f t="shared" si="2795"/>
        <v/>
      </c>
      <c r="AC232" s="26" t="str">
        <f t="shared" si="2796"/>
        <v/>
      </c>
      <c r="AD232" s="26" t="str">
        <f t="shared" si="2797"/>
        <v/>
      </c>
      <c r="AE232" s="26" t="str">
        <f t="shared" si="2798"/>
        <v/>
      </c>
      <c r="AF232" s="26" t="str">
        <f t="shared" si="2799"/>
        <v/>
      </c>
      <c r="AG232" s="26" t="str">
        <f t="shared" si="2800"/>
        <v/>
      </c>
      <c r="AH232" s="26" t="str">
        <f t="shared" si="2801"/>
        <v/>
      </c>
      <c r="AI232" s="26" t="str">
        <f t="shared" si="2802"/>
        <v/>
      </c>
      <c r="AJ232" s="26" t="str">
        <f t="shared" si="2803"/>
        <v/>
      </c>
      <c r="AK232" s="26" t="str">
        <f t="shared" si="2804"/>
        <v/>
      </c>
      <c r="AL232" s="26" t="str">
        <f t="shared" si="2805"/>
        <v/>
      </c>
      <c r="AM232" s="26" t="str">
        <f t="shared" si="2806"/>
        <v/>
      </c>
      <c r="AN232" s="26" t="str">
        <f t="shared" ref="AN232:AS232" si="2808">IF(AN$8="","",AN225-AM225)</f>
        <v/>
      </c>
      <c r="AO232" s="26" t="str">
        <f t="shared" si="2808"/>
        <v/>
      </c>
      <c r="AP232" s="26" t="str">
        <f t="shared" si="2808"/>
        <v/>
      </c>
      <c r="AQ232" s="26" t="str">
        <f t="shared" si="2808"/>
        <v/>
      </c>
      <c r="AR232" s="26" t="str">
        <f t="shared" si="2808"/>
        <v/>
      </c>
      <c r="AS232" s="26" t="str">
        <f t="shared" si="2808"/>
        <v/>
      </c>
    </row>
    <row r="233" spans="1:45" s="1" customFormat="1" ht="11.25" x14ac:dyDescent="0.15">
      <c r="A233" s="7">
        <f>SUM(C233:AS233)</f>
        <v>4</v>
      </c>
      <c r="B233" s="27" t="s">
        <v>15</v>
      </c>
      <c r="C233" s="26">
        <v>0</v>
      </c>
      <c r="D233" s="26">
        <v>0</v>
      </c>
      <c r="E233" s="26">
        <v>0</v>
      </c>
      <c r="F233" s="26">
        <v>0</v>
      </c>
      <c r="G233" s="26">
        <v>0</v>
      </c>
      <c r="H233" s="26">
        <v>2</v>
      </c>
      <c r="I233" s="26">
        <v>0</v>
      </c>
      <c r="J233" s="26">
        <v>0</v>
      </c>
      <c r="K233" s="26">
        <v>0</v>
      </c>
      <c r="L233" s="26">
        <v>0</v>
      </c>
      <c r="M233" s="26">
        <f t="shared" ref="M233" si="2809">IF(M$8="","",L226+L227-M226)</f>
        <v>0</v>
      </c>
      <c r="N233" s="26">
        <f t="shared" ref="N233" si="2810">IF(N$8="","",M226+M227-N226)</f>
        <v>0</v>
      </c>
      <c r="O233" s="26">
        <f t="shared" ref="O233" si="2811">IF(O$8="","",N226+N227-O226)</f>
        <v>2</v>
      </c>
      <c r="P233" s="26" t="str">
        <f t="shared" ref="P233" si="2812">IF(P$8="","",O226+O227-P226)</f>
        <v/>
      </c>
      <c r="Q233" s="26" t="str">
        <f t="shared" ref="Q233" si="2813">IF(Q$8="","",P226+P227-Q226)</f>
        <v/>
      </c>
      <c r="R233" s="26" t="str">
        <f t="shared" ref="R233" si="2814">IF(R$8="","",Q226+Q227-R226)</f>
        <v/>
      </c>
      <c r="S233" s="26" t="str">
        <f t="shared" ref="S233" si="2815">IF(S$8="","",R226+R227-S226)</f>
        <v/>
      </c>
      <c r="T233" s="26" t="str">
        <f t="shared" ref="T233" si="2816">IF(T$8="","",S226+S227-T226)</f>
        <v/>
      </c>
      <c r="U233" s="26" t="str">
        <f t="shared" ref="U233" si="2817">IF(U$8="","",T226+T227-U226)</f>
        <v/>
      </c>
      <c r="V233" s="26" t="str">
        <f t="shared" ref="V233" si="2818">IF(V$8="","",U226+U227-V226)</f>
        <v/>
      </c>
      <c r="W233" s="26" t="str">
        <f t="shared" ref="W233" si="2819">IF(W$8="","",V226+V227-W226)</f>
        <v/>
      </c>
      <c r="X233" s="26" t="str">
        <f t="shared" ref="X233" si="2820">IF(X$8="","",W226+W227-X226)</f>
        <v/>
      </c>
      <c r="Y233" s="26" t="str">
        <f t="shared" ref="Y233" si="2821">IF(Y$8="","",X226+X227-Y226)</f>
        <v/>
      </c>
      <c r="Z233" s="26" t="str">
        <f t="shared" ref="Z233" si="2822">IF(Z$8="","",Y226+Y227-Z226)</f>
        <v/>
      </c>
      <c r="AA233" s="26" t="str">
        <f t="shared" ref="AA233" si="2823">IF(AA$8="","",Z226+Z227-AA226)</f>
        <v/>
      </c>
      <c r="AB233" s="26" t="str">
        <f t="shared" ref="AB233" si="2824">IF(AB$8="","",AA226+AA227-AB226)</f>
        <v/>
      </c>
      <c r="AC233" s="26" t="str">
        <f t="shared" ref="AC233" si="2825">IF(AC$8="","",AB226+AB227-AC226)</f>
        <v/>
      </c>
      <c r="AD233" s="26" t="str">
        <f t="shared" ref="AD233" si="2826">IF(AD$8="","",AC226+AC227-AD226)</f>
        <v/>
      </c>
      <c r="AE233" s="26" t="str">
        <f t="shared" ref="AE233" si="2827">IF(AE$8="","",AD226+AD227-AE226)</f>
        <v/>
      </c>
      <c r="AF233" s="26" t="str">
        <f t="shared" ref="AF233" si="2828">IF(AF$8="","",AE226+AE227-AF226)</f>
        <v/>
      </c>
      <c r="AG233" s="26" t="str">
        <f t="shared" ref="AG233" si="2829">IF(AG$8="","",AF226+AF227-AG226)</f>
        <v/>
      </c>
      <c r="AH233" s="26" t="str">
        <f t="shared" ref="AH233" si="2830">IF(AH$8="","",AG226+AG227-AH226)</f>
        <v/>
      </c>
      <c r="AI233" s="26" t="str">
        <f t="shared" ref="AI233" si="2831">IF(AI$8="","",AH226+AH227-AI226)</f>
        <v/>
      </c>
      <c r="AJ233" s="26" t="str">
        <f t="shared" ref="AJ233" si="2832">IF(AJ$8="","",AI226+AI227-AJ226)</f>
        <v/>
      </c>
      <c r="AK233" s="26" t="str">
        <f t="shared" ref="AK233" si="2833">IF(AK$8="","",AJ226+AJ227-AK226)</f>
        <v/>
      </c>
      <c r="AL233" s="26" t="str">
        <f t="shared" ref="AL233" si="2834">IF(AL$8="","",AK226+AK227-AL226)</f>
        <v/>
      </c>
      <c r="AM233" s="26" t="str">
        <f t="shared" ref="AM233" si="2835">IF(AM$8="","",AL226+AL227-AM226)</f>
        <v/>
      </c>
      <c r="AN233" s="26" t="str">
        <f t="shared" ref="AN233:AS233" si="2836">IF(AN$8="","",AM226+AM227-AN226)</f>
        <v/>
      </c>
      <c r="AO233" s="26" t="str">
        <f t="shared" si="2836"/>
        <v/>
      </c>
      <c r="AP233" s="26" t="str">
        <f t="shared" si="2836"/>
        <v/>
      </c>
      <c r="AQ233" s="26" t="str">
        <f t="shared" si="2836"/>
        <v/>
      </c>
      <c r="AR233" s="26" t="str">
        <f t="shared" si="2836"/>
        <v/>
      </c>
      <c r="AS233" s="26" t="str">
        <f t="shared" si="2836"/>
        <v/>
      </c>
    </row>
    <row r="234" spans="1:45" s="1" customFormat="1" ht="11.25" x14ac:dyDescent="0.15">
      <c r="A234" s="7">
        <f>SUM(C234:AS234)</f>
        <v>1200</v>
      </c>
      <c r="B234" s="27" t="s">
        <v>16</v>
      </c>
      <c r="C234" s="26">
        <v>0</v>
      </c>
      <c r="D234" s="26">
        <v>0</v>
      </c>
      <c r="E234" s="26">
        <v>0</v>
      </c>
      <c r="F234" s="26">
        <v>0</v>
      </c>
      <c r="G234" s="26">
        <v>0</v>
      </c>
      <c r="H234" s="26">
        <v>600</v>
      </c>
      <c r="I234" s="26">
        <v>0</v>
      </c>
      <c r="J234" s="26">
        <v>0</v>
      </c>
      <c r="K234" s="26">
        <v>0</v>
      </c>
      <c r="L234" s="26">
        <v>0</v>
      </c>
      <c r="M234" s="26">
        <f t="shared" ref="J234:AM234" si="2837">IF(M$8="","",M233*M228)</f>
        <v>0</v>
      </c>
      <c r="N234" s="26">
        <f t="shared" si="2837"/>
        <v>0</v>
      </c>
      <c r="O234" s="26">
        <f t="shared" si="2837"/>
        <v>600</v>
      </c>
      <c r="P234" s="26" t="str">
        <f t="shared" si="2837"/>
        <v/>
      </c>
      <c r="Q234" s="26" t="str">
        <f t="shared" si="2837"/>
        <v/>
      </c>
      <c r="R234" s="26" t="str">
        <f t="shared" si="2837"/>
        <v/>
      </c>
      <c r="S234" s="26" t="str">
        <f t="shared" si="2837"/>
        <v/>
      </c>
      <c r="T234" s="26" t="str">
        <f t="shared" si="2837"/>
        <v/>
      </c>
      <c r="U234" s="26" t="str">
        <f t="shared" si="2837"/>
        <v/>
      </c>
      <c r="V234" s="26" t="str">
        <f t="shared" si="2837"/>
        <v/>
      </c>
      <c r="W234" s="26" t="str">
        <f t="shared" si="2837"/>
        <v/>
      </c>
      <c r="X234" s="26" t="str">
        <f t="shared" si="2837"/>
        <v/>
      </c>
      <c r="Y234" s="26" t="str">
        <f t="shared" si="2837"/>
        <v/>
      </c>
      <c r="Z234" s="26" t="str">
        <f t="shared" si="2837"/>
        <v/>
      </c>
      <c r="AA234" s="26" t="str">
        <f t="shared" si="2837"/>
        <v/>
      </c>
      <c r="AB234" s="26" t="str">
        <f t="shared" si="2837"/>
        <v/>
      </c>
      <c r="AC234" s="26" t="str">
        <f t="shared" si="2837"/>
        <v/>
      </c>
      <c r="AD234" s="26" t="str">
        <f t="shared" si="2837"/>
        <v/>
      </c>
      <c r="AE234" s="26" t="str">
        <f t="shared" si="2837"/>
        <v/>
      </c>
      <c r="AF234" s="26" t="str">
        <f t="shared" si="2837"/>
        <v/>
      </c>
      <c r="AG234" s="26" t="str">
        <f t="shared" si="2837"/>
        <v/>
      </c>
      <c r="AH234" s="26" t="str">
        <f t="shared" si="2837"/>
        <v/>
      </c>
      <c r="AI234" s="26" t="str">
        <f t="shared" si="2837"/>
        <v/>
      </c>
      <c r="AJ234" s="26" t="str">
        <f t="shared" si="2837"/>
        <v/>
      </c>
      <c r="AK234" s="26" t="str">
        <f t="shared" si="2837"/>
        <v/>
      </c>
      <c r="AL234" s="26" t="str">
        <f t="shared" si="2837"/>
        <v/>
      </c>
      <c r="AM234" s="26" t="str">
        <f t="shared" si="2837"/>
        <v/>
      </c>
      <c r="AN234" s="26" t="str">
        <f t="shared" ref="AN234:AS234" si="2838">IF(AN$8="","",AN233*AN228)</f>
        <v/>
      </c>
      <c r="AO234" s="26" t="str">
        <f t="shared" si="2838"/>
        <v/>
      </c>
      <c r="AP234" s="26" t="str">
        <f t="shared" si="2838"/>
        <v/>
      </c>
      <c r="AQ234" s="26" t="str">
        <f t="shared" si="2838"/>
        <v/>
      </c>
      <c r="AR234" s="26" t="str">
        <f t="shared" si="2838"/>
        <v/>
      </c>
      <c r="AS234" s="26" t="str">
        <f t="shared" si="2838"/>
        <v/>
      </c>
    </row>
    <row r="235" spans="1:45" s="1" customFormat="1" ht="12" thickBot="1" x14ac:dyDescent="0.2">
      <c r="A235" s="4">
        <f>IF(A234="","",A234/(A231*100))</f>
        <v>8.3916083916083919E-2</v>
      </c>
      <c r="B235" s="24" t="s">
        <v>18</v>
      </c>
      <c r="C235" s="23" t="s">
        <v>19</v>
      </c>
      <c r="D235" s="23" t="s">
        <v>19</v>
      </c>
      <c r="E235" s="23" t="s">
        <v>19</v>
      </c>
      <c r="F235" s="23" t="s">
        <v>19</v>
      </c>
      <c r="G235" s="23" t="s">
        <v>19</v>
      </c>
      <c r="H235" s="23">
        <v>9.0909090909090912E-2</v>
      </c>
      <c r="I235" s="23" t="s">
        <v>19</v>
      </c>
      <c r="J235" s="23" t="s">
        <v>19</v>
      </c>
      <c r="K235" s="23" t="s">
        <v>19</v>
      </c>
      <c r="L235" s="23" t="s">
        <v>19</v>
      </c>
      <c r="M235" s="23" t="str">
        <f t="shared" ref="J235:AM235" si="2839">IF(M$8="","",IF(M234=0,"",M234/(M231*100)))</f>
        <v/>
      </c>
      <c r="N235" s="23" t="str">
        <f t="shared" si="2839"/>
        <v/>
      </c>
      <c r="O235" s="23">
        <f t="shared" si="2839"/>
        <v>0.15</v>
      </c>
      <c r="P235" s="23" t="str">
        <f t="shared" si="2839"/>
        <v/>
      </c>
      <c r="Q235" s="23" t="str">
        <f t="shared" si="2839"/>
        <v/>
      </c>
      <c r="R235" s="23" t="str">
        <f t="shared" si="2839"/>
        <v/>
      </c>
      <c r="S235" s="23" t="str">
        <f t="shared" si="2839"/>
        <v/>
      </c>
      <c r="T235" s="23" t="str">
        <f t="shared" si="2839"/>
        <v/>
      </c>
      <c r="U235" s="23" t="str">
        <f t="shared" si="2839"/>
        <v/>
      </c>
      <c r="V235" s="23" t="str">
        <f t="shared" si="2839"/>
        <v/>
      </c>
      <c r="W235" s="23" t="str">
        <f t="shared" si="2839"/>
        <v/>
      </c>
      <c r="X235" s="23" t="str">
        <f t="shared" si="2839"/>
        <v/>
      </c>
      <c r="Y235" s="23" t="str">
        <f t="shared" si="2839"/>
        <v/>
      </c>
      <c r="Z235" s="23" t="str">
        <f t="shared" si="2839"/>
        <v/>
      </c>
      <c r="AA235" s="23" t="str">
        <f t="shared" si="2839"/>
        <v/>
      </c>
      <c r="AB235" s="23" t="str">
        <f t="shared" si="2839"/>
        <v/>
      </c>
      <c r="AC235" s="23" t="str">
        <f t="shared" si="2839"/>
        <v/>
      </c>
      <c r="AD235" s="23" t="str">
        <f t="shared" si="2839"/>
        <v/>
      </c>
      <c r="AE235" s="23" t="str">
        <f t="shared" si="2839"/>
        <v/>
      </c>
      <c r="AF235" s="23" t="str">
        <f t="shared" si="2839"/>
        <v/>
      </c>
      <c r="AG235" s="23" t="str">
        <f t="shared" si="2839"/>
        <v/>
      </c>
      <c r="AH235" s="23" t="str">
        <f t="shared" si="2839"/>
        <v/>
      </c>
      <c r="AI235" s="23" t="str">
        <f t="shared" si="2839"/>
        <v/>
      </c>
      <c r="AJ235" s="23" t="str">
        <f t="shared" si="2839"/>
        <v/>
      </c>
      <c r="AK235" s="23" t="str">
        <f t="shared" si="2839"/>
        <v/>
      </c>
      <c r="AL235" s="23" t="str">
        <f t="shared" si="2839"/>
        <v/>
      </c>
      <c r="AM235" s="23" t="str">
        <f t="shared" si="2839"/>
        <v/>
      </c>
      <c r="AN235" s="23" t="str">
        <f t="shared" ref="AN235:AS235" si="2840">IF(AN$8="","",IF(AN234=0,"",AN234/(AN231*100)))</f>
        <v/>
      </c>
      <c r="AO235" s="23" t="str">
        <f t="shared" si="2840"/>
        <v/>
      </c>
      <c r="AP235" s="23" t="str">
        <f t="shared" si="2840"/>
        <v/>
      </c>
      <c r="AQ235" s="23" t="str">
        <f t="shared" si="2840"/>
        <v/>
      </c>
      <c r="AR235" s="23" t="str">
        <f t="shared" si="2840"/>
        <v/>
      </c>
      <c r="AS235" s="23" t="str">
        <f t="shared" si="2840"/>
        <v/>
      </c>
    </row>
    <row r="236" spans="1:45" s="1" customFormat="1" ht="11.25" x14ac:dyDescent="0.15">
      <c r="A236" s="17" t="s">
        <v>83</v>
      </c>
      <c r="B236" s="41" t="s">
        <v>90</v>
      </c>
      <c r="C236" s="35">
        <v>94312</v>
      </c>
      <c r="D236" s="35">
        <v>94312</v>
      </c>
      <c r="E236" s="35">
        <v>94433</v>
      </c>
      <c r="F236" s="35">
        <v>94433</v>
      </c>
      <c r="G236" s="35">
        <v>94433</v>
      </c>
      <c r="H236" s="35">
        <v>94622</v>
      </c>
      <c r="I236" s="35">
        <v>94622</v>
      </c>
      <c r="J236" s="35">
        <v>94622</v>
      </c>
      <c r="K236" s="35">
        <v>94622</v>
      </c>
      <c r="L236" s="35">
        <v>94721</v>
      </c>
      <c r="M236" s="35">
        <f t="shared" ref="M236:M237" si="2841">IF(M$8="","",L236)</f>
        <v>94721</v>
      </c>
      <c r="N236" s="35">
        <f t="shared" ref="N236:N237" si="2842">IF(N$8="","",M236)</f>
        <v>94721</v>
      </c>
      <c r="O236" s="35">
        <v>94824</v>
      </c>
      <c r="P236" s="35" t="str">
        <f>IF(P$8="","",O236)</f>
        <v/>
      </c>
      <c r="Q236" s="35" t="str">
        <f t="shared" ref="Q236:Q237" si="2843">IF(Q$8="","",P236)</f>
        <v/>
      </c>
      <c r="R236" s="35" t="str">
        <f t="shared" ref="R236:R237" si="2844">IF(R$8="","",Q236)</f>
        <v/>
      </c>
      <c r="S236" s="35" t="str">
        <f>IF(S$8="","",R236)</f>
        <v/>
      </c>
      <c r="T236" s="35" t="str">
        <f t="shared" ref="T236:T237" si="2845">IF(T$8="","",S236)</f>
        <v/>
      </c>
      <c r="U236" s="35" t="str">
        <f t="shared" ref="U236:U237" si="2846">IF(U$8="","",T236)</f>
        <v/>
      </c>
      <c r="V236" s="35" t="str">
        <f>IF(V$8="","",U236)</f>
        <v/>
      </c>
      <c r="W236" s="35" t="str">
        <f t="shared" ref="W236:W237" si="2847">IF(W$8="","",V236)</f>
        <v/>
      </c>
      <c r="X236" s="35" t="str">
        <f t="shared" ref="X236:X237" si="2848">IF(X$8="","",W236)</f>
        <v/>
      </c>
      <c r="Y236" s="35" t="str">
        <f t="shared" ref="Y236:Y237" si="2849">IF(Y$8="","",X236)</f>
        <v/>
      </c>
      <c r="Z236" s="35" t="str">
        <f>IF(Z$8="","",Y236)</f>
        <v/>
      </c>
      <c r="AA236" s="35" t="str">
        <f t="shared" ref="AA236:AA237" si="2850">IF(AA$8="","",Z236)</f>
        <v/>
      </c>
      <c r="AB236" s="35" t="str">
        <f t="shared" ref="AB236:AB237" si="2851">IF(AB$8="","",AA236)</f>
        <v/>
      </c>
      <c r="AC236" s="35" t="str">
        <f t="shared" ref="AC236:AC237" si="2852">IF(AC$8="","",AB236)</f>
        <v/>
      </c>
      <c r="AD236" s="35" t="str">
        <f>IF(AD$8="","",AC236)</f>
        <v/>
      </c>
      <c r="AE236" s="35" t="str">
        <f t="shared" ref="AE236:AE237" si="2853">IF(AE$8="","",AD236)</f>
        <v/>
      </c>
      <c r="AF236" s="35" t="str">
        <f t="shared" ref="AF236:AF237" si="2854">IF(AF$8="","",AE236)</f>
        <v/>
      </c>
      <c r="AG236" s="35" t="str">
        <f>IF(AG$8="","",AF236)</f>
        <v/>
      </c>
      <c r="AH236" s="35" t="str">
        <f t="shared" ref="AH236:AH237" si="2855">IF(AH$8="","",AG236)</f>
        <v/>
      </c>
      <c r="AI236" s="35" t="str">
        <f t="shared" ref="AI236:AI237" si="2856">IF(AI$8="","",AH236)</f>
        <v/>
      </c>
      <c r="AJ236" s="35" t="str">
        <f>IF(AJ$8="","",AI236)</f>
        <v/>
      </c>
      <c r="AK236" s="35" t="str">
        <f t="shared" ref="AK236:AK237" si="2857">IF(AK$8="","",AJ236)</f>
        <v/>
      </c>
      <c r="AL236" s="35" t="str">
        <f t="shared" ref="AL236:AL237" si="2858">IF(AL$8="","",AK236)</f>
        <v/>
      </c>
      <c r="AM236" s="35" t="str">
        <f t="shared" ref="AM236:AM237" si="2859">IF(AM$8="","",AL236)</f>
        <v/>
      </c>
      <c r="AN236" s="35" t="str">
        <f>IF(AN$8="","",AM236)</f>
        <v/>
      </c>
      <c r="AO236" s="35" t="str">
        <f t="shared" ref="AN236:AS236" si="2860">IF(AO$8="","",AN236)</f>
        <v/>
      </c>
      <c r="AP236" s="35" t="str">
        <f t="shared" si="2860"/>
        <v/>
      </c>
      <c r="AQ236" s="35" t="str">
        <f t="shared" si="2860"/>
        <v/>
      </c>
      <c r="AR236" s="35" t="str">
        <f t="shared" si="2860"/>
        <v/>
      </c>
      <c r="AS236" s="35" t="str">
        <f t="shared" si="2860"/>
        <v/>
      </c>
    </row>
    <row r="237" spans="1:45" s="1" customFormat="1" ht="11.25" x14ac:dyDescent="0.15">
      <c r="A237" s="16" t="s">
        <v>91</v>
      </c>
      <c r="B237" s="1" t="s">
        <v>92</v>
      </c>
      <c r="C237" s="29">
        <v>86841</v>
      </c>
      <c r="D237" s="29">
        <v>86841</v>
      </c>
      <c r="E237" s="29">
        <v>87029</v>
      </c>
      <c r="F237" s="29">
        <v>87029</v>
      </c>
      <c r="G237" s="29">
        <v>87029</v>
      </c>
      <c r="H237" s="29">
        <v>87258</v>
      </c>
      <c r="I237" s="29">
        <v>87258</v>
      </c>
      <c r="J237" s="29">
        <v>87258</v>
      </c>
      <c r="K237" s="29">
        <v>87258</v>
      </c>
      <c r="L237" s="29">
        <v>87445</v>
      </c>
      <c r="M237" s="29">
        <f t="shared" si="2841"/>
        <v>87445</v>
      </c>
      <c r="N237" s="29">
        <f t="shared" si="2842"/>
        <v>87445</v>
      </c>
      <c r="O237" s="29">
        <v>87548</v>
      </c>
      <c r="P237" s="29" t="str">
        <f>IF(P$8="","",O237)</f>
        <v/>
      </c>
      <c r="Q237" s="29" t="str">
        <f t="shared" si="2843"/>
        <v/>
      </c>
      <c r="R237" s="29" t="str">
        <f t="shared" si="2844"/>
        <v/>
      </c>
      <c r="S237" s="29" t="str">
        <f>IF(S$8="","",R237)</f>
        <v/>
      </c>
      <c r="T237" s="29" t="str">
        <f t="shared" si="2845"/>
        <v/>
      </c>
      <c r="U237" s="29" t="str">
        <f t="shared" si="2846"/>
        <v/>
      </c>
      <c r="V237" s="29" t="str">
        <f>IF(V$8="","",U237)</f>
        <v/>
      </c>
      <c r="W237" s="29" t="str">
        <f t="shared" si="2847"/>
        <v/>
      </c>
      <c r="X237" s="29" t="str">
        <f t="shared" si="2848"/>
        <v/>
      </c>
      <c r="Y237" s="29" t="str">
        <f t="shared" si="2849"/>
        <v/>
      </c>
      <c r="Z237" s="29" t="str">
        <f>IF(Z$8="","",Y237)</f>
        <v/>
      </c>
      <c r="AA237" s="29" t="str">
        <f t="shared" si="2850"/>
        <v/>
      </c>
      <c r="AB237" s="29" t="str">
        <f t="shared" si="2851"/>
        <v/>
      </c>
      <c r="AC237" s="29" t="str">
        <f t="shared" si="2852"/>
        <v/>
      </c>
      <c r="AD237" s="29" t="str">
        <f>IF(AD$8="","",AC237)</f>
        <v/>
      </c>
      <c r="AE237" s="29" t="str">
        <f t="shared" si="2853"/>
        <v/>
      </c>
      <c r="AF237" s="29" t="str">
        <f t="shared" si="2854"/>
        <v/>
      </c>
      <c r="AG237" s="29" t="str">
        <f>IF(AG$8="","",AF237)</f>
        <v/>
      </c>
      <c r="AH237" s="29" t="str">
        <f t="shared" si="2855"/>
        <v/>
      </c>
      <c r="AI237" s="29" t="str">
        <f t="shared" si="2856"/>
        <v/>
      </c>
      <c r="AJ237" s="29" t="str">
        <f>IF(AJ$8="","",AI237)</f>
        <v/>
      </c>
      <c r="AK237" s="29" t="str">
        <f t="shared" si="2857"/>
        <v/>
      </c>
      <c r="AL237" s="29" t="str">
        <f t="shared" si="2858"/>
        <v/>
      </c>
      <c r="AM237" s="29" t="str">
        <f t="shared" si="2859"/>
        <v/>
      </c>
      <c r="AN237" s="29" t="str">
        <f>IF(AN$8="","",AM237)</f>
        <v/>
      </c>
      <c r="AO237" s="29" t="str">
        <f t="shared" ref="AN237:AS237" si="2861">IF(AO$8="","",AN237)</f>
        <v/>
      </c>
      <c r="AP237" s="29" t="str">
        <f t="shared" si="2861"/>
        <v/>
      </c>
      <c r="AQ237" s="29" t="str">
        <f t="shared" si="2861"/>
        <v/>
      </c>
      <c r="AR237" s="29" t="str">
        <f t="shared" si="2861"/>
        <v/>
      </c>
      <c r="AS237" s="29" t="str">
        <f t="shared" si="2861"/>
        <v/>
      </c>
    </row>
    <row r="238" spans="1:45" s="1" customFormat="1" ht="11.25" x14ac:dyDescent="0.15">
      <c r="A238" s="15"/>
      <c r="B238" s="30" t="s">
        <v>93</v>
      </c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</row>
    <row r="239" spans="1:45" s="1" customFormat="1" ht="11.25" x14ac:dyDescent="0.15">
      <c r="A239" s="15"/>
      <c r="B239" s="30" t="s">
        <v>4</v>
      </c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</row>
    <row r="240" spans="1:45" s="1" customFormat="1" ht="11.25" x14ac:dyDescent="0.15">
      <c r="A240" s="15"/>
      <c r="B240" s="30" t="s">
        <v>5</v>
      </c>
      <c r="C240" s="29">
        <v>2</v>
      </c>
      <c r="D240" s="29">
        <v>2</v>
      </c>
      <c r="E240" s="29">
        <v>6</v>
      </c>
      <c r="F240" s="29">
        <v>6</v>
      </c>
      <c r="G240" s="29">
        <v>6</v>
      </c>
      <c r="H240" s="29">
        <v>5</v>
      </c>
      <c r="I240" s="29">
        <v>6</v>
      </c>
      <c r="J240" s="29">
        <v>6</v>
      </c>
      <c r="K240" s="29">
        <v>6</v>
      </c>
      <c r="L240" s="29">
        <v>6</v>
      </c>
      <c r="M240" s="29">
        <f t="shared" ref="M240" si="2862">IF(M$8="","",(L240+L241))</f>
        <v>6</v>
      </c>
      <c r="N240" s="29">
        <f t="shared" ref="N240" si="2863">IF(N$8="","",(M240+M241))</f>
        <v>6</v>
      </c>
      <c r="O240" s="29">
        <f>IF(O$8="","",(N240+N241))</f>
        <v>6</v>
      </c>
      <c r="P240" s="29" t="str">
        <f>IF(P$8="","",(O240+O241))</f>
        <v/>
      </c>
      <c r="Q240" s="29" t="str">
        <f t="shared" ref="Q240" si="2864">IF(Q$8="","",(P240+P241))</f>
        <v/>
      </c>
      <c r="R240" s="29" t="str">
        <f t="shared" ref="R240" si="2865">IF(R$8="","",(Q240+Q241))</f>
        <v/>
      </c>
      <c r="S240" s="29" t="str">
        <f>IF(S$8="","",(R240+R241))</f>
        <v/>
      </c>
      <c r="T240" s="29" t="str">
        <f t="shared" ref="T240" si="2866">IF(T$8="","",(S240+S241))</f>
        <v/>
      </c>
      <c r="U240" s="29" t="str">
        <f t="shared" ref="U240" si="2867">IF(U$8="","",(T240+T241))</f>
        <v/>
      </c>
      <c r="V240" s="29" t="str">
        <f>IF(V$8="","",(U240+U241))</f>
        <v/>
      </c>
      <c r="W240" s="29" t="str">
        <f t="shared" ref="W240" si="2868">IF(W$8="","",(V240+V241))</f>
        <v/>
      </c>
      <c r="X240" s="29" t="str">
        <f t="shared" ref="X240" si="2869">IF(X$8="","",(W240+W241))</f>
        <v/>
      </c>
      <c r="Y240" s="29" t="str">
        <f t="shared" ref="Y240" si="2870">IF(Y$8="","",(X240+X241))</f>
        <v/>
      </c>
      <c r="Z240" s="29" t="str">
        <f>IF(Z$8="","",(Y240+Y241))</f>
        <v/>
      </c>
      <c r="AA240" s="29" t="str">
        <f t="shared" ref="AA240" si="2871">IF(AA$8="","",(Z240+Z241))</f>
        <v/>
      </c>
      <c r="AB240" s="29" t="str">
        <f t="shared" ref="AB240" si="2872">IF(AB$8="","",(AA240+AA241))</f>
        <v/>
      </c>
      <c r="AC240" s="29" t="str">
        <f t="shared" ref="AC240" si="2873">IF(AC$8="","",(AB240+AB241))</f>
        <v/>
      </c>
      <c r="AD240" s="29" t="str">
        <f>IF(AD$8="","",(AC240+AC241))</f>
        <v/>
      </c>
      <c r="AE240" s="29" t="str">
        <f t="shared" ref="AE240" si="2874">IF(AE$8="","",(AD240+AD241))</f>
        <v/>
      </c>
      <c r="AF240" s="29" t="str">
        <f t="shared" ref="AF240" si="2875">IF(AF$8="","",(AE240+AE241))</f>
        <v/>
      </c>
      <c r="AG240" s="29" t="str">
        <f t="shared" ref="AG240" si="2876">IF(AG$8="","",(AF240+AF241))</f>
        <v/>
      </c>
      <c r="AH240" s="29" t="str">
        <f t="shared" ref="AH240" si="2877">IF(AH$8="","",(AG240+AG241))</f>
        <v/>
      </c>
      <c r="AI240" s="29" t="str">
        <f t="shared" ref="AI240" si="2878">IF(AI$8="","",(AH240+AH241))</f>
        <v/>
      </c>
      <c r="AJ240" s="29" t="str">
        <f>IF(AJ$8="","",(AI240+AI241))</f>
        <v/>
      </c>
      <c r="AK240" s="29" t="str">
        <f t="shared" ref="AK240" si="2879">IF(AK$8="","",(AJ240+AJ241))</f>
        <v/>
      </c>
      <c r="AL240" s="29" t="str">
        <f t="shared" ref="AL240" si="2880">IF(AL$8="","",(AK240+AK241))</f>
        <v/>
      </c>
      <c r="AM240" s="29" t="str">
        <f t="shared" ref="AM240" si="2881">IF(AM$8="","",(AL240+AL241))</f>
        <v/>
      </c>
      <c r="AN240" s="29" t="str">
        <f t="shared" ref="AN240:AS240" si="2882">IF(AN$8="","",(AM240+AM241))</f>
        <v/>
      </c>
      <c r="AO240" s="29" t="str">
        <f t="shared" si="2882"/>
        <v/>
      </c>
      <c r="AP240" s="29" t="str">
        <f t="shared" si="2882"/>
        <v/>
      </c>
      <c r="AQ240" s="29" t="str">
        <f t="shared" si="2882"/>
        <v/>
      </c>
      <c r="AR240" s="29" t="str">
        <f t="shared" si="2882"/>
        <v/>
      </c>
      <c r="AS240" s="29" t="str">
        <f t="shared" si="2882"/>
        <v/>
      </c>
    </row>
    <row r="241" spans="1:45" s="1" customFormat="1" ht="11.25" x14ac:dyDescent="0.15">
      <c r="A241" s="14"/>
      <c r="B241" s="30" t="s">
        <v>7</v>
      </c>
      <c r="C241" s="29"/>
      <c r="D241" s="29">
        <v>4</v>
      </c>
      <c r="E241" s="29"/>
      <c r="F241" s="29"/>
      <c r="G241" s="29"/>
      <c r="H241" s="29">
        <v>1</v>
      </c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</row>
    <row r="242" spans="1:45" s="1" customFormat="1" ht="11.25" x14ac:dyDescent="0.15">
      <c r="A242" s="7"/>
      <c r="B242" s="30" t="s">
        <v>8</v>
      </c>
      <c r="C242" s="35">
        <v>1500</v>
      </c>
      <c r="D242" s="35">
        <v>1500</v>
      </c>
      <c r="E242" s="35">
        <v>1500</v>
      </c>
      <c r="F242" s="35">
        <v>1500</v>
      </c>
      <c r="G242" s="35">
        <v>1500</v>
      </c>
      <c r="H242" s="35">
        <v>1500</v>
      </c>
      <c r="I242" s="35">
        <v>1500</v>
      </c>
      <c r="J242" s="35">
        <v>1500</v>
      </c>
      <c r="K242" s="35">
        <v>1500</v>
      </c>
      <c r="L242" s="35">
        <v>1500</v>
      </c>
      <c r="M242" s="35">
        <f t="shared" ref="M242:M243" si="2883">IF(M$8="","",L242)</f>
        <v>1500</v>
      </c>
      <c r="N242" s="35">
        <f t="shared" ref="N242:N243" si="2884">IF(N$8="","",M242)</f>
        <v>1500</v>
      </c>
      <c r="O242" s="35">
        <f t="shared" ref="O242:O243" si="2885">IF(O$8="","",N242)</f>
        <v>1500</v>
      </c>
      <c r="P242" s="35" t="str">
        <f t="shared" ref="P242:P243" si="2886">IF(P$8="","",O242)</f>
        <v/>
      </c>
      <c r="Q242" s="35" t="str">
        <f t="shared" ref="Q242:Q243" si="2887">IF(Q$8="","",P242)</f>
        <v/>
      </c>
      <c r="R242" s="35" t="str">
        <f t="shared" ref="R242:R243" si="2888">IF(R$8="","",Q242)</f>
        <v/>
      </c>
      <c r="S242" s="35" t="str">
        <f t="shared" ref="S242:S243" si="2889">IF(S$8="","",R242)</f>
        <v/>
      </c>
      <c r="T242" s="35" t="str">
        <f t="shared" ref="T242:T243" si="2890">IF(T$8="","",S242)</f>
        <v/>
      </c>
      <c r="U242" s="35" t="str">
        <f t="shared" ref="U242:U243" si="2891">IF(U$8="","",T242)</f>
        <v/>
      </c>
      <c r="V242" s="35" t="str">
        <f t="shared" ref="V242:V243" si="2892">IF(V$8="","",U242)</f>
        <v/>
      </c>
      <c r="W242" s="35" t="str">
        <f t="shared" ref="W242:W243" si="2893">IF(W$8="","",V242)</f>
        <v/>
      </c>
      <c r="X242" s="35" t="str">
        <f t="shared" ref="X242:X243" si="2894">IF(X$8="","",W242)</f>
        <v/>
      </c>
      <c r="Y242" s="35" t="str">
        <f t="shared" ref="Y242:Y243" si="2895">IF(Y$8="","",X242)</f>
        <v/>
      </c>
      <c r="Z242" s="35" t="str">
        <f t="shared" ref="Z242:Z243" si="2896">IF(Z$8="","",Y242)</f>
        <v/>
      </c>
      <c r="AA242" s="35" t="str">
        <f t="shared" ref="AA242:AA243" si="2897">IF(AA$8="","",Z242)</f>
        <v/>
      </c>
      <c r="AB242" s="35" t="str">
        <f t="shared" ref="AB242:AB243" si="2898">IF(AB$8="","",AA242)</f>
        <v/>
      </c>
      <c r="AC242" s="35" t="str">
        <f t="shared" ref="AC242:AC243" si="2899">IF(AC$8="","",AB242)</f>
        <v/>
      </c>
      <c r="AD242" s="35" t="str">
        <f t="shared" ref="AD242:AD243" si="2900">IF(AD$8="","",AC242)</f>
        <v/>
      </c>
      <c r="AE242" s="35" t="str">
        <f t="shared" ref="AE242:AE243" si="2901">IF(AE$8="","",AD242)</f>
        <v/>
      </c>
      <c r="AF242" s="35" t="str">
        <f t="shared" ref="AF242:AF243" si="2902">IF(AF$8="","",AE242)</f>
        <v/>
      </c>
      <c r="AG242" s="35" t="str">
        <f t="shared" ref="AG242:AG243" si="2903">IF(AG$8="","",AF242)</f>
        <v/>
      </c>
      <c r="AH242" s="35" t="str">
        <f t="shared" ref="AH242:AH243" si="2904">IF(AH$8="","",AG242)</f>
        <v/>
      </c>
      <c r="AI242" s="35" t="str">
        <f t="shared" ref="AI242:AI243" si="2905">IF(AI$8="","",AH242)</f>
        <v/>
      </c>
      <c r="AJ242" s="35" t="str">
        <f t="shared" ref="AJ242:AJ243" si="2906">IF(AJ$8="","",AI242)</f>
        <v/>
      </c>
      <c r="AK242" s="35" t="str">
        <f t="shared" ref="AK242:AK243" si="2907">IF(AK$8="","",AJ242)</f>
        <v/>
      </c>
      <c r="AL242" s="35" t="str">
        <f t="shared" ref="AL242:AL243" si="2908">IF(AL$8="","",AK242)</f>
        <v/>
      </c>
      <c r="AM242" s="35" t="str">
        <f t="shared" ref="AM242:AM243" si="2909">IF(AM$8="","",AL242)</f>
        <v/>
      </c>
      <c r="AN242" s="35" t="str">
        <f t="shared" ref="AN242:AS242" si="2910">IF(AN$8="","",AM242)</f>
        <v/>
      </c>
      <c r="AO242" s="35" t="str">
        <f t="shared" si="2910"/>
        <v/>
      </c>
      <c r="AP242" s="35" t="str">
        <f t="shared" si="2910"/>
        <v/>
      </c>
      <c r="AQ242" s="35" t="str">
        <f t="shared" si="2910"/>
        <v/>
      </c>
      <c r="AR242" s="35" t="str">
        <f t="shared" si="2910"/>
        <v/>
      </c>
      <c r="AS242" s="35" t="str">
        <f t="shared" si="2910"/>
        <v/>
      </c>
    </row>
    <row r="243" spans="1:45" s="85" customFormat="1" ht="14.25" customHeight="1" x14ac:dyDescent="0.15">
      <c r="A243" s="14" t="s">
        <v>9</v>
      </c>
      <c r="B243" s="33" t="s">
        <v>10</v>
      </c>
      <c r="C243" s="32" t="s">
        <v>58</v>
      </c>
      <c r="D243" s="32" t="s">
        <v>58</v>
      </c>
      <c r="E243" s="32" t="s">
        <v>58</v>
      </c>
      <c r="F243" s="32" t="s">
        <v>58</v>
      </c>
      <c r="G243" s="32" t="s">
        <v>58</v>
      </c>
      <c r="H243" s="32" t="s">
        <v>58</v>
      </c>
      <c r="I243" s="32" t="s">
        <v>58</v>
      </c>
      <c r="J243" s="32" t="s">
        <v>58</v>
      </c>
      <c r="K243" s="32" t="s">
        <v>58</v>
      </c>
      <c r="L243" s="32" t="s">
        <v>58</v>
      </c>
      <c r="M243" s="32" t="str">
        <f t="shared" si="2883"/>
        <v>ボンドロ</v>
      </c>
      <c r="N243" s="32" t="str">
        <f t="shared" si="2884"/>
        <v>ボンドロ</v>
      </c>
      <c r="O243" s="32" t="str">
        <f t="shared" si="2885"/>
        <v>ボンドロ</v>
      </c>
      <c r="P243" s="32" t="str">
        <f t="shared" si="2886"/>
        <v/>
      </c>
      <c r="Q243" s="32" t="str">
        <f t="shared" si="2887"/>
        <v/>
      </c>
      <c r="R243" s="32" t="str">
        <f t="shared" si="2888"/>
        <v/>
      </c>
      <c r="S243" s="32" t="str">
        <f t="shared" si="2889"/>
        <v/>
      </c>
      <c r="T243" s="32" t="str">
        <f t="shared" si="2890"/>
        <v/>
      </c>
      <c r="U243" s="32" t="str">
        <f t="shared" si="2891"/>
        <v/>
      </c>
      <c r="V243" s="32" t="str">
        <f t="shared" si="2892"/>
        <v/>
      </c>
      <c r="W243" s="32" t="str">
        <f t="shared" si="2893"/>
        <v/>
      </c>
      <c r="X243" s="32" t="str">
        <f t="shared" si="2894"/>
        <v/>
      </c>
      <c r="Y243" s="32" t="str">
        <f t="shared" si="2895"/>
        <v/>
      </c>
      <c r="Z243" s="32" t="str">
        <f t="shared" si="2896"/>
        <v/>
      </c>
      <c r="AA243" s="32" t="str">
        <f t="shared" si="2897"/>
        <v/>
      </c>
      <c r="AB243" s="32" t="str">
        <f t="shared" si="2898"/>
        <v/>
      </c>
      <c r="AC243" s="32" t="str">
        <f t="shared" si="2899"/>
        <v/>
      </c>
      <c r="AD243" s="32" t="str">
        <f t="shared" si="2900"/>
        <v/>
      </c>
      <c r="AE243" s="32" t="str">
        <f t="shared" si="2901"/>
        <v/>
      </c>
      <c r="AF243" s="32" t="str">
        <f t="shared" si="2902"/>
        <v/>
      </c>
      <c r="AG243" s="32" t="str">
        <f t="shared" si="2903"/>
        <v/>
      </c>
      <c r="AH243" s="32" t="str">
        <f t="shared" si="2904"/>
        <v/>
      </c>
      <c r="AI243" s="32" t="str">
        <f t="shared" si="2905"/>
        <v/>
      </c>
      <c r="AJ243" s="32" t="str">
        <f t="shared" si="2906"/>
        <v/>
      </c>
      <c r="AK243" s="32" t="str">
        <f t="shared" si="2907"/>
        <v/>
      </c>
      <c r="AL243" s="32" t="str">
        <f t="shared" si="2908"/>
        <v/>
      </c>
      <c r="AM243" s="32" t="str">
        <f t="shared" si="2909"/>
        <v/>
      </c>
      <c r="AN243" s="32" t="str">
        <f t="shared" ref="AN243:AS243" si="2911">IF(AN$8="","",AM243)</f>
        <v/>
      </c>
      <c r="AO243" s="32" t="str">
        <f t="shared" si="2911"/>
        <v/>
      </c>
      <c r="AP243" s="32" t="str">
        <f t="shared" si="2911"/>
        <v/>
      </c>
      <c r="AQ243" s="32" t="str">
        <f t="shared" si="2911"/>
        <v/>
      </c>
      <c r="AR243" s="32" t="str">
        <f t="shared" si="2911"/>
        <v/>
      </c>
      <c r="AS243" s="32" t="str">
        <f t="shared" si="2911"/>
        <v/>
      </c>
    </row>
    <row r="244" spans="1:45" s="1" customFormat="1" ht="11.25" x14ac:dyDescent="0.15">
      <c r="A244" s="7">
        <f>AVERAGE(C245:AS245)*30*100</f>
        <v>281307.69230769231</v>
      </c>
      <c r="B244" s="30" t="s">
        <v>12</v>
      </c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</row>
    <row r="245" spans="1:45" s="1" customFormat="1" ht="11.25" x14ac:dyDescent="0.15">
      <c r="A245" s="7">
        <f>SUM(C245:AS245)</f>
        <v>1219</v>
      </c>
      <c r="B245" s="27" t="s">
        <v>13</v>
      </c>
      <c r="C245" s="26">
        <v>0</v>
      </c>
      <c r="D245" s="26">
        <v>0</v>
      </c>
      <c r="E245" s="26">
        <v>309</v>
      </c>
      <c r="F245" s="26">
        <v>0</v>
      </c>
      <c r="G245" s="26">
        <v>0</v>
      </c>
      <c r="H245" s="26">
        <v>418</v>
      </c>
      <c r="I245" s="26">
        <v>0</v>
      </c>
      <c r="J245" s="26">
        <v>0</v>
      </c>
      <c r="K245" s="26">
        <v>0</v>
      </c>
      <c r="L245" s="26">
        <v>286</v>
      </c>
      <c r="M245" s="26">
        <f t="shared" ref="M245" si="2912">IF(M$8="","",M236+M237-L237-L236)</f>
        <v>0</v>
      </c>
      <c r="N245" s="26">
        <f t="shared" ref="N245" si="2913">IF(N$8="","",N236+N237-M237-M236)</f>
        <v>0</v>
      </c>
      <c r="O245" s="26">
        <f t="shared" ref="O245" si="2914">IF(O$8="","",O236+O237-N237-N236)</f>
        <v>206</v>
      </c>
      <c r="P245" s="26" t="str">
        <f t="shared" ref="P245" si="2915">IF(P$8="","",P236+P237-O237-O236)</f>
        <v/>
      </c>
      <c r="Q245" s="26" t="str">
        <f t="shared" ref="Q245" si="2916">IF(Q$8="","",Q236+Q237-P237-P236)</f>
        <v/>
      </c>
      <c r="R245" s="26" t="str">
        <f t="shared" ref="R245" si="2917">IF(R$8="","",R236+R237-Q237-Q236)</f>
        <v/>
      </c>
      <c r="S245" s="26" t="str">
        <f t="shared" ref="S245" si="2918">IF(S$8="","",S236+S237-R237-R236)</f>
        <v/>
      </c>
      <c r="T245" s="26" t="str">
        <f t="shared" ref="T245" si="2919">IF(T$8="","",T236+T237-S237-S236)</f>
        <v/>
      </c>
      <c r="U245" s="26" t="str">
        <f t="shared" ref="U245" si="2920">IF(U$8="","",U236+U237-T237-T236)</f>
        <v/>
      </c>
      <c r="V245" s="26" t="str">
        <f t="shared" ref="V245" si="2921">IF(V$8="","",V236+V237-U237-U236)</f>
        <v/>
      </c>
      <c r="W245" s="26" t="str">
        <f t="shared" ref="W245" si="2922">IF(W$8="","",W236+W237-V237-V236)</f>
        <v/>
      </c>
      <c r="X245" s="26" t="str">
        <f t="shared" ref="X245" si="2923">IF(X$8="","",X236+X237-W237-W236)</f>
        <v/>
      </c>
      <c r="Y245" s="26" t="str">
        <f t="shared" ref="Y245" si="2924">IF(Y$8="","",Y236+Y237-X237-X236)</f>
        <v/>
      </c>
      <c r="Z245" s="26" t="str">
        <f t="shared" ref="Z245" si="2925">IF(Z$8="","",Z236+Z237-Y237-Y236)</f>
        <v/>
      </c>
      <c r="AA245" s="26" t="str">
        <f t="shared" ref="AA245" si="2926">IF(AA$8="","",AA236+AA237-Z237-Z236)</f>
        <v/>
      </c>
      <c r="AB245" s="26" t="str">
        <f t="shared" ref="AB245" si="2927">IF(AB$8="","",AB236+AB237-AA237-AA236)</f>
        <v/>
      </c>
      <c r="AC245" s="26" t="str">
        <f t="shared" ref="AC245" si="2928">IF(AC$8="","",AC236+AC237-AB237-AB236)</f>
        <v/>
      </c>
      <c r="AD245" s="26" t="str">
        <f t="shared" ref="AD245" si="2929">IF(AD$8="","",AD236+AD237-AC237-AC236)</f>
        <v/>
      </c>
      <c r="AE245" s="26" t="str">
        <f t="shared" ref="AE245" si="2930">IF(AE$8="","",AE236+AE237-AD237-AD236)</f>
        <v/>
      </c>
      <c r="AF245" s="26" t="str">
        <f t="shared" ref="AF245" si="2931">IF(AF$8="","",AF236+AF237-AE237-AE236)</f>
        <v/>
      </c>
      <c r="AG245" s="26" t="str">
        <f t="shared" ref="AG245" si="2932">IF(AG$8="","",AG236+AG237-AF237-AF236)</f>
        <v/>
      </c>
      <c r="AH245" s="26" t="str">
        <f t="shared" ref="AH245" si="2933">IF(AH$8="","",AH236+AH237-AG237-AG236)</f>
        <v/>
      </c>
      <c r="AI245" s="26" t="str">
        <f t="shared" ref="AI245" si="2934">IF(AI$8="","",AI236+AI237-AH237-AH236)</f>
        <v/>
      </c>
      <c r="AJ245" s="26" t="str">
        <f t="shared" ref="AJ245" si="2935">IF(AJ$8="","",AJ236+AJ237-AI237-AI236)</f>
        <v/>
      </c>
      <c r="AK245" s="26" t="str">
        <f t="shared" ref="AK245" si="2936">IF(AK$8="","",AK236+AK237-AJ237-AJ236)</f>
        <v/>
      </c>
      <c r="AL245" s="26" t="str">
        <f t="shared" ref="AL245" si="2937">IF(AL$8="","",AL236+AL237-AK237-AK236)</f>
        <v/>
      </c>
      <c r="AM245" s="26" t="str">
        <f t="shared" ref="AM245" si="2938">IF(AM$8="","",AM236+AM237-AL237-AL236)</f>
        <v/>
      </c>
      <c r="AN245" s="26" t="str">
        <f t="shared" ref="AN245:AS245" si="2939">IF(AN$8="","",AN236+AN237-AM237-AM236)</f>
        <v/>
      </c>
      <c r="AO245" s="26" t="str">
        <f t="shared" si="2939"/>
        <v/>
      </c>
      <c r="AP245" s="26" t="str">
        <f t="shared" si="2939"/>
        <v/>
      </c>
      <c r="AQ245" s="26" t="str">
        <f t="shared" si="2939"/>
        <v/>
      </c>
      <c r="AR245" s="26" t="str">
        <f t="shared" si="2939"/>
        <v/>
      </c>
      <c r="AS245" s="26" t="str">
        <f t="shared" si="2939"/>
        <v/>
      </c>
    </row>
    <row r="246" spans="1:45" s="1" customFormat="1" ht="11.25" x14ac:dyDescent="0.15">
      <c r="A246" s="7">
        <f>SUM(C246:AS246)</f>
        <v>0</v>
      </c>
      <c r="B246" s="27" t="s">
        <v>14</v>
      </c>
      <c r="C246" s="26">
        <v>0</v>
      </c>
      <c r="D246" s="26">
        <v>0</v>
      </c>
      <c r="E246" s="26">
        <v>0</v>
      </c>
      <c r="F246" s="26">
        <v>0</v>
      </c>
      <c r="G246" s="26">
        <v>0</v>
      </c>
      <c r="H246" s="26">
        <v>0</v>
      </c>
      <c r="I246" s="26">
        <v>0</v>
      </c>
      <c r="J246" s="26">
        <v>0</v>
      </c>
      <c r="K246" s="26">
        <v>0</v>
      </c>
      <c r="L246" s="26">
        <v>0</v>
      </c>
      <c r="M246" s="26">
        <f t="shared" ref="M246" si="2940">IF(M$8="","",M239-L239)</f>
        <v>0</v>
      </c>
      <c r="N246" s="26">
        <f t="shared" ref="N246" si="2941">IF(N$8="","",N239-M239)</f>
        <v>0</v>
      </c>
      <c r="O246" s="26">
        <f t="shared" ref="O246" si="2942">IF(O$8="","",O239-N239)</f>
        <v>0</v>
      </c>
      <c r="P246" s="26" t="str">
        <f t="shared" ref="P246" si="2943">IF(P$8="","",P239-O239)</f>
        <v/>
      </c>
      <c r="Q246" s="26" t="str">
        <f t="shared" ref="Q246" si="2944">IF(Q$8="","",Q239-P239)</f>
        <v/>
      </c>
      <c r="R246" s="26" t="str">
        <f t="shared" ref="R246" si="2945">IF(R$8="","",R239-Q239)</f>
        <v/>
      </c>
      <c r="S246" s="26" t="str">
        <f t="shared" ref="S246" si="2946">IF(S$8="","",S239-R239)</f>
        <v/>
      </c>
      <c r="T246" s="26" t="str">
        <f t="shared" ref="T246" si="2947">IF(T$8="","",T239-S239)</f>
        <v/>
      </c>
      <c r="U246" s="26" t="str">
        <f t="shared" ref="U246" si="2948">IF(U$8="","",U239-T239)</f>
        <v/>
      </c>
      <c r="V246" s="26" t="str">
        <f t="shared" ref="V246" si="2949">IF(V$8="","",V239-U239)</f>
        <v/>
      </c>
      <c r="W246" s="26" t="str">
        <f t="shared" ref="W246" si="2950">IF(W$8="","",W239-V239)</f>
        <v/>
      </c>
      <c r="X246" s="26" t="str">
        <f t="shared" ref="X246" si="2951">IF(X$8="","",X239-W239)</f>
        <v/>
      </c>
      <c r="Y246" s="26" t="str">
        <f t="shared" ref="Y246" si="2952">IF(Y$8="","",Y239-X239)</f>
        <v/>
      </c>
      <c r="Z246" s="26" t="str">
        <f t="shared" ref="Z246" si="2953">IF(Z$8="","",Z239-Y239)</f>
        <v/>
      </c>
      <c r="AA246" s="26" t="str">
        <f t="shared" ref="AA246" si="2954">IF(AA$8="","",AA239-Z239)</f>
        <v/>
      </c>
      <c r="AB246" s="26" t="str">
        <f t="shared" ref="AB246" si="2955">IF(AB$8="","",AB239-AA239)</f>
        <v/>
      </c>
      <c r="AC246" s="26" t="str">
        <f t="shared" ref="AC246" si="2956">IF(AC$8="","",AC239-AB239)</f>
        <v/>
      </c>
      <c r="AD246" s="26" t="str">
        <f t="shared" ref="AD246" si="2957">IF(AD$8="","",AD239-AC239)</f>
        <v/>
      </c>
      <c r="AE246" s="26" t="str">
        <f t="shared" ref="AE246" si="2958">IF(AE$8="","",AE239-AD239)</f>
        <v/>
      </c>
      <c r="AF246" s="26" t="str">
        <f t="shared" ref="AF246" si="2959">IF(AF$8="","",AF239-AE239)</f>
        <v/>
      </c>
      <c r="AG246" s="26" t="str">
        <f t="shared" ref="AG246" si="2960">IF(AG$8="","",AG239-AF239)</f>
        <v/>
      </c>
      <c r="AH246" s="26" t="str">
        <f t="shared" ref="AH246" si="2961">IF(AH$8="","",AH239-AG239)</f>
        <v/>
      </c>
      <c r="AI246" s="26" t="str">
        <f t="shared" ref="AI246" si="2962">IF(AI$8="","",AI239-AH239)</f>
        <v/>
      </c>
      <c r="AJ246" s="26" t="str">
        <f t="shared" ref="AJ246" si="2963">IF(AJ$8="","",AJ239-AI239)</f>
        <v/>
      </c>
      <c r="AK246" s="26" t="str">
        <f t="shared" ref="AK246" si="2964">IF(AK$8="","",AK239-AJ239)</f>
        <v/>
      </c>
      <c r="AL246" s="26" t="str">
        <f t="shared" ref="AL246" si="2965">IF(AL$8="","",AL239-AK239)</f>
        <v/>
      </c>
      <c r="AM246" s="26" t="str">
        <f t="shared" ref="AM246" si="2966">IF(AM$8="","",AM239-AL239)</f>
        <v/>
      </c>
      <c r="AN246" s="26" t="str">
        <f t="shared" ref="AN246:AS246" si="2967">IF(AN$8="","",AN239-AM239)</f>
        <v/>
      </c>
      <c r="AO246" s="26" t="str">
        <f t="shared" si="2967"/>
        <v/>
      </c>
      <c r="AP246" s="26" t="str">
        <f t="shared" si="2967"/>
        <v/>
      </c>
      <c r="AQ246" s="26" t="str">
        <f t="shared" si="2967"/>
        <v/>
      </c>
      <c r="AR246" s="26" t="str">
        <f t="shared" si="2967"/>
        <v/>
      </c>
      <c r="AS246" s="26" t="str">
        <f t="shared" si="2967"/>
        <v/>
      </c>
    </row>
    <row r="247" spans="1:45" s="1" customFormat="1" ht="11.25" x14ac:dyDescent="0.15">
      <c r="A247" s="7">
        <f>SUM(C247:AS247)</f>
        <v>1</v>
      </c>
      <c r="B247" s="27" t="s">
        <v>15</v>
      </c>
      <c r="C247" s="26">
        <v>0</v>
      </c>
      <c r="D247" s="26">
        <v>0</v>
      </c>
      <c r="E247" s="26">
        <v>0</v>
      </c>
      <c r="F247" s="26">
        <v>0</v>
      </c>
      <c r="G247" s="26">
        <v>0</v>
      </c>
      <c r="H247" s="26">
        <v>1</v>
      </c>
      <c r="I247" s="26">
        <v>0</v>
      </c>
      <c r="J247" s="26">
        <v>0</v>
      </c>
      <c r="K247" s="26">
        <v>0</v>
      </c>
      <c r="L247" s="26">
        <v>0</v>
      </c>
      <c r="M247" s="26">
        <f t="shared" ref="M247" si="2968">IF(M$8="","",L240+L241-M240)</f>
        <v>0</v>
      </c>
      <c r="N247" s="26">
        <f t="shared" ref="N247" si="2969">IF(N$8="","",M240+M241-N240)</f>
        <v>0</v>
      </c>
      <c r="O247" s="26">
        <f t="shared" ref="O247" si="2970">IF(O$8="","",N240+N241-O240)</f>
        <v>0</v>
      </c>
      <c r="P247" s="26" t="str">
        <f t="shared" ref="P247" si="2971">IF(P$8="","",O240+O241-P240)</f>
        <v/>
      </c>
      <c r="Q247" s="26" t="str">
        <f t="shared" ref="Q247" si="2972">IF(Q$8="","",P240+P241-Q240)</f>
        <v/>
      </c>
      <c r="R247" s="26" t="str">
        <f t="shared" ref="R247" si="2973">IF(R$8="","",Q240+Q241-R240)</f>
        <v/>
      </c>
      <c r="S247" s="26" t="str">
        <f t="shared" ref="S247" si="2974">IF(S$8="","",R240+R241-S240)</f>
        <v/>
      </c>
      <c r="T247" s="26" t="str">
        <f t="shared" ref="T247" si="2975">IF(T$8="","",S240+S241-T240)</f>
        <v/>
      </c>
      <c r="U247" s="26" t="str">
        <f t="shared" ref="U247" si="2976">IF(U$8="","",T240+T241-U240)</f>
        <v/>
      </c>
      <c r="V247" s="26" t="str">
        <f t="shared" ref="V247" si="2977">IF(V$8="","",U240+U241-V240)</f>
        <v/>
      </c>
      <c r="W247" s="26" t="str">
        <f t="shared" ref="W247" si="2978">IF(W$8="","",V240+V241-W240)</f>
        <v/>
      </c>
      <c r="X247" s="26" t="str">
        <f t="shared" ref="X247" si="2979">IF(X$8="","",W240+W241-X240)</f>
        <v/>
      </c>
      <c r="Y247" s="26" t="str">
        <f t="shared" ref="Y247" si="2980">IF(Y$8="","",X240+X241-Y240)</f>
        <v/>
      </c>
      <c r="Z247" s="26" t="str">
        <f t="shared" ref="Z247" si="2981">IF(Z$8="","",Y240+Y241-Z240)</f>
        <v/>
      </c>
      <c r="AA247" s="26" t="str">
        <f t="shared" ref="AA247" si="2982">IF(AA$8="","",Z240+Z241-AA240)</f>
        <v/>
      </c>
      <c r="AB247" s="26" t="str">
        <f t="shared" ref="AB247" si="2983">IF(AB$8="","",AA240+AA241-AB240)</f>
        <v/>
      </c>
      <c r="AC247" s="26" t="str">
        <f t="shared" ref="AC247" si="2984">IF(AC$8="","",AB240+AB241-AC240)</f>
        <v/>
      </c>
      <c r="AD247" s="26" t="str">
        <f t="shared" ref="AD247" si="2985">IF(AD$8="","",AC240+AC241-AD240)</f>
        <v/>
      </c>
      <c r="AE247" s="26" t="str">
        <f t="shared" ref="AE247" si="2986">IF(AE$8="","",AD240+AD241-AE240)</f>
        <v/>
      </c>
      <c r="AF247" s="26" t="str">
        <f t="shared" ref="AF247" si="2987">IF(AF$8="","",AE240+AE241-AF240)</f>
        <v/>
      </c>
      <c r="AG247" s="26" t="str">
        <f t="shared" ref="AG247" si="2988">IF(AG$8="","",AF240+AF241-AG240)</f>
        <v/>
      </c>
      <c r="AH247" s="26" t="str">
        <f t="shared" ref="AH247" si="2989">IF(AH$8="","",AG240+AG241-AH240)</f>
        <v/>
      </c>
      <c r="AI247" s="26" t="str">
        <f t="shared" ref="AI247" si="2990">IF(AI$8="","",AH240+AH241-AI240)</f>
        <v/>
      </c>
      <c r="AJ247" s="26" t="str">
        <f t="shared" ref="AJ247" si="2991">IF(AJ$8="","",AI240+AI241-AJ240)</f>
        <v/>
      </c>
      <c r="AK247" s="26" t="str">
        <f t="shared" ref="AK247" si="2992">IF(AK$8="","",AJ240+AJ241-AK240)</f>
        <v/>
      </c>
      <c r="AL247" s="26" t="str">
        <f t="shared" ref="AL247" si="2993">IF(AL$8="","",AK240+AK241-AL240)</f>
        <v/>
      </c>
      <c r="AM247" s="26" t="str">
        <f t="shared" ref="AM247" si="2994">IF(AM$8="","",AL240+AL241-AM240)</f>
        <v/>
      </c>
      <c r="AN247" s="26" t="str">
        <f t="shared" ref="AN247:AS247" si="2995">IF(AN$8="","",AM240+AM241-AN240)</f>
        <v/>
      </c>
      <c r="AO247" s="26" t="str">
        <f t="shared" si="2995"/>
        <v/>
      </c>
      <c r="AP247" s="26" t="str">
        <f t="shared" si="2995"/>
        <v/>
      </c>
      <c r="AQ247" s="26" t="str">
        <f t="shared" si="2995"/>
        <v/>
      </c>
      <c r="AR247" s="26" t="str">
        <f t="shared" si="2995"/>
        <v/>
      </c>
      <c r="AS247" s="26" t="str">
        <f t="shared" si="2995"/>
        <v/>
      </c>
    </row>
    <row r="248" spans="1:45" s="1" customFormat="1" ht="11.25" x14ac:dyDescent="0.15">
      <c r="A248" s="7">
        <f>SUM(C248:AS248)</f>
        <v>1500</v>
      </c>
      <c r="B248" s="27" t="s">
        <v>16</v>
      </c>
      <c r="C248" s="26">
        <v>0</v>
      </c>
      <c r="D248" s="26">
        <v>0</v>
      </c>
      <c r="E248" s="26">
        <v>0</v>
      </c>
      <c r="F248" s="26">
        <v>0</v>
      </c>
      <c r="G248" s="26">
        <v>0</v>
      </c>
      <c r="H248" s="26">
        <v>1500</v>
      </c>
      <c r="I248" s="26">
        <v>0</v>
      </c>
      <c r="J248" s="26">
        <v>0</v>
      </c>
      <c r="K248" s="26">
        <v>0</v>
      </c>
      <c r="L248" s="26">
        <v>0</v>
      </c>
      <c r="M248" s="26">
        <f t="shared" ref="J248:AM248" si="2996">IF(M$8="","",M247*M242)</f>
        <v>0</v>
      </c>
      <c r="N248" s="26">
        <f t="shared" si="2996"/>
        <v>0</v>
      </c>
      <c r="O248" s="26">
        <f t="shared" si="2996"/>
        <v>0</v>
      </c>
      <c r="P248" s="26" t="str">
        <f t="shared" si="2996"/>
        <v/>
      </c>
      <c r="Q248" s="26" t="str">
        <f t="shared" si="2996"/>
        <v/>
      </c>
      <c r="R248" s="26" t="str">
        <f t="shared" si="2996"/>
        <v/>
      </c>
      <c r="S248" s="26" t="str">
        <f t="shared" si="2996"/>
        <v/>
      </c>
      <c r="T248" s="26" t="str">
        <f t="shared" si="2996"/>
        <v/>
      </c>
      <c r="U248" s="26" t="str">
        <f t="shared" si="2996"/>
        <v/>
      </c>
      <c r="V248" s="26" t="str">
        <f t="shared" si="2996"/>
        <v/>
      </c>
      <c r="W248" s="26" t="str">
        <f t="shared" si="2996"/>
        <v/>
      </c>
      <c r="X248" s="26" t="str">
        <f t="shared" si="2996"/>
        <v/>
      </c>
      <c r="Y248" s="26" t="str">
        <f t="shared" si="2996"/>
        <v/>
      </c>
      <c r="Z248" s="26" t="str">
        <f t="shared" si="2996"/>
        <v/>
      </c>
      <c r="AA248" s="26" t="str">
        <f t="shared" si="2996"/>
        <v/>
      </c>
      <c r="AB248" s="26" t="str">
        <f t="shared" si="2996"/>
        <v/>
      </c>
      <c r="AC248" s="26" t="str">
        <f t="shared" si="2996"/>
        <v/>
      </c>
      <c r="AD248" s="26" t="str">
        <f t="shared" si="2996"/>
        <v/>
      </c>
      <c r="AE248" s="26" t="str">
        <f t="shared" si="2996"/>
        <v/>
      </c>
      <c r="AF248" s="26" t="str">
        <f t="shared" si="2996"/>
        <v/>
      </c>
      <c r="AG248" s="26" t="str">
        <f t="shared" si="2996"/>
        <v/>
      </c>
      <c r="AH248" s="26" t="str">
        <f t="shared" si="2996"/>
        <v/>
      </c>
      <c r="AI248" s="26" t="str">
        <f t="shared" si="2996"/>
        <v/>
      </c>
      <c r="AJ248" s="26" t="str">
        <f t="shared" si="2996"/>
        <v/>
      </c>
      <c r="AK248" s="26" t="str">
        <f t="shared" si="2996"/>
        <v/>
      </c>
      <c r="AL248" s="26" t="str">
        <f t="shared" si="2996"/>
        <v/>
      </c>
      <c r="AM248" s="26" t="str">
        <f t="shared" si="2996"/>
        <v/>
      </c>
      <c r="AN248" s="26" t="str">
        <f t="shared" ref="AN248:AS248" si="2997">IF(AN$8="","",AN247*AN242)</f>
        <v/>
      </c>
      <c r="AO248" s="26" t="str">
        <f t="shared" si="2997"/>
        <v/>
      </c>
      <c r="AP248" s="26" t="str">
        <f t="shared" si="2997"/>
        <v/>
      </c>
      <c r="AQ248" s="26" t="str">
        <f t="shared" si="2997"/>
        <v/>
      </c>
      <c r="AR248" s="26" t="str">
        <f t="shared" si="2997"/>
        <v/>
      </c>
      <c r="AS248" s="26" t="str">
        <f t="shared" si="2997"/>
        <v/>
      </c>
    </row>
    <row r="249" spans="1:45" s="1" customFormat="1" ht="12" thickBot="1" x14ac:dyDescent="0.2">
      <c r="A249" s="4">
        <f>IF(A248="","",A248/(A245*100))</f>
        <v>1.2305168170631665E-2</v>
      </c>
      <c r="B249" s="24" t="s">
        <v>18</v>
      </c>
      <c r="C249" s="23" t="s">
        <v>19</v>
      </c>
      <c r="D249" s="23" t="s">
        <v>19</v>
      </c>
      <c r="E249" s="23" t="s">
        <v>19</v>
      </c>
      <c r="F249" s="23" t="s">
        <v>19</v>
      </c>
      <c r="G249" s="23" t="s">
        <v>19</v>
      </c>
      <c r="H249" s="23">
        <v>3.5885167464114832E-2</v>
      </c>
      <c r="I249" s="23" t="s">
        <v>19</v>
      </c>
      <c r="J249" s="23" t="s">
        <v>19</v>
      </c>
      <c r="K249" s="23" t="s">
        <v>19</v>
      </c>
      <c r="L249" s="23" t="s">
        <v>19</v>
      </c>
      <c r="M249" s="23" t="str">
        <f t="shared" ref="J249:AM249" si="2998">IF(M$8="","",IF(M248=0,"",M248/(M245*100)))</f>
        <v/>
      </c>
      <c r="N249" s="23" t="str">
        <f t="shared" si="2998"/>
        <v/>
      </c>
      <c r="O249" s="23" t="str">
        <f t="shared" si="2998"/>
        <v/>
      </c>
      <c r="P249" s="23" t="str">
        <f t="shared" si="2998"/>
        <v/>
      </c>
      <c r="Q249" s="23" t="str">
        <f t="shared" si="2998"/>
        <v/>
      </c>
      <c r="R249" s="23" t="str">
        <f t="shared" si="2998"/>
        <v/>
      </c>
      <c r="S249" s="23" t="str">
        <f t="shared" si="2998"/>
        <v/>
      </c>
      <c r="T249" s="23" t="str">
        <f t="shared" si="2998"/>
        <v/>
      </c>
      <c r="U249" s="23" t="str">
        <f t="shared" si="2998"/>
        <v/>
      </c>
      <c r="V249" s="23" t="str">
        <f t="shared" si="2998"/>
        <v/>
      </c>
      <c r="W249" s="23" t="str">
        <f t="shared" si="2998"/>
        <v/>
      </c>
      <c r="X249" s="23" t="str">
        <f t="shared" si="2998"/>
        <v/>
      </c>
      <c r="Y249" s="23" t="str">
        <f t="shared" si="2998"/>
        <v/>
      </c>
      <c r="Z249" s="23" t="str">
        <f t="shared" si="2998"/>
        <v/>
      </c>
      <c r="AA249" s="23" t="str">
        <f t="shared" si="2998"/>
        <v/>
      </c>
      <c r="AB249" s="23" t="str">
        <f t="shared" si="2998"/>
        <v/>
      </c>
      <c r="AC249" s="23" t="str">
        <f t="shared" si="2998"/>
        <v/>
      </c>
      <c r="AD249" s="23" t="str">
        <f t="shared" si="2998"/>
        <v/>
      </c>
      <c r="AE249" s="23" t="str">
        <f t="shared" si="2998"/>
        <v/>
      </c>
      <c r="AF249" s="23" t="str">
        <f t="shared" si="2998"/>
        <v/>
      </c>
      <c r="AG249" s="23" t="str">
        <f t="shared" si="2998"/>
        <v/>
      </c>
      <c r="AH249" s="23" t="str">
        <f t="shared" si="2998"/>
        <v/>
      </c>
      <c r="AI249" s="23" t="str">
        <f t="shared" si="2998"/>
        <v/>
      </c>
      <c r="AJ249" s="23" t="str">
        <f t="shared" si="2998"/>
        <v/>
      </c>
      <c r="AK249" s="23" t="str">
        <f t="shared" si="2998"/>
        <v/>
      </c>
      <c r="AL249" s="23" t="str">
        <f t="shared" si="2998"/>
        <v/>
      </c>
      <c r="AM249" s="23" t="str">
        <f t="shared" si="2998"/>
        <v/>
      </c>
      <c r="AN249" s="23" t="str">
        <f t="shared" ref="AN249:AS249" si="2999">IF(AN$8="","",IF(AN248=0,"",AN248/(AN245*100)))</f>
        <v/>
      </c>
      <c r="AO249" s="23" t="str">
        <f t="shared" si="2999"/>
        <v/>
      </c>
      <c r="AP249" s="23" t="str">
        <f t="shared" si="2999"/>
        <v/>
      </c>
      <c r="AQ249" s="23" t="str">
        <f t="shared" si="2999"/>
        <v/>
      </c>
      <c r="AR249" s="23" t="str">
        <f t="shared" si="2999"/>
        <v/>
      </c>
      <c r="AS249" s="23" t="str">
        <f t="shared" si="2999"/>
        <v/>
      </c>
    </row>
  </sheetData>
  <phoneticPr fontId="2"/>
  <conditionalFormatting sqref="A19">
    <cfRule type="cellIs" dxfId="33" priority="13" operator="greaterThan">
      <formula>0.25</formula>
    </cfRule>
  </conditionalFormatting>
  <conditionalFormatting sqref="A31">
    <cfRule type="cellIs" dxfId="32" priority="12" operator="greaterThan">
      <formula>0.25</formula>
    </cfRule>
  </conditionalFormatting>
  <conditionalFormatting sqref="A43">
    <cfRule type="cellIs" dxfId="31" priority="11" operator="greaterThan">
      <formula>0.25</formula>
    </cfRule>
  </conditionalFormatting>
  <conditionalFormatting sqref="A55">
    <cfRule type="cellIs" dxfId="30" priority="10" operator="greaterThan">
      <formula>0.25</formula>
    </cfRule>
  </conditionalFormatting>
  <conditionalFormatting sqref="A67">
    <cfRule type="cellIs" dxfId="29" priority="9" operator="greaterThan">
      <formula>0.25</formula>
    </cfRule>
  </conditionalFormatting>
  <conditionalFormatting sqref="A79">
    <cfRule type="cellIs" dxfId="28" priority="14" operator="greaterThan">
      <formula>0.25</formula>
    </cfRule>
  </conditionalFormatting>
  <conditionalFormatting sqref="A91">
    <cfRule type="cellIs" dxfId="27" priority="15" operator="greaterThan">
      <formula>0.25</formula>
    </cfRule>
  </conditionalFormatting>
  <conditionalFormatting sqref="A103">
    <cfRule type="cellIs" dxfId="26" priority="16" operator="greaterThan">
      <formula>0.25</formula>
    </cfRule>
  </conditionalFormatting>
  <conditionalFormatting sqref="A115">
    <cfRule type="cellIs" dxfId="25" priority="17" operator="greaterThan">
      <formula>0.25</formula>
    </cfRule>
  </conditionalFormatting>
  <conditionalFormatting sqref="A127">
    <cfRule type="cellIs" dxfId="24" priority="18" operator="greaterThan">
      <formula>0.25</formula>
    </cfRule>
  </conditionalFormatting>
  <conditionalFormatting sqref="A139">
    <cfRule type="cellIs" dxfId="23" priority="19" operator="greaterThan">
      <formula>0.25</formula>
    </cfRule>
  </conditionalFormatting>
  <conditionalFormatting sqref="A151">
    <cfRule type="cellIs" dxfId="22" priority="1" operator="greaterThan">
      <formula>0.25</formula>
    </cfRule>
  </conditionalFormatting>
  <conditionalFormatting sqref="A163">
    <cfRule type="cellIs" dxfId="21" priority="3" operator="greaterThan">
      <formula>0.25</formula>
    </cfRule>
  </conditionalFormatting>
  <conditionalFormatting sqref="A175">
    <cfRule type="cellIs" dxfId="20" priority="4" operator="greaterThan">
      <formula>0.25</formula>
    </cfRule>
  </conditionalFormatting>
  <conditionalFormatting sqref="A187">
    <cfRule type="cellIs" dxfId="19" priority="5" operator="greaterThan">
      <formula>0.25</formula>
    </cfRule>
  </conditionalFormatting>
  <conditionalFormatting sqref="A199">
    <cfRule type="cellIs" dxfId="18" priority="2" operator="greaterThan">
      <formula>0.25</formula>
    </cfRule>
  </conditionalFormatting>
  <conditionalFormatting sqref="A211">
    <cfRule type="cellIs" dxfId="17" priority="6" operator="greaterThan">
      <formula>0.25</formula>
    </cfRule>
  </conditionalFormatting>
  <conditionalFormatting sqref="A223">
    <cfRule type="cellIs" dxfId="16" priority="7" operator="greaterThan">
      <formula>0.25</formula>
    </cfRule>
  </conditionalFormatting>
  <conditionalFormatting sqref="A235 A249">
    <cfRule type="cellIs" dxfId="15" priority="8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CDFE-1BC4-41CF-9EB9-3B708CDB8D27}">
  <dimension ref="A1:AS116"/>
  <sheetViews>
    <sheetView zoomScaleNormal="60" zoomScaleSheetLayoutView="100" workbookViewId="0">
      <pane xSplit="2" ySplit="2" topLeftCell="M15" activePane="bottomRight" state="frozen"/>
      <selection pane="bottomLeft" activeCell="A3" sqref="A3"/>
      <selection pane="topRight" activeCell="C1" sqref="C1"/>
      <selection pane="bottomRight" activeCell="V1" sqref="V1:V1048576"/>
    </sheetView>
  </sheetViews>
  <sheetFormatPr defaultColWidth="8.875" defaultRowHeight="15" x14ac:dyDescent="0.2"/>
  <cols>
    <col min="3" max="45" width="9.14453125" bestFit="1" customWidth="1"/>
  </cols>
  <sheetData>
    <row r="1" spans="1:45" s="84" customFormat="1" ht="11.25" x14ac:dyDescent="0.15">
      <c r="A1" s="349">
        <f>SUM(A62,A74,A86,A98,A14,A26,A38,A50,A110)</f>
        <v>323500</v>
      </c>
      <c r="B1" s="47" t="s">
        <v>0</v>
      </c>
      <c r="C1" s="46">
        <v>46156</v>
      </c>
      <c r="D1" s="46">
        <v>46157</v>
      </c>
      <c r="E1" s="46">
        <v>46158</v>
      </c>
      <c r="F1" s="46">
        <v>46159</v>
      </c>
      <c r="G1" s="46">
        <v>46160</v>
      </c>
      <c r="H1" s="46">
        <v>46161</v>
      </c>
      <c r="I1" s="46">
        <v>46162</v>
      </c>
      <c r="J1" s="46">
        <v>46163</v>
      </c>
      <c r="K1" s="46">
        <v>46164</v>
      </c>
      <c r="L1" s="46">
        <f t="shared" ref="L1" si="0">K1+1</f>
        <v>46165</v>
      </c>
      <c r="M1" s="46">
        <f t="shared" ref="M1" si="1">L1+1</f>
        <v>46166</v>
      </c>
      <c r="N1" s="46">
        <f t="shared" ref="N1" si="2">M1+1</f>
        <v>46167</v>
      </c>
      <c r="O1" s="46">
        <f t="shared" ref="O1" si="3">N1+1</f>
        <v>46168</v>
      </c>
      <c r="P1" s="46">
        <f t="shared" ref="P1" si="4">O1+1</f>
        <v>46169</v>
      </c>
      <c r="Q1" s="46">
        <f t="shared" ref="Q1" si="5">P1+1</f>
        <v>46170</v>
      </c>
      <c r="R1" s="46">
        <f t="shared" ref="R1" si="6">Q1+1</f>
        <v>46171</v>
      </c>
      <c r="S1" s="46">
        <f t="shared" ref="S1" si="7">R1+1</f>
        <v>46172</v>
      </c>
      <c r="T1" s="46">
        <f t="shared" ref="T1" si="8">S1+1</f>
        <v>46173</v>
      </c>
      <c r="U1" s="46">
        <f t="shared" ref="U1" si="9">T1+1</f>
        <v>46174</v>
      </c>
      <c r="V1" s="46">
        <f t="shared" ref="V1" si="10">U1+1</f>
        <v>46175</v>
      </c>
      <c r="W1" s="46">
        <f t="shared" ref="W1" si="11">V1+1</f>
        <v>46176</v>
      </c>
      <c r="X1" s="46">
        <f t="shared" ref="X1" si="12">W1+1</f>
        <v>46177</v>
      </c>
      <c r="Y1" s="46">
        <f t="shared" ref="Y1" si="13">X1+1</f>
        <v>46178</v>
      </c>
      <c r="Z1" s="46">
        <f t="shared" ref="Z1" si="14">Y1+1</f>
        <v>46179</v>
      </c>
      <c r="AA1" s="46">
        <f t="shared" ref="AA1" si="15">Z1+1</f>
        <v>46180</v>
      </c>
      <c r="AB1" s="46">
        <f t="shared" ref="AB1" si="16">AA1+1</f>
        <v>46181</v>
      </c>
      <c r="AC1" s="46">
        <f t="shared" ref="AC1" si="17">AB1+1</f>
        <v>46182</v>
      </c>
      <c r="AD1" s="46">
        <f t="shared" ref="AD1" si="18">AC1+1</f>
        <v>46183</v>
      </c>
      <c r="AE1" s="46">
        <f t="shared" ref="AE1" si="19">AD1+1</f>
        <v>46184</v>
      </c>
      <c r="AF1" s="46">
        <f t="shared" ref="AF1" si="20">AE1+1</f>
        <v>46185</v>
      </c>
      <c r="AG1" s="46">
        <f t="shared" ref="AG1" si="21">AF1+1</f>
        <v>46186</v>
      </c>
      <c r="AH1" s="46">
        <f t="shared" ref="AH1" si="22">AG1+1</f>
        <v>46187</v>
      </c>
      <c r="AI1" s="46">
        <f t="shared" ref="AI1" si="23">AH1+1</f>
        <v>46188</v>
      </c>
      <c r="AJ1" s="46">
        <f t="shared" ref="AJ1" si="24">AI1+1</f>
        <v>46189</v>
      </c>
      <c r="AK1" s="46">
        <f t="shared" ref="AK1" si="25">AJ1+1</f>
        <v>46190</v>
      </c>
      <c r="AL1" s="46">
        <f t="shared" ref="AL1" si="26">AK1+1</f>
        <v>46191</v>
      </c>
      <c r="AM1" s="46">
        <f t="shared" ref="AM1:AN1" si="27">AL1+1</f>
        <v>46192</v>
      </c>
      <c r="AN1" s="46">
        <f t="shared" si="27"/>
        <v>46193</v>
      </c>
      <c r="AO1" s="46">
        <f t="shared" ref="AO1:AS1" si="28">AN1+1</f>
        <v>46194</v>
      </c>
      <c r="AP1" s="46">
        <f t="shared" si="28"/>
        <v>46195</v>
      </c>
      <c r="AQ1" s="46">
        <f t="shared" si="28"/>
        <v>46196</v>
      </c>
      <c r="AR1" s="46">
        <f t="shared" si="28"/>
        <v>46197</v>
      </c>
      <c r="AS1" s="46">
        <f t="shared" si="28"/>
        <v>46198</v>
      </c>
    </row>
    <row r="2" spans="1:45" s="84" customFormat="1" ht="11.25" x14ac:dyDescent="0.15">
      <c r="A2" s="45"/>
      <c r="B2" s="44">
        <f>SUM(C2:AO2)</f>
        <v>1294</v>
      </c>
      <c r="C2" s="43">
        <v>0</v>
      </c>
      <c r="D2" s="43">
        <v>0</v>
      </c>
      <c r="E2" s="43">
        <v>0</v>
      </c>
      <c r="F2" s="43">
        <v>0</v>
      </c>
      <c r="G2" s="43">
        <v>706</v>
      </c>
      <c r="H2" s="43">
        <v>0</v>
      </c>
      <c r="I2" s="43">
        <v>0</v>
      </c>
      <c r="J2" s="43">
        <v>0</v>
      </c>
      <c r="K2" s="43">
        <v>255</v>
      </c>
      <c r="L2" s="43">
        <f t="shared" ref="J2:AL2" si="29">SUM(L15,L27,L39,L51,L63,L75,L87,L99,L111)</f>
        <v>0</v>
      </c>
      <c r="M2" s="43">
        <f t="shared" si="29"/>
        <v>0</v>
      </c>
      <c r="N2" s="43">
        <f t="shared" si="29"/>
        <v>333</v>
      </c>
      <c r="O2" s="43">
        <f t="shared" si="29"/>
        <v>0</v>
      </c>
      <c r="P2" s="43">
        <f t="shared" si="29"/>
        <v>0</v>
      </c>
      <c r="Q2" s="43">
        <f t="shared" si="29"/>
        <v>0</v>
      </c>
      <c r="R2" s="43">
        <f t="shared" si="29"/>
        <v>0</v>
      </c>
      <c r="S2" s="43">
        <f t="shared" si="29"/>
        <v>0</v>
      </c>
      <c r="T2" s="43">
        <f t="shared" si="29"/>
        <v>0</v>
      </c>
      <c r="U2" s="43">
        <f t="shared" si="29"/>
        <v>0</v>
      </c>
      <c r="V2" s="43">
        <f t="shared" si="29"/>
        <v>0</v>
      </c>
      <c r="W2" s="43">
        <f t="shared" si="29"/>
        <v>0</v>
      </c>
      <c r="X2" s="43">
        <f t="shared" si="29"/>
        <v>0</v>
      </c>
      <c r="Y2" s="43">
        <f t="shared" si="29"/>
        <v>0</v>
      </c>
      <c r="Z2" s="43">
        <f t="shared" si="29"/>
        <v>0</v>
      </c>
      <c r="AA2" s="43">
        <f t="shared" si="29"/>
        <v>0</v>
      </c>
      <c r="AB2" s="43">
        <f t="shared" si="29"/>
        <v>0</v>
      </c>
      <c r="AC2" s="43">
        <f t="shared" si="29"/>
        <v>0</v>
      </c>
      <c r="AD2" s="43">
        <f t="shared" si="29"/>
        <v>0</v>
      </c>
      <c r="AE2" s="43">
        <f t="shared" si="29"/>
        <v>0</v>
      </c>
      <c r="AF2" s="43">
        <f t="shared" si="29"/>
        <v>0</v>
      </c>
      <c r="AG2" s="43">
        <f t="shared" si="29"/>
        <v>0</v>
      </c>
      <c r="AH2" s="43">
        <f t="shared" si="29"/>
        <v>0</v>
      </c>
      <c r="AI2" s="43">
        <f t="shared" si="29"/>
        <v>0</v>
      </c>
      <c r="AJ2" s="43">
        <f t="shared" si="29"/>
        <v>0</v>
      </c>
      <c r="AK2" s="43">
        <f t="shared" si="29"/>
        <v>0</v>
      </c>
      <c r="AL2" s="43">
        <f t="shared" si="29"/>
        <v>0</v>
      </c>
      <c r="AM2" s="43">
        <f t="shared" ref="AM2:AN2" si="30">SUM(AM15,AM27,AM39,AM51,AM63,AM75,AM87,AM99,AM111)</f>
        <v>0</v>
      </c>
      <c r="AN2" s="43">
        <f t="shared" si="30"/>
        <v>0</v>
      </c>
      <c r="AO2" s="43">
        <f t="shared" ref="AO2:AS2" si="31">SUM(AO15,AO27,AO39,AO51,AO63,AO75,AO87,AO99,AO111)</f>
        <v>0</v>
      </c>
      <c r="AP2" s="43">
        <f t="shared" si="31"/>
        <v>0</v>
      </c>
      <c r="AQ2" s="43">
        <f t="shared" si="31"/>
        <v>0</v>
      </c>
      <c r="AR2" s="43">
        <f t="shared" si="31"/>
        <v>0</v>
      </c>
      <c r="AS2" s="43">
        <f t="shared" si="31"/>
        <v>0</v>
      </c>
    </row>
    <row r="3" spans="1:45" s="388" customFormat="1" ht="9.9499999999999993" customHeight="1" x14ac:dyDescent="0.15">
      <c r="A3" s="385" t="s">
        <v>342</v>
      </c>
      <c r="B3" s="386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7"/>
      <c r="AJ3" s="387"/>
      <c r="AK3" s="387"/>
      <c r="AL3" s="387"/>
      <c r="AM3" s="387"/>
      <c r="AN3" s="387"/>
      <c r="AO3" s="387"/>
      <c r="AP3" s="387"/>
      <c r="AQ3" s="387"/>
      <c r="AR3" s="387"/>
      <c r="AS3" s="387"/>
    </row>
    <row r="4" spans="1:45" s="388" customFormat="1" ht="11.25" x14ac:dyDescent="0.15">
      <c r="A4" s="385" t="s">
        <v>343</v>
      </c>
      <c r="B4" s="386"/>
      <c r="C4" s="387"/>
      <c r="D4" s="387"/>
      <c r="E4" s="387"/>
      <c r="F4" s="387"/>
      <c r="G4" s="387"/>
      <c r="H4" s="387"/>
      <c r="I4" s="387"/>
      <c r="J4" s="387"/>
      <c r="K4" s="387"/>
      <c r="L4" s="387"/>
      <c r="M4" s="387"/>
      <c r="N4" s="387"/>
      <c r="O4" s="387"/>
      <c r="P4" s="387"/>
      <c r="Q4" s="387"/>
      <c r="R4" s="387"/>
      <c r="S4" s="387"/>
      <c r="T4" s="387"/>
      <c r="U4" s="387"/>
      <c r="V4" s="387"/>
      <c r="W4" s="387"/>
      <c r="X4" s="387"/>
      <c r="Y4" s="387"/>
      <c r="Z4" s="387"/>
      <c r="AA4" s="387"/>
      <c r="AB4" s="387"/>
      <c r="AC4" s="387"/>
      <c r="AD4" s="387"/>
      <c r="AE4" s="387"/>
      <c r="AF4" s="387"/>
      <c r="AG4" s="387"/>
      <c r="AH4" s="387"/>
      <c r="AI4" s="387"/>
      <c r="AJ4" s="387"/>
      <c r="AK4" s="387"/>
      <c r="AL4" s="387"/>
      <c r="AM4" s="387"/>
      <c r="AN4" s="387"/>
      <c r="AO4" s="387"/>
      <c r="AP4" s="387"/>
      <c r="AQ4" s="387"/>
      <c r="AR4" s="387"/>
      <c r="AS4" s="387"/>
    </row>
    <row r="5" spans="1:45" s="388" customFormat="1" ht="11.25" x14ac:dyDescent="0.15">
      <c r="A5" s="385" t="s">
        <v>344</v>
      </c>
      <c r="B5" s="386"/>
      <c r="C5" s="387"/>
      <c r="D5" s="387"/>
      <c r="E5" s="387"/>
      <c r="F5" s="387"/>
      <c r="G5" s="387">
        <v>1395</v>
      </c>
      <c r="H5" s="387"/>
      <c r="I5" s="387"/>
      <c r="J5" s="387"/>
      <c r="K5" s="387">
        <v>2875</v>
      </c>
      <c r="L5" s="387"/>
      <c r="M5" s="387"/>
      <c r="N5" s="387">
        <v>3785</v>
      </c>
      <c r="O5" s="387"/>
      <c r="P5" s="387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  <c r="AK5" s="387"/>
      <c r="AL5" s="387"/>
      <c r="AM5" s="387"/>
      <c r="AN5" s="387"/>
      <c r="AO5" s="387"/>
      <c r="AP5" s="387"/>
      <c r="AQ5" s="387"/>
      <c r="AR5" s="387"/>
      <c r="AS5" s="387"/>
    </row>
    <row r="6" spans="1:45" s="388" customFormat="1" ht="11.25" x14ac:dyDescent="0.15">
      <c r="A6" s="385" t="s">
        <v>345</v>
      </c>
      <c r="B6" s="386"/>
      <c r="C6" s="387"/>
      <c r="D6" s="387"/>
      <c r="E6" s="387"/>
      <c r="F6" s="387"/>
      <c r="G6" s="387">
        <v>95</v>
      </c>
      <c r="H6" s="387"/>
      <c r="I6" s="387"/>
      <c r="J6" s="387"/>
      <c r="K6" s="387">
        <v>209</v>
      </c>
      <c r="L6" s="387"/>
      <c r="M6" s="387"/>
      <c r="N6" s="387">
        <v>279</v>
      </c>
      <c r="O6" s="387"/>
      <c r="P6" s="387"/>
      <c r="Q6" s="387"/>
      <c r="R6" s="387"/>
      <c r="S6" s="387"/>
      <c r="T6" s="387"/>
      <c r="U6" s="387"/>
      <c r="V6" s="387"/>
      <c r="W6" s="387"/>
      <c r="X6" s="387"/>
      <c r="Y6" s="387"/>
      <c r="Z6" s="387"/>
      <c r="AA6" s="387"/>
      <c r="AB6" s="387"/>
      <c r="AC6" s="387"/>
      <c r="AD6" s="387"/>
      <c r="AE6" s="387"/>
      <c r="AF6" s="387"/>
      <c r="AG6" s="387"/>
      <c r="AH6" s="387"/>
      <c r="AI6" s="387"/>
      <c r="AJ6" s="387"/>
      <c r="AK6" s="387"/>
      <c r="AL6" s="387"/>
      <c r="AM6" s="387"/>
      <c r="AN6" s="387"/>
      <c r="AO6" s="387"/>
      <c r="AP6" s="387"/>
      <c r="AQ6" s="387"/>
      <c r="AR6" s="387"/>
      <c r="AS6" s="387"/>
    </row>
    <row r="7" spans="1:45" s="388" customFormat="1" ht="12" thickBot="1" x14ac:dyDescent="0.2">
      <c r="A7" s="385" t="s">
        <v>346</v>
      </c>
      <c r="B7" s="386"/>
      <c r="C7" s="387"/>
      <c r="D7" s="387"/>
      <c r="E7" s="387"/>
      <c r="F7" s="387"/>
      <c r="G7" s="387">
        <v>89</v>
      </c>
      <c r="H7" s="387"/>
      <c r="I7" s="387"/>
      <c r="J7" s="387"/>
      <c r="K7" s="387">
        <v>157</v>
      </c>
      <c r="L7" s="387"/>
      <c r="M7" s="387"/>
      <c r="N7" s="387">
        <v>199</v>
      </c>
      <c r="O7" s="387"/>
      <c r="P7" s="387"/>
      <c r="Q7" s="387"/>
      <c r="R7" s="387"/>
      <c r="S7" s="387"/>
      <c r="T7" s="387"/>
      <c r="U7" s="387"/>
      <c r="V7" s="387"/>
      <c r="W7" s="387"/>
      <c r="X7" s="387"/>
      <c r="Y7" s="387"/>
      <c r="Z7" s="387"/>
      <c r="AA7" s="387"/>
      <c r="AB7" s="387"/>
      <c r="AC7" s="387"/>
      <c r="AD7" s="387"/>
      <c r="AE7" s="387"/>
      <c r="AF7" s="387"/>
      <c r="AG7" s="387"/>
      <c r="AH7" s="387"/>
      <c r="AI7" s="387"/>
      <c r="AJ7" s="387"/>
      <c r="AK7" s="387"/>
      <c r="AL7" s="387"/>
      <c r="AM7" s="387"/>
      <c r="AN7" s="387"/>
      <c r="AO7" s="387"/>
      <c r="AP7" s="387"/>
      <c r="AQ7" s="387"/>
      <c r="AR7" s="387"/>
      <c r="AS7" s="387"/>
    </row>
    <row r="8" spans="1:45" s="84" customFormat="1" ht="11.25" x14ac:dyDescent="0.15">
      <c r="A8" s="22" t="s">
        <v>94</v>
      </c>
      <c r="B8" s="21" t="s">
        <v>2</v>
      </c>
      <c r="C8" s="20">
        <v>1086</v>
      </c>
      <c r="D8" s="20">
        <v>1086</v>
      </c>
      <c r="E8" s="20">
        <v>1086</v>
      </c>
      <c r="F8" s="20">
        <v>1086</v>
      </c>
      <c r="G8" s="20">
        <v>1209</v>
      </c>
      <c r="H8" s="20">
        <v>1209</v>
      </c>
      <c r="I8" s="20">
        <v>1209</v>
      </c>
      <c r="J8" s="20">
        <v>1209</v>
      </c>
      <c r="K8" s="20">
        <v>1238</v>
      </c>
      <c r="L8" s="20">
        <v>1238</v>
      </c>
      <c r="M8" s="20">
        <v>1238</v>
      </c>
      <c r="N8" s="20">
        <v>1323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</row>
    <row r="9" spans="1:45" s="84" customFormat="1" ht="11.25" x14ac:dyDescent="0.15">
      <c r="A9" s="16" t="s">
        <v>95</v>
      </c>
      <c r="B9" s="9" t="s">
        <v>4</v>
      </c>
      <c r="C9" s="8">
        <v>40</v>
      </c>
      <c r="D9" s="8">
        <v>40</v>
      </c>
      <c r="E9" s="8">
        <v>40</v>
      </c>
      <c r="F9" s="8">
        <v>40</v>
      </c>
      <c r="G9" s="8">
        <v>44</v>
      </c>
      <c r="H9" s="8">
        <v>44</v>
      </c>
      <c r="I9" s="8">
        <v>44</v>
      </c>
      <c r="J9" s="8">
        <v>44</v>
      </c>
      <c r="K9" s="8">
        <v>44</v>
      </c>
      <c r="L9" s="8">
        <f t="shared" ref="L9" si="32">IF(L$8="","",K9)</f>
        <v>44</v>
      </c>
      <c r="M9" s="8">
        <f t="shared" ref="M9" si="33">IF(M$8="","",L9)</f>
        <v>44</v>
      </c>
      <c r="N9" s="8">
        <v>46</v>
      </c>
      <c r="O9" s="8" t="str">
        <f>IF(O$8="","",N9)</f>
        <v/>
      </c>
      <c r="P9" s="8" t="str">
        <f>IF(P$8="","",O9)</f>
        <v/>
      </c>
      <c r="Q9" s="8" t="str">
        <f t="shared" ref="Q9" si="34">IF(Q$8="","",P9)</f>
        <v/>
      </c>
      <c r="R9" s="8" t="str">
        <f t="shared" ref="R9" si="35">IF(R$8="","",Q9)</f>
        <v/>
      </c>
      <c r="S9" s="8" t="str">
        <f>IF(S$8="","",R9)</f>
        <v/>
      </c>
      <c r="T9" s="8" t="str">
        <f t="shared" ref="T9" si="36">IF(T$8="","",S9)</f>
        <v/>
      </c>
      <c r="U9" s="8" t="str">
        <f t="shared" ref="U9" si="37">IF(U$8="","",T9)</f>
        <v/>
      </c>
      <c r="V9" s="8" t="str">
        <f>IF(V$8="","",U9)</f>
        <v/>
      </c>
      <c r="W9" s="8" t="str">
        <f t="shared" ref="W9" si="38">IF(W$8="","",V9)</f>
        <v/>
      </c>
      <c r="X9" s="8" t="str">
        <f t="shared" ref="X9" si="39">IF(X$8="","",W9)</f>
        <v/>
      </c>
      <c r="Y9" s="8" t="str">
        <f t="shared" ref="Y9" si="40">IF(Y$8="","",X9)</f>
        <v/>
      </c>
      <c r="Z9" s="8" t="str">
        <f>IF(Z$8="","",Y9)</f>
        <v/>
      </c>
      <c r="AA9" s="8" t="str">
        <f t="shared" ref="AA9" si="41">IF(AA$8="","",Z9)</f>
        <v/>
      </c>
      <c r="AB9" s="8" t="str">
        <f t="shared" ref="AB9" si="42">IF(AB$8="","",AA9)</f>
        <v/>
      </c>
      <c r="AC9" s="8" t="str">
        <f t="shared" ref="AC9" si="43">IF(AC$8="","",AB9)</f>
        <v/>
      </c>
      <c r="AD9" s="8" t="str">
        <f t="shared" ref="AD9" si="44">IF(AD$8="","",AC9)</f>
        <v/>
      </c>
      <c r="AE9" s="8" t="str">
        <f>IF(AE$8="","",AD9)</f>
        <v/>
      </c>
      <c r="AF9" s="8" t="str">
        <f t="shared" ref="AF9" si="45">IF(AF$8="","",AE9)</f>
        <v/>
      </c>
      <c r="AG9" s="8" t="str">
        <f>IF(AG$8="","",AF9)</f>
        <v/>
      </c>
      <c r="AH9" s="8" t="str">
        <f t="shared" ref="AH9" si="46">IF(AH$8="","",AG9)</f>
        <v/>
      </c>
      <c r="AI9" s="8" t="str">
        <f t="shared" ref="AI9" si="47">IF(AI$8="","",AH9)</f>
        <v/>
      </c>
      <c r="AJ9" s="8" t="str">
        <f>IF(AJ$8="","",AI9)</f>
        <v/>
      </c>
      <c r="AK9" s="8" t="str">
        <f t="shared" ref="AK9" si="48">IF(AK$8="","",AJ9)</f>
        <v/>
      </c>
      <c r="AL9" s="8" t="str">
        <f t="shared" ref="AL9" si="49">IF(AL$8="","",AK9)</f>
        <v/>
      </c>
      <c r="AM9" s="8" t="str">
        <f t="shared" ref="AM9:AO9" si="50">IF(AM$8="","",AL9)</f>
        <v/>
      </c>
      <c r="AN9" s="8" t="str">
        <f t="shared" si="50"/>
        <v/>
      </c>
      <c r="AO9" s="8" t="str">
        <f t="shared" si="50"/>
        <v/>
      </c>
      <c r="AP9" s="8" t="str">
        <f>IF(天文館!AP$8="","",AO9)</f>
        <v/>
      </c>
      <c r="AQ9" s="8" t="str">
        <f>IF(天文館!AQ$8="","",AP9)</f>
        <v/>
      </c>
      <c r="AR9" s="8" t="str">
        <f>IF(天文館!AR$8="","",AQ9)</f>
        <v/>
      </c>
      <c r="AS9" s="8" t="str">
        <f>IF(天文館!AS$8="","",AR9)</f>
        <v/>
      </c>
    </row>
    <row r="10" spans="1:45" s="84" customFormat="1" ht="11.25" x14ac:dyDescent="0.15">
      <c r="A10" s="15">
        <v>1</v>
      </c>
      <c r="B10" s="9" t="s">
        <v>5</v>
      </c>
      <c r="C10" s="8">
        <v>32</v>
      </c>
      <c r="D10" s="8">
        <v>32</v>
      </c>
      <c r="E10" s="8">
        <v>32</v>
      </c>
      <c r="F10" s="8">
        <v>32</v>
      </c>
      <c r="G10" s="8">
        <v>28</v>
      </c>
      <c r="H10" s="8">
        <v>28</v>
      </c>
      <c r="I10" s="8">
        <v>28</v>
      </c>
      <c r="J10" s="8">
        <v>28</v>
      </c>
      <c r="K10" s="8">
        <v>28</v>
      </c>
      <c r="L10" s="8">
        <f t="shared" ref="L10" si="51">IF(L8="","",(K10+K11))</f>
        <v>28</v>
      </c>
      <c r="M10" s="8">
        <f t="shared" ref="M10" si="52">IF(M8="","",(L10+L11))</f>
        <v>28</v>
      </c>
      <c r="N10" s="8">
        <v>26</v>
      </c>
      <c r="O10" s="8" t="str">
        <f>IF(O8="","",(N10+N11))</f>
        <v/>
      </c>
      <c r="P10" s="8" t="str">
        <f>IF(P8="","",(O10+O11))</f>
        <v/>
      </c>
      <c r="Q10" s="8" t="str">
        <f t="shared" ref="Q10" si="53">IF(Q8="","",(P10+P11))</f>
        <v/>
      </c>
      <c r="R10" s="8" t="str">
        <f t="shared" ref="R10" si="54">IF(R8="","",(Q10+Q11))</f>
        <v/>
      </c>
      <c r="S10" s="8" t="str">
        <f>IF(S8="","",(R10+R11))</f>
        <v/>
      </c>
      <c r="T10" s="8" t="str">
        <f t="shared" ref="T10" si="55">IF(T8="","",(S10+S11))</f>
        <v/>
      </c>
      <c r="U10" s="8" t="str">
        <f t="shared" ref="U10" si="56">IF(U8="","",(T10+T11))</f>
        <v/>
      </c>
      <c r="V10" s="8" t="str">
        <f>IF(V8="","",(U10+U11))</f>
        <v/>
      </c>
      <c r="W10" s="8" t="str">
        <f t="shared" ref="W10" si="57">IF(W8="","",(V10+V11))</f>
        <v/>
      </c>
      <c r="X10" s="8" t="str">
        <f t="shared" ref="X10" si="58">IF(X8="","",(W10+W11))</f>
        <v/>
      </c>
      <c r="Y10" s="8" t="str">
        <f t="shared" ref="Y10" si="59">IF(Y8="","",(X10+X11))</f>
        <v/>
      </c>
      <c r="Z10" s="8" t="str">
        <f>IF(Z8="","",(Y10+Y11))</f>
        <v/>
      </c>
      <c r="AA10" s="8" t="str">
        <f t="shared" ref="AA10" si="60">IF(AA8="","",(Z10+Z11))</f>
        <v/>
      </c>
      <c r="AB10" s="8" t="str">
        <f t="shared" ref="AB10" si="61">IF(AB8="","",(AA10+AA11))</f>
        <v/>
      </c>
      <c r="AC10" s="8" t="str">
        <f t="shared" ref="AC10" si="62">IF(AC8="","",(AB10+AB11))</f>
        <v/>
      </c>
      <c r="AD10" s="8" t="str">
        <f t="shared" ref="AD10" si="63">IF(AD8="","",(AC10+AC11))</f>
        <v/>
      </c>
      <c r="AE10" s="8" t="str">
        <f>IF(AE8="","",(AD10+AD11))</f>
        <v/>
      </c>
      <c r="AF10" s="8" t="str">
        <f t="shared" ref="AF10" si="64">IF(AF8="","",(AE10+AE11))</f>
        <v/>
      </c>
      <c r="AG10" s="8" t="str">
        <f>IF(AG8="","",(AF10+AF11))</f>
        <v/>
      </c>
      <c r="AH10" s="8" t="str">
        <f t="shared" ref="AH10" si="65">IF(AH8="","",(AG10+AG11))</f>
        <v/>
      </c>
      <c r="AI10" s="8" t="str">
        <f t="shared" ref="AI10" si="66">IF(AI8="","",(AH10+AH11))</f>
        <v/>
      </c>
      <c r="AJ10" s="8" t="str">
        <f>IF(AJ8="","",(AI10+AI11))</f>
        <v/>
      </c>
      <c r="AK10" s="8" t="str">
        <f t="shared" ref="AK10" si="67">IF(AK8="","",(AJ10+AJ11))</f>
        <v/>
      </c>
      <c r="AL10" s="8" t="str">
        <f t="shared" ref="AL10" si="68">IF(AL8="","",(AK10+AK11))</f>
        <v/>
      </c>
      <c r="AM10" s="8" t="str">
        <f t="shared" ref="AM10:AN10" si="69">IF(AM8="","",(AL10+AL11))</f>
        <v/>
      </c>
      <c r="AN10" s="8" t="str">
        <f t="shared" si="69"/>
        <v/>
      </c>
      <c r="AO10" s="8" t="str">
        <f t="shared" ref="AO10:AS10" si="70">IF(AO8="","",(AN10+AN11))</f>
        <v/>
      </c>
      <c r="AP10" s="8" t="str">
        <f t="shared" si="70"/>
        <v/>
      </c>
      <c r="AQ10" s="8" t="str">
        <f t="shared" si="70"/>
        <v/>
      </c>
      <c r="AR10" s="8" t="str">
        <f t="shared" si="70"/>
        <v/>
      </c>
      <c r="AS10" s="8" t="str">
        <f t="shared" si="70"/>
        <v/>
      </c>
    </row>
    <row r="11" spans="1:45" s="84" customFormat="1" ht="11.25" x14ac:dyDescent="0.15">
      <c r="A11" s="92" t="s">
        <v>6</v>
      </c>
      <c r="B11" s="9" t="s">
        <v>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</row>
    <row r="12" spans="1:45" s="84" customFormat="1" ht="11.25" x14ac:dyDescent="0.15">
      <c r="A12" s="93">
        <f>+(A15+A27+A39+A51)*100</f>
        <v>60700</v>
      </c>
      <c r="B12" s="9" t="s">
        <v>8</v>
      </c>
      <c r="C12" s="8">
        <v>900</v>
      </c>
      <c r="D12" s="8">
        <v>900</v>
      </c>
      <c r="E12" s="8">
        <v>900</v>
      </c>
      <c r="F12" s="8">
        <v>900</v>
      </c>
      <c r="G12" s="8">
        <v>900</v>
      </c>
      <c r="H12" s="8">
        <v>900</v>
      </c>
      <c r="I12" s="8">
        <v>900</v>
      </c>
      <c r="J12" s="8">
        <v>900</v>
      </c>
      <c r="K12" s="8">
        <v>900</v>
      </c>
      <c r="L12" s="8">
        <f t="shared" ref="L12" si="71">IF(L8="","",K12)</f>
        <v>900</v>
      </c>
      <c r="M12" s="8">
        <f t="shared" ref="M12" si="72">IF(M8="","",L12)</f>
        <v>900</v>
      </c>
      <c r="N12" s="8">
        <f t="shared" ref="N12" si="73">IF(N8="","",M12)</f>
        <v>900</v>
      </c>
      <c r="O12" s="8" t="str">
        <f t="shared" ref="O12" si="74">IF(O8="","",N12)</f>
        <v/>
      </c>
      <c r="P12" s="8" t="str">
        <f t="shared" ref="P12" si="75">IF(P8="","",O12)</f>
        <v/>
      </c>
      <c r="Q12" s="8" t="str">
        <f t="shared" ref="Q12" si="76">IF(Q8="","",P12)</f>
        <v/>
      </c>
      <c r="R12" s="8" t="str">
        <f t="shared" ref="R12" si="77">IF(R8="","",Q12)</f>
        <v/>
      </c>
      <c r="S12" s="8" t="str">
        <f t="shared" ref="S12" si="78">IF(S8="","",R12)</f>
        <v/>
      </c>
      <c r="T12" s="8" t="str">
        <f t="shared" ref="T12" si="79">IF(T8="","",S12)</f>
        <v/>
      </c>
      <c r="U12" s="8" t="str">
        <f t="shared" ref="U12" si="80">IF(U8="","",T12)</f>
        <v/>
      </c>
      <c r="V12" s="8" t="str">
        <f t="shared" ref="V12" si="81">IF(V8="","",U12)</f>
        <v/>
      </c>
      <c r="W12" s="8" t="str">
        <f t="shared" ref="W12" si="82">IF(W8="","",V12)</f>
        <v/>
      </c>
      <c r="X12" s="8" t="str">
        <f t="shared" ref="X12" si="83">IF(X8="","",W12)</f>
        <v/>
      </c>
      <c r="Y12" s="8" t="str">
        <f t="shared" ref="Y12" si="84">IF(Y8="","",X12)</f>
        <v/>
      </c>
      <c r="Z12" s="8" t="str">
        <f t="shared" ref="Z12" si="85">IF(Z8="","",Y12)</f>
        <v/>
      </c>
      <c r="AA12" s="8" t="str">
        <f t="shared" ref="AA12" si="86">IF(AA8="","",Z12)</f>
        <v/>
      </c>
      <c r="AB12" s="8" t="str">
        <f t="shared" ref="AB12" si="87">IF(AB8="","",AA12)</f>
        <v/>
      </c>
      <c r="AC12" s="8" t="str">
        <f t="shared" ref="AC12" si="88">IF(AC8="","",AB12)</f>
        <v/>
      </c>
      <c r="AD12" s="8" t="str">
        <f t="shared" ref="AD12" si="89">IF(AD8="","",AC12)</f>
        <v/>
      </c>
      <c r="AE12" s="8" t="str">
        <f t="shared" ref="AE12" si="90">IF(AE8="","",AD12)</f>
        <v/>
      </c>
      <c r="AF12" s="8" t="str">
        <f t="shared" ref="AF12" si="91">IF(AF8="","",AE12)</f>
        <v/>
      </c>
      <c r="AG12" s="8" t="str">
        <f t="shared" ref="AG12" si="92">IF(AG8="","",AF12)</f>
        <v/>
      </c>
      <c r="AH12" s="8" t="str">
        <f t="shared" ref="AH12" si="93">IF(AH8="","",AG12)</f>
        <v/>
      </c>
      <c r="AI12" s="8" t="str">
        <f t="shared" ref="AI12" si="94">IF(AI8="","",AH12)</f>
        <v/>
      </c>
      <c r="AJ12" s="8" t="str">
        <f t="shared" ref="AJ12" si="95">IF(AJ8="","",AI12)</f>
        <v/>
      </c>
      <c r="AK12" s="8" t="str">
        <f t="shared" ref="AK12" si="96">IF(AK8="","",AJ12)</f>
        <v/>
      </c>
      <c r="AL12" s="8" t="str">
        <f t="shared" ref="AL12" si="97">IF(AL8="","",AK12)</f>
        <v/>
      </c>
      <c r="AM12" s="8" t="str">
        <f t="shared" ref="AM12:AN12" si="98">IF(AM8="","",AL12)</f>
        <v/>
      </c>
      <c r="AN12" s="8" t="str">
        <f t="shared" si="98"/>
        <v/>
      </c>
      <c r="AO12" s="8" t="str">
        <f t="shared" ref="AO12:AS12" si="99">IF(AO8="","",AN12)</f>
        <v/>
      </c>
      <c r="AP12" s="8" t="str">
        <f t="shared" si="99"/>
        <v/>
      </c>
      <c r="AQ12" s="8" t="str">
        <f t="shared" si="99"/>
        <v/>
      </c>
      <c r="AR12" s="8" t="str">
        <f t="shared" si="99"/>
        <v/>
      </c>
      <c r="AS12" s="8" t="str">
        <f t="shared" si="99"/>
        <v/>
      </c>
    </row>
    <row r="13" spans="1:45" s="85" customFormat="1" ht="11.25" x14ac:dyDescent="0.15">
      <c r="A13" s="14" t="s">
        <v>9</v>
      </c>
      <c r="B13" s="13" t="s">
        <v>10</v>
      </c>
      <c r="C13" s="12" t="s">
        <v>348</v>
      </c>
      <c r="D13" s="12" t="s">
        <v>348</v>
      </c>
      <c r="E13" s="12" t="s">
        <v>348</v>
      </c>
      <c r="F13" s="12" t="s">
        <v>348</v>
      </c>
      <c r="G13" s="12" t="s">
        <v>348</v>
      </c>
      <c r="H13" s="12" t="s">
        <v>348</v>
      </c>
      <c r="I13" s="12" t="s">
        <v>348</v>
      </c>
      <c r="J13" s="12" t="s">
        <v>348</v>
      </c>
      <c r="K13" s="12" t="s">
        <v>348</v>
      </c>
      <c r="L13" s="12" t="str">
        <f t="shared" ref="L13" si="100">IF(L8="","",K13)</f>
        <v>ベーカリースクイーズ</v>
      </c>
      <c r="M13" s="12" t="str">
        <f t="shared" ref="M13" si="101">IF(M8="","",L13)</f>
        <v>ベーカリースクイーズ</v>
      </c>
      <c r="N13" s="12" t="str">
        <f t="shared" ref="N13" si="102">IF(N8="","",M13)</f>
        <v>ベーカリースクイーズ</v>
      </c>
      <c r="O13" s="12" t="str">
        <f t="shared" ref="O13" si="103">IF(O8="","",N13)</f>
        <v/>
      </c>
      <c r="P13" s="12" t="str">
        <f t="shared" ref="P13" si="104">IF(P8="","",O13)</f>
        <v/>
      </c>
      <c r="Q13" s="12" t="str">
        <f t="shared" ref="Q13" si="105">IF(Q8="","",P13)</f>
        <v/>
      </c>
      <c r="R13" s="12" t="str">
        <f t="shared" ref="R13" si="106">IF(R8="","",Q13)</f>
        <v/>
      </c>
      <c r="S13" s="12" t="str">
        <f>IF(S8="","",R13)</f>
        <v/>
      </c>
      <c r="T13" s="12" t="str">
        <f t="shared" ref="T13" si="107">IF(T8="","",S13)</f>
        <v/>
      </c>
      <c r="U13" s="12" t="str">
        <f t="shared" ref="U13" si="108">IF(U8="","",T13)</f>
        <v/>
      </c>
      <c r="V13" s="12" t="str">
        <f t="shared" ref="V13" si="109">IF(V8="","",U13)</f>
        <v/>
      </c>
      <c r="W13" s="12" t="str">
        <f t="shared" ref="W13" si="110">IF(W8="","",V13)</f>
        <v/>
      </c>
      <c r="X13" s="12" t="str">
        <f t="shared" ref="X13" si="111">IF(X8="","",W13)</f>
        <v/>
      </c>
      <c r="Y13" s="12" t="str">
        <f t="shared" ref="Y13" si="112">IF(Y8="","",X13)</f>
        <v/>
      </c>
      <c r="Z13" s="12" t="str">
        <f t="shared" ref="Z13" si="113">IF(Z8="","",Y13)</f>
        <v/>
      </c>
      <c r="AA13" s="12" t="str">
        <f t="shared" ref="AA13" si="114">IF(AA8="","",Z13)</f>
        <v/>
      </c>
      <c r="AB13" s="12" t="str">
        <f t="shared" ref="AB13" si="115">IF(AB8="","",AA13)</f>
        <v/>
      </c>
      <c r="AC13" s="12" t="str">
        <f t="shared" ref="AC13" si="116">IF(AC8="","",AB13)</f>
        <v/>
      </c>
      <c r="AD13" s="12" t="str">
        <f>IF(AD8="","",AC13)</f>
        <v/>
      </c>
      <c r="AE13" s="12" t="str">
        <f t="shared" ref="AE13" si="117">IF(AE8="","",AD13)</f>
        <v/>
      </c>
      <c r="AF13" s="12" t="str">
        <f t="shared" ref="AF13" si="118">IF(AF8="","",AE13)</f>
        <v/>
      </c>
      <c r="AG13" s="12" t="str">
        <f t="shared" ref="AG13" si="119">IF(AG8="","",AF13)</f>
        <v/>
      </c>
      <c r="AH13" s="12" t="str">
        <f t="shared" ref="AH13" si="120">IF(AH8="","",AG13)</f>
        <v/>
      </c>
      <c r="AI13" s="12" t="str">
        <f t="shared" ref="AI13" si="121">IF(AI8="","",AH13)</f>
        <v/>
      </c>
      <c r="AJ13" s="12" t="str">
        <f t="shared" ref="AJ13" si="122">IF(AJ8="","",AI13)</f>
        <v/>
      </c>
      <c r="AK13" s="12" t="str">
        <f t="shared" ref="AK13" si="123">IF(AK8="","",AJ13)</f>
        <v/>
      </c>
      <c r="AL13" s="12" t="str">
        <f t="shared" ref="AL13" si="124">IF(AL8="","",AK13)</f>
        <v/>
      </c>
      <c r="AM13" s="12" t="str">
        <f t="shared" ref="AM13:AN13" si="125">IF(AM8="","",AL13)</f>
        <v/>
      </c>
      <c r="AN13" s="12" t="str">
        <f t="shared" si="125"/>
        <v/>
      </c>
      <c r="AO13" s="12" t="str">
        <f t="shared" ref="AO13:AS13" si="126">IF(AO8="","",AN13)</f>
        <v/>
      </c>
      <c r="AP13" s="12" t="str">
        <f t="shared" si="126"/>
        <v/>
      </c>
      <c r="AQ13" s="12" t="str">
        <f t="shared" si="126"/>
        <v/>
      </c>
      <c r="AR13" s="12" t="str">
        <f t="shared" si="126"/>
        <v/>
      </c>
      <c r="AS13" s="12" t="str">
        <f t="shared" si="126"/>
        <v/>
      </c>
    </row>
    <row r="14" spans="1:45" s="84" customFormat="1" ht="11.25" x14ac:dyDescent="0.15">
      <c r="A14" s="7">
        <f>AVERAGE(C15:AS15)*30*100</f>
        <v>59250</v>
      </c>
      <c r="B14" s="9" t="s">
        <v>12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</row>
    <row r="15" spans="1:45" s="84" customFormat="1" ht="11.25" x14ac:dyDescent="0.15">
      <c r="A15" s="7">
        <f>SUM(C15:AS15)</f>
        <v>237</v>
      </c>
      <c r="B15" s="6" t="s">
        <v>13</v>
      </c>
      <c r="C15" s="5">
        <v>0</v>
      </c>
      <c r="D15" s="5">
        <v>0</v>
      </c>
      <c r="E15" s="5">
        <v>0</v>
      </c>
      <c r="F15" s="5">
        <v>0</v>
      </c>
      <c r="G15" s="5">
        <v>123</v>
      </c>
      <c r="H15" s="5">
        <v>0</v>
      </c>
      <c r="I15" s="5">
        <v>0</v>
      </c>
      <c r="J15" s="5">
        <v>0</v>
      </c>
      <c r="K15" s="5">
        <v>29</v>
      </c>
      <c r="L15" s="5">
        <f t="shared" ref="L15:L16" si="127">IF(L8="","",L8-K8)</f>
        <v>0</v>
      </c>
      <c r="M15" s="5">
        <f t="shared" ref="M15:M16" si="128">IF(M8="","",M8-L8)</f>
        <v>0</v>
      </c>
      <c r="N15" s="5">
        <f t="shared" ref="N15:N16" si="129">IF(N8="","",N8-M8)</f>
        <v>85</v>
      </c>
      <c r="O15" s="5" t="str">
        <f t="shared" ref="O15:O16" si="130">IF(O8="","",O8-N8)</f>
        <v/>
      </c>
      <c r="P15" s="5" t="str">
        <f t="shared" ref="P15:P16" si="131">IF(P8="","",P8-O8)</f>
        <v/>
      </c>
      <c r="Q15" s="5" t="str">
        <f t="shared" ref="Q15:Q16" si="132">IF(Q8="","",Q8-P8)</f>
        <v/>
      </c>
      <c r="R15" s="5" t="str">
        <f t="shared" ref="R15:R16" si="133">IF(R8="","",R8-Q8)</f>
        <v/>
      </c>
      <c r="S15" s="5" t="str">
        <f t="shared" ref="S15:S16" si="134">IF(S8="","",S8-R8)</f>
        <v/>
      </c>
      <c r="T15" s="5" t="str">
        <f t="shared" ref="T15:T16" si="135">IF(T8="","",T8-S8)</f>
        <v/>
      </c>
      <c r="U15" s="5" t="str">
        <f t="shared" ref="U15:U16" si="136">IF(U8="","",U8-T8)</f>
        <v/>
      </c>
      <c r="V15" s="5" t="str">
        <f t="shared" ref="V15:V16" si="137">IF(V8="","",V8-U8)</f>
        <v/>
      </c>
      <c r="W15" s="5" t="str">
        <f t="shared" ref="W15:W16" si="138">IF(W8="","",W8-V8)</f>
        <v/>
      </c>
      <c r="X15" s="5" t="str">
        <f t="shared" ref="X15:X16" si="139">IF(X8="","",X8-W8)</f>
        <v/>
      </c>
      <c r="Y15" s="5" t="str">
        <f t="shared" ref="Y15:Y16" si="140">IF(Y8="","",Y8-X8)</f>
        <v/>
      </c>
      <c r="Z15" s="5" t="str">
        <f t="shared" ref="Z15:Z16" si="141">IF(Z8="","",Z8-Y8)</f>
        <v/>
      </c>
      <c r="AA15" s="5" t="str">
        <f t="shared" ref="AA15:AA16" si="142">IF(AA8="","",AA8-Z8)</f>
        <v/>
      </c>
      <c r="AB15" s="5" t="str">
        <f t="shared" ref="AB15:AB16" si="143">IF(AB8="","",AB8-AA8)</f>
        <v/>
      </c>
      <c r="AC15" s="5" t="str">
        <f t="shared" ref="AC15:AC16" si="144">IF(AC8="","",AC8-AB8)</f>
        <v/>
      </c>
      <c r="AD15" s="5" t="str">
        <f t="shared" ref="AD15:AD16" si="145">IF(AD8="","",AD8-AC8)</f>
        <v/>
      </c>
      <c r="AE15" s="5" t="str">
        <f t="shared" ref="AE15:AE16" si="146">IF(AE8="","",AE8-AD8)</f>
        <v/>
      </c>
      <c r="AF15" s="5" t="str">
        <f t="shared" ref="AF15:AF16" si="147">IF(AF8="","",AF8-AE8)</f>
        <v/>
      </c>
      <c r="AG15" s="5" t="str">
        <f t="shared" ref="AG15:AG16" si="148">IF(AG8="","",AG8-AF8)</f>
        <v/>
      </c>
      <c r="AH15" s="5" t="str">
        <f t="shared" ref="AH15:AH16" si="149">IF(AH8="","",AH8-AG8)</f>
        <v/>
      </c>
      <c r="AI15" s="5" t="str">
        <f t="shared" ref="AI15:AI16" si="150">IF(AI8="","",AI8-AH8)</f>
        <v/>
      </c>
      <c r="AJ15" s="5" t="str">
        <f t="shared" ref="AJ15:AJ16" si="151">IF(AJ8="","",AJ8-AI8)</f>
        <v/>
      </c>
      <c r="AK15" s="5" t="str">
        <f t="shared" ref="AK15:AK16" si="152">IF(AK8="","",AK8-AJ8)</f>
        <v/>
      </c>
      <c r="AL15" s="5" t="str">
        <f t="shared" ref="AL15:AL16" si="153">IF(AL8="","",AL8-AK8)</f>
        <v/>
      </c>
      <c r="AM15" s="5" t="str">
        <f t="shared" ref="AM15:AN15" si="154">IF(AM8="","",AM8-AL8)</f>
        <v/>
      </c>
      <c r="AN15" s="5" t="str">
        <f t="shared" si="154"/>
        <v/>
      </c>
      <c r="AO15" s="5" t="str">
        <f t="shared" ref="AO15:AS15" si="155">IF(AO8="","",AO8-AN8)</f>
        <v/>
      </c>
      <c r="AP15" s="5" t="str">
        <f t="shared" si="155"/>
        <v/>
      </c>
      <c r="AQ15" s="5" t="str">
        <f t="shared" si="155"/>
        <v/>
      </c>
      <c r="AR15" s="5" t="str">
        <f t="shared" si="155"/>
        <v/>
      </c>
      <c r="AS15" s="5" t="str">
        <f t="shared" si="155"/>
        <v/>
      </c>
    </row>
    <row r="16" spans="1:45" s="84" customFormat="1" ht="11.25" x14ac:dyDescent="0.15">
      <c r="A16" s="7">
        <f>SUM(C16:AS16)</f>
        <v>6</v>
      </c>
      <c r="B16" s="6" t="s">
        <v>14</v>
      </c>
      <c r="C16" s="5">
        <v>0</v>
      </c>
      <c r="D16" s="5">
        <v>0</v>
      </c>
      <c r="E16" s="5">
        <v>0</v>
      </c>
      <c r="F16" s="5">
        <v>0</v>
      </c>
      <c r="G16" s="5">
        <v>4</v>
      </c>
      <c r="H16" s="5">
        <v>0</v>
      </c>
      <c r="I16" s="5">
        <v>0</v>
      </c>
      <c r="J16" s="5">
        <v>0</v>
      </c>
      <c r="K16" s="5">
        <v>0</v>
      </c>
      <c r="L16" s="5">
        <f t="shared" si="127"/>
        <v>0</v>
      </c>
      <c r="M16" s="5">
        <f t="shared" si="128"/>
        <v>0</v>
      </c>
      <c r="N16" s="5">
        <f t="shared" si="129"/>
        <v>2</v>
      </c>
      <c r="O16" s="5" t="str">
        <f t="shared" si="130"/>
        <v/>
      </c>
      <c r="P16" s="5" t="str">
        <f t="shared" si="131"/>
        <v/>
      </c>
      <c r="Q16" s="5" t="str">
        <f t="shared" si="132"/>
        <v/>
      </c>
      <c r="R16" s="5" t="str">
        <f t="shared" si="133"/>
        <v/>
      </c>
      <c r="S16" s="5" t="str">
        <f t="shared" si="134"/>
        <v/>
      </c>
      <c r="T16" s="5" t="str">
        <f t="shared" si="135"/>
        <v/>
      </c>
      <c r="U16" s="5" t="str">
        <f t="shared" si="136"/>
        <v/>
      </c>
      <c r="V16" s="5" t="str">
        <f t="shared" si="137"/>
        <v/>
      </c>
      <c r="W16" s="5" t="str">
        <f t="shared" si="138"/>
        <v/>
      </c>
      <c r="X16" s="5" t="str">
        <f t="shared" si="139"/>
        <v/>
      </c>
      <c r="Y16" s="5" t="str">
        <f t="shared" si="140"/>
        <v/>
      </c>
      <c r="Z16" s="5" t="str">
        <f t="shared" si="141"/>
        <v/>
      </c>
      <c r="AA16" s="5" t="str">
        <f t="shared" si="142"/>
        <v/>
      </c>
      <c r="AB16" s="5" t="str">
        <f t="shared" si="143"/>
        <v/>
      </c>
      <c r="AC16" s="5" t="str">
        <f t="shared" si="144"/>
        <v/>
      </c>
      <c r="AD16" s="5" t="str">
        <f t="shared" si="145"/>
        <v/>
      </c>
      <c r="AE16" s="5" t="str">
        <f t="shared" si="146"/>
        <v/>
      </c>
      <c r="AF16" s="5" t="str">
        <f t="shared" si="147"/>
        <v/>
      </c>
      <c r="AG16" s="5" t="str">
        <f t="shared" si="148"/>
        <v/>
      </c>
      <c r="AH16" s="5" t="str">
        <f t="shared" si="149"/>
        <v/>
      </c>
      <c r="AI16" s="5" t="str">
        <f t="shared" si="150"/>
        <v/>
      </c>
      <c r="AJ16" s="5" t="str">
        <f t="shared" si="151"/>
        <v/>
      </c>
      <c r="AK16" s="5" t="str">
        <f t="shared" si="152"/>
        <v/>
      </c>
      <c r="AL16" s="5" t="str">
        <f t="shared" si="153"/>
        <v/>
      </c>
      <c r="AM16" s="5" t="str">
        <f t="shared" ref="AM16:AN16" si="156">IF(AM9="","",AM9-AL9)</f>
        <v/>
      </c>
      <c r="AN16" s="5" t="str">
        <f t="shared" si="156"/>
        <v/>
      </c>
      <c r="AO16" s="5" t="str">
        <f t="shared" ref="AO16:AS16" si="157">IF(AO9="","",AO9-AN9)</f>
        <v/>
      </c>
      <c r="AP16" s="5" t="str">
        <f t="shared" si="157"/>
        <v/>
      </c>
      <c r="AQ16" s="5" t="str">
        <f t="shared" si="157"/>
        <v/>
      </c>
      <c r="AR16" s="5" t="str">
        <f t="shared" si="157"/>
        <v/>
      </c>
      <c r="AS16" s="5" t="str">
        <f t="shared" si="157"/>
        <v/>
      </c>
    </row>
    <row r="17" spans="1:45" s="84" customFormat="1" ht="11.25" x14ac:dyDescent="0.15">
      <c r="A17" s="7">
        <f>SUM(C17:AS17)</f>
        <v>6</v>
      </c>
      <c r="B17" s="6" t="s">
        <v>15</v>
      </c>
      <c r="C17" s="5">
        <v>0</v>
      </c>
      <c r="D17" s="5">
        <v>0</v>
      </c>
      <c r="E17" s="5">
        <v>0</v>
      </c>
      <c r="F17" s="5">
        <v>0</v>
      </c>
      <c r="G17" s="5">
        <v>4</v>
      </c>
      <c r="H17" s="5">
        <v>0</v>
      </c>
      <c r="I17" s="5">
        <v>0</v>
      </c>
      <c r="J17" s="5">
        <v>0</v>
      </c>
      <c r="K17" s="5">
        <v>0</v>
      </c>
      <c r="L17" s="5">
        <f t="shared" ref="L17" si="158">IF(L10="","",K10+K11-L10)</f>
        <v>0</v>
      </c>
      <c r="M17" s="5">
        <f t="shared" ref="M17" si="159">IF(M10="","",L10+L11-M10)</f>
        <v>0</v>
      </c>
      <c r="N17" s="5">
        <f t="shared" ref="N17" si="160">IF(N10="","",M10+M11-N10)</f>
        <v>2</v>
      </c>
      <c r="O17" s="5" t="str">
        <f t="shared" ref="O17" si="161">IF(O10="","",N10+N11-O10)</f>
        <v/>
      </c>
      <c r="P17" s="5" t="str">
        <f t="shared" ref="P17" si="162">IF(P10="","",O10+O11-P10)</f>
        <v/>
      </c>
      <c r="Q17" s="5" t="str">
        <f t="shared" ref="Q17" si="163">IF(Q10="","",P10+P11-Q10)</f>
        <v/>
      </c>
      <c r="R17" s="5" t="str">
        <f t="shared" ref="R17" si="164">IF(R10="","",Q10+Q11-R10)</f>
        <v/>
      </c>
      <c r="S17" s="5" t="str">
        <f t="shared" ref="S17" si="165">IF(S10="","",R10+R11-S10)</f>
        <v/>
      </c>
      <c r="T17" s="5" t="str">
        <f t="shared" ref="T17" si="166">IF(T10="","",S10+S11-T10)</f>
        <v/>
      </c>
      <c r="U17" s="5" t="str">
        <f t="shared" ref="U17" si="167">IF(U10="","",T10+T11-U10)</f>
        <v/>
      </c>
      <c r="V17" s="5" t="str">
        <f t="shared" ref="V17" si="168">IF(V10="","",U10+U11-V10)</f>
        <v/>
      </c>
      <c r="W17" s="5" t="str">
        <f t="shared" ref="W17" si="169">IF(W10="","",V10+V11-W10)</f>
        <v/>
      </c>
      <c r="X17" s="5" t="str">
        <f t="shared" ref="X17" si="170">IF(X10="","",W10+W11-X10)</f>
        <v/>
      </c>
      <c r="Y17" s="5" t="str">
        <f t="shared" ref="Y17" si="171">IF(Y10="","",X10+X11-Y10)</f>
        <v/>
      </c>
      <c r="Z17" s="5" t="str">
        <f t="shared" ref="Z17" si="172">IF(Z10="","",Y10+Y11-Z10)</f>
        <v/>
      </c>
      <c r="AA17" s="5" t="str">
        <f t="shared" ref="AA17" si="173">IF(AA10="","",Z10+Z11-AA10)</f>
        <v/>
      </c>
      <c r="AB17" s="5" t="str">
        <f t="shared" ref="AB17" si="174">IF(AB10="","",AA10+AA11-AB10)</f>
        <v/>
      </c>
      <c r="AC17" s="5" t="str">
        <f t="shared" ref="AC17" si="175">IF(AC10="","",AB10+AB11-AC10)</f>
        <v/>
      </c>
      <c r="AD17" s="5" t="str">
        <f t="shared" ref="AD17" si="176">IF(AD10="","",AC10+AC11-AD10)</f>
        <v/>
      </c>
      <c r="AE17" s="5" t="str">
        <f t="shared" ref="AE17" si="177">IF(AE10="","",AD10+AD11-AE10)</f>
        <v/>
      </c>
      <c r="AF17" s="5" t="str">
        <f t="shared" ref="AF17" si="178">IF(AF10="","",AE10+AE11-AF10)</f>
        <v/>
      </c>
      <c r="AG17" s="5" t="str">
        <f t="shared" ref="AG17" si="179">IF(AG10="","",AF10+AF11-AG10)</f>
        <v/>
      </c>
      <c r="AH17" s="5" t="str">
        <f t="shared" ref="AH17" si="180">IF(AH10="","",AG10+AG11-AH10)</f>
        <v/>
      </c>
      <c r="AI17" s="5" t="str">
        <f t="shared" ref="AI17" si="181">IF(AI10="","",AH10+AH11-AI10)</f>
        <v/>
      </c>
      <c r="AJ17" s="5" t="str">
        <f t="shared" ref="AJ17" si="182">IF(AJ10="","",AI10+AI11-AJ10)</f>
        <v/>
      </c>
      <c r="AK17" s="5" t="str">
        <f t="shared" ref="AK17" si="183">IF(AK10="","",AJ10+AJ11-AK10)</f>
        <v/>
      </c>
      <c r="AL17" s="5" t="str">
        <f t="shared" ref="AL17" si="184">IF(AL10="","",AK10+AK11-AL10)</f>
        <v/>
      </c>
      <c r="AM17" s="5" t="str">
        <f t="shared" ref="AM17:AN17" si="185">IF(AM10="","",AL10+AL11-AM10)</f>
        <v/>
      </c>
      <c r="AN17" s="5" t="str">
        <f t="shared" si="185"/>
        <v/>
      </c>
      <c r="AO17" s="5" t="str">
        <f t="shared" ref="AO17:AS17" si="186">IF(AO10="","",AN10+AN11-AO10)</f>
        <v/>
      </c>
      <c r="AP17" s="5" t="str">
        <f t="shared" si="186"/>
        <v/>
      </c>
      <c r="AQ17" s="5" t="str">
        <f t="shared" si="186"/>
        <v/>
      </c>
      <c r="AR17" s="5" t="str">
        <f t="shared" si="186"/>
        <v/>
      </c>
      <c r="AS17" s="5" t="str">
        <f t="shared" si="186"/>
        <v/>
      </c>
    </row>
    <row r="18" spans="1:45" s="84" customFormat="1" ht="11.25" x14ac:dyDescent="0.15">
      <c r="A18" s="7">
        <f>SUM(C18:AS18)</f>
        <v>5400</v>
      </c>
      <c r="B18" s="6" t="s">
        <v>16</v>
      </c>
      <c r="C18" s="5">
        <v>0</v>
      </c>
      <c r="D18" s="5">
        <v>0</v>
      </c>
      <c r="E18" s="5">
        <v>0</v>
      </c>
      <c r="F18" s="5">
        <v>0</v>
      </c>
      <c r="G18" s="5">
        <v>3600</v>
      </c>
      <c r="H18" s="5">
        <v>0</v>
      </c>
      <c r="I18" s="5">
        <v>0</v>
      </c>
      <c r="J18" s="5">
        <v>0</v>
      </c>
      <c r="K18" s="5">
        <v>0</v>
      </c>
      <c r="L18" s="5">
        <f t="shared" ref="J18:AL18" si="187">IF(L8="","",L17*L12)</f>
        <v>0</v>
      </c>
      <c r="M18" s="5">
        <f t="shared" si="187"/>
        <v>0</v>
      </c>
      <c r="N18" s="5">
        <f t="shared" si="187"/>
        <v>1800</v>
      </c>
      <c r="O18" s="5" t="str">
        <f t="shared" si="187"/>
        <v/>
      </c>
      <c r="P18" s="5" t="str">
        <f t="shared" si="187"/>
        <v/>
      </c>
      <c r="Q18" s="5" t="str">
        <f t="shared" si="187"/>
        <v/>
      </c>
      <c r="R18" s="5" t="str">
        <f t="shared" si="187"/>
        <v/>
      </c>
      <c r="S18" s="5" t="str">
        <f t="shared" si="187"/>
        <v/>
      </c>
      <c r="T18" s="5" t="str">
        <f t="shared" si="187"/>
        <v/>
      </c>
      <c r="U18" s="5" t="str">
        <f t="shared" si="187"/>
        <v/>
      </c>
      <c r="V18" s="5" t="str">
        <f t="shared" si="187"/>
        <v/>
      </c>
      <c r="W18" s="5" t="str">
        <f t="shared" si="187"/>
        <v/>
      </c>
      <c r="X18" s="5" t="str">
        <f t="shared" si="187"/>
        <v/>
      </c>
      <c r="Y18" s="5" t="str">
        <f t="shared" si="187"/>
        <v/>
      </c>
      <c r="Z18" s="5" t="str">
        <f t="shared" si="187"/>
        <v/>
      </c>
      <c r="AA18" s="5" t="str">
        <f t="shared" si="187"/>
        <v/>
      </c>
      <c r="AB18" s="5" t="str">
        <f t="shared" si="187"/>
        <v/>
      </c>
      <c r="AC18" s="5" t="str">
        <f t="shared" si="187"/>
        <v/>
      </c>
      <c r="AD18" s="5" t="str">
        <f t="shared" si="187"/>
        <v/>
      </c>
      <c r="AE18" s="5" t="str">
        <f t="shared" si="187"/>
        <v/>
      </c>
      <c r="AF18" s="5" t="str">
        <f t="shared" si="187"/>
        <v/>
      </c>
      <c r="AG18" s="5" t="str">
        <f t="shared" si="187"/>
        <v/>
      </c>
      <c r="AH18" s="5" t="str">
        <f t="shared" si="187"/>
        <v/>
      </c>
      <c r="AI18" s="5" t="str">
        <f t="shared" si="187"/>
        <v/>
      </c>
      <c r="AJ18" s="5" t="str">
        <f t="shared" si="187"/>
        <v/>
      </c>
      <c r="AK18" s="5" t="str">
        <f t="shared" si="187"/>
        <v/>
      </c>
      <c r="AL18" s="5" t="str">
        <f t="shared" si="187"/>
        <v/>
      </c>
      <c r="AM18" s="5" t="str">
        <f t="shared" ref="AM18:AN18" si="188">IF(AM8="","",AM17*AM12)</f>
        <v/>
      </c>
      <c r="AN18" s="5" t="str">
        <f t="shared" si="188"/>
        <v/>
      </c>
      <c r="AO18" s="5" t="str">
        <f t="shared" ref="AO18:AS18" si="189">IF(AO8="","",AO17*AO12)</f>
        <v/>
      </c>
      <c r="AP18" s="5" t="str">
        <f t="shared" si="189"/>
        <v/>
      </c>
      <c r="AQ18" s="5" t="str">
        <f t="shared" si="189"/>
        <v/>
      </c>
      <c r="AR18" s="5" t="str">
        <f t="shared" si="189"/>
        <v/>
      </c>
      <c r="AS18" s="5" t="str">
        <f t="shared" si="189"/>
        <v/>
      </c>
    </row>
    <row r="19" spans="1:45" s="84" customFormat="1" ht="12" thickBot="1" x14ac:dyDescent="0.2">
      <c r="A19" s="4">
        <f>IF(A18="","",A18/(A15*100))</f>
        <v>0.22784810126582278</v>
      </c>
      <c r="B19" s="6" t="s">
        <v>18</v>
      </c>
      <c r="C19" s="18" t="s">
        <v>19</v>
      </c>
      <c r="D19" s="18" t="s">
        <v>19</v>
      </c>
      <c r="E19" s="18" t="s">
        <v>19</v>
      </c>
      <c r="F19" s="18" t="s">
        <v>19</v>
      </c>
      <c r="G19" s="18">
        <v>0.29268292682926828</v>
      </c>
      <c r="H19" s="18" t="s">
        <v>19</v>
      </c>
      <c r="I19" s="18" t="s">
        <v>19</v>
      </c>
      <c r="J19" s="18" t="s">
        <v>19</v>
      </c>
      <c r="K19" s="18" t="s">
        <v>19</v>
      </c>
      <c r="L19" s="18" t="str">
        <f t="shared" ref="J19:AL19" si="190">IF(L18="","",IF(L18=0,"",L18/(L15*100)))</f>
        <v/>
      </c>
      <c r="M19" s="18" t="str">
        <f t="shared" si="190"/>
        <v/>
      </c>
      <c r="N19" s="18">
        <f t="shared" si="190"/>
        <v>0.21176470588235294</v>
      </c>
      <c r="O19" s="18" t="str">
        <f t="shared" si="190"/>
        <v/>
      </c>
      <c r="P19" s="18" t="str">
        <f t="shared" si="190"/>
        <v/>
      </c>
      <c r="Q19" s="18" t="str">
        <f t="shared" si="190"/>
        <v/>
      </c>
      <c r="R19" s="18" t="str">
        <f t="shared" si="190"/>
        <v/>
      </c>
      <c r="S19" s="18" t="str">
        <f t="shared" si="190"/>
        <v/>
      </c>
      <c r="T19" s="18" t="str">
        <f t="shared" si="190"/>
        <v/>
      </c>
      <c r="U19" s="18" t="str">
        <f t="shared" si="190"/>
        <v/>
      </c>
      <c r="V19" s="18" t="str">
        <f t="shared" si="190"/>
        <v/>
      </c>
      <c r="W19" s="18" t="str">
        <f t="shared" si="190"/>
        <v/>
      </c>
      <c r="X19" s="18" t="str">
        <f t="shared" si="190"/>
        <v/>
      </c>
      <c r="Y19" s="18" t="str">
        <f t="shared" si="190"/>
        <v/>
      </c>
      <c r="Z19" s="18" t="str">
        <f t="shared" si="190"/>
        <v/>
      </c>
      <c r="AA19" s="18" t="str">
        <f t="shared" si="190"/>
        <v/>
      </c>
      <c r="AB19" s="18" t="str">
        <f t="shared" si="190"/>
        <v/>
      </c>
      <c r="AC19" s="18" t="str">
        <f t="shared" si="190"/>
        <v/>
      </c>
      <c r="AD19" s="18" t="str">
        <f t="shared" si="190"/>
        <v/>
      </c>
      <c r="AE19" s="18" t="str">
        <f t="shared" si="190"/>
        <v/>
      </c>
      <c r="AF19" s="18" t="str">
        <f t="shared" si="190"/>
        <v/>
      </c>
      <c r="AG19" s="18" t="str">
        <f t="shared" si="190"/>
        <v/>
      </c>
      <c r="AH19" s="18" t="str">
        <f t="shared" si="190"/>
        <v/>
      </c>
      <c r="AI19" s="18" t="str">
        <f t="shared" si="190"/>
        <v/>
      </c>
      <c r="AJ19" s="18" t="str">
        <f t="shared" si="190"/>
        <v/>
      </c>
      <c r="AK19" s="18" t="str">
        <f t="shared" si="190"/>
        <v/>
      </c>
      <c r="AL19" s="18" t="str">
        <f t="shared" si="190"/>
        <v/>
      </c>
      <c r="AM19" s="18" t="str">
        <f t="shared" ref="AM19:AN19" si="191">IF(AM18="","",IF(AM18=0,"",AM18/(AM15*100)))</f>
        <v/>
      </c>
      <c r="AN19" s="18" t="str">
        <f t="shared" si="191"/>
        <v/>
      </c>
      <c r="AO19" s="18" t="str">
        <f t="shared" ref="AO19:AS19" si="192">IF(AO18="","",IF(AO18=0,"",AO18/(AO15*100)))</f>
        <v/>
      </c>
      <c r="AP19" s="18" t="str">
        <f t="shared" si="192"/>
        <v/>
      </c>
      <c r="AQ19" s="18" t="str">
        <f t="shared" si="192"/>
        <v/>
      </c>
      <c r="AR19" s="18" t="str">
        <f t="shared" si="192"/>
        <v/>
      </c>
      <c r="AS19" s="18" t="str">
        <f t="shared" si="192"/>
        <v/>
      </c>
    </row>
    <row r="20" spans="1:45" s="84" customFormat="1" ht="11.25" x14ac:dyDescent="0.15">
      <c r="A20" s="17" t="s">
        <v>94</v>
      </c>
      <c r="B20" s="9" t="s">
        <v>2</v>
      </c>
      <c r="C20" s="8">
        <v>1326</v>
      </c>
      <c r="D20" s="8">
        <v>1326</v>
      </c>
      <c r="E20" s="8">
        <v>1326</v>
      </c>
      <c r="F20" s="8">
        <v>1326</v>
      </c>
      <c r="G20" s="8">
        <v>1392</v>
      </c>
      <c r="H20" s="8">
        <v>1392</v>
      </c>
      <c r="I20" s="8">
        <v>1392</v>
      </c>
      <c r="J20" s="8">
        <v>1392</v>
      </c>
      <c r="K20" s="8">
        <v>1432</v>
      </c>
      <c r="L20" s="8">
        <f>IF(L$8="","",K20)</f>
        <v>1432</v>
      </c>
      <c r="M20" s="8">
        <f t="shared" ref="M20:M21" si="193">IF(M$8="","",L20)</f>
        <v>1432</v>
      </c>
      <c r="N20" s="8">
        <v>1455</v>
      </c>
      <c r="O20" s="8" t="str">
        <f>IF(O$8="","",N20)</f>
        <v/>
      </c>
      <c r="P20" s="8" t="str">
        <f>IF(P$8="","",O20)</f>
        <v/>
      </c>
      <c r="Q20" s="8" t="str">
        <f t="shared" ref="Q20:Q21" si="194">IF(Q$8="","",P20)</f>
        <v/>
      </c>
      <c r="R20" s="8" t="str">
        <f t="shared" ref="R20:R21" si="195">IF(R$8="","",Q20)</f>
        <v/>
      </c>
      <c r="S20" s="8" t="str">
        <f>IF(S$8="","",R20)</f>
        <v/>
      </c>
      <c r="T20" s="8" t="str">
        <f t="shared" ref="T20:T21" si="196">IF(T$8="","",S20)</f>
        <v/>
      </c>
      <c r="U20" s="8" t="str">
        <f t="shared" ref="U20:U21" si="197">IF(U$8="","",T20)</f>
        <v/>
      </c>
      <c r="V20" s="8" t="str">
        <f>IF(V$8="","",U20)</f>
        <v/>
      </c>
      <c r="W20" s="8" t="str">
        <f t="shared" ref="W20:W21" si="198">IF(W$8="","",V20)</f>
        <v/>
      </c>
      <c r="X20" s="8" t="str">
        <f t="shared" ref="X20:X21" si="199">IF(X$8="","",W20)</f>
        <v/>
      </c>
      <c r="Y20" s="8" t="str">
        <f t="shared" ref="Y20:Y21" si="200">IF(Y$8="","",X20)</f>
        <v/>
      </c>
      <c r="Z20" s="8" t="str">
        <f>IF(Z$8="","",Y20)</f>
        <v/>
      </c>
      <c r="AA20" s="8" t="str">
        <f t="shared" ref="AA20:AA21" si="201">IF(AA$8="","",Z20)</f>
        <v/>
      </c>
      <c r="AB20" s="8" t="str">
        <f t="shared" ref="AB20:AB21" si="202">IF(AB$8="","",AA20)</f>
        <v/>
      </c>
      <c r="AC20" s="8" t="str">
        <f t="shared" ref="AC20:AC21" si="203">IF(AC$8="","",AB20)</f>
        <v/>
      </c>
      <c r="AD20" s="8" t="str">
        <f>IF(AD$8="","",AC20)</f>
        <v/>
      </c>
      <c r="AE20" s="8" t="str">
        <f>IF(AE$8="","",AD20)</f>
        <v/>
      </c>
      <c r="AF20" s="8" t="str">
        <f t="shared" ref="AF20:AF21" si="204">IF(AF$8="","",AE20)</f>
        <v/>
      </c>
      <c r="AG20" s="8" t="str">
        <f>IF(AG$8="","",AF20)</f>
        <v/>
      </c>
      <c r="AH20" s="8" t="str">
        <f t="shared" ref="AH20:AH21" si="205">IF(AH$8="","",AG20)</f>
        <v/>
      </c>
      <c r="AI20" s="8" t="str">
        <f t="shared" ref="AI20:AI21" si="206">IF(AI$8="","",AH20)</f>
        <v/>
      </c>
      <c r="AJ20" s="8" t="str">
        <f>IF(AJ$8="","",AI20)</f>
        <v/>
      </c>
      <c r="AK20" s="8" t="str">
        <f t="shared" ref="AK20:AK21" si="207">IF(AK$8="","",AJ20)</f>
        <v/>
      </c>
      <c r="AL20" s="8" t="str">
        <f t="shared" ref="AL20:AL21" si="208">IF(AL$8="","",AK20)</f>
        <v/>
      </c>
      <c r="AM20" s="8" t="str">
        <f t="shared" ref="AM20:AN20" si="209">IF(AM$8="","",AL20)</f>
        <v/>
      </c>
      <c r="AN20" s="8" t="str">
        <f>IF(AN$8="","",AM20)</f>
        <v/>
      </c>
      <c r="AO20" s="8" t="str">
        <f t="shared" ref="AO20:AS20" si="210">IF(AO$8="","",AN20)</f>
        <v/>
      </c>
      <c r="AP20" s="8" t="str">
        <f t="shared" si="210"/>
        <v/>
      </c>
      <c r="AQ20" s="8" t="str">
        <f t="shared" si="210"/>
        <v/>
      </c>
      <c r="AR20" s="8" t="str">
        <f t="shared" si="210"/>
        <v/>
      </c>
      <c r="AS20" s="8" t="str">
        <f t="shared" si="210"/>
        <v/>
      </c>
    </row>
    <row r="21" spans="1:45" s="84" customFormat="1" ht="11.25" x14ac:dyDescent="0.15">
      <c r="A21" s="16" t="str">
        <f>A9</f>
        <v>BUZZ＃1</v>
      </c>
      <c r="B21" s="9" t="s">
        <v>4</v>
      </c>
      <c r="C21" s="8">
        <v>36</v>
      </c>
      <c r="D21" s="8">
        <v>36</v>
      </c>
      <c r="E21" s="8">
        <v>36</v>
      </c>
      <c r="F21" s="8">
        <v>36</v>
      </c>
      <c r="G21" s="8">
        <v>37</v>
      </c>
      <c r="H21" s="8">
        <v>37</v>
      </c>
      <c r="I21" s="8">
        <v>37</v>
      </c>
      <c r="J21" s="8">
        <v>37</v>
      </c>
      <c r="K21" s="8">
        <v>39</v>
      </c>
      <c r="L21" s="8">
        <f>IF(L$8="","",K21)</f>
        <v>39</v>
      </c>
      <c r="M21" s="8">
        <f t="shared" si="193"/>
        <v>39</v>
      </c>
      <c r="N21" s="8">
        <v>40</v>
      </c>
      <c r="O21" s="8" t="str">
        <f>IF(O$8="","",N21)</f>
        <v/>
      </c>
      <c r="P21" s="8" t="str">
        <f t="shared" ref="P21" si="211">IF(P$8="","",O21)</f>
        <v/>
      </c>
      <c r="Q21" s="8" t="str">
        <f t="shared" si="194"/>
        <v/>
      </c>
      <c r="R21" s="8" t="str">
        <f t="shared" si="195"/>
        <v/>
      </c>
      <c r="S21" s="8" t="str">
        <f>IF(S$8="","",R21)</f>
        <v/>
      </c>
      <c r="T21" s="8" t="str">
        <f t="shared" si="196"/>
        <v/>
      </c>
      <c r="U21" s="8" t="str">
        <f t="shared" si="197"/>
        <v/>
      </c>
      <c r="V21" s="8" t="str">
        <f>IF(V$8="","",U21)</f>
        <v/>
      </c>
      <c r="W21" s="8" t="str">
        <f t="shared" si="198"/>
        <v/>
      </c>
      <c r="X21" s="8" t="str">
        <f t="shared" si="199"/>
        <v/>
      </c>
      <c r="Y21" s="8" t="str">
        <f t="shared" si="200"/>
        <v/>
      </c>
      <c r="Z21" s="8" t="str">
        <f>IF(Z$8="","",Y21)</f>
        <v/>
      </c>
      <c r="AA21" s="8" t="str">
        <f t="shared" si="201"/>
        <v/>
      </c>
      <c r="AB21" s="8" t="str">
        <f t="shared" si="202"/>
        <v/>
      </c>
      <c r="AC21" s="8" t="str">
        <f t="shared" si="203"/>
        <v/>
      </c>
      <c r="AD21" s="8" t="str">
        <f>IF(AD$8="","",AC21)</f>
        <v/>
      </c>
      <c r="AE21" s="8" t="str">
        <f>IF(AE$8="","",AD21)</f>
        <v/>
      </c>
      <c r="AF21" s="8" t="str">
        <f t="shared" si="204"/>
        <v/>
      </c>
      <c r="AG21" s="8" t="str">
        <f>IF(AG$8="","",AF21)</f>
        <v/>
      </c>
      <c r="AH21" s="8" t="str">
        <f t="shared" si="205"/>
        <v/>
      </c>
      <c r="AI21" s="8" t="str">
        <f t="shared" si="206"/>
        <v/>
      </c>
      <c r="AJ21" s="8" t="str">
        <f>IF(AJ$8="","",AI21)</f>
        <v/>
      </c>
      <c r="AK21" s="8" t="str">
        <f t="shared" si="207"/>
        <v/>
      </c>
      <c r="AL21" s="8" t="str">
        <f t="shared" si="208"/>
        <v/>
      </c>
      <c r="AM21" s="8" t="str">
        <f t="shared" ref="AM21:AN21" si="212">IF(AM$8="","",AL21)</f>
        <v/>
      </c>
      <c r="AN21" s="8" t="str">
        <f>IF(AN$8="","",AM21)</f>
        <v/>
      </c>
      <c r="AO21" s="8" t="str">
        <f>IF(AO$8="","",AN21)</f>
        <v/>
      </c>
      <c r="AP21" s="8" t="str">
        <f>IF(天文館!AP$8="","",AO21)</f>
        <v/>
      </c>
      <c r="AQ21" s="8" t="str">
        <f>IF(天文館!AQ$8="","",AP21)</f>
        <v/>
      </c>
      <c r="AR21" s="8" t="str">
        <f>IF(天文館!AR$8="","",AQ21)</f>
        <v/>
      </c>
      <c r="AS21" s="8" t="str">
        <f>IF(天文館!AS$8="","",AR21)</f>
        <v/>
      </c>
    </row>
    <row r="22" spans="1:45" s="84" customFormat="1" ht="11.25" x14ac:dyDescent="0.15">
      <c r="A22" s="15">
        <v>2</v>
      </c>
      <c r="B22" s="9" t="s">
        <v>5</v>
      </c>
      <c r="C22" s="8">
        <v>11</v>
      </c>
      <c r="D22" s="8">
        <v>11</v>
      </c>
      <c r="E22" s="8">
        <v>11</v>
      </c>
      <c r="F22" s="8">
        <v>11</v>
      </c>
      <c r="G22" s="8">
        <v>10</v>
      </c>
      <c r="H22" s="8">
        <v>10</v>
      </c>
      <c r="I22" s="8">
        <v>10</v>
      </c>
      <c r="J22" s="8">
        <v>10</v>
      </c>
      <c r="K22" s="8">
        <v>7</v>
      </c>
      <c r="L22" s="8">
        <f>IF(L20="","",(K22+K23))</f>
        <v>7</v>
      </c>
      <c r="M22" s="8">
        <f t="shared" ref="M22" si="213">IF(M20="","",(L22+L23))</f>
        <v>7</v>
      </c>
      <c r="N22" s="8">
        <v>6</v>
      </c>
      <c r="O22" s="8" t="str">
        <f>IF(O20="","",(N22+N23))</f>
        <v/>
      </c>
      <c r="P22" s="8" t="str">
        <f t="shared" ref="P22" si="214">IF(P20="","",(O22+O23))</f>
        <v/>
      </c>
      <c r="Q22" s="8" t="str">
        <f t="shared" ref="Q22" si="215">IF(Q20="","",(P22+P23))</f>
        <v/>
      </c>
      <c r="R22" s="8" t="str">
        <f t="shared" ref="R22" si="216">IF(R20="","",(Q22+Q23))</f>
        <v/>
      </c>
      <c r="S22" s="8" t="str">
        <f>IF(S20="","",(R22+R23))</f>
        <v/>
      </c>
      <c r="T22" s="8" t="str">
        <f t="shared" ref="T22" si="217">IF(T20="","",(S22+S23))</f>
        <v/>
      </c>
      <c r="U22" s="8" t="str">
        <f t="shared" ref="U22" si="218">IF(U20="","",(T22+T23))</f>
        <v/>
      </c>
      <c r="V22" s="8" t="str">
        <f>IF(V20="","",(U22+U23))</f>
        <v/>
      </c>
      <c r="W22" s="8" t="str">
        <f t="shared" ref="W22" si="219">IF(W20="","",(V22+V23))</f>
        <v/>
      </c>
      <c r="X22" s="8" t="str">
        <f t="shared" ref="X22" si="220">IF(X20="","",(W22+W23))</f>
        <v/>
      </c>
      <c r="Y22" s="8" t="str">
        <f t="shared" ref="Y22" si="221">IF(Y20="","",(X22+X23))</f>
        <v/>
      </c>
      <c r="Z22" s="8" t="str">
        <f>IF(Z20="","",(Y22+Y23))</f>
        <v/>
      </c>
      <c r="AA22" s="8" t="str">
        <f t="shared" ref="AA22" si="222">IF(AA20="","",(Z22+Z23))</f>
        <v/>
      </c>
      <c r="AB22" s="8" t="str">
        <f t="shared" ref="AB22" si="223">IF(AB20="","",(AA22+AA23))</f>
        <v/>
      </c>
      <c r="AC22" s="8" t="str">
        <f t="shared" ref="AC22" si="224">IF(AC20="","",(AB22+AB23))</f>
        <v/>
      </c>
      <c r="AD22" s="8" t="str">
        <f>IF(AD20="","",(AC22+AC23))</f>
        <v/>
      </c>
      <c r="AE22" s="8" t="str">
        <f>IF(AE20="","",(AD22+AD23))</f>
        <v/>
      </c>
      <c r="AF22" s="8" t="str">
        <f t="shared" ref="AF22" si="225">IF(AF20="","",(AE22+AE23))</f>
        <v/>
      </c>
      <c r="AG22" s="8" t="str">
        <f>IF(AG20="","",(AF22+AF23))</f>
        <v/>
      </c>
      <c r="AH22" s="8" t="str">
        <f t="shared" ref="AH22" si="226">IF(AH20="","",(AG22+AG23))</f>
        <v/>
      </c>
      <c r="AI22" s="8" t="str">
        <f t="shared" ref="AI22" si="227">IF(AI20="","",(AH22+AH23))</f>
        <v/>
      </c>
      <c r="AJ22" s="8" t="str">
        <f>IF(AJ20="","",(AI22+AI23))</f>
        <v/>
      </c>
      <c r="AK22" s="8" t="str">
        <f t="shared" ref="AK22" si="228">IF(AK20="","",(AJ22+AJ23))</f>
        <v/>
      </c>
      <c r="AL22" s="8" t="str">
        <f t="shared" ref="AL22" si="229">IF(AL20="","",(AK22+AK23))</f>
        <v/>
      </c>
      <c r="AM22" s="8" t="str">
        <f t="shared" ref="AM22:AN22" si="230">IF(AM20="","",(AL22+AL23))</f>
        <v/>
      </c>
      <c r="AN22" s="8" t="str">
        <f>IF(AN20="","",(AM22+AM23))</f>
        <v/>
      </c>
      <c r="AO22" s="8" t="str">
        <f t="shared" ref="AO22:AS22" si="231">IF(AO20="","",(AN22+AN23))</f>
        <v/>
      </c>
      <c r="AP22" s="8" t="str">
        <f t="shared" si="231"/>
        <v/>
      </c>
      <c r="AQ22" s="8" t="str">
        <f t="shared" si="231"/>
        <v/>
      </c>
      <c r="AR22" s="8" t="str">
        <f t="shared" si="231"/>
        <v/>
      </c>
      <c r="AS22" s="8" t="str">
        <f t="shared" si="231"/>
        <v/>
      </c>
    </row>
    <row r="23" spans="1:45" s="84" customFormat="1" ht="11.25" x14ac:dyDescent="0.15">
      <c r="A23" s="14"/>
      <c r="B23" s="9" t="s">
        <v>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>
        <v>8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</row>
    <row r="24" spans="1:45" s="84" customFormat="1" ht="11.25" x14ac:dyDescent="0.15">
      <c r="A24" s="7"/>
      <c r="B24" s="9" t="s">
        <v>8</v>
      </c>
      <c r="C24" s="8">
        <v>750</v>
      </c>
      <c r="D24" s="8">
        <v>750</v>
      </c>
      <c r="E24" s="8">
        <v>750</v>
      </c>
      <c r="F24" s="8">
        <v>750</v>
      </c>
      <c r="G24" s="8">
        <v>750</v>
      </c>
      <c r="H24" s="8">
        <v>750</v>
      </c>
      <c r="I24" s="8">
        <v>750</v>
      </c>
      <c r="J24" s="8">
        <v>750</v>
      </c>
      <c r="K24" s="8">
        <v>750</v>
      </c>
      <c r="L24" s="8">
        <f t="shared" ref="L24" si="232">IF(L20="","",K24)</f>
        <v>750</v>
      </c>
      <c r="M24" s="8">
        <f t="shared" ref="M24" si="233">IF(M20="","",L24)</f>
        <v>750</v>
      </c>
      <c r="N24" s="8">
        <f t="shared" ref="N24" si="234">IF(N20="","",M24)</f>
        <v>750</v>
      </c>
      <c r="O24" s="8" t="str">
        <f t="shared" ref="O24" si="235">IF(O20="","",N24)</f>
        <v/>
      </c>
      <c r="P24" s="8" t="str">
        <f t="shared" ref="P24" si="236">IF(P20="","",O24)</f>
        <v/>
      </c>
      <c r="Q24" s="8" t="str">
        <f t="shared" ref="Q24" si="237">IF(Q20="","",P24)</f>
        <v/>
      </c>
      <c r="R24" s="8" t="str">
        <f t="shared" ref="R24" si="238">IF(R20="","",Q24)</f>
        <v/>
      </c>
      <c r="S24" s="8" t="str">
        <f t="shared" ref="S24" si="239">IF(S20="","",R24)</f>
        <v/>
      </c>
      <c r="T24" s="8" t="str">
        <f t="shared" ref="T24" si="240">IF(T20="","",S24)</f>
        <v/>
      </c>
      <c r="U24" s="8" t="str">
        <f t="shared" ref="U24" si="241">IF(U20="","",T24)</f>
        <v/>
      </c>
      <c r="V24" s="8" t="str">
        <f t="shared" ref="V24" si="242">IF(V20="","",U24)</f>
        <v/>
      </c>
      <c r="W24" s="8" t="str">
        <f t="shared" ref="W24" si="243">IF(W20="","",V24)</f>
        <v/>
      </c>
      <c r="X24" s="8" t="str">
        <f t="shared" ref="X24" si="244">IF(X20="","",W24)</f>
        <v/>
      </c>
      <c r="Y24" s="8" t="str">
        <f t="shared" ref="Y24" si="245">IF(Y20="","",X24)</f>
        <v/>
      </c>
      <c r="Z24" s="8" t="str">
        <f t="shared" ref="Z24" si="246">IF(Z20="","",Y24)</f>
        <v/>
      </c>
      <c r="AA24" s="8" t="str">
        <f t="shared" ref="AA24" si="247">IF(AA20="","",Z24)</f>
        <v/>
      </c>
      <c r="AB24" s="8" t="str">
        <f t="shared" ref="AB24" si="248">IF(AB20="","",AA24)</f>
        <v/>
      </c>
      <c r="AC24" s="8" t="str">
        <f t="shared" ref="AC24" si="249">IF(AC20="","",AB24)</f>
        <v/>
      </c>
      <c r="AD24" s="8" t="str">
        <f t="shared" ref="AD24" si="250">IF(AD20="","",AC24)</f>
        <v/>
      </c>
      <c r="AE24" s="8" t="str">
        <f t="shared" ref="AE24" si="251">IF(AE20="","",AD24)</f>
        <v/>
      </c>
      <c r="AF24" s="8" t="str">
        <f t="shared" ref="AF24" si="252">IF(AF20="","",AE24)</f>
        <v/>
      </c>
      <c r="AG24" s="8" t="str">
        <f t="shared" ref="AG24" si="253">IF(AG20="","",AF24)</f>
        <v/>
      </c>
      <c r="AH24" s="8" t="str">
        <f t="shared" ref="AH24" si="254">IF(AH20="","",AG24)</f>
        <v/>
      </c>
      <c r="AI24" s="8" t="str">
        <f t="shared" ref="AI24" si="255">IF(AI20="","",AH24)</f>
        <v/>
      </c>
      <c r="AJ24" s="8" t="str">
        <f t="shared" ref="AJ24" si="256">IF(AJ20="","",AI24)</f>
        <v/>
      </c>
      <c r="AK24" s="8" t="str">
        <f t="shared" ref="AK24" si="257">IF(AK20="","",AJ24)</f>
        <v/>
      </c>
      <c r="AL24" s="8" t="str">
        <f t="shared" ref="AL24" si="258">IF(AL20="","",AK24)</f>
        <v/>
      </c>
      <c r="AM24" s="8" t="str">
        <f t="shared" ref="AM24:AN24" si="259">IF(AM20="","",AL24)</f>
        <v/>
      </c>
      <c r="AN24" s="8" t="str">
        <f t="shared" si="259"/>
        <v/>
      </c>
      <c r="AO24" s="8" t="str">
        <f t="shared" ref="AO24:AS24" si="260">IF(AO20="","",AN24)</f>
        <v/>
      </c>
      <c r="AP24" s="8" t="str">
        <f t="shared" si="260"/>
        <v/>
      </c>
      <c r="AQ24" s="8" t="str">
        <f t="shared" si="260"/>
        <v/>
      </c>
      <c r="AR24" s="8" t="str">
        <f t="shared" si="260"/>
        <v/>
      </c>
      <c r="AS24" s="8" t="str">
        <f t="shared" si="260"/>
        <v/>
      </c>
    </row>
    <row r="25" spans="1:45" s="85" customFormat="1" ht="11.25" x14ac:dyDescent="0.15">
      <c r="A25" s="14" t="s">
        <v>9</v>
      </c>
      <c r="B25" s="13" t="s">
        <v>10</v>
      </c>
      <c r="C25" s="12" t="s">
        <v>357</v>
      </c>
      <c r="D25" s="12" t="s">
        <v>357</v>
      </c>
      <c r="E25" s="12" t="s">
        <v>357</v>
      </c>
      <c r="F25" s="12" t="s">
        <v>357</v>
      </c>
      <c r="G25" s="12" t="s">
        <v>357</v>
      </c>
      <c r="H25" s="12" t="s">
        <v>357</v>
      </c>
      <c r="I25" s="12" t="s">
        <v>357</v>
      </c>
      <c r="J25" s="12" t="s">
        <v>357</v>
      </c>
      <c r="K25" s="12" t="s">
        <v>357</v>
      </c>
      <c r="L25" s="12" t="str">
        <f t="shared" ref="L25" si="261">IF(L20="","",K25)</f>
        <v>たまごっちミニポシェット</v>
      </c>
      <c r="M25" s="12" t="str">
        <f t="shared" ref="M25" si="262">IF(M20="","",L25)</f>
        <v>たまごっちミニポシェット</v>
      </c>
      <c r="N25" s="12" t="str">
        <f t="shared" ref="N25" si="263">IF(N20="","",M25)</f>
        <v>たまごっちミニポシェット</v>
      </c>
      <c r="O25" s="12" t="str">
        <f t="shared" ref="O25" si="264">IF(O20="","",N25)</f>
        <v/>
      </c>
      <c r="P25" s="12" t="str">
        <f>IF(P20="","",O25)</f>
        <v/>
      </c>
      <c r="Q25" s="12" t="str">
        <f t="shared" ref="Q25" si="265">IF(Q20="","",P25)</f>
        <v/>
      </c>
      <c r="R25" s="12" t="str">
        <f t="shared" ref="R25" si="266">IF(R20="","",Q25)</f>
        <v/>
      </c>
      <c r="S25" s="12" t="str">
        <f t="shared" ref="S25" si="267">IF(S20="","",R25)</f>
        <v/>
      </c>
      <c r="T25" s="12" t="str">
        <f t="shared" ref="T25" si="268">IF(T20="","",S25)</f>
        <v/>
      </c>
      <c r="U25" s="12" t="str">
        <f t="shared" ref="U25" si="269">IF(U20="","",T25)</f>
        <v/>
      </c>
      <c r="V25" s="12" t="str">
        <f t="shared" ref="V25" si="270">IF(V20="","",U25)</f>
        <v/>
      </c>
      <c r="W25" s="12" t="str">
        <f t="shared" ref="W25" si="271">IF(W20="","",V25)</f>
        <v/>
      </c>
      <c r="X25" s="12" t="str">
        <f t="shared" ref="X25" si="272">IF(X20="","",W25)</f>
        <v/>
      </c>
      <c r="Y25" s="12" t="str">
        <f t="shared" ref="Y25" si="273">IF(Y20="","",X25)</f>
        <v/>
      </c>
      <c r="Z25" s="12" t="str">
        <f t="shared" ref="Z25" si="274">IF(Z20="","",Y25)</f>
        <v/>
      </c>
      <c r="AA25" s="12" t="str">
        <f t="shared" ref="AA25" si="275">IF(AA20="","",Z25)</f>
        <v/>
      </c>
      <c r="AB25" s="12" t="str">
        <f t="shared" ref="AB25" si="276">IF(AB20="","",AA25)</f>
        <v/>
      </c>
      <c r="AC25" s="12" t="str">
        <f t="shared" ref="AC25" si="277">IF(AC20="","",AB25)</f>
        <v/>
      </c>
      <c r="AD25" s="12" t="str">
        <f t="shared" ref="AD25" si="278">IF(AD20="","",AC25)</f>
        <v/>
      </c>
      <c r="AE25" s="12" t="str">
        <f t="shared" ref="AE25" si="279">IF(AE20="","",AD25)</f>
        <v/>
      </c>
      <c r="AF25" s="12" t="str">
        <f t="shared" ref="AF25" si="280">IF(AF20="","",AE25)</f>
        <v/>
      </c>
      <c r="AG25" s="12" t="str">
        <f t="shared" ref="AG25" si="281">IF(AG20="","",AF25)</f>
        <v/>
      </c>
      <c r="AH25" s="12" t="str">
        <f t="shared" ref="AH25" si="282">IF(AH20="","",AG25)</f>
        <v/>
      </c>
      <c r="AI25" s="12" t="str">
        <f t="shared" ref="AI25" si="283">IF(AI20="","",AH25)</f>
        <v/>
      </c>
      <c r="AJ25" s="12" t="str">
        <f t="shared" ref="AJ25" si="284">IF(AJ20="","",AI25)</f>
        <v/>
      </c>
      <c r="AK25" s="12" t="str">
        <f t="shared" ref="AK25" si="285">IF(AK20="","",AJ25)</f>
        <v/>
      </c>
      <c r="AL25" s="12" t="str">
        <f t="shared" ref="AL25" si="286">IF(AL20="","",AK25)</f>
        <v/>
      </c>
      <c r="AM25" s="12" t="str">
        <f t="shared" ref="AM25:AN25" si="287">IF(AM20="","",AL25)</f>
        <v/>
      </c>
      <c r="AN25" s="12" t="str">
        <f t="shared" si="287"/>
        <v/>
      </c>
      <c r="AO25" s="12" t="str">
        <f t="shared" ref="AO25:AS25" si="288">IF(AO20="","",AN25)</f>
        <v/>
      </c>
      <c r="AP25" s="12" t="str">
        <f t="shared" si="288"/>
        <v/>
      </c>
      <c r="AQ25" s="12" t="str">
        <f t="shared" si="288"/>
        <v/>
      </c>
      <c r="AR25" s="12" t="str">
        <f t="shared" si="288"/>
        <v/>
      </c>
      <c r="AS25" s="12" t="str">
        <f t="shared" si="288"/>
        <v/>
      </c>
    </row>
    <row r="26" spans="1:45" s="84" customFormat="1" ht="11.25" x14ac:dyDescent="0.15">
      <c r="A26" s="7">
        <f>AVERAGE(C27:AS27)*30*100</f>
        <v>32250</v>
      </c>
      <c r="B26" s="9" t="s">
        <v>12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</row>
    <row r="27" spans="1:45" s="84" customFormat="1" ht="11.25" x14ac:dyDescent="0.15">
      <c r="A27" s="7">
        <f>SUM(C27:AS27)</f>
        <v>129</v>
      </c>
      <c r="B27" s="6" t="s">
        <v>13</v>
      </c>
      <c r="C27" s="5">
        <v>0</v>
      </c>
      <c r="D27" s="5">
        <v>0</v>
      </c>
      <c r="E27" s="5">
        <v>0</v>
      </c>
      <c r="F27" s="5">
        <v>0</v>
      </c>
      <c r="G27" s="5">
        <v>66</v>
      </c>
      <c r="H27" s="5">
        <v>0</v>
      </c>
      <c r="I27" s="5">
        <v>0</v>
      </c>
      <c r="J27" s="5">
        <v>0</v>
      </c>
      <c r="K27" s="5">
        <v>40</v>
      </c>
      <c r="L27" s="5">
        <f t="shared" ref="L27:L28" si="289">IF(L20="","",L20-K20)</f>
        <v>0</v>
      </c>
      <c r="M27" s="5">
        <f t="shared" ref="M27:M28" si="290">IF(M20="","",M20-L20)</f>
        <v>0</v>
      </c>
      <c r="N27" s="5">
        <f t="shared" ref="N27:N28" si="291">IF(N20="","",N20-M20)</f>
        <v>23</v>
      </c>
      <c r="O27" s="5" t="str">
        <f t="shared" ref="O27:O28" si="292">IF(O20="","",O20-N20)</f>
        <v/>
      </c>
      <c r="P27" s="5" t="str">
        <f t="shared" ref="P27:P28" si="293">IF(P20="","",P20-O20)</f>
        <v/>
      </c>
      <c r="Q27" s="5" t="str">
        <f t="shared" ref="Q27:Q28" si="294">IF(Q20="","",Q20-P20)</f>
        <v/>
      </c>
      <c r="R27" s="5" t="str">
        <f t="shared" ref="R27:R28" si="295">IF(R20="","",R20-Q20)</f>
        <v/>
      </c>
      <c r="S27" s="5" t="str">
        <f t="shared" ref="S27:S28" si="296">IF(S20="","",S20-R20)</f>
        <v/>
      </c>
      <c r="T27" s="5" t="str">
        <f t="shared" ref="T27:T28" si="297">IF(T20="","",T20-S20)</f>
        <v/>
      </c>
      <c r="U27" s="5" t="str">
        <f t="shared" ref="U27:U28" si="298">IF(U20="","",U20-T20)</f>
        <v/>
      </c>
      <c r="V27" s="5" t="str">
        <f t="shared" ref="V27:V28" si="299">IF(V20="","",V20-U20)</f>
        <v/>
      </c>
      <c r="W27" s="5" t="str">
        <f t="shared" ref="W27:W28" si="300">IF(W20="","",W20-V20)</f>
        <v/>
      </c>
      <c r="X27" s="5" t="str">
        <f t="shared" ref="X27:X28" si="301">IF(X20="","",X20-W20)</f>
        <v/>
      </c>
      <c r="Y27" s="5" t="str">
        <f t="shared" ref="Y27:Y28" si="302">IF(Y20="","",Y20-X20)</f>
        <v/>
      </c>
      <c r="Z27" s="5" t="str">
        <f t="shared" ref="Z27:Z28" si="303">IF(Z20="","",Z20-Y20)</f>
        <v/>
      </c>
      <c r="AA27" s="5" t="str">
        <f t="shared" ref="AA27:AA28" si="304">IF(AA20="","",AA20-Z20)</f>
        <v/>
      </c>
      <c r="AB27" s="5" t="str">
        <f t="shared" ref="AB27:AB28" si="305">IF(AB20="","",AB20-AA20)</f>
        <v/>
      </c>
      <c r="AC27" s="5" t="str">
        <f t="shared" ref="AC27:AC28" si="306">IF(AC20="","",AC20-AB20)</f>
        <v/>
      </c>
      <c r="AD27" s="5" t="str">
        <f t="shared" ref="AD27:AD28" si="307">IF(AD20="","",AD20-AC20)</f>
        <v/>
      </c>
      <c r="AE27" s="5" t="str">
        <f t="shared" ref="AE27:AE28" si="308">IF(AE20="","",AE20-AD20)</f>
        <v/>
      </c>
      <c r="AF27" s="5" t="str">
        <f t="shared" ref="AF27:AF28" si="309">IF(AF20="","",AF20-AE20)</f>
        <v/>
      </c>
      <c r="AG27" s="5" t="str">
        <f t="shared" ref="AG27:AG28" si="310">IF(AG20="","",AG20-AF20)</f>
        <v/>
      </c>
      <c r="AH27" s="5" t="str">
        <f t="shared" ref="AH27:AH28" si="311">IF(AH20="","",AH20-AG20)</f>
        <v/>
      </c>
      <c r="AI27" s="5" t="str">
        <f t="shared" ref="AI27:AI28" si="312">IF(AI20="","",AI20-AH20)</f>
        <v/>
      </c>
      <c r="AJ27" s="5" t="str">
        <f t="shared" ref="AJ27:AJ28" si="313">IF(AJ20="","",AJ20-AI20)</f>
        <v/>
      </c>
      <c r="AK27" s="5" t="str">
        <f t="shared" ref="AK27:AK28" si="314">IF(AK20="","",AK20-AJ20)</f>
        <v/>
      </c>
      <c r="AL27" s="5" t="str">
        <f t="shared" ref="AL27:AL28" si="315">IF(AL20="","",AL20-AK20)</f>
        <v/>
      </c>
      <c r="AM27" s="5" t="str">
        <f t="shared" ref="AM27:AN27" si="316">IF(AM20="","",AM20-AL20)</f>
        <v/>
      </c>
      <c r="AN27" s="5" t="str">
        <f t="shared" si="316"/>
        <v/>
      </c>
      <c r="AO27" s="5" t="str">
        <f t="shared" ref="AO27:AS27" si="317">IF(AO20="","",AO20-AN20)</f>
        <v/>
      </c>
      <c r="AP27" s="5" t="str">
        <f t="shared" si="317"/>
        <v/>
      </c>
      <c r="AQ27" s="5" t="str">
        <f t="shared" si="317"/>
        <v/>
      </c>
      <c r="AR27" s="5" t="str">
        <f t="shared" si="317"/>
        <v/>
      </c>
      <c r="AS27" s="5" t="str">
        <f t="shared" si="317"/>
        <v/>
      </c>
    </row>
    <row r="28" spans="1:45" s="84" customFormat="1" ht="11.25" x14ac:dyDescent="0.15">
      <c r="A28" s="7">
        <f>SUM(C28:AS28)</f>
        <v>4</v>
      </c>
      <c r="B28" s="6" t="s">
        <v>14</v>
      </c>
      <c r="C28" s="5">
        <v>0</v>
      </c>
      <c r="D28" s="5">
        <v>0</v>
      </c>
      <c r="E28" s="5">
        <v>0</v>
      </c>
      <c r="F28" s="5">
        <v>0</v>
      </c>
      <c r="G28" s="5">
        <v>1</v>
      </c>
      <c r="H28" s="5">
        <v>0</v>
      </c>
      <c r="I28" s="5">
        <v>0</v>
      </c>
      <c r="J28" s="5">
        <v>0</v>
      </c>
      <c r="K28" s="5">
        <v>2</v>
      </c>
      <c r="L28" s="5">
        <f t="shared" si="289"/>
        <v>0</v>
      </c>
      <c r="M28" s="5">
        <f t="shared" si="290"/>
        <v>0</v>
      </c>
      <c r="N28" s="5">
        <f t="shared" si="291"/>
        <v>1</v>
      </c>
      <c r="O28" s="5" t="str">
        <f t="shared" si="292"/>
        <v/>
      </c>
      <c r="P28" s="5" t="str">
        <f t="shared" si="293"/>
        <v/>
      </c>
      <c r="Q28" s="5" t="str">
        <f t="shared" si="294"/>
        <v/>
      </c>
      <c r="R28" s="5" t="str">
        <f t="shared" si="295"/>
        <v/>
      </c>
      <c r="S28" s="5" t="str">
        <f t="shared" si="296"/>
        <v/>
      </c>
      <c r="T28" s="5" t="str">
        <f t="shared" si="297"/>
        <v/>
      </c>
      <c r="U28" s="5" t="str">
        <f t="shared" si="298"/>
        <v/>
      </c>
      <c r="V28" s="5" t="str">
        <f t="shared" si="299"/>
        <v/>
      </c>
      <c r="W28" s="5" t="str">
        <f t="shared" si="300"/>
        <v/>
      </c>
      <c r="X28" s="5" t="str">
        <f t="shared" si="301"/>
        <v/>
      </c>
      <c r="Y28" s="5" t="str">
        <f t="shared" si="302"/>
        <v/>
      </c>
      <c r="Z28" s="5" t="str">
        <f t="shared" si="303"/>
        <v/>
      </c>
      <c r="AA28" s="5" t="str">
        <f t="shared" si="304"/>
        <v/>
      </c>
      <c r="AB28" s="5" t="str">
        <f t="shared" si="305"/>
        <v/>
      </c>
      <c r="AC28" s="5" t="str">
        <f t="shared" si="306"/>
        <v/>
      </c>
      <c r="AD28" s="5" t="str">
        <f t="shared" si="307"/>
        <v/>
      </c>
      <c r="AE28" s="5" t="str">
        <f t="shared" si="308"/>
        <v/>
      </c>
      <c r="AF28" s="5" t="str">
        <f t="shared" si="309"/>
        <v/>
      </c>
      <c r="AG28" s="5" t="str">
        <f t="shared" si="310"/>
        <v/>
      </c>
      <c r="AH28" s="5" t="str">
        <f t="shared" si="311"/>
        <v/>
      </c>
      <c r="AI28" s="5" t="str">
        <f t="shared" si="312"/>
        <v/>
      </c>
      <c r="AJ28" s="5" t="str">
        <f t="shared" si="313"/>
        <v/>
      </c>
      <c r="AK28" s="5" t="str">
        <f t="shared" si="314"/>
        <v/>
      </c>
      <c r="AL28" s="5" t="str">
        <f t="shared" si="315"/>
        <v/>
      </c>
      <c r="AM28" s="5" t="str">
        <f t="shared" ref="AM28:AN28" si="318">IF(AM21="","",AM21-AL21)</f>
        <v/>
      </c>
      <c r="AN28" s="5" t="str">
        <f t="shared" si="318"/>
        <v/>
      </c>
      <c r="AO28" s="5" t="str">
        <f t="shared" ref="AO28:AS28" si="319">IF(AO21="","",AO21-AN21)</f>
        <v/>
      </c>
      <c r="AP28" s="5" t="str">
        <f t="shared" si="319"/>
        <v/>
      </c>
      <c r="AQ28" s="5" t="str">
        <f t="shared" si="319"/>
        <v/>
      </c>
      <c r="AR28" s="5" t="str">
        <f t="shared" si="319"/>
        <v/>
      </c>
      <c r="AS28" s="5" t="str">
        <f t="shared" si="319"/>
        <v/>
      </c>
    </row>
    <row r="29" spans="1:45" s="84" customFormat="1" ht="11.25" x14ac:dyDescent="0.15">
      <c r="A29" s="7">
        <f>SUM(C29:AS29)</f>
        <v>5</v>
      </c>
      <c r="B29" s="6" t="s">
        <v>15</v>
      </c>
      <c r="C29" s="5">
        <v>0</v>
      </c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3</v>
      </c>
      <c r="L29" s="5">
        <f t="shared" ref="L29" si="320">IF(L22="","",K22+K23-L22)</f>
        <v>0</v>
      </c>
      <c r="M29" s="5">
        <f t="shared" ref="M29" si="321">IF(M22="","",L22+L23-M22)</f>
        <v>0</v>
      </c>
      <c r="N29" s="5">
        <f t="shared" ref="N29" si="322">IF(N22="","",M22+M23-N22)</f>
        <v>1</v>
      </c>
      <c r="O29" s="5" t="str">
        <f t="shared" ref="O29" si="323">IF(O22="","",N22+N23-O22)</f>
        <v/>
      </c>
      <c r="P29" s="5" t="str">
        <f t="shared" ref="P29" si="324">IF(P22="","",O22+O23-P22)</f>
        <v/>
      </c>
      <c r="Q29" s="5" t="str">
        <f t="shared" ref="Q29" si="325">IF(Q22="","",P22+P23-Q22)</f>
        <v/>
      </c>
      <c r="R29" s="5" t="str">
        <f t="shared" ref="R29" si="326">IF(R22="","",Q22+Q23-R22)</f>
        <v/>
      </c>
      <c r="S29" s="5" t="str">
        <f t="shared" ref="S29" si="327">IF(S22="","",R22+R23-S22)</f>
        <v/>
      </c>
      <c r="T29" s="5" t="str">
        <f t="shared" ref="T29" si="328">IF(T22="","",S22+S23-T22)</f>
        <v/>
      </c>
      <c r="U29" s="5" t="str">
        <f t="shared" ref="U29" si="329">IF(U22="","",T22+T23-U22)</f>
        <v/>
      </c>
      <c r="V29" s="5" t="str">
        <f t="shared" ref="V29" si="330">IF(V22="","",U22+U23-V22)</f>
        <v/>
      </c>
      <c r="W29" s="5" t="str">
        <f t="shared" ref="W29" si="331">IF(W22="","",V22+V23-W22)</f>
        <v/>
      </c>
      <c r="X29" s="5" t="str">
        <f t="shared" ref="X29" si="332">IF(X22="","",W22+W23-X22)</f>
        <v/>
      </c>
      <c r="Y29" s="5" t="str">
        <f t="shared" ref="Y29" si="333">IF(Y22="","",X22+X23-Y22)</f>
        <v/>
      </c>
      <c r="Z29" s="5" t="str">
        <f t="shared" ref="Z29" si="334">IF(Z22="","",Y22+Y23-Z22)</f>
        <v/>
      </c>
      <c r="AA29" s="5" t="str">
        <f t="shared" ref="AA29" si="335">IF(AA22="","",Z22+Z23-AA22)</f>
        <v/>
      </c>
      <c r="AB29" s="5" t="str">
        <f t="shared" ref="AB29" si="336">IF(AB22="","",AA22+AA23-AB22)</f>
        <v/>
      </c>
      <c r="AC29" s="5" t="str">
        <f t="shared" ref="AC29" si="337">IF(AC22="","",AB22+AB23-AC22)</f>
        <v/>
      </c>
      <c r="AD29" s="5" t="str">
        <f t="shared" ref="AD29" si="338">IF(AD22="","",AC22+AC23-AD22)</f>
        <v/>
      </c>
      <c r="AE29" s="5" t="str">
        <f t="shared" ref="AE29" si="339">IF(AE22="","",AD22+AD23-AE22)</f>
        <v/>
      </c>
      <c r="AF29" s="5" t="str">
        <f t="shared" ref="AF29" si="340">IF(AF22="","",AE22+AE23-AF22)</f>
        <v/>
      </c>
      <c r="AG29" s="5" t="str">
        <f t="shared" ref="AG29" si="341">IF(AG22="","",AF22+AF23-AG22)</f>
        <v/>
      </c>
      <c r="AH29" s="5" t="str">
        <f t="shared" ref="AH29" si="342">IF(AH22="","",AG22+AG23-AH22)</f>
        <v/>
      </c>
      <c r="AI29" s="5" t="str">
        <f t="shared" ref="AI29" si="343">IF(AI22="","",AH22+AH23-AI22)</f>
        <v/>
      </c>
      <c r="AJ29" s="5" t="str">
        <f t="shared" ref="AJ29" si="344">IF(AJ22="","",AI22+AI23-AJ22)</f>
        <v/>
      </c>
      <c r="AK29" s="5" t="str">
        <f t="shared" ref="AK29" si="345">IF(AK22="","",AJ22+AJ23-AK22)</f>
        <v/>
      </c>
      <c r="AL29" s="5" t="str">
        <f t="shared" ref="AL29" si="346">IF(AL22="","",AK22+AK23-AL22)</f>
        <v/>
      </c>
      <c r="AM29" s="5" t="str">
        <f t="shared" ref="AM29:AN29" si="347">IF(AM22="","",AL22+AL23-AM22)</f>
        <v/>
      </c>
      <c r="AN29" s="5" t="str">
        <f t="shared" si="347"/>
        <v/>
      </c>
      <c r="AO29" s="5" t="str">
        <f t="shared" ref="AO29:AS29" si="348">IF(AO22="","",AN22+AN23-AO22)</f>
        <v/>
      </c>
      <c r="AP29" s="5" t="str">
        <f t="shared" si="348"/>
        <v/>
      </c>
      <c r="AQ29" s="5" t="str">
        <f t="shared" si="348"/>
        <v/>
      </c>
      <c r="AR29" s="5" t="str">
        <f t="shared" si="348"/>
        <v/>
      </c>
      <c r="AS29" s="5" t="str">
        <f t="shared" si="348"/>
        <v/>
      </c>
    </row>
    <row r="30" spans="1:45" s="84" customFormat="1" ht="11.25" x14ac:dyDescent="0.15">
      <c r="A30" s="7">
        <f>SUM(C30:AS30)</f>
        <v>3750</v>
      </c>
      <c r="B30" s="6" t="s">
        <v>16</v>
      </c>
      <c r="C30" s="5">
        <v>0</v>
      </c>
      <c r="D30" s="5">
        <v>0</v>
      </c>
      <c r="E30" s="5">
        <v>0</v>
      </c>
      <c r="F30" s="5">
        <v>0</v>
      </c>
      <c r="G30" s="5">
        <v>750</v>
      </c>
      <c r="H30" s="5">
        <v>0</v>
      </c>
      <c r="I30" s="5">
        <v>0</v>
      </c>
      <c r="J30" s="5">
        <v>0</v>
      </c>
      <c r="K30" s="5">
        <v>2250</v>
      </c>
      <c r="L30" s="5">
        <f t="shared" ref="J30:AL30" si="349">IF(L20="","",L29*L24)</f>
        <v>0</v>
      </c>
      <c r="M30" s="5">
        <f t="shared" si="349"/>
        <v>0</v>
      </c>
      <c r="N30" s="5">
        <f t="shared" si="349"/>
        <v>750</v>
      </c>
      <c r="O30" s="5" t="str">
        <f t="shared" si="349"/>
        <v/>
      </c>
      <c r="P30" s="5" t="str">
        <f t="shared" si="349"/>
        <v/>
      </c>
      <c r="Q30" s="5" t="str">
        <f t="shared" si="349"/>
        <v/>
      </c>
      <c r="R30" s="5" t="str">
        <f t="shared" si="349"/>
        <v/>
      </c>
      <c r="S30" s="5" t="str">
        <f t="shared" si="349"/>
        <v/>
      </c>
      <c r="T30" s="5" t="str">
        <f t="shared" si="349"/>
        <v/>
      </c>
      <c r="U30" s="5" t="str">
        <f t="shared" si="349"/>
        <v/>
      </c>
      <c r="V30" s="5" t="str">
        <f t="shared" si="349"/>
        <v/>
      </c>
      <c r="W30" s="5" t="str">
        <f t="shared" si="349"/>
        <v/>
      </c>
      <c r="X30" s="5" t="str">
        <f t="shared" si="349"/>
        <v/>
      </c>
      <c r="Y30" s="5" t="str">
        <f t="shared" si="349"/>
        <v/>
      </c>
      <c r="Z30" s="5" t="str">
        <f t="shared" si="349"/>
        <v/>
      </c>
      <c r="AA30" s="5" t="str">
        <f t="shared" si="349"/>
        <v/>
      </c>
      <c r="AB30" s="5" t="str">
        <f t="shared" si="349"/>
        <v/>
      </c>
      <c r="AC30" s="5" t="str">
        <f t="shared" si="349"/>
        <v/>
      </c>
      <c r="AD30" s="5" t="str">
        <f t="shared" si="349"/>
        <v/>
      </c>
      <c r="AE30" s="5" t="str">
        <f t="shared" si="349"/>
        <v/>
      </c>
      <c r="AF30" s="5" t="str">
        <f t="shared" si="349"/>
        <v/>
      </c>
      <c r="AG30" s="5" t="str">
        <f t="shared" si="349"/>
        <v/>
      </c>
      <c r="AH30" s="5" t="str">
        <f t="shared" si="349"/>
        <v/>
      </c>
      <c r="AI30" s="5" t="str">
        <f t="shared" si="349"/>
        <v/>
      </c>
      <c r="AJ30" s="5" t="str">
        <f t="shared" si="349"/>
        <v/>
      </c>
      <c r="AK30" s="5" t="str">
        <f t="shared" si="349"/>
        <v/>
      </c>
      <c r="AL30" s="5" t="str">
        <f t="shared" si="349"/>
        <v/>
      </c>
      <c r="AM30" s="5" t="str">
        <f t="shared" ref="AM30:AN30" si="350">IF(AM20="","",AM29*AM24)</f>
        <v/>
      </c>
      <c r="AN30" s="5" t="str">
        <f t="shared" si="350"/>
        <v/>
      </c>
      <c r="AO30" s="5" t="str">
        <f t="shared" ref="AO30:AS30" si="351">IF(AO20="","",AO29*AO24)</f>
        <v/>
      </c>
      <c r="AP30" s="5" t="str">
        <f t="shared" si="351"/>
        <v/>
      </c>
      <c r="AQ30" s="5" t="str">
        <f t="shared" si="351"/>
        <v/>
      </c>
      <c r="AR30" s="5" t="str">
        <f t="shared" si="351"/>
        <v/>
      </c>
      <c r="AS30" s="5" t="str">
        <f t="shared" si="351"/>
        <v/>
      </c>
    </row>
    <row r="31" spans="1:45" s="84" customFormat="1" ht="12" thickBot="1" x14ac:dyDescent="0.2">
      <c r="A31" s="4">
        <f>IF(A30="","",A30/(A27*100))</f>
        <v>0.29069767441860467</v>
      </c>
      <c r="B31" s="6" t="s">
        <v>18</v>
      </c>
      <c r="C31" s="18" t="s">
        <v>19</v>
      </c>
      <c r="D31" s="18" t="s">
        <v>19</v>
      </c>
      <c r="E31" s="18" t="s">
        <v>19</v>
      </c>
      <c r="F31" s="18" t="s">
        <v>19</v>
      </c>
      <c r="G31" s="18">
        <v>0.11363636363636363</v>
      </c>
      <c r="H31" s="18" t="s">
        <v>19</v>
      </c>
      <c r="I31" s="18" t="s">
        <v>19</v>
      </c>
      <c r="J31" s="18" t="s">
        <v>19</v>
      </c>
      <c r="K31" s="18">
        <v>0.5625</v>
      </c>
      <c r="L31" s="18" t="str">
        <f t="shared" ref="J31:AL31" si="352">IF(L30="","",IF(L30=0,"",L30/(L27*100)))</f>
        <v/>
      </c>
      <c r="M31" s="18" t="str">
        <f t="shared" si="352"/>
        <v/>
      </c>
      <c r="N31" s="18">
        <f t="shared" si="352"/>
        <v>0.32608695652173914</v>
      </c>
      <c r="O31" s="18" t="str">
        <f t="shared" si="352"/>
        <v/>
      </c>
      <c r="P31" s="18" t="str">
        <f t="shared" si="352"/>
        <v/>
      </c>
      <c r="Q31" s="18" t="str">
        <f t="shared" si="352"/>
        <v/>
      </c>
      <c r="R31" s="18" t="str">
        <f t="shared" si="352"/>
        <v/>
      </c>
      <c r="S31" s="18" t="str">
        <f t="shared" si="352"/>
        <v/>
      </c>
      <c r="T31" s="18" t="str">
        <f t="shared" si="352"/>
        <v/>
      </c>
      <c r="U31" s="18" t="str">
        <f t="shared" si="352"/>
        <v/>
      </c>
      <c r="V31" s="18" t="str">
        <f t="shared" si="352"/>
        <v/>
      </c>
      <c r="W31" s="18" t="str">
        <f t="shared" si="352"/>
        <v/>
      </c>
      <c r="X31" s="18" t="str">
        <f t="shared" si="352"/>
        <v/>
      </c>
      <c r="Y31" s="18" t="str">
        <f t="shared" si="352"/>
        <v/>
      </c>
      <c r="Z31" s="18" t="str">
        <f t="shared" si="352"/>
        <v/>
      </c>
      <c r="AA31" s="18" t="str">
        <f t="shared" si="352"/>
        <v/>
      </c>
      <c r="AB31" s="18" t="str">
        <f t="shared" si="352"/>
        <v/>
      </c>
      <c r="AC31" s="18" t="str">
        <f t="shared" si="352"/>
        <v/>
      </c>
      <c r="AD31" s="18" t="str">
        <f t="shared" si="352"/>
        <v/>
      </c>
      <c r="AE31" s="18" t="str">
        <f t="shared" si="352"/>
        <v/>
      </c>
      <c r="AF31" s="18" t="str">
        <f t="shared" si="352"/>
        <v/>
      </c>
      <c r="AG31" s="18" t="str">
        <f t="shared" si="352"/>
        <v/>
      </c>
      <c r="AH31" s="18" t="str">
        <f t="shared" si="352"/>
        <v/>
      </c>
      <c r="AI31" s="18" t="str">
        <f t="shared" si="352"/>
        <v/>
      </c>
      <c r="AJ31" s="18" t="str">
        <f t="shared" si="352"/>
        <v/>
      </c>
      <c r="AK31" s="18" t="str">
        <f t="shared" si="352"/>
        <v/>
      </c>
      <c r="AL31" s="18" t="str">
        <f t="shared" si="352"/>
        <v/>
      </c>
      <c r="AM31" s="18" t="str">
        <f t="shared" ref="AM31:AN31" si="353">IF(AM30="","",IF(AM30=0,"",AM30/(AM27*100)))</f>
        <v/>
      </c>
      <c r="AN31" s="18" t="str">
        <f t="shared" si="353"/>
        <v/>
      </c>
      <c r="AO31" s="18" t="str">
        <f t="shared" ref="AO31:AS31" si="354">IF(AO30="","",IF(AO30=0,"",AO30/(AO27*100)))</f>
        <v/>
      </c>
      <c r="AP31" s="18" t="str">
        <f t="shared" si="354"/>
        <v/>
      </c>
      <c r="AQ31" s="18" t="str">
        <f t="shared" si="354"/>
        <v/>
      </c>
      <c r="AR31" s="18" t="str">
        <f t="shared" si="354"/>
        <v/>
      </c>
      <c r="AS31" s="18" t="str">
        <f t="shared" si="354"/>
        <v/>
      </c>
    </row>
    <row r="32" spans="1:45" s="84" customFormat="1" ht="11.25" x14ac:dyDescent="0.15">
      <c r="A32" s="17" t="s">
        <v>94</v>
      </c>
      <c r="B32" s="9" t="s">
        <v>2</v>
      </c>
      <c r="C32" s="8">
        <v>1486</v>
      </c>
      <c r="D32" s="8">
        <v>1486</v>
      </c>
      <c r="E32" s="8">
        <v>1486</v>
      </c>
      <c r="F32" s="8">
        <v>1486</v>
      </c>
      <c r="G32" s="8">
        <v>1542</v>
      </c>
      <c r="H32" s="8">
        <v>1542</v>
      </c>
      <c r="I32" s="8">
        <v>1542</v>
      </c>
      <c r="J32" s="8">
        <v>1542</v>
      </c>
      <c r="K32" s="8">
        <v>1583</v>
      </c>
      <c r="L32" s="8">
        <f>IF(L$8="","",K32)</f>
        <v>1583</v>
      </c>
      <c r="M32" s="8">
        <f t="shared" ref="M32:M33" si="355">IF(M$8="","",L32)</f>
        <v>1583</v>
      </c>
      <c r="N32" s="8">
        <v>1620</v>
      </c>
      <c r="O32" s="8" t="str">
        <f>IF(O$8="","",N32)</f>
        <v/>
      </c>
      <c r="P32" s="8" t="str">
        <f>IF(P$8="","",O32)</f>
        <v/>
      </c>
      <c r="Q32" s="8" t="str">
        <f t="shared" ref="Q32:Q33" si="356">IF(Q$8="","",P32)</f>
        <v/>
      </c>
      <c r="R32" s="8" t="str">
        <f t="shared" ref="R32:R33" si="357">IF(R$8="","",Q32)</f>
        <v/>
      </c>
      <c r="S32" s="8" t="str">
        <f>IF(S$8="","",R32)</f>
        <v/>
      </c>
      <c r="T32" s="8" t="str">
        <f t="shared" ref="T32:T33" si="358">IF(T$8="","",S32)</f>
        <v/>
      </c>
      <c r="U32" s="8" t="str">
        <f t="shared" ref="U32:U33" si="359">IF(U$8="","",T32)</f>
        <v/>
      </c>
      <c r="V32" s="8" t="str">
        <f>IF(V$8="","",U32)</f>
        <v/>
      </c>
      <c r="W32" s="8" t="str">
        <f t="shared" ref="W32:W33" si="360">IF(W$8="","",V32)</f>
        <v/>
      </c>
      <c r="X32" s="8" t="str">
        <f t="shared" ref="X32:X33" si="361">IF(X$8="","",W32)</f>
        <v/>
      </c>
      <c r="Y32" s="8" t="str">
        <f t="shared" ref="Y32:Y33" si="362">IF(Y$8="","",X32)</f>
        <v/>
      </c>
      <c r="Z32" s="8" t="str">
        <f>IF(Z$8="","",Y32)</f>
        <v/>
      </c>
      <c r="AA32" s="8" t="str">
        <f t="shared" ref="AA32:AA33" si="363">IF(AA$8="","",Z32)</f>
        <v/>
      </c>
      <c r="AB32" s="8" t="str">
        <f t="shared" ref="AB32:AB33" si="364">IF(AB$8="","",AA32)</f>
        <v/>
      </c>
      <c r="AC32" s="8" t="str">
        <f t="shared" ref="AC32:AC33" si="365">IF(AC$8="","",AB32)</f>
        <v/>
      </c>
      <c r="AD32" s="8" t="str">
        <f>IF(AD$8="","",AC32)</f>
        <v/>
      </c>
      <c r="AE32" s="8" t="str">
        <f>IF(AE$8="","",AD32)</f>
        <v/>
      </c>
      <c r="AF32" s="8" t="str">
        <f t="shared" ref="AF32:AF33" si="366">IF(AF$8="","",AE32)</f>
        <v/>
      </c>
      <c r="AG32" s="8" t="str">
        <f>IF(AG$8="","",AF32)</f>
        <v/>
      </c>
      <c r="AH32" s="8" t="str">
        <f t="shared" ref="AH32:AH33" si="367">IF(AH$8="","",AG32)</f>
        <v/>
      </c>
      <c r="AI32" s="8" t="str">
        <f t="shared" ref="AI32:AI33" si="368">IF(AI$8="","",AH32)</f>
        <v/>
      </c>
      <c r="AJ32" s="8" t="str">
        <f>IF(AJ$8="","",AI32)</f>
        <v/>
      </c>
      <c r="AK32" s="8" t="str">
        <f t="shared" ref="AK32:AK33" si="369">IF(AK$8="","",AJ32)</f>
        <v/>
      </c>
      <c r="AL32" s="8" t="str">
        <f t="shared" ref="AL32:AL33" si="370">IF(AL$8="","",AK32)</f>
        <v/>
      </c>
      <c r="AM32" s="8" t="str">
        <f t="shared" ref="AM32:AN32" si="371">IF(AM$8="","",AL32)</f>
        <v/>
      </c>
      <c r="AN32" s="8" t="str">
        <f>IF(AN$8="","",AM32)</f>
        <v/>
      </c>
      <c r="AO32" s="8" t="str">
        <f t="shared" ref="AO32:AS32" si="372">IF(AO$8="","",AN32)</f>
        <v/>
      </c>
      <c r="AP32" s="8" t="str">
        <f t="shared" si="372"/>
        <v/>
      </c>
      <c r="AQ32" s="8" t="str">
        <f t="shared" si="372"/>
        <v/>
      </c>
      <c r="AR32" s="8" t="str">
        <f t="shared" si="372"/>
        <v/>
      </c>
      <c r="AS32" s="8" t="str">
        <f t="shared" si="372"/>
        <v/>
      </c>
    </row>
    <row r="33" spans="1:45" s="84" customFormat="1" ht="11.25" x14ac:dyDescent="0.15">
      <c r="A33" s="16" t="str">
        <f>A21</f>
        <v>BUZZ＃1</v>
      </c>
      <c r="B33" s="9" t="s">
        <v>4</v>
      </c>
      <c r="C33" s="8">
        <v>14</v>
      </c>
      <c r="D33" s="8">
        <v>14</v>
      </c>
      <c r="E33" s="8">
        <v>14</v>
      </c>
      <c r="F33" s="8">
        <v>14</v>
      </c>
      <c r="G33" s="8">
        <v>14</v>
      </c>
      <c r="H33" s="8">
        <v>14</v>
      </c>
      <c r="I33" s="8">
        <v>14</v>
      </c>
      <c r="J33" s="8">
        <v>14</v>
      </c>
      <c r="K33" s="8">
        <v>15</v>
      </c>
      <c r="L33" s="8">
        <f>IF(L$8="","",K33)</f>
        <v>15</v>
      </c>
      <c r="M33" s="8">
        <f t="shared" si="355"/>
        <v>15</v>
      </c>
      <c r="N33" s="8">
        <f t="shared" ref="N32:N33" si="373">IF(N$8="","",M33)</f>
        <v>15</v>
      </c>
      <c r="O33" s="8" t="str">
        <f>IF(O$8="","",N33)</f>
        <v/>
      </c>
      <c r="P33" s="8" t="str">
        <f>IF(P$8="","",O33)</f>
        <v/>
      </c>
      <c r="Q33" s="8" t="str">
        <f t="shared" si="356"/>
        <v/>
      </c>
      <c r="R33" s="8" t="str">
        <f t="shared" si="357"/>
        <v/>
      </c>
      <c r="S33" s="8" t="str">
        <f t="shared" ref="S33" si="374">IF(S$8="","",R33)</f>
        <v/>
      </c>
      <c r="T33" s="8" t="str">
        <f t="shared" si="358"/>
        <v/>
      </c>
      <c r="U33" s="8" t="str">
        <f t="shared" si="359"/>
        <v/>
      </c>
      <c r="V33" s="8" t="str">
        <f>IF(V$8="","",U33)</f>
        <v/>
      </c>
      <c r="W33" s="8" t="str">
        <f t="shared" si="360"/>
        <v/>
      </c>
      <c r="X33" s="8" t="str">
        <f t="shared" si="361"/>
        <v/>
      </c>
      <c r="Y33" s="8" t="str">
        <f t="shared" si="362"/>
        <v/>
      </c>
      <c r="Z33" s="8" t="str">
        <f>IF(Z$8="","",Y33)</f>
        <v/>
      </c>
      <c r="AA33" s="8" t="str">
        <f t="shared" si="363"/>
        <v/>
      </c>
      <c r="AB33" s="8" t="str">
        <f t="shared" si="364"/>
        <v/>
      </c>
      <c r="AC33" s="8" t="str">
        <f t="shared" si="365"/>
        <v/>
      </c>
      <c r="AD33" s="8" t="str">
        <f t="shared" ref="AD33" si="375">IF(AD$8="","",AC33)</f>
        <v/>
      </c>
      <c r="AE33" s="8" t="str">
        <f>IF(AE$8="","",AD33)</f>
        <v/>
      </c>
      <c r="AF33" s="8" t="str">
        <f t="shared" si="366"/>
        <v/>
      </c>
      <c r="AG33" s="8" t="str">
        <f t="shared" ref="AG33" si="376">IF(AG$8="","",AF33)</f>
        <v/>
      </c>
      <c r="AH33" s="8" t="str">
        <f t="shared" si="367"/>
        <v/>
      </c>
      <c r="AI33" s="8" t="str">
        <f t="shared" si="368"/>
        <v/>
      </c>
      <c r="AJ33" s="8" t="str">
        <f t="shared" ref="AJ32:AJ33" si="377">IF(AJ$8="","",AI33)</f>
        <v/>
      </c>
      <c r="AK33" s="8" t="str">
        <f t="shared" si="369"/>
        <v/>
      </c>
      <c r="AL33" s="8" t="str">
        <f t="shared" si="370"/>
        <v/>
      </c>
      <c r="AM33" s="8" t="str">
        <f t="shared" ref="AM33:AN33" si="378">IF(AM$8="","",AL33)</f>
        <v/>
      </c>
      <c r="AN33" s="8" t="str">
        <f>IF(AN$8="","",AM33)</f>
        <v/>
      </c>
      <c r="AO33" s="8" t="str">
        <f>IF(AO$8="","",AN33)</f>
        <v/>
      </c>
      <c r="AP33" s="8" t="str">
        <f>IF(天文館!AP$8="","",AO33)</f>
        <v/>
      </c>
      <c r="AQ33" s="8" t="str">
        <f>IF(天文館!AQ$8="","",AP33)</f>
        <v/>
      </c>
      <c r="AR33" s="8" t="str">
        <f>IF(天文館!AR$8="","",AQ33)</f>
        <v/>
      </c>
      <c r="AS33" s="8" t="str">
        <f>IF(天文館!AS$8="","",AR33)</f>
        <v/>
      </c>
    </row>
    <row r="34" spans="1:45" s="84" customFormat="1" ht="11.25" x14ac:dyDescent="0.15">
      <c r="A34" s="15">
        <v>3</v>
      </c>
      <c r="B34" s="9" t="s">
        <v>5</v>
      </c>
      <c r="C34" s="8">
        <v>11</v>
      </c>
      <c r="D34" s="8">
        <v>11</v>
      </c>
      <c r="E34" s="8">
        <v>11</v>
      </c>
      <c r="F34" s="8">
        <v>11</v>
      </c>
      <c r="G34" s="8">
        <v>11</v>
      </c>
      <c r="H34" s="8">
        <v>11</v>
      </c>
      <c r="I34" s="8">
        <v>11</v>
      </c>
      <c r="J34" s="8">
        <v>11</v>
      </c>
      <c r="K34" s="8">
        <v>10</v>
      </c>
      <c r="L34" s="8">
        <f>IF(L32="","",(K34+K35))</f>
        <v>10</v>
      </c>
      <c r="M34" s="8">
        <f t="shared" ref="M34" si="379">IF(M32="","",(L34+L35))</f>
        <v>10</v>
      </c>
      <c r="N34" s="8">
        <f t="shared" ref="N34" si="380">IF(N32="","",(M34+M35))</f>
        <v>10</v>
      </c>
      <c r="O34" s="8" t="str">
        <f>IF(O32="","",(N34+N35))</f>
        <v/>
      </c>
      <c r="P34" s="8" t="str">
        <f>IF(P32="","",(O34+O35))</f>
        <v/>
      </c>
      <c r="Q34" s="8" t="str">
        <f t="shared" ref="Q34" si="381">IF(Q32="","",(P34+P35))</f>
        <v/>
      </c>
      <c r="R34" s="8" t="str">
        <f t="shared" ref="R34" si="382">IF(R32="","",(Q34+Q35))</f>
        <v/>
      </c>
      <c r="S34" s="8" t="str">
        <f t="shared" ref="S34" si="383">IF(S32="","",(R34+R35))</f>
        <v/>
      </c>
      <c r="T34" s="8" t="str">
        <f t="shared" ref="T34" si="384">IF(T32="","",(S34+S35))</f>
        <v/>
      </c>
      <c r="U34" s="8" t="str">
        <f t="shared" ref="U34" si="385">IF(U32="","",(T34+T35))</f>
        <v/>
      </c>
      <c r="V34" s="8" t="str">
        <f>IF(V32="","",(U34+U35))</f>
        <v/>
      </c>
      <c r="W34" s="8" t="str">
        <f t="shared" ref="W34" si="386">IF(W32="","",(V34+V35))</f>
        <v/>
      </c>
      <c r="X34" s="8" t="str">
        <f t="shared" ref="X34" si="387">IF(X32="","",(W34+W35))</f>
        <v/>
      </c>
      <c r="Y34" s="8" t="str">
        <f t="shared" ref="Y34" si="388">IF(Y32="","",(X34+X35))</f>
        <v/>
      </c>
      <c r="Z34" s="8" t="str">
        <f t="shared" ref="Z34" si="389">IF(Z32="","",(Y34+Y35))</f>
        <v/>
      </c>
      <c r="AA34" s="8" t="str">
        <f t="shared" ref="AA34" si="390">IF(AA32="","",(Z34+Z35))</f>
        <v/>
      </c>
      <c r="AB34" s="8" t="str">
        <f t="shared" ref="AB34" si="391">IF(AB32="","",(AA34+AA35))</f>
        <v/>
      </c>
      <c r="AC34" s="8" t="str">
        <f t="shared" ref="AC34" si="392">IF(AC32="","",(AB34+AB35))</f>
        <v/>
      </c>
      <c r="AD34" s="8" t="str">
        <f t="shared" ref="AD34" si="393">IF(AD32="","",(AC34+AC35))</f>
        <v/>
      </c>
      <c r="AE34" s="8" t="str">
        <f>IF(AE32="","",(AD34+AD35))</f>
        <v/>
      </c>
      <c r="AF34" s="8" t="str">
        <f t="shared" ref="AF34" si="394">IF(AF32="","",(AE34+AE35))</f>
        <v/>
      </c>
      <c r="AG34" s="8" t="str">
        <f t="shared" ref="AG34" si="395">IF(AG32="","",(AF34+AF35))</f>
        <v/>
      </c>
      <c r="AH34" s="8" t="str">
        <f t="shared" ref="AH34" si="396">IF(AH32="","",(AG34+AG35))</f>
        <v/>
      </c>
      <c r="AI34" s="8" t="str">
        <f t="shared" ref="AI34" si="397">IF(AI32="","",(AH34+AH35))</f>
        <v/>
      </c>
      <c r="AJ34" s="8" t="str">
        <f t="shared" ref="AJ34" si="398">IF(AJ32="","",(AI34+AI35))</f>
        <v/>
      </c>
      <c r="AK34" s="8" t="str">
        <f t="shared" ref="AK34" si="399">IF(AK32="","",(AJ34+AJ35))</f>
        <v/>
      </c>
      <c r="AL34" s="8" t="str">
        <f t="shared" ref="AL34" si="400">IF(AL32="","",(AK34+AK35))</f>
        <v/>
      </c>
      <c r="AM34" s="8" t="str">
        <f t="shared" ref="AM34:AN34" si="401">IF(AM32="","",(AL34+AL35))</f>
        <v/>
      </c>
      <c r="AN34" s="8" t="str">
        <f>IF(AN32="","",(AM34+AM35))</f>
        <v/>
      </c>
      <c r="AO34" s="8" t="str">
        <f t="shared" ref="AO34:AS34" si="402">IF(AO32="","",(AN34+AN35))</f>
        <v/>
      </c>
      <c r="AP34" s="8" t="str">
        <f t="shared" si="402"/>
        <v/>
      </c>
      <c r="AQ34" s="8" t="str">
        <f t="shared" si="402"/>
        <v/>
      </c>
      <c r="AR34" s="8" t="str">
        <f t="shared" si="402"/>
        <v/>
      </c>
      <c r="AS34" s="8" t="str">
        <f t="shared" si="402"/>
        <v/>
      </c>
    </row>
    <row r="35" spans="1:45" s="84" customFormat="1" ht="11.25" x14ac:dyDescent="0.15">
      <c r="A35" s="14"/>
      <c r="B35" s="9" t="s">
        <v>7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</row>
    <row r="36" spans="1:45" s="84" customFormat="1" ht="11.25" x14ac:dyDescent="0.15">
      <c r="A36" s="7"/>
      <c r="B36" s="9" t="s">
        <v>8</v>
      </c>
      <c r="C36" s="8">
        <v>400</v>
      </c>
      <c r="D36" s="8">
        <v>400</v>
      </c>
      <c r="E36" s="8">
        <v>400</v>
      </c>
      <c r="F36" s="8">
        <v>400</v>
      </c>
      <c r="G36" s="8">
        <v>400</v>
      </c>
      <c r="H36" s="8">
        <v>400</v>
      </c>
      <c r="I36" s="8">
        <v>400</v>
      </c>
      <c r="J36" s="8">
        <v>400</v>
      </c>
      <c r="K36" s="8">
        <v>400</v>
      </c>
      <c r="L36" s="8">
        <f t="shared" ref="L36" si="403">IF(L32="","",K36)</f>
        <v>400</v>
      </c>
      <c r="M36" s="8">
        <f t="shared" ref="M36" si="404">IF(M32="","",L36)</f>
        <v>400</v>
      </c>
      <c r="N36" s="8">
        <f t="shared" ref="N36" si="405">IF(N32="","",M36)</f>
        <v>400</v>
      </c>
      <c r="O36" s="8" t="str">
        <f t="shared" ref="O36" si="406">IF(O32="","",N36)</f>
        <v/>
      </c>
      <c r="P36" s="8" t="str">
        <f t="shared" ref="P36" si="407">IF(P32="","",O36)</f>
        <v/>
      </c>
      <c r="Q36" s="8" t="str">
        <f t="shared" ref="Q36" si="408">IF(Q32="","",P36)</f>
        <v/>
      </c>
      <c r="R36" s="8" t="str">
        <f t="shared" ref="R36" si="409">IF(R32="","",Q36)</f>
        <v/>
      </c>
      <c r="S36" s="8" t="str">
        <f t="shared" ref="S36" si="410">IF(S32="","",R36)</f>
        <v/>
      </c>
      <c r="T36" s="8" t="str">
        <f t="shared" ref="T36" si="411">IF(T32="","",S36)</f>
        <v/>
      </c>
      <c r="U36" s="8" t="str">
        <f t="shared" ref="U36" si="412">IF(U32="","",T36)</f>
        <v/>
      </c>
      <c r="V36" s="8" t="str">
        <f t="shared" ref="V36" si="413">IF(V32="","",U36)</f>
        <v/>
      </c>
      <c r="W36" s="8" t="str">
        <f t="shared" ref="W36" si="414">IF(W32="","",V36)</f>
        <v/>
      </c>
      <c r="X36" s="8" t="str">
        <f t="shared" ref="X36" si="415">IF(X32="","",W36)</f>
        <v/>
      </c>
      <c r="Y36" s="8" t="str">
        <f t="shared" ref="Y36" si="416">IF(Y32="","",X36)</f>
        <v/>
      </c>
      <c r="Z36" s="8" t="str">
        <f t="shared" ref="Z36" si="417">IF(Z32="","",Y36)</f>
        <v/>
      </c>
      <c r="AA36" s="8" t="str">
        <f t="shared" ref="AA36" si="418">IF(AA32="","",Z36)</f>
        <v/>
      </c>
      <c r="AB36" s="8" t="str">
        <f t="shared" ref="AB36" si="419">IF(AB32="","",AA36)</f>
        <v/>
      </c>
      <c r="AC36" s="8" t="str">
        <f t="shared" ref="AC36" si="420">IF(AC32="","",AB36)</f>
        <v/>
      </c>
      <c r="AD36" s="8" t="str">
        <f t="shared" ref="AD36" si="421">IF(AD32="","",AC36)</f>
        <v/>
      </c>
      <c r="AE36" s="8" t="str">
        <f t="shared" ref="AE36" si="422">IF(AE32="","",AD36)</f>
        <v/>
      </c>
      <c r="AF36" s="8" t="str">
        <f t="shared" ref="AF36" si="423">IF(AF32="","",AE36)</f>
        <v/>
      </c>
      <c r="AG36" s="8" t="str">
        <f t="shared" ref="AG36" si="424">IF(AG32="","",AF36)</f>
        <v/>
      </c>
      <c r="AH36" s="8" t="str">
        <f t="shared" ref="AH36" si="425">IF(AH32="","",AG36)</f>
        <v/>
      </c>
      <c r="AI36" s="8" t="str">
        <f t="shared" ref="AI36" si="426">IF(AI32="","",AH36)</f>
        <v/>
      </c>
      <c r="AJ36" s="8" t="str">
        <f t="shared" ref="AJ36" si="427">IF(AJ32="","",AI36)</f>
        <v/>
      </c>
      <c r="AK36" s="8" t="str">
        <f t="shared" ref="AK36" si="428">IF(AK32="","",AJ36)</f>
        <v/>
      </c>
      <c r="AL36" s="8" t="str">
        <f t="shared" ref="AL36" si="429">IF(AL32="","",AK36)</f>
        <v/>
      </c>
      <c r="AM36" s="8" t="str">
        <f t="shared" ref="AM36:AN36" si="430">IF(AM32="","",AL36)</f>
        <v/>
      </c>
      <c r="AN36" s="8" t="str">
        <f t="shared" si="430"/>
        <v/>
      </c>
      <c r="AO36" s="8" t="str">
        <f t="shared" ref="AO36:AS36" si="431">IF(AO32="","",AN36)</f>
        <v/>
      </c>
      <c r="AP36" s="8" t="str">
        <f t="shared" si="431"/>
        <v/>
      </c>
      <c r="AQ36" s="8" t="str">
        <f t="shared" si="431"/>
        <v/>
      </c>
      <c r="AR36" s="8" t="str">
        <f t="shared" si="431"/>
        <v/>
      </c>
      <c r="AS36" s="8" t="str">
        <f t="shared" si="431"/>
        <v/>
      </c>
    </row>
    <row r="37" spans="1:45" s="85" customFormat="1" ht="11.25" x14ac:dyDescent="0.15">
      <c r="A37" s="14" t="s">
        <v>9</v>
      </c>
      <c r="B37" s="13" t="s">
        <v>10</v>
      </c>
      <c r="C37" s="12" t="s">
        <v>21</v>
      </c>
      <c r="D37" s="12" t="s">
        <v>21</v>
      </c>
      <c r="E37" s="12" t="s">
        <v>21</v>
      </c>
      <c r="F37" s="12" t="s">
        <v>21</v>
      </c>
      <c r="G37" s="12" t="s">
        <v>21</v>
      </c>
      <c r="H37" s="12" t="s">
        <v>21</v>
      </c>
      <c r="I37" s="12" t="s">
        <v>21</v>
      </c>
      <c r="J37" s="12" t="s">
        <v>21</v>
      </c>
      <c r="K37" s="12" t="s">
        <v>21</v>
      </c>
      <c r="L37" s="12" t="str">
        <f t="shared" ref="L37" si="432">IF(L32="","",K37)</f>
        <v>たまごっちマスコット</v>
      </c>
      <c r="M37" s="12" t="str">
        <f t="shared" ref="M37" si="433">IF(M32="","",L37)</f>
        <v>たまごっちマスコット</v>
      </c>
      <c r="N37" s="12" t="str">
        <f t="shared" ref="N37" si="434">IF(N32="","",M37)</f>
        <v>たまごっちマスコット</v>
      </c>
      <c r="O37" s="12" t="str">
        <f t="shared" ref="O37" si="435">IF(O32="","",N37)</f>
        <v/>
      </c>
      <c r="P37" s="12" t="str">
        <f t="shared" ref="P37" si="436">IF(P32="","",O37)</f>
        <v/>
      </c>
      <c r="Q37" s="12" t="str">
        <f t="shared" ref="Q37" si="437">IF(Q32="","",P37)</f>
        <v/>
      </c>
      <c r="R37" s="12" t="str">
        <f t="shared" ref="R37" si="438">IF(R32="","",Q37)</f>
        <v/>
      </c>
      <c r="S37" s="12" t="str">
        <f t="shared" ref="S37" si="439">IF(S32="","",R37)</f>
        <v/>
      </c>
      <c r="T37" s="12" t="str">
        <f t="shared" ref="T37" si="440">IF(T32="","",S37)</f>
        <v/>
      </c>
      <c r="U37" s="12" t="str">
        <f t="shared" ref="U37" si="441">IF(U32="","",T37)</f>
        <v/>
      </c>
      <c r="V37" s="12" t="str">
        <f t="shared" ref="V37" si="442">IF(V32="","",U37)</f>
        <v/>
      </c>
      <c r="W37" s="12" t="str">
        <f t="shared" ref="W37" si="443">IF(W32="","",V37)</f>
        <v/>
      </c>
      <c r="X37" s="12" t="str">
        <f t="shared" ref="X37" si="444">IF(X32="","",W37)</f>
        <v/>
      </c>
      <c r="Y37" s="12" t="str">
        <f t="shared" ref="Y37" si="445">IF(Y32="","",X37)</f>
        <v/>
      </c>
      <c r="Z37" s="12" t="str">
        <f t="shared" ref="Z37" si="446">IF(Z32="","",Y37)</f>
        <v/>
      </c>
      <c r="AA37" s="12" t="str">
        <f t="shared" ref="AA37" si="447">IF(AA32="","",Z37)</f>
        <v/>
      </c>
      <c r="AB37" s="12" t="str">
        <f t="shared" ref="AB37" si="448">IF(AB32="","",AA37)</f>
        <v/>
      </c>
      <c r="AC37" s="12" t="str">
        <f t="shared" ref="AC37" si="449">IF(AC32="","",AB37)</f>
        <v/>
      </c>
      <c r="AD37" s="12" t="str">
        <f t="shared" ref="AD37" si="450">IF(AD32="","",AC37)</f>
        <v/>
      </c>
      <c r="AE37" s="12" t="str">
        <f t="shared" ref="AE37" si="451">IF(AE32="","",AD37)</f>
        <v/>
      </c>
      <c r="AF37" s="12" t="str">
        <f t="shared" ref="AF37" si="452">IF(AF32="","",AE37)</f>
        <v/>
      </c>
      <c r="AG37" s="12" t="str">
        <f t="shared" ref="AG37" si="453">IF(AG32="","",AF37)</f>
        <v/>
      </c>
      <c r="AH37" s="12" t="str">
        <f t="shared" ref="AH37" si="454">IF(AH32="","",AG37)</f>
        <v/>
      </c>
      <c r="AI37" s="12" t="str">
        <f t="shared" ref="AI37" si="455">IF(AI32="","",AH37)</f>
        <v/>
      </c>
      <c r="AJ37" s="12" t="str">
        <f t="shared" ref="AJ37" si="456">IF(AJ32="","",AI37)</f>
        <v/>
      </c>
      <c r="AK37" s="12" t="str">
        <f t="shared" ref="AK37" si="457">IF(AK32="","",AJ37)</f>
        <v/>
      </c>
      <c r="AL37" s="12" t="str">
        <f t="shared" ref="AL37" si="458">IF(AL32="","",AK37)</f>
        <v/>
      </c>
      <c r="AM37" s="12" t="str">
        <f t="shared" ref="AM37:AN37" si="459">IF(AM32="","",AL37)</f>
        <v/>
      </c>
      <c r="AN37" s="12" t="str">
        <f t="shared" si="459"/>
        <v/>
      </c>
      <c r="AO37" s="12" t="str">
        <f t="shared" ref="AO37:AS37" si="460">IF(AO32="","",AN37)</f>
        <v/>
      </c>
      <c r="AP37" s="12" t="str">
        <f t="shared" si="460"/>
        <v/>
      </c>
      <c r="AQ37" s="12" t="str">
        <f t="shared" si="460"/>
        <v/>
      </c>
      <c r="AR37" s="12" t="str">
        <f t="shared" si="460"/>
        <v/>
      </c>
      <c r="AS37" s="12" t="str">
        <f t="shared" si="460"/>
        <v/>
      </c>
    </row>
    <row r="38" spans="1:45" s="84" customFormat="1" ht="11.25" x14ac:dyDescent="0.15">
      <c r="A38" s="7">
        <f>AVERAGE(C39:AS39)*30*100</f>
        <v>33500</v>
      </c>
      <c r="B38" s="9" t="s">
        <v>12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1:45" s="84" customFormat="1" ht="11.25" x14ac:dyDescent="0.15">
      <c r="A39" s="7">
        <f>SUM(C39:AS39)</f>
        <v>134</v>
      </c>
      <c r="B39" s="6" t="s">
        <v>13</v>
      </c>
      <c r="C39" s="5">
        <v>0</v>
      </c>
      <c r="D39" s="5">
        <v>0</v>
      </c>
      <c r="E39" s="5">
        <v>0</v>
      </c>
      <c r="F39" s="5">
        <v>0</v>
      </c>
      <c r="G39" s="5">
        <v>56</v>
      </c>
      <c r="H39" s="5">
        <v>0</v>
      </c>
      <c r="I39" s="5">
        <v>0</v>
      </c>
      <c r="J39" s="5">
        <v>0</v>
      </c>
      <c r="K39" s="5">
        <v>41</v>
      </c>
      <c r="L39" s="5">
        <f t="shared" ref="L39:L40" si="461">IF(L32="","",L32-K32)</f>
        <v>0</v>
      </c>
      <c r="M39" s="5">
        <f t="shared" ref="M39:M40" si="462">IF(M32="","",M32-L32)</f>
        <v>0</v>
      </c>
      <c r="N39" s="5">
        <f t="shared" ref="N39:N40" si="463">IF(N32="","",N32-M32)</f>
        <v>37</v>
      </c>
      <c r="O39" s="5" t="str">
        <f t="shared" ref="O39:O40" si="464">IF(O32="","",O32-N32)</f>
        <v/>
      </c>
      <c r="P39" s="5" t="str">
        <f t="shared" ref="P39:P40" si="465">IF(P32="","",P32-O32)</f>
        <v/>
      </c>
      <c r="Q39" s="5" t="str">
        <f t="shared" ref="Q39:Q40" si="466">IF(Q32="","",Q32-P32)</f>
        <v/>
      </c>
      <c r="R39" s="5" t="str">
        <f t="shared" ref="R39:R40" si="467">IF(R32="","",R32-Q32)</f>
        <v/>
      </c>
      <c r="S39" s="5" t="str">
        <f t="shared" ref="S39:S40" si="468">IF(S32="","",S32-R32)</f>
        <v/>
      </c>
      <c r="T39" s="5" t="str">
        <f t="shared" ref="T39:T40" si="469">IF(T32="","",T32-S32)</f>
        <v/>
      </c>
      <c r="U39" s="5" t="str">
        <f t="shared" ref="U39:U40" si="470">IF(U32="","",U32-T32)</f>
        <v/>
      </c>
      <c r="V39" s="5" t="str">
        <f t="shared" ref="V39:V40" si="471">IF(V32="","",V32-U32)</f>
        <v/>
      </c>
      <c r="W39" s="5" t="str">
        <f t="shared" ref="W39:W40" si="472">IF(W32="","",W32-V32)</f>
        <v/>
      </c>
      <c r="X39" s="5" t="str">
        <f t="shared" ref="X39:X40" si="473">IF(X32="","",X32-W32)</f>
        <v/>
      </c>
      <c r="Y39" s="5" t="str">
        <f t="shared" ref="Y39:Y40" si="474">IF(Y32="","",Y32-X32)</f>
        <v/>
      </c>
      <c r="Z39" s="5" t="str">
        <f t="shared" ref="Z39:Z40" si="475">IF(Z32="","",Z32-Y32)</f>
        <v/>
      </c>
      <c r="AA39" s="5" t="str">
        <f t="shared" ref="AA39:AA40" si="476">IF(AA32="","",AA32-Z32)</f>
        <v/>
      </c>
      <c r="AB39" s="5" t="str">
        <f t="shared" ref="AB39:AB40" si="477">IF(AB32="","",AB32-AA32)</f>
        <v/>
      </c>
      <c r="AC39" s="5" t="str">
        <f t="shared" ref="AC39:AC40" si="478">IF(AC32="","",AC32-AB32)</f>
        <v/>
      </c>
      <c r="AD39" s="5" t="str">
        <f t="shared" ref="AD39:AD40" si="479">IF(AD32="","",AD32-AC32)</f>
        <v/>
      </c>
      <c r="AE39" s="5" t="str">
        <f t="shared" ref="AE39:AE40" si="480">IF(AE32="","",AE32-AD32)</f>
        <v/>
      </c>
      <c r="AF39" s="5" t="str">
        <f t="shared" ref="AF39:AF40" si="481">IF(AF32="","",AF32-AE32)</f>
        <v/>
      </c>
      <c r="AG39" s="5" t="str">
        <f t="shared" ref="AG39:AG40" si="482">IF(AG32="","",AG32-AF32)</f>
        <v/>
      </c>
      <c r="AH39" s="5" t="str">
        <f t="shared" ref="AH39:AH40" si="483">IF(AH32="","",AH32-AG32)</f>
        <v/>
      </c>
      <c r="AI39" s="5" t="str">
        <f t="shared" ref="AI39:AI40" si="484">IF(AI32="","",AI32-AH32)</f>
        <v/>
      </c>
      <c r="AJ39" s="5" t="str">
        <f t="shared" ref="AJ39:AJ40" si="485">IF(AJ32="","",AJ32-AI32)</f>
        <v/>
      </c>
      <c r="AK39" s="5" t="str">
        <f t="shared" ref="AK39:AK40" si="486">IF(AK32="","",AK32-AJ32)</f>
        <v/>
      </c>
      <c r="AL39" s="5" t="str">
        <f t="shared" ref="AL39:AL40" si="487">IF(AL32="","",AL32-AK32)</f>
        <v/>
      </c>
      <c r="AM39" s="5" t="str">
        <f t="shared" ref="AM39:AN39" si="488">IF(AM32="","",AM32-AL32)</f>
        <v/>
      </c>
      <c r="AN39" s="5" t="str">
        <f t="shared" si="488"/>
        <v/>
      </c>
      <c r="AO39" s="5" t="str">
        <f t="shared" ref="AO39:AS39" si="489">IF(AO32="","",AO32-AN32)</f>
        <v/>
      </c>
      <c r="AP39" s="5" t="str">
        <f t="shared" si="489"/>
        <v/>
      </c>
      <c r="AQ39" s="5" t="str">
        <f t="shared" si="489"/>
        <v/>
      </c>
      <c r="AR39" s="5" t="str">
        <f t="shared" si="489"/>
        <v/>
      </c>
      <c r="AS39" s="5" t="str">
        <f t="shared" si="489"/>
        <v/>
      </c>
    </row>
    <row r="40" spans="1:45" s="84" customFormat="1" ht="11.25" x14ac:dyDescent="0.15">
      <c r="A40" s="7">
        <f>SUM(C40:AS40)</f>
        <v>1</v>
      </c>
      <c r="B40" s="6" t="s">
        <v>14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1</v>
      </c>
      <c r="L40" s="5">
        <f t="shared" si="461"/>
        <v>0</v>
      </c>
      <c r="M40" s="5">
        <f t="shared" si="462"/>
        <v>0</v>
      </c>
      <c r="N40" s="5">
        <f t="shared" si="463"/>
        <v>0</v>
      </c>
      <c r="O40" s="5" t="str">
        <f t="shared" si="464"/>
        <v/>
      </c>
      <c r="P40" s="5" t="str">
        <f t="shared" si="465"/>
        <v/>
      </c>
      <c r="Q40" s="5" t="str">
        <f t="shared" si="466"/>
        <v/>
      </c>
      <c r="R40" s="5" t="str">
        <f t="shared" si="467"/>
        <v/>
      </c>
      <c r="S40" s="5" t="str">
        <f t="shared" si="468"/>
        <v/>
      </c>
      <c r="T40" s="5" t="str">
        <f t="shared" si="469"/>
        <v/>
      </c>
      <c r="U40" s="5" t="str">
        <f t="shared" si="470"/>
        <v/>
      </c>
      <c r="V40" s="5" t="str">
        <f t="shared" si="471"/>
        <v/>
      </c>
      <c r="W40" s="5" t="str">
        <f t="shared" si="472"/>
        <v/>
      </c>
      <c r="X40" s="5" t="str">
        <f t="shared" si="473"/>
        <v/>
      </c>
      <c r="Y40" s="5" t="str">
        <f t="shared" si="474"/>
        <v/>
      </c>
      <c r="Z40" s="5" t="str">
        <f t="shared" si="475"/>
        <v/>
      </c>
      <c r="AA40" s="5" t="str">
        <f t="shared" si="476"/>
        <v/>
      </c>
      <c r="AB40" s="5" t="str">
        <f t="shared" si="477"/>
        <v/>
      </c>
      <c r="AC40" s="5" t="str">
        <f t="shared" si="478"/>
        <v/>
      </c>
      <c r="AD40" s="5" t="str">
        <f t="shared" si="479"/>
        <v/>
      </c>
      <c r="AE40" s="5" t="str">
        <f t="shared" si="480"/>
        <v/>
      </c>
      <c r="AF40" s="5" t="str">
        <f t="shared" si="481"/>
        <v/>
      </c>
      <c r="AG40" s="5" t="str">
        <f t="shared" si="482"/>
        <v/>
      </c>
      <c r="AH40" s="5" t="str">
        <f t="shared" si="483"/>
        <v/>
      </c>
      <c r="AI40" s="5" t="str">
        <f t="shared" si="484"/>
        <v/>
      </c>
      <c r="AJ40" s="5" t="str">
        <f t="shared" si="485"/>
        <v/>
      </c>
      <c r="AK40" s="5" t="str">
        <f t="shared" si="486"/>
        <v/>
      </c>
      <c r="AL40" s="5" t="str">
        <f t="shared" si="487"/>
        <v/>
      </c>
      <c r="AM40" s="5" t="str">
        <f t="shared" ref="AM40:AN40" si="490">IF(AM33="","",AM33-AL33)</f>
        <v/>
      </c>
      <c r="AN40" s="5" t="str">
        <f t="shared" si="490"/>
        <v/>
      </c>
      <c r="AO40" s="5" t="str">
        <f t="shared" ref="AO40:AS40" si="491">IF(AO33="","",AO33-AN33)</f>
        <v/>
      </c>
      <c r="AP40" s="5" t="str">
        <f t="shared" si="491"/>
        <v/>
      </c>
      <c r="AQ40" s="5" t="str">
        <f t="shared" si="491"/>
        <v/>
      </c>
      <c r="AR40" s="5" t="str">
        <f t="shared" si="491"/>
        <v/>
      </c>
      <c r="AS40" s="5" t="str">
        <f t="shared" si="491"/>
        <v/>
      </c>
    </row>
    <row r="41" spans="1:45" s="84" customFormat="1" ht="11.25" x14ac:dyDescent="0.15">
      <c r="A41" s="7">
        <f>SUM(C41:AS41)</f>
        <v>1</v>
      </c>
      <c r="B41" s="6" t="s">
        <v>15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1</v>
      </c>
      <c r="L41" s="5">
        <f t="shared" ref="L41" si="492">IF(L34="","",K34+K35-L34)</f>
        <v>0</v>
      </c>
      <c r="M41" s="5">
        <f t="shared" ref="M41" si="493">IF(M34="","",L34+L35-M34)</f>
        <v>0</v>
      </c>
      <c r="N41" s="5">
        <f t="shared" ref="N41" si="494">IF(N34="","",M34+M35-N34)</f>
        <v>0</v>
      </c>
      <c r="O41" s="5" t="str">
        <f t="shared" ref="O41" si="495">IF(O34="","",N34+N35-O34)</f>
        <v/>
      </c>
      <c r="P41" s="5" t="str">
        <f t="shared" ref="P41" si="496">IF(P34="","",O34+O35-P34)</f>
        <v/>
      </c>
      <c r="Q41" s="5" t="str">
        <f t="shared" ref="Q41" si="497">IF(Q34="","",P34+P35-Q34)</f>
        <v/>
      </c>
      <c r="R41" s="5" t="str">
        <f t="shared" ref="R41" si="498">IF(R34="","",Q34+Q35-R34)</f>
        <v/>
      </c>
      <c r="S41" s="5" t="str">
        <f t="shared" ref="S41" si="499">IF(S34="","",R34+R35-S34)</f>
        <v/>
      </c>
      <c r="T41" s="5" t="str">
        <f t="shared" ref="T41" si="500">IF(T34="","",S34+S35-T34)</f>
        <v/>
      </c>
      <c r="U41" s="5" t="str">
        <f t="shared" ref="U41" si="501">IF(U34="","",T34+T35-U34)</f>
        <v/>
      </c>
      <c r="V41" s="5" t="str">
        <f t="shared" ref="V41" si="502">IF(V34="","",U34+U35-V34)</f>
        <v/>
      </c>
      <c r="W41" s="5" t="str">
        <f t="shared" ref="W41" si="503">IF(W34="","",V34+V35-W34)</f>
        <v/>
      </c>
      <c r="X41" s="5" t="str">
        <f t="shared" ref="X41" si="504">IF(X34="","",W34+W35-X34)</f>
        <v/>
      </c>
      <c r="Y41" s="5" t="str">
        <f t="shared" ref="Y41" si="505">IF(Y34="","",X34+X35-Y34)</f>
        <v/>
      </c>
      <c r="Z41" s="5" t="str">
        <f t="shared" ref="Z41" si="506">IF(Z34="","",Y34+Y35-Z34)</f>
        <v/>
      </c>
      <c r="AA41" s="5" t="str">
        <f t="shared" ref="AA41" si="507">IF(AA34="","",Z34+Z35-AA34)</f>
        <v/>
      </c>
      <c r="AB41" s="5" t="str">
        <f t="shared" ref="AB41" si="508">IF(AB34="","",AA34+AA35-AB34)</f>
        <v/>
      </c>
      <c r="AC41" s="5" t="str">
        <f t="shared" ref="AC41" si="509">IF(AC34="","",AB34+AB35-AC34)</f>
        <v/>
      </c>
      <c r="AD41" s="5" t="str">
        <f t="shared" ref="AD41" si="510">IF(AD34="","",AC34+AC35-AD34)</f>
        <v/>
      </c>
      <c r="AE41" s="5" t="str">
        <f t="shared" ref="AE41" si="511">IF(AE34="","",AD34+AD35-AE34)</f>
        <v/>
      </c>
      <c r="AF41" s="5" t="str">
        <f t="shared" ref="AF41" si="512">IF(AF34="","",AE34+AE35-AF34)</f>
        <v/>
      </c>
      <c r="AG41" s="5" t="str">
        <f t="shared" ref="AG41" si="513">IF(AG34="","",AF34+AF35-AG34)</f>
        <v/>
      </c>
      <c r="AH41" s="5" t="str">
        <f t="shared" ref="AH41" si="514">IF(AH34="","",AG34+AG35-AH34)</f>
        <v/>
      </c>
      <c r="AI41" s="5" t="str">
        <f t="shared" ref="AI41" si="515">IF(AI34="","",AH34+AH35-AI34)</f>
        <v/>
      </c>
      <c r="AJ41" s="5" t="str">
        <f t="shared" ref="AJ41" si="516">IF(AJ34="","",AI34+AI35-AJ34)</f>
        <v/>
      </c>
      <c r="AK41" s="5" t="str">
        <f t="shared" ref="AK41" si="517">IF(AK34="","",AJ34+AJ35-AK34)</f>
        <v/>
      </c>
      <c r="AL41" s="5" t="str">
        <f t="shared" ref="AL41" si="518">IF(AL34="","",AK34+AK35-AL34)</f>
        <v/>
      </c>
      <c r="AM41" s="5" t="str">
        <f t="shared" ref="AM41:AN41" si="519">IF(AM34="","",AL34+AL35-AM34)</f>
        <v/>
      </c>
      <c r="AN41" s="5" t="str">
        <f t="shared" si="519"/>
        <v/>
      </c>
      <c r="AO41" s="5" t="str">
        <f t="shared" ref="AO41:AS41" si="520">IF(AO34="","",AN34+AN35-AO34)</f>
        <v/>
      </c>
      <c r="AP41" s="5" t="str">
        <f t="shared" si="520"/>
        <v/>
      </c>
      <c r="AQ41" s="5" t="str">
        <f t="shared" si="520"/>
        <v/>
      </c>
      <c r="AR41" s="5" t="str">
        <f t="shared" si="520"/>
        <v/>
      </c>
      <c r="AS41" s="5" t="str">
        <f t="shared" si="520"/>
        <v/>
      </c>
    </row>
    <row r="42" spans="1:45" s="84" customFormat="1" ht="11.25" x14ac:dyDescent="0.15">
      <c r="A42" s="7">
        <f>SUM(C42:AS42)</f>
        <v>400</v>
      </c>
      <c r="B42" s="6" t="s">
        <v>16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400</v>
      </c>
      <c r="L42" s="5">
        <f t="shared" ref="J42:AL42" si="521">IF(L32="","",L41*L36)</f>
        <v>0</v>
      </c>
      <c r="M42" s="5">
        <f t="shared" si="521"/>
        <v>0</v>
      </c>
      <c r="N42" s="5">
        <f t="shared" si="521"/>
        <v>0</v>
      </c>
      <c r="O42" s="5" t="str">
        <f t="shared" si="521"/>
        <v/>
      </c>
      <c r="P42" s="5" t="str">
        <f t="shared" si="521"/>
        <v/>
      </c>
      <c r="Q42" s="5" t="str">
        <f t="shared" si="521"/>
        <v/>
      </c>
      <c r="R42" s="5" t="str">
        <f t="shared" si="521"/>
        <v/>
      </c>
      <c r="S42" s="5" t="str">
        <f t="shared" si="521"/>
        <v/>
      </c>
      <c r="T42" s="5" t="str">
        <f t="shared" si="521"/>
        <v/>
      </c>
      <c r="U42" s="5" t="str">
        <f t="shared" si="521"/>
        <v/>
      </c>
      <c r="V42" s="5" t="str">
        <f t="shared" si="521"/>
        <v/>
      </c>
      <c r="W42" s="5" t="str">
        <f t="shared" si="521"/>
        <v/>
      </c>
      <c r="X42" s="5" t="str">
        <f t="shared" si="521"/>
        <v/>
      </c>
      <c r="Y42" s="5" t="str">
        <f t="shared" si="521"/>
        <v/>
      </c>
      <c r="Z42" s="5" t="str">
        <f t="shared" si="521"/>
        <v/>
      </c>
      <c r="AA42" s="5" t="str">
        <f t="shared" si="521"/>
        <v/>
      </c>
      <c r="AB42" s="5" t="str">
        <f t="shared" si="521"/>
        <v/>
      </c>
      <c r="AC42" s="5" t="str">
        <f t="shared" si="521"/>
        <v/>
      </c>
      <c r="AD42" s="5" t="str">
        <f t="shared" si="521"/>
        <v/>
      </c>
      <c r="AE42" s="5" t="str">
        <f t="shared" si="521"/>
        <v/>
      </c>
      <c r="AF42" s="5" t="str">
        <f t="shared" si="521"/>
        <v/>
      </c>
      <c r="AG42" s="5" t="str">
        <f t="shared" si="521"/>
        <v/>
      </c>
      <c r="AH42" s="5" t="str">
        <f t="shared" si="521"/>
        <v/>
      </c>
      <c r="AI42" s="5" t="str">
        <f t="shared" si="521"/>
        <v/>
      </c>
      <c r="AJ42" s="5" t="str">
        <f t="shared" si="521"/>
        <v/>
      </c>
      <c r="AK42" s="5" t="str">
        <f t="shared" si="521"/>
        <v/>
      </c>
      <c r="AL42" s="5" t="str">
        <f t="shared" si="521"/>
        <v/>
      </c>
      <c r="AM42" s="5" t="str">
        <f t="shared" ref="AM42:AN42" si="522">IF(AM32="","",AM41*AM36)</f>
        <v/>
      </c>
      <c r="AN42" s="5" t="str">
        <f t="shared" si="522"/>
        <v/>
      </c>
      <c r="AO42" s="5" t="str">
        <f t="shared" ref="AO42:AS42" si="523">IF(AO32="","",AO41*AO36)</f>
        <v/>
      </c>
      <c r="AP42" s="5" t="str">
        <f t="shared" si="523"/>
        <v/>
      </c>
      <c r="AQ42" s="5" t="str">
        <f t="shared" si="523"/>
        <v/>
      </c>
      <c r="AR42" s="5" t="str">
        <f t="shared" si="523"/>
        <v/>
      </c>
      <c r="AS42" s="5" t="str">
        <f t="shared" si="523"/>
        <v/>
      </c>
    </row>
    <row r="43" spans="1:45" s="84" customFormat="1" ht="12" thickBot="1" x14ac:dyDescent="0.2">
      <c r="A43" s="4">
        <f>IF(A42="","",A42/(A39*100))</f>
        <v>2.9850746268656716E-2</v>
      </c>
      <c r="B43" s="6" t="s">
        <v>18</v>
      </c>
      <c r="C43" s="18" t="s">
        <v>19</v>
      </c>
      <c r="D43" s="18" t="s">
        <v>19</v>
      </c>
      <c r="E43" s="18" t="s">
        <v>19</v>
      </c>
      <c r="F43" s="18" t="s">
        <v>19</v>
      </c>
      <c r="G43" s="18" t="s">
        <v>19</v>
      </c>
      <c r="H43" s="18" t="s">
        <v>19</v>
      </c>
      <c r="I43" s="18" t="s">
        <v>19</v>
      </c>
      <c r="J43" s="18" t="s">
        <v>19</v>
      </c>
      <c r="K43" s="18">
        <v>9.7560975609756101E-2</v>
      </c>
      <c r="L43" s="18" t="str">
        <f t="shared" ref="J43:AL43" si="524">IF(L42="","",IF(L42=0,"",L42/(L39*100)))</f>
        <v/>
      </c>
      <c r="M43" s="18" t="str">
        <f t="shared" si="524"/>
        <v/>
      </c>
      <c r="N43" s="18" t="str">
        <f t="shared" si="524"/>
        <v/>
      </c>
      <c r="O43" s="18" t="str">
        <f t="shared" si="524"/>
        <v/>
      </c>
      <c r="P43" s="18" t="str">
        <f t="shared" si="524"/>
        <v/>
      </c>
      <c r="Q43" s="18" t="str">
        <f t="shared" si="524"/>
        <v/>
      </c>
      <c r="R43" s="18" t="str">
        <f t="shared" si="524"/>
        <v/>
      </c>
      <c r="S43" s="18" t="str">
        <f t="shared" si="524"/>
        <v/>
      </c>
      <c r="T43" s="18" t="str">
        <f t="shared" si="524"/>
        <v/>
      </c>
      <c r="U43" s="18" t="str">
        <f t="shared" si="524"/>
        <v/>
      </c>
      <c r="V43" s="18" t="str">
        <f t="shared" si="524"/>
        <v/>
      </c>
      <c r="W43" s="18" t="str">
        <f t="shared" si="524"/>
        <v/>
      </c>
      <c r="X43" s="18" t="str">
        <f t="shared" si="524"/>
        <v/>
      </c>
      <c r="Y43" s="18" t="str">
        <f t="shared" si="524"/>
        <v/>
      </c>
      <c r="Z43" s="18" t="str">
        <f t="shared" si="524"/>
        <v/>
      </c>
      <c r="AA43" s="18" t="str">
        <f t="shared" si="524"/>
        <v/>
      </c>
      <c r="AB43" s="18" t="str">
        <f t="shared" si="524"/>
        <v/>
      </c>
      <c r="AC43" s="18" t="str">
        <f t="shared" si="524"/>
        <v/>
      </c>
      <c r="AD43" s="18" t="str">
        <f t="shared" si="524"/>
        <v/>
      </c>
      <c r="AE43" s="18" t="str">
        <f t="shared" si="524"/>
        <v/>
      </c>
      <c r="AF43" s="18" t="str">
        <f t="shared" si="524"/>
        <v/>
      </c>
      <c r="AG43" s="18" t="str">
        <f t="shared" si="524"/>
        <v/>
      </c>
      <c r="AH43" s="18" t="str">
        <f t="shared" si="524"/>
        <v/>
      </c>
      <c r="AI43" s="18" t="str">
        <f t="shared" si="524"/>
        <v/>
      </c>
      <c r="AJ43" s="18" t="str">
        <f t="shared" si="524"/>
        <v/>
      </c>
      <c r="AK43" s="18" t="str">
        <f t="shared" si="524"/>
        <v/>
      </c>
      <c r="AL43" s="18" t="str">
        <f t="shared" si="524"/>
        <v/>
      </c>
      <c r="AM43" s="18" t="str">
        <f t="shared" ref="AM43:AN43" si="525">IF(AM42="","",IF(AM42=0,"",AM42/(AM39*100)))</f>
        <v/>
      </c>
      <c r="AN43" s="18" t="str">
        <f t="shared" si="525"/>
        <v/>
      </c>
      <c r="AO43" s="18" t="str">
        <f t="shared" ref="AO43:AS43" si="526">IF(AO42="","",IF(AO42=0,"",AO42/(AO39*100)))</f>
        <v/>
      </c>
      <c r="AP43" s="18" t="str">
        <f t="shared" si="526"/>
        <v/>
      </c>
      <c r="AQ43" s="18" t="str">
        <f t="shared" si="526"/>
        <v/>
      </c>
      <c r="AR43" s="18" t="str">
        <f t="shared" si="526"/>
        <v/>
      </c>
      <c r="AS43" s="18" t="str">
        <f t="shared" si="526"/>
        <v/>
      </c>
    </row>
    <row r="44" spans="1:45" s="84" customFormat="1" ht="11.25" x14ac:dyDescent="0.15">
      <c r="A44" s="17" t="s">
        <v>94</v>
      </c>
      <c r="B44" s="9" t="s">
        <v>2</v>
      </c>
      <c r="C44" s="8">
        <v>873</v>
      </c>
      <c r="D44" s="8">
        <v>873</v>
      </c>
      <c r="E44" s="8">
        <v>873</v>
      </c>
      <c r="F44" s="8">
        <v>873</v>
      </c>
      <c r="G44" s="8">
        <v>918</v>
      </c>
      <c r="H44" s="8">
        <v>918</v>
      </c>
      <c r="I44" s="8">
        <v>918</v>
      </c>
      <c r="J44" s="8">
        <v>918</v>
      </c>
      <c r="K44" s="8">
        <v>927</v>
      </c>
      <c r="L44" s="8">
        <f>IF(L$8="","",K44)</f>
        <v>927</v>
      </c>
      <c r="M44" s="8">
        <f t="shared" ref="M44:M45" si="527">IF(M$8="","",L44)</f>
        <v>927</v>
      </c>
      <c r="N44" s="8">
        <v>980</v>
      </c>
      <c r="O44" s="8" t="str">
        <f>IF(O$8="","",N44)</f>
        <v/>
      </c>
      <c r="P44" s="8" t="str">
        <f>IF(P$8="","",O44)</f>
        <v/>
      </c>
      <c r="Q44" s="8" t="str">
        <f t="shared" ref="Q44:Q45" si="528">IF(Q$8="","",P44)</f>
        <v/>
      </c>
      <c r="R44" s="8" t="str">
        <f t="shared" ref="R44:R45" si="529">IF(R$8="","",Q44)</f>
        <v/>
      </c>
      <c r="S44" s="8" t="str">
        <f>IF(S$8="","",R44)</f>
        <v/>
      </c>
      <c r="T44" s="8" t="str">
        <f t="shared" ref="T44:T45" si="530">IF(T$8="","",S44)</f>
        <v/>
      </c>
      <c r="U44" s="8" t="str">
        <f t="shared" ref="U44:U45" si="531">IF(U$8="","",T44)</f>
        <v/>
      </c>
      <c r="V44" s="8" t="str">
        <f>IF(V$8="","",U44)</f>
        <v/>
      </c>
      <c r="W44" s="8" t="str">
        <f t="shared" ref="W44:W45" si="532">IF(W$8="","",V44)</f>
        <v/>
      </c>
      <c r="X44" s="8" t="str">
        <f t="shared" ref="X44:X45" si="533">IF(X$8="","",W44)</f>
        <v/>
      </c>
      <c r="Y44" s="8" t="str">
        <f t="shared" ref="Y44:Y45" si="534">IF(Y$8="","",X44)</f>
        <v/>
      </c>
      <c r="Z44" s="8" t="str">
        <f>IF(Z$8="","",Y44)</f>
        <v/>
      </c>
      <c r="AA44" s="8" t="str">
        <f t="shared" ref="AA44:AA45" si="535">IF(AA$8="","",Z44)</f>
        <v/>
      </c>
      <c r="AB44" s="8" t="str">
        <f t="shared" ref="AB44:AB45" si="536">IF(AB$8="","",AA44)</f>
        <v/>
      </c>
      <c r="AC44" s="8" t="str">
        <f t="shared" ref="AC44:AC45" si="537">IF(AC$8="","",AB44)</f>
        <v/>
      </c>
      <c r="AD44" s="8" t="str">
        <f>IF(AD$8="","",AC44)</f>
        <v/>
      </c>
      <c r="AE44" s="8" t="str">
        <f>IF(AE$8="","",AD44)</f>
        <v/>
      </c>
      <c r="AF44" s="8" t="str">
        <f t="shared" ref="AF44:AF45" si="538">IF(AF$8="","",AE44)</f>
        <v/>
      </c>
      <c r="AG44" s="8" t="str">
        <f>IF(AG$8="","",AF44)</f>
        <v/>
      </c>
      <c r="AH44" s="8" t="str">
        <f t="shared" ref="AH44:AH45" si="539">IF(AH$8="","",AG44)</f>
        <v/>
      </c>
      <c r="AI44" s="8" t="str">
        <f t="shared" ref="AI44:AI45" si="540">IF(AI$8="","",AH44)</f>
        <v/>
      </c>
      <c r="AJ44" s="8" t="str">
        <f>IF(AJ$8="","",AI44)</f>
        <v/>
      </c>
      <c r="AK44" s="8" t="str">
        <f t="shared" ref="AK44:AK45" si="541">IF(AK$8="","",AJ44)</f>
        <v/>
      </c>
      <c r="AL44" s="8" t="str">
        <f t="shared" ref="AL44:AL45" si="542">IF(AL$8="","",AK44)</f>
        <v/>
      </c>
      <c r="AM44" s="8" t="str">
        <f t="shared" ref="AM44:AN44" si="543">IF(AM$8="","",AL44)</f>
        <v/>
      </c>
      <c r="AN44" s="8" t="str">
        <f>IF(AN$8="","",AM44)</f>
        <v/>
      </c>
      <c r="AO44" s="8" t="str">
        <f t="shared" ref="AO44:AS44" si="544">IF(AO$8="","",AN44)</f>
        <v/>
      </c>
      <c r="AP44" s="8" t="str">
        <f t="shared" si="544"/>
        <v/>
      </c>
      <c r="AQ44" s="8" t="str">
        <f t="shared" si="544"/>
        <v/>
      </c>
      <c r="AR44" s="8" t="str">
        <f t="shared" si="544"/>
        <v/>
      </c>
      <c r="AS44" s="8" t="str">
        <f t="shared" si="544"/>
        <v/>
      </c>
    </row>
    <row r="45" spans="1:45" s="84" customFormat="1" ht="11.25" x14ac:dyDescent="0.15">
      <c r="A45" s="16" t="str">
        <f>A33</f>
        <v>BUZZ＃1</v>
      </c>
      <c r="B45" s="9" t="s">
        <v>4</v>
      </c>
      <c r="C45" s="8">
        <v>23</v>
      </c>
      <c r="D45" s="8">
        <v>23</v>
      </c>
      <c r="E45" s="8">
        <v>23</v>
      </c>
      <c r="F45" s="8">
        <v>23</v>
      </c>
      <c r="G45" s="8">
        <v>24</v>
      </c>
      <c r="H45" s="8">
        <v>24</v>
      </c>
      <c r="I45" s="8">
        <v>24</v>
      </c>
      <c r="J45" s="8">
        <v>24</v>
      </c>
      <c r="K45" s="8">
        <v>24</v>
      </c>
      <c r="L45" s="8">
        <f>IF(L$8="","",K45)</f>
        <v>24</v>
      </c>
      <c r="M45" s="8">
        <f t="shared" si="527"/>
        <v>24</v>
      </c>
      <c r="N45" s="8">
        <v>26</v>
      </c>
      <c r="O45" s="8" t="str">
        <f t="shared" ref="O45" si="545">IF(O$8="","",N45)</f>
        <v/>
      </c>
      <c r="P45" s="8" t="str">
        <f>IF(P$8="","",O45)</f>
        <v/>
      </c>
      <c r="Q45" s="8" t="str">
        <f t="shared" si="528"/>
        <v/>
      </c>
      <c r="R45" s="8" t="str">
        <f t="shared" si="529"/>
        <v/>
      </c>
      <c r="S45" s="8" t="str">
        <f>IF(S$8="","",R45)</f>
        <v/>
      </c>
      <c r="T45" s="8" t="str">
        <f t="shared" si="530"/>
        <v/>
      </c>
      <c r="U45" s="8" t="str">
        <f t="shared" si="531"/>
        <v/>
      </c>
      <c r="V45" s="8" t="str">
        <f>IF(V$8="","",U45)</f>
        <v/>
      </c>
      <c r="W45" s="8" t="str">
        <f t="shared" si="532"/>
        <v/>
      </c>
      <c r="X45" s="8" t="str">
        <f t="shared" si="533"/>
        <v/>
      </c>
      <c r="Y45" s="8" t="str">
        <f t="shared" si="534"/>
        <v/>
      </c>
      <c r="Z45" s="8" t="str">
        <f>IF(Z$8="","",Y45)</f>
        <v/>
      </c>
      <c r="AA45" s="8" t="str">
        <f t="shared" si="535"/>
        <v/>
      </c>
      <c r="AB45" s="8" t="str">
        <f t="shared" si="536"/>
        <v/>
      </c>
      <c r="AC45" s="8" t="str">
        <f t="shared" si="537"/>
        <v/>
      </c>
      <c r="AD45" s="8" t="str">
        <f>IF(AD$8="","",AC45)</f>
        <v/>
      </c>
      <c r="AE45" s="8" t="str">
        <f>IF(AE$8="","",AD45)</f>
        <v/>
      </c>
      <c r="AF45" s="8" t="str">
        <f t="shared" si="538"/>
        <v/>
      </c>
      <c r="AG45" s="8" t="str">
        <f>IF(AG$8="","",AF45)</f>
        <v/>
      </c>
      <c r="AH45" s="8" t="str">
        <f t="shared" si="539"/>
        <v/>
      </c>
      <c r="AI45" s="8" t="str">
        <f t="shared" si="540"/>
        <v/>
      </c>
      <c r="AJ45" s="8" t="str">
        <f>IF(AJ$8="","",AI45)</f>
        <v/>
      </c>
      <c r="AK45" s="8" t="str">
        <f t="shared" si="541"/>
        <v/>
      </c>
      <c r="AL45" s="8" t="str">
        <f t="shared" si="542"/>
        <v/>
      </c>
      <c r="AM45" s="8" t="str">
        <f t="shared" ref="AM45:AN45" si="546">IF(AM$8="","",AL45)</f>
        <v/>
      </c>
      <c r="AN45" s="8" t="str">
        <f t="shared" si="546"/>
        <v/>
      </c>
      <c r="AO45" s="8" t="str">
        <f>IF(AO$8="","",AN45)</f>
        <v/>
      </c>
      <c r="AP45" s="8" t="str">
        <f>IF(天文館!AP$8="","",AO45)</f>
        <v/>
      </c>
      <c r="AQ45" s="8" t="str">
        <f>IF(天文館!AQ$8="","",AP45)</f>
        <v/>
      </c>
      <c r="AR45" s="8" t="str">
        <f>IF(天文館!AR$8="","",AQ45)</f>
        <v/>
      </c>
      <c r="AS45" s="8" t="str">
        <f>IF(天文館!AS$8="","",AR45)</f>
        <v/>
      </c>
    </row>
    <row r="46" spans="1:45" s="84" customFormat="1" ht="11.25" x14ac:dyDescent="0.15">
      <c r="A46" s="15">
        <v>4</v>
      </c>
      <c r="B46" s="9" t="s">
        <v>5</v>
      </c>
      <c r="C46" s="8">
        <v>9</v>
      </c>
      <c r="D46" s="8">
        <v>9</v>
      </c>
      <c r="E46" s="8">
        <v>9</v>
      </c>
      <c r="F46" s="8">
        <v>9</v>
      </c>
      <c r="G46" s="8">
        <v>8</v>
      </c>
      <c r="H46" s="8">
        <v>8</v>
      </c>
      <c r="I46" s="8">
        <v>8</v>
      </c>
      <c r="J46" s="8">
        <v>8</v>
      </c>
      <c r="K46" s="8">
        <v>8</v>
      </c>
      <c r="L46" s="8">
        <f t="shared" ref="L46" si="547">IF(L44="","",(K46+K47))</f>
        <v>8</v>
      </c>
      <c r="M46" s="8">
        <f t="shared" ref="M46" si="548">IF(M44="","",(L46+L47))</f>
        <v>8</v>
      </c>
      <c r="N46" s="8">
        <v>7</v>
      </c>
      <c r="O46" s="8" t="str">
        <f t="shared" ref="O46" si="549">IF(O44="","",(N46+N47))</f>
        <v/>
      </c>
      <c r="P46" s="8" t="str">
        <f>IF(P44="","",(O46+O47))</f>
        <v/>
      </c>
      <c r="Q46" s="8" t="str">
        <f t="shared" ref="Q46" si="550">IF(Q44="","",(P46+P47))</f>
        <v/>
      </c>
      <c r="R46" s="8" t="str">
        <f t="shared" ref="R46" si="551">IF(R44="","",(Q46+Q47))</f>
        <v/>
      </c>
      <c r="S46" s="8" t="str">
        <f>IF(S44="","",(R46+R47))</f>
        <v/>
      </c>
      <c r="T46" s="8" t="str">
        <f t="shared" ref="T46" si="552">IF(T44="","",(S46+S47))</f>
        <v/>
      </c>
      <c r="U46" s="8" t="str">
        <f t="shared" ref="U46" si="553">IF(U44="","",(T46+T47))</f>
        <v/>
      </c>
      <c r="V46" s="8" t="str">
        <f>IF(V44="","",(U46+U47))</f>
        <v/>
      </c>
      <c r="W46" s="8" t="str">
        <f t="shared" ref="W46" si="554">IF(W44="","",(V46+V47))</f>
        <v/>
      </c>
      <c r="X46" s="8" t="str">
        <f t="shared" ref="X46" si="555">IF(X44="","",(W46+W47))</f>
        <v/>
      </c>
      <c r="Y46" s="8" t="str">
        <f t="shared" ref="Y46" si="556">IF(Y44="","",(X46+X47))</f>
        <v/>
      </c>
      <c r="Z46" s="8" t="str">
        <f>IF(Z44="","",(Y46+Y47))</f>
        <v/>
      </c>
      <c r="AA46" s="8" t="str">
        <f t="shared" ref="AA46" si="557">IF(AA44="","",(Z46+Z47))</f>
        <v/>
      </c>
      <c r="AB46" s="8" t="str">
        <f t="shared" ref="AB46" si="558">IF(AB44="","",(AA46+AA47))</f>
        <v/>
      </c>
      <c r="AC46" s="8" t="str">
        <f t="shared" ref="AC46" si="559">IF(AC44="","",(AB46+AB47))</f>
        <v/>
      </c>
      <c r="AD46" s="8" t="str">
        <f>IF(AD44="","",(AC46+AC47))</f>
        <v/>
      </c>
      <c r="AE46" s="8" t="str">
        <f>IF(AE44="","",(AD46+AD47))</f>
        <v/>
      </c>
      <c r="AF46" s="8" t="str">
        <f t="shared" ref="AF46" si="560">IF(AF44="","",(AE46+AE47))</f>
        <v/>
      </c>
      <c r="AG46" s="8" t="str">
        <f>IF(AG44="","",(AF46+AF47))</f>
        <v/>
      </c>
      <c r="AH46" s="8" t="str">
        <f t="shared" ref="AH46" si="561">IF(AH44="","",(AG46+AG47))</f>
        <v/>
      </c>
      <c r="AI46" s="8" t="str">
        <f t="shared" ref="AI46" si="562">IF(AI44="","",(AH46+AH47))</f>
        <v/>
      </c>
      <c r="AJ46" s="8" t="str">
        <f>IF(AJ44="","",(AI46+AI47))</f>
        <v/>
      </c>
      <c r="AK46" s="8" t="str">
        <f t="shared" ref="AK46" si="563">IF(AK44="","",(AJ46+AJ47))</f>
        <v/>
      </c>
      <c r="AL46" s="8" t="str">
        <f t="shared" ref="AL46" si="564">IF(AL44="","",(AK46+AK47))</f>
        <v/>
      </c>
      <c r="AM46" s="8" t="str">
        <f t="shared" ref="AM46:AN46" si="565">IF(AM44="","",(AL46+AL47))</f>
        <v/>
      </c>
      <c r="AN46" s="8" t="str">
        <f t="shared" si="565"/>
        <v/>
      </c>
      <c r="AO46" s="8" t="str">
        <f t="shared" ref="AO46:AS46" si="566">IF(AO44="","",(AN46+AN47))</f>
        <v/>
      </c>
      <c r="AP46" s="8" t="str">
        <f t="shared" si="566"/>
        <v/>
      </c>
      <c r="AQ46" s="8" t="str">
        <f t="shared" si="566"/>
        <v/>
      </c>
      <c r="AR46" s="8" t="str">
        <f t="shared" si="566"/>
        <v/>
      </c>
      <c r="AS46" s="8" t="str">
        <f t="shared" si="566"/>
        <v/>
      </c>
    </row>
    <row r="47" spans="1:45" s="84" customFormat="1" ht="11.25" x14ac:dyDescent="0.15">
      <c r="A47" s="14"/>
      <c r="B47" s="9" t="s">
        <v>7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>
        <v>8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</row>
    <row r="48" spans="1:45" s="84" customFormat="1" ht="11.25" x14ac:dyDescent="0.15">
      <c r="A48" s="7"/>
      <c r="B48" s="9" t="s">
        <v>8</v>
      </c>
      <c r="C48" s="8">
        <v>820</v>
      </c>
      <c r="D48" s="8">
        <v>820</v>
      </c>
      <c r="E48" s="8">
        <v>820</v>
      </c>
      <c r="F48" s="8">
        <v>820</v>
      </c>
      <c r="G48" s="8">
        <v>820</v>
      </c>
      <c r="H48" s="8">
        <v>820</v>
      </c>
      <c r="I48" s="8">
        <v>820</v>
      </c>
      <c r="J48" s="8">
        <v>820</v>
      </c>
      <c r="K48" s="8">
        <v>820</v>
      </c>
      <c r="L48" s="8">
        <f t="shared" ref="L48" si="567">IF(L44="","",K48)</f>
        <v>820</v>
      </c>
      <c r="M48" s="8">
        <f t="shared" ref="M48" si="568">IF(M44="","",L48)</f>
        <v>820</v>
      </c>
      <c r="N48" s="8">
        <f t="shared" ref="N48" si="569">IF(N44="","",M48)</f>
        <v>820</v>
      </c>
      <c r="O48" s="8" t="str">
        <f t="shared" ref="O48" si="570">IF(O44="","",N48)</f>
        <v/>
      </c>
      <c r="P48" s="8" t="str">
        <f t="shared" ref="P48" si="571">IF(P44="","",O48)</f>
        <v/>
      </c>
      <c r="Q48" s="8" t="str">
        <f t="shared" ref="Q48" si="572">IF(Q44="","",P48)</f>
        <v/>
      </c>
      <c r="R48" s="8" t="str">
        <f t="shared" ref="R48" si="573">IF(R44="","",Q48)</f>
        <v/>
      </c>
      <c r="S48" s="8" t="str">
        <f t="shared" ref="S48" si="574">IF(S44="","",R48)</f>
        <v/>
      </c>
      <c r="T48" s="8" t="str">
        <f t="shared" ref="T48" si="575">IF(T44="","",S48)</f>
        <v/>
      </c>
      <c r="U48" s="8" t="str">
        <f t="shared" ref="U48" si="576">IF(U44="","",T48)</f>
        <v/>
      </c>
      <c r="V48" s="8" t="str">
        <f t="shared" ref="V48" si="577">IF(V44="","",U48)</f>
        <v/>
      </c>
      <c r="W48" s="8" t="str">
        <f t="shared" ref="W48" si="578">IF(W44="","",V48)</f>
        <v/>
      </c>
      <c r="X48" s="8" t="str">
        <f t="shared" ref="X48" si="579">IF(X44="","",W48)</f>
        <v/>
      </c>
      <c r="Y48" s="8" t="str">
        <f t="shared" ref="Y48" si="580">IF(Y44="","",X48)</f>
        <v/>
      </c>
      <c r="Z48" s="8" t="str">
        <f t="shared" ref="Z48" si="581">IF(Z44="","",Y48)</f>
        <v/>
      </c>
      <c r="AA48" s="8" t="str">
        <f t="shared" ref="AA48" si="582">IF(AA44="","",Z48)</f>
        <v/>
      </c>
      <c r="AB48" s="8" t="str">
        <f t="shared" ref="AB48" si="583">IF(AB44="","",AA48)</f>
        <v/>
      </c>
      <c r="AC48" s="8" t="str">
        <f t="shared" ref="AC48" si="584">IF(AC44="","",AB48)</f>
        <v/>
      </c>
      <c r="AD48" s="8" t="str">
        <f t="shared" ref="AD48" si="585">IF(AD44="","",AC48)</f>
        <v/>
      </c>
      <c r="AE48" s="8" t="str">
        <f t="shared" ref="AE48" si="586">IF(AE44="","",AD48)</f>
        <v/>
      </c>
      <c r="AF48" s="8" t="str">
        <f t="shared" ref="AF48" si="587">IF(AF44="","",AE48)</f>
        <v/>
      </c>
      <c r="AG48" s="8" t="str">
        <f t="shared" ref="AG48" si="588">IF(AG44="","",AF48)</f>
        <v/>
      </c>
      <c r="AH48" s="8" t="str">
        <f t="shared" ref="AH48" si="589">IF(AH44="","",AG48)</f>
        <v/>
      </c>
      <c r="AI48" s="8" t="str">
        <f t="shared" ref="AI48" si="590">IF(AI44="","",AH48)</f>
        <v/>
      </c>
      <c r="AJ48" s="8" t="str">
        <f t="shared" ref="AJ48" si="591">IF(AJ44="","",AI48)</f>
        <v/>
      </c>
      <c r="AK48" s="8" t="str">
        <f t="shared" ref="AK48" si="592">IF(AK44="","",AJ48)</f>
        <v/>
      </c>
      <c r="AL48" s="8" t="str">
        <f t="shared" ref="AL48" si="593">IF(AL44="","",AK48)</f>
        <v/>
      </c>
      <c r="AM48" s="8" t="str">
        <f t="shared" ref="AM48:AN48" si="594">IF(AM44="","",AL48)</f>
        <v/>
      </c>
      <c r="AN48" s="8" t="str">
        <f t="shared" si="594"/>
        <v/>
      </c>
      <c r="AO48" s="8" t="str">
        <f t="shared" ref="AO48:AS48" si="595">IF(AO44="","",AN48)</f>
        <v/>
      </c>
      <c r="AP48" s="8" t="str">
        <f t="shared" si="595"/>
        <v/>
      </c>
      <c r="AQ48" s="8" t="str">
        <f t="shared" si="595"/>
        <v/>
      </c>
      <c r="AR48" s="8" t="str">
        <f t="shared" si="595"/>
        <v/>
      </c>
      <c r="AS48" s="8" t="str">
        <f t="shared" si="595"/>
        <v/>
      </c>
    </row>
    <row r="49" spans="1:45" s="85" customFormat="1" ht="11.25" x14ac:dyDescent="0.15">
      <c r="A49" s="14" t="s">
        <v>9</v>
      </c>
      <c r="B49" s="13" t="s">
        <v>10</v>
      </c>
      <c r="C49" s="12" t="s">
        <v>354</v>
      </c>
      <c r="D49" s="12" t="s">
        <v>354</v>
      </c>
      <c r="E49" s="12" t="s">
        <v>354</v>
      </c>
      <c r="F49" s="12" t="s">
        <v>354</v>
      </c>
      <c r="G49" s="12" t="s">
        <v>354</v>
      </c>
      <c r="H49" s="12" t="s">
        <v>354</v>
      </c>
      <c r="I49" s="12" t="s">
        <v>354</v>
      </c>
      <c r="J49" s="12" t="s">
        <v>354</v>
      </c>
      <c r="K49" s="12" t="s">
        <v>354</v>
      </c>
      <c r="L49" s="12" t="str">
        <f>IF(L44="","",K49)</f>
        <v>フルーツスクイーズ</v>
      </c>
      <c r="M49" s="12" t="str">
        <f t="shared" ref="M49" si="596">IF(M44="","",L49)</f>
        <v>フルーツスクイーズ</v>
      </c>
      <c r="N49" s="12" t="str">
        <f t="shared" ref="N49" si="597">IF(N44="","",M49)</f>
        <v>フルーツスクイーズ</v>
      </c>
      <c r="O49" s="12" t="str">
        <f t="shared" ref="O49" si="598">IF(O44="","",N49)</f>
        <v/>
      </c>
      <c r="P49" s="12" t="str">
        <f t="shared" ref="P49" si="599">IF(P44="","",O49)</f>
        <v/>
      </c>
      <c r="Q49" s="12" t="str">
        <f t="shared" ref="Q49" si="600">IF(Q44="","",P49)</f>
        <v/>
      </c>
      <c r="R49" s="12" t="str">
        <f t="shared" ref="R49" si="601">IF(R44="","",Q49)</f>
        <v/>
      </c>
      <c r="S49" s="12" t="str">
        <f t="shared" ref="S49" si="602">IF(S44="","",R49)</f>
        <v/>
      </c>
      <c r="T49" s="12" t="str">
        <f t="shared" ref="T49" si="603">IF(T44="","",S49)</f>
        <v/>
      </c>
      <c r="U49" s="12" t="str">
        <f t="shared" ref="U49" si="604">IF(U44="","",T49)</f>
        <v/>
      </c>
      <c r="V49" s="12" t="str">
        <f t="shared" ref="V49" si="605">IF(V44="","",U49)</f>
        <v/>
      </c>
      <c r="W49" s="12" t="str">
        <f t="shared" ref="W49" si="606">IF(W44="","",V49)</f>
        <v/>
      </c>
      <c r="X49" s="12" t="str">
        <f t="shared" ref="X49" si="607">IF(X44="","",W49)</f>
        <v/>
      </c>
      <c r="Y49" s="12" t="str">
        <f t="shared" ref="Y49" si="608">IF(Y44="","",X49)</f>
        <v/>
      </c>
      <c r="Z49" s="12" t="str">
        <f>IF(Z44="","",Y49)</f>
        <v/>
      </c>
      <c r="AA49" s="12" t="str">
        <f t="shared" ref="AA49" si="609">IF(AA44="","",Z49)</f>
        <v/>
      </c>
      <c r="AB49" s="12" t="str">
        <f t="shared" ref="AB49" si="610">IF(AB44="","",AA49)</f>
        <v/>
      </c>
      <c r="AC49" s="12" t="str">
        <f t="shared" ref="AC49" si="611">IF(AC44="","",AB49)</f>
        <v/>
      </c>
      <c r="AD49" s="12" t="str">
        <f t="shared" ref="AD49" si="612">IF(AD44="","",AC49)</f>
        <v/>
      </c>
      <c r="AE49" s="12" t="str">
        <f t="shared" ref="AE49" si="613">IF(AE44="","",AD49)</f>
        <v/>
      </c>
      <c r="AF49" s="12" t="str">
        <f t="shared" ref="AF49" si="614">IF(AF44="","",AE49)</f>
        <v/>
      </c>
      <c r="AG49" s="12" t="str">
        <f t="shared" ref="AG49" si="615">IF(AG44="","",AF49)</f>
        <v/>
      </c>
      <c r="AH49" s="12" t="str">
        <f t="shared" ref="AH49" si="616">IF(AH44="","",AG49)</f>
        <v/>
      </c>
      <c r="AI49" s="12" t="str">
        <f t="shared" ref="AI49" si="617">IF(AI44="","",AH49)</f>
        <v/>
      </c>
      <c r="AJ49" s="12" t="str">
        <f t="shared" ref="AJ49" si="618">IF(AJ44="","",AI49)</f>
        <v/>
      </c>
      <c r="AK49" s="12" t="str">
        <f t="shared" ref="AK49" si="619">IF(AK44="","",AJ49)</f>
        <v/>
      </c>
      <c r="AL49" s="12" t="str">
        <f t="shared" ref="AL49" si="620">IF(AL44="","",AK49)</f>
        <v/>
      </c>
      <c r="AM49" s="12" t="str">
        <f t="shared" ref="AM49:AN49" si="621">IF(AM44="","",AL49)</f>
        <v/>
      </c>
      <c r="AN49" s="12" t="str">
        <f t="shared" si="621"/>
        <v/>
      </c>
      <c r="AO49" s="12" t="str">
        <f t="shared" ref="AO49:AS49" si="622">IF(AO44="","",AN49)</f>
        <v/>
      </c>
      <c r="AP49" s="12" t="str">
        <f t="shared" si="622"/>
        <v/>
      </c>
      <c r="AQ49" s="12" t="str">
        <f t="shared" si="622"/>
        <v/>
      </c>
      <c r="AR49" s="12" t="str">
        <f t="shared" si="622"/>
        <v/>
      </c>
      <c r="AS49" s="12" t="str">
        <f t="shared" si="622"/>
        <v/>
      </c>
    </row>
    <row r="50" spans="1:45" s="84" customFormat="1" ht="11.25" x14ac:dyDescent="0.15">
      <c r="A50" s="7">
        <f>AVERAGE(C51:AS51)*30*100</f>
        <v>26750</v>
      </c>
      <c r="B50" s="9" t="s">
        <v>12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1:45" s="84" customFormat="1" ht="11.25" x14ac:dyDescent="0.15">
      <c r="A51" s="7">
        <f>SUM(C51:AS51)</f>
        <v>107</v>
      </c>
      <c r="B51" s="6" t="s">
        <v>13</v>
      </c>
      <c r="C51" s="5">
        <v>0</v>
      </c>
      <c r="D51" s="5">
        <v>0</v>
      </c>
      <c r="E51" s="5">
        <v>0</v>
      </c>
      <c r="F51" s="5">
        <v>0</v>
      </c>
      <c r="G51" s="5">
        <v>45</v>
      </c>
      <c r="H51" s="5">
        <v>0</v>
      </c>
      <c r="I51" s="5">
        <v>0</v>
      </c>
      <c r="J51" s="5">
        <v>0</v>
      </c>
      <c r="K51" s="5">
        <v>9</v>
      </c>
      <c r="L51" s="5">
        <f t="shared" ref="L51:L52" si="623">IF(L44="","",L44-K44)</f>
        <v>0</v>
      </c>
      <c r="M51" s="5">
        <f t="shared" ref="M51:M52" si="624">IF(M44="","",M44-L44)</f>
        <v>0</v>
      </c>
      <c r="N51" s="5">
        <f t="shared" ref="N51:N52" si="625">IF(N44="","",N44-M44)</f>
        <v>53</v>
      </c>
      <c r="O51" s="5" t="str">
        <f t="shared" ref="O51:O52" si="626">IF(O44="","",O44-N44)</f>
        <v/>
      </c>
      <c r="P51" s="5" t="str">
        <f t="shared" ref="P51:P52" si="627">IF(P44="","",P44-O44)</f>
        <v/>
      </c>
      <c r="Q51" s="5" t="str">
        <f t="shared" ref="Q51:Q52" si="628">IF(Q44="","",Q44-P44)</f>
        <v/>
      </c>
      <c r="R51" s="5" t="str">
        <f t="shared" ref="R51:R52" si="629">IF(R44="","",R44-Q44)</f>
        <v/>
      </c>
      <c r="S51" s="5" t="str">
        <f t="shared" ref="S51:S52" si="630">IF(S44="","",S44-R44)</f>
        <v/>
      </c>
      <c r="T51" s="5" t="str">
        <f t="shared" ref="T51:T52" si="631">IF(T44="","",T44-S44)</f>
        <v/>
      </c>
      <c r="U51" s="5" t="str">
        <f t="shared" ref="U51:U52" si="632">IF(U44="","",U44-T44)</f>
        <v/>
      </c>
      <c r="V51" s="5" t="str">
        <f t="shared" ref="V51:V52" si="633">IF(V44="","",V44-U44)</f>
        <v/>
      </c>
      <c r="W51" s="5" t="str">
        <f t="shared" ref="W51:W52" si="634">IF(W44="","",W44-V44)</f>
        <v/>
      </c>
      <c r="X51" s="5" t="str">
        <f t="shared" ref="X51:X52" si="635">IF(X44="","",X44-W44)</f>
        <v/>
      </c>
      <c r="Y51" s="5" t="str">
        <f t="shared" ref="Y51:Y52" si="636">IF(Y44="","",Y44-X44)</f>
        <v/>
      </c>
      <c r="Z51" s="5" t="str">
        <f t="shared" ref="Z51:Z52" si="637">IF(Z44="","",Z44-Y44)</f>
        <v/>
      </c>
      <c r="AA51" s="5" t="str">
        <f t="shared" ref="AA51:AA52" si="638">IF(AA44="","",AA44-Z44)</f>
        <v/>
      </c>
      <c r="AB51" s="5" t="str">
        <f t="shared" ref="AB51:AB52" si="639">IF(AB44="","",AB44-AA44)</f>
        <v/>
      </c>
      <c r="AC51" s="5" t="str">
        <f t="shared" ref="AC51:AC52" si="640">IF(AC44="","",AC44-AB44)</f>
        <v/>
      </c>
      <c r="AD51" s="5" t="str">
        <f t="shared" ref="AD51:AD52" si="641">IF(AD44="","",AD44-AC44)</f>
        <v/>
      </c>
      <c r="AE51" s="5" t="str">
        <f t="shared" ref="AE51:AE52" si="642">IF(AE44="","",AE44-AD44)</f>
        <v/>
      </c>
      <c r="AF51" s="5" t="str">
        <f t="shared" ref="AF51:AF52" si="643">IF(AF44="","",AF44-AE44)</f>
        <v/>
      </c>
      <c r="AG51" s="5" t="str">
        <f t="shared" ref="AG51:AG52" si="644">IF(AG44="","",AG44-AF44)</f>
        <v/>
      </c>
      <c r="AH51" s="5" t="str">
        <f t="shared" ref="AH51:AH52" si="645">IF(AH44="","",AH44-AG44)</f>
        <v/>
      </c>
      <c r="AI51" s="5" t="str">
        <f t="shared" ref="AI51:AI52" si="646">IF(AI44="","",AI44-AH44)</f>
        <v/>
      </c>
      <c r="AJ51" s="5" t="str">
        <f t="shared" ref="AJ51:AJ52" si="647">IF(AJ44="","",AJ44-AI44)</f>
        <v/>
      </c>
      <c r="AK51" s="5" t="str">
        <f t="shared" ref="AK51:AK52" si="648">IF(AK44="","",AK44-AJ44)</f>
        <v/>
      </c>
      <c r="AL51" s="5" t="str">
        <f t="shared" ref="AL51:AL52" si="649">IF(AL44="","",AL44-AK44)</f>
        <v/>
      </c>
      <c r="AM51" s="5" t="str">
        <f t="shared" ref="AM51:AN51" si="650">IF(AM44="","",AM44-AL44)</f>
        <v/>
      </c>
      <c r="AN51" s="5" t="str">
        <f t="shared" si="650"/>
        <v/>
      </c>
      <c r="AO51" s="5" t="str">
        <f t="shared" ref="AO51:AS51" si="651">IF(AO44="","",AO44-AN44)</f>
        <v/>
      </c>
      <c r="AP51" s="5" t="str">
        <f t="shared" si="651"/>
        <v/>
      </c>
      <c r="AQ51" s="5" t="str">
        <f t="shared" si="651"/>
        <v/>
      </c>
      <c r="AR51" s="5" t="str">
        <f t="shared" si="651"/>
        <v/>
      </c>
      <c r="AS51" s="5" t="str">
        <f t="shared" si="651"/>
        <v/>
      </c>
    </row>
    <row r="52" spans="1:45" s="84" customFormat="1" ht="11.25" x14ac:dyDescent="0.15">
      <c r="A52" s="7">
        <f>SUM(C52:AS52)</f>
        <v>3</v>
      </c>
      <c r="B52" s="6" t="s">
        <v>14</v>
      </c>
      <c r="C52" s="5">
        <v>0</v>
      </c>
      <c r="D52" s="5">
        <v>0</v>
      </c>
      <c r="E52" s="5">
        <v>0</v>
      </c>
      <c r="F52" s="5">
        <v>0</v>
      </c>
      <c r="G52" s="5">
        <v>1</v>
      </c>
      <c r="H52" s="5">
        <v>0</v>
      </c>
      <c r="I52" s="5">
        <v>0</v>
      </c>
      <c r="J52" s="5">
        <v>0</v>
      </c>
      <c r="K52" s="5">
        <v>0</v>
      </c>
      <c r="L52" s="5">
        <f t="shared" si="623"/>
        <v>0</v>
      </c>
      <c r="M52" s="5">
        <f t="shared" si="624"/>
        <v>0</v>
      </c>
      <c r="N52" s="5">
        <f t="shared" si="625"/>
        <v>2</v>
      </c>
      <c r="O52" s="5" t="str">
        <f t="shared" si="626"/>
        <v/>
      </c>
      <c r="P52" s="5" t="str">
        <f t="shared" si="627"/>
        <v/>
      </c>
      <c r="Q52" s="5" t="str">
        <f t="shared" si="628"/>
        <v/>
      </c>
      <c r="R52" s="5" t="str">
        <f t="shared" si="629"/>
        <v/>
      </c>
      <c r="S52" s="5" t="str">
        <f t="shared" si="630"/>
        <v/>
      </c>
      <c r="T52" s="5" t="str">
        <f t="shared" si="631"/>
        <v/>
      </c>
      <c r="U52" s="5" t="str">
        <f t="shared" si="632"/>
        <v/>
      </c>
      <c r="V52" s="5" t="str">
        <f t="shared" si="633"/>
        <v/>
      </c>
      <c r="W52" s="5" t="str">
        <f t="shared" si="634"/>
        <v/>
      </c>
      <c r="X52" s="5" t="str">
        <f t="shared" si="635"/>
        <v/>
      </c>
      <c r="Y52" s="5" t="str">
        <f t="shared" si="636"/>
        <v/>
      </c>
      <c r="Z52" s="5" t="str">
        <f t="shared" si="637"/>
        <v/>
      </c>
      <c r="AA52" s="5" t="str">
        <f t="shared" si="638"/>
        <v/>
      </c>
      <c r="AB52" s="5" t="str">
        <f t="shared" si="639"/>
        <v/>
      </c>
      <c r="AC52" s="5" t="str">
        <f t="shared" si="640"/>
        <v/>
      </c>
      <c r="AD52" s="5" t="str">
        <f t="shared" si="641"/>
        <v/>
      </c>
      <c r="AE52" s="5" t="str">
        <f t="shared" si="642"/>
        <v/>
      </c>
      <c r="AF52" s="5" t="str">
        <f t="shared" si="643"/>
        <v/>
      </c>
      <c r="AG52" s="5" t="str">
        <f t="shared" si="644"/>
        <v/>
      </c>
      <c r="AH52" s="5" t="str">
        <f t="shared" si="645"/>
        <v/>
      </c>
      <c r="AI52" s="5" t="str">
        <f t="shared" si="646"/>
        <v/>
      </c>
      <c r="AJ52" s="5" t="str">
        <f t="shared" si="647"/>
        <v/>
      </c>
      <c r="AK52" s="5" t="str">
        <f t="shared" si="648"/>
        <v/>
      </c>
      <c r="AL52" s="5" t="str">
        <f t="shared" si="649"/>
        <v/>
      </c>
      <c r="AM52" s="5" t="str">
        <f t="shared" ref="AM52:AN52" si="652">IF(AM45="","",AM45-AL45)</f>
        <v/>
      </c>
      <c r="AN52" s="5" t="str">
        <f t="shared" si="652"/>
        <v/>
      </c>
      <c r="AO52" s="5" t="str">
        <f t="shared" ref="AO52:AS52" si="653">IF(AO45="","",AO45-AN45)</f>
        <v/>
      </c>
      <c r="AP52" s="5" t="str">
        <f t="shared" si="653"/>
        <v/>
      </c>
      <c r="AQ52" s="5" t="str">
        <f t="shared" si="653"/>
        <v/>
      </c>
      <c r="AR52" s="5" t="str">
        <f t="shared" si="653"/>
        <v/>
      </c>
      <c r="AS52" s="5" t="str">
        <f t="shared" si="653"/>
        <v/>
      </c>
    </row>
    <row r="53" spans="1:45" s="84" customFormat="1" ht="11.25" x14ac:dyDescent="0.15">
      <c r="A53" s="7">
        <f>SUM(C53:AS53)</f>
        <v>2</v>
      </c>
      <c r="B53" s="6" t="s">
        <v>15</v>
      </c>
      <c r="C53" s="5">
        <v>0</v>
      </c>
      <c r="D53" s="5">
        <v>0</v>
      </c>
      <c r="E53" s="5">
        <v>0</v>
      </c>
      <c r="F53" s="5">
        <v>0</v>
      </c>
      <c r="G53" s="5">
        <v>1</v>
      </c>
      <c r="H53" s="5">
        <v>0</v>
      </c>
      <c r="I53" s="5">
        <v>0</v>
      </c>
      <c r="J53" s="5">
        <v>0</v>
      </c>
      <c r="K53" s="5">
        <v>0</v>
      </c>
      <c r="L53" s="5">
        <f t="shared" ref="L53" si="654">IF(L46="","",K46+K47-L46)</f>
        <v>0</v>
      </c>
      <c r="M53" s="5">
        <f t="shared" ref="M53" si="655">IF(M46="","",L46+L47-M46)</f>
        <v>0</v>
      </c>
      <c r="N53" s="5">
        <f t="shared" ref="N53" si="656">IF(N46="","",M46+M47-N46)</f>
        <v>1</v>
      </c>
      <c r="O53" s="5" t="str">
        <f t="shared" ref="O53" si="657">IF(O46="","",N46+N47-O46)</f>
        <v/>
      </c>
      <c r="P53" s="5" t="str">
        <f t="shared" ref="P53" si="658">IF(P46="","",O46+O47-P46)</f>
        <v/>
      </c>
      <c r="Q53" s="5" t="str">
        <f t="shared" ref="Q53" si="659">IF(Q46="","",P46+P47-Q46)</f>
        <v/>
      </c>
      <c r="R53" s="5" t="str">
        <f t="shared" ref="R53" si="660">IF(R46="","",Q46+Q47-R46)</f>
        <v/>
      </c>
      <c r="S53" s="5" t="str">
        <f t="shared" ref="S53" si="661">IF(S46="","",R46+R47-S46)</f>
        <v/>
      </c>
      <c r="T53" s="5" t="str">
        <f t="shared" ref="T53" si="662">IF(T46="","",S46+S47-T46)</f>
        <v/>
      </c>
      <c r="U53" s="5" t="str">
        <f t="shared" ref="U53" si="663">IF(U46="","",T46+T47-U46)</f>
        <v/>
      </c>
      <c r="V53" s="5" t="str">
        <f t="shared" ref="V53" si="664">IF(V46="","",U46+U47-V46)</f>
        <v/>
      </c>
      <c r="W53" s="5" t="str">
        <f t="shared" ref="W53" si="665">IF(W46="","",V46+V47-W46)</f>
        <v/>
      </c>
      <c r="X53" s="5" t="str">
        <f t="shared" ref="X53" si="666">IF(X46="","",W46+W47-X46)</f>
        <v/>
      </c>
      <c r="Y53" s="5" t="str">
        <f t="shared" ref="Y53" si="667">IF(Y46="","",X46+X47-Y46)</f>
        <v/>
      </c>
      <c r="Z53" s="5" t="str">
        <f t="shared" ref="Z53" si="668">IF(Z46="","",Y46+Y47-Z46)</f>
        <v/>
      </c>
      <c r="AA53" s="5" t="str">
        <f t="shared" ref="AA53" si="669">IF(AA46="","",Z46+Z47-AA46)</f>
        <v/>
      </c>
      <c r="AB53" s="5" t="str">
        <f t="shared" ref="AB53" si="670">IF(AB46="","",AA46+AA47-AB46)</f>
        <v/>
      </c>
      <c r="AC53" s="5" t="str">
        <f t="shared" ref="AC53" si="671">IF(AC46="","",AB46+AB47-AC46)</f>
        <v/>
      </c>
      <c r="AD53" s="5" t="str">
        <f t="shared" ref="AD53" si="672">IF(AD46="","",AC46+AC47-AD46)</f>
        <v/>
      </c>
      <c r="AE53" s="5" t="str">
        <f t="shared" ref="AE53" si="673">IF(AE46="","",AD46+AD47-AE46)</f>
        <v/>
      </c>
      <c r="AF53" s="5" t="str">
        <f t="shared" ref="AF53" si="674">IF(AF46="","",AE46+AE47-AF46)</f>
        <v/>
      </c>
      <c r="AG53" s="5" t="str">
        <f t="shared" ref="AG53" si="675">IF(AG46="","",AF46+AF47-AG46)</f>
        <v/>
      </c>
      <c r="AH53" s="5" t="str">
        <f t="shared" ref="AH53" si="676">IF(AH46="","",AG46+AG47-AH46)</f>
        <v/>
      </c>
      <c r="AI53" s="5" t="str">
        <f t="shared" ref="AI53" si="677">IF(AI46="","",AH46+AH47-AI46)</f>
        <v/>
      </c>
      <c r="AJ53" s="5" t="str">
        <f t="shared" ref="AJ53" si="678">IF(AJ46="","",AI46+AI47-AJ46)</f>
        <v/>
      </c>
      <c r="AK53" s="5" t="str">
        <f t="shared" ref="AK53" si="679">IF(AK46="","",AJ46+AJ47-AK46)</f>
        <v/>
      </c>
      <c r="AL53" s="5" t="str">
        <f t="shared" ref="AL53" si="680">IF(AL46="","",AK46+AK47-AL46)</f>
        <v/>
      </c>
      <c r="AM53" s="5" t="str">
        <f t="shared" ref="AM53:AN53" si="681">IF(AM46="","",AL46+AL47-AM46)</f>
        <v/>
      </c>
      <c r="AN53" s="5" t="str">
        <f t="shared" si="681"/>
        <v/>
      </c>
      <c r="AO53" s="5" t="str">
        <f t="shared" ref="AO53:AS53" si="682">IF(AO46="","",AN46+AN47-AO46)</f>
        <v/>
      </c>
      <c r="AP53" s="5" t="str">
        <f t="shared" si="682"/>
        <v/>
      </c>
      <c r="AQ53" s="5" t="str">
        <f t="shared" si="682"/>
        <v/>
      </c>
      <c r="AR53" s="5" t="str">
        <f t="shared" si="682"/>
        <v/>
      </c>
      <c r="AS53" s="5" t="str">
        <f t="shared" si="682"/>
        <v/>
      </c>
    </row>
    <row r="54" spans="1:45" s="84" customFormat="1" ht="11.25" x14ac:dyDescent="0.15">
      <c r="A54" s="7">
        <f>SUM(C54:AS54)</f>
        <v>1640</v>
      </c>
      <c r="B54" s="6" t="s">
        <v>16</v>
      </c>
      <c r="C54" s="5">
        <v>0</v>
      </c>
      <c r="D54" s="5">
        <v>0</v>
      </c>
      <c r="E54" s="5">
        <v>0</v>
      </c>
      <c r="F54" s="5">
        <v>0</v>
      </c>
      <c r="G54" s="5">
        <v>820</v>
      </c>
      <c r="H54" s="5">
        <v>0</v>
      </c>
      <c r="I54" s="5">
        <v>0</v>
      </c>
      <c r="J54" s="5">
        <v>0</v>
      </c>
      <c r="K54" s="5">
        <v>0</v>
      </c>
      <c r="L54" s="5">
        <f t="shared" ref="J54:AL54" si="683">IF(L44="","",L53*L48)</f>
        <v>0</v>
      </c>
      <c r="M54" s="5">
        <f t="shared" si="683"/>
        <v>0</v>
      </c>
      <c r="N54" s="5">
        <f t="shared" si="683"/>
        <v>820</v>
      </c>
      <c r="O54" s="5" t="str">
        <f t="shared" si="683"/>
        <v/>
      </c>
      <c r="P54" s="5" t="str">
        <f t="shared" si="683"/>
        <v/>
      </c>
      <c r="Q54" s="5" t="str">
        <f t="shared" si="683"/>
        <v/>
      </c>
      <c r="R54" s="5" t="str">
        <f t="shared" si="683"/>
        <v/>
      </c>
      <c r="S54" s="5" t="str">
        <f t="shared" si="683"/>
        <v/>
      </c>
      <c r="T54" s="5" t="str">
        <f t="shared" si="683"/>
        <v/>
      </c>
      <c r="U54" s="5" t="str">
        <f t="shared" si="683"/>
        <v/>
      </c>
      <c r="V54" s="5" t="str">
        <f t="shared" si="683"/>
        <v/>
      </c>
      <c r="W54" s="5" t="str">
        <f t="shared" si="683"/>
        <v/>
      </c>
      <c r="X54" s="5" t="str">
        <f t="shared" si="683"/>
        <v/>
      </c>
      <c r="Y54" s="5" t="str">
        <f t="shared" si="683"/>
        <v/>
      </c>
      <c r="Z54" s="5" t="str">
        <f t="shared" si="683"/>
        <v/>
      </c>
      <c r="AA54" s="5" t="str">
        <f t="shared" si="683"/>
        <v/>
      </c>
      <c r="AB54" s="5" t="str">
        <f t="shared" si="683"/>
        <v/>
      </c>
      <c r="AC54" s="5" t="str">
        <f t="shared" si="683"/>
        <v/>
      </c>
      <c r="AD54" s="5" t="str">
        <f t="shared" si="683"/>
        <v/>
      </c>
      <c r="AE54" s="5" t="str">
        <f t="shared" si="683"/>
        <v/>
      </c>
      <c r="AF54" s="5" t="str">
        <f t="shared" si="683"/>
        <v/>
      </c>
      <c r="AG54" s="5" t="str">
        <f t="shared" si="683"/>
        <v/>
      </c>
      <c r="AH54" s="5" t="str">
        <f t="shared" si="683"/>
        <v/>
      </c>
      <c r="AI54" s="5" t="str">
        <f t="shared" si="683"/>
        <v/>
      </c>
      <c r="AJ54" s="5" t="str">
        <f t="shared" si="683"/>
        <v/>
      </c>
      <c r="AK54" s="5" t="str">
        <f t="shared" si="683"/>
        <v/>
      </c>
      <c r="AL54" s="5" t="str">
        <f t="shared" si="683"/>
        <v/>
      </c>
      <c r="AM54" s="5" t="str">
        <f t="shared" ref="AM54:AN54" si="684">IF(AM44="","",AM53*AM48)</f>
        <v/>
      </c>
      <c r="AN54" s="5" t="str">
        <f t="shared" si="684"/>
        <v/>
      </c>
      <c r="AO54" s="5" t="str">
        <f t="shared" ref="AO54:AS54" si="685">IF(AO44="","",AO53*AO48)</f>
        <v/>
      </c>
      <c r="AP54" s="5" t="str">
        <f t="shared" si="685"/>
        <v/>
      </c>
      <c r="AQ54" s="5" t="str">
        <f t="shared" si="685"/>
        <v/>
      </c>
      <c r="AR54" s="5" t="str">
        <f t="shared" si="685"/>
        <v/>
      </c>
      <c r="AS54" s="5" t="str">
        <f t="shared" si="685"/>
        <v/>
      </c>
    </row>
    <row r="55" spans="1:45" s="84" customFormat="1" ht="12" thickBot="1" x14ac:dyDescent="0.2">
      <c r="A55" s="4">
        <f>IF(A54="","",A54/(A51*100))</f>
        <v>0.15327102803738318</v>
      </c>
      <c r="B55" s="3" t="s">
        <v>18</v>
      </c>
      <c r="C55" s="2" t="s">
        <v>19</v>
      </c>
      <c r="D55" s="2" t="s">
        <v>19</v>
      </c>
      <c r="E55" s="2" t="s">
        <v>19</v>
      </c>
      <c r="F55" s="2" t="s">
        <v>19</v>
      </c>
      <c r="G55" s="2">
        <v>0.18222222222222223</v>
      </c>
      <c r="H55" s="2" t="s">
        <v>19</v>
      </c>
      <c r="I55" s="2" t="s">
        <v>19</v>
      </c>
      <c r="J55" s="2" t="s">
        <v>19</v>
      </c>
      <c r="K55" s="2" t="s">
        <v>19</v>
      </c>
      <c r="L55" s="2" t="str">
        <f t="shared" ref="J55:AL55" si="686">IF(L54="","",IF(L54=0,"",L54/(L51*100)))</f>
        <v/>
      </c>
      <c r="M55" s="2" t="str">
        <f t="shared" si="686"/>
        <v/>
      </c>
      <c r="N55" s="2">
        <f t="shared" si="686"/>
        <v>0.15471698113207547</v>
      </c>
      <c r="O55" s="2" t="str">
        <f t="shared" si="686"/>
        <v/>
      </c>
      <c r="P55" s="2" t="str">
        <f t="shared" si="686"/>
        <v/>
      </c>
      <c r="Q55" s="2" t="str">
        <f t="shared" si="686"/>
        <v/>
      </c>
      <c r="R55" s="2" t="str">
        <f t="shared" si="686"/>
        <v/>
      </c>
      <c r="S55" s="2" t="str">
        <f t="shared" si="686"/>
        <v/>
      </c>
      <c r="T55" s="2" t="str">
        <f t="shared" si="686"/>
        <v/>
      </c>
      <c r="U55" s="2" t="str">
        <f t="shared" si="686"/>
        <v/>
      </c>
      <c r="V55" s="2" t="str">
        <f t="shared" si="686"/>
        <v/>
      </c>
      <c r="W55" s="2" t="str">
        <f t="shared" si="686"/>
        <v/>
      </c>
      <c r="X55" s="2" t="str">
        <f t="shared" si="686"/>
        <v/>
      </c>
      <c r="Y55" s="2" t="str">
        <f t="shared" si="686"/>
        <v/>
      </c>
      <c r="Z55" s="2" t="str">
        <f t="shared" si="686"/>
        <v/>
      </c>
      <c r="AA55" s="2" t="str">
        <f t="shared" si="686"/>
        <v/>
      </c>
      <c r="AB55" s="2" t="str">
        <f t="shared" si="686"/>
        <v/>
      </c>
      <c r="AC55" s="2" t="str">
        <f t="shared" si="686"/>
        <v/>
      </c>
      <c r="AD55" s="2" t="str">
        <f t="shared" si="686"/>
        <v/>
      </c>
      <c r="AE55" s="2" t="str">
        <f t="shared" si="686"/>
        <v/>
      </c>
      <c r="AF55" s="2" t="str">
        <f t="shared" si="686"/>
        <v/>
      </c>
      <c r="AG55" s="2" t="str">
        <f t="shared" si="686"/>
        <v/>
      </c>
      <c r="AH55" s="2" t="str">
        <f t="shared" si="686"/>
        <v/>
      </c>
      <c r="AI55" s="2" t="str">
        <f t="shared" si="686"/>
        <v/>
      </c>
      <c r="AJ55" s="2" t="str">
        <f t="shared" si="686"/>
        <v/>
      </c>
      <c r="AK55" s="2" t="str">
        <f t="shared" si="686"/>
        <v/>
      </c>
      <c r="AL55" s="2" t="str">
        <f t="shared" si="686"/>
        <v/>
      </c>
      <c r="AM55" s="2" t="str">
        <f t="shared" ref="AM55:AN55" si="687">IF(AM54="","",IF(AM54=0,"",AM54/(AM51*100)))</f>
        <v/>
      </c>
      <c r="AN55" s="2" t="str">
        <f t="shared" si="687"/>
        <v/>
      </c>
      <c r="AO55" s="2" t="str">
        <f t="shared" ref="AO55:AS55" si="688">IF(AO54="","",IF(AO54=0,"",AO54/(AO51*100)))</f>
        <v/>
      </c>
      <c r="AP55" s="2" t="str">
        <f t="shared" si="688"/>
        <v/>
      </c>
      <c r="AQ55" s="2" t="str">
        <f t="shared" si="688"/>
        <v/>
      </c>
      <c r="AR55" s="2" t="str">
        <f t="shared" si="688"/>
        <v/>
      </c>
      <c r="AS55" s="2" t="str">
        <f t="shared" si="688"/>
        <v/>
      </c>
    </row>
    <row r="56" spans="1:45" s="84" customFormat="1" ht="11.25" x14ac:dyDescent="0.15">
      <c r="A56" s="22" t="s">
        <v>94</v>
      </c>
      <c r="B56" s="21" t="s">
        <v>2</v>
      </c>
      <c r="C56" s="20">
        <v>491</v>
      </c>
      <c r="D56" s="20">
        <v>491</v>
      </c>
      <c r="E56" s="20">
        <v>491</v>
      </c>
      <c r="F56" s="20">
        <v>491</v>
      </c>
      <c r="G56" s="20">
        <v>510</v>
      </c>
      <c r="H56" s="20">
        <v>510</v>
      </c>
      <c r="I56" s="20">
        <v>510</v>
      </c>
      <c r="J56" s="20">
        <v>510</v>
      </c>
      <c r="K56" s="20">
        <v>531</v>
      </c>
      <c r="L56" s="20">
        <f>IF(L$8="","",K56)</f>
        <v>531</v>
      </c>
      <c r="M56" s="20">
        <f t="shared" ref="M56:M57" si="689">IF(M$8="","",L56)</f>
        <v>531</v>
      </c>
      <c r="N56" s="20">
        <v>547</v>
      </c>
      <c r="O56" s="20" t="str">
        <f>IF(O$8="","",N56)</f>
        <v/>
      </c>
      <c r="P56" s="20" t="str">
        <f>IF(P$8="","",O56)</f>
        <v/>
      </c>
      <c r="Q56" s="20" t="str">
        <f t="shared" ref="Q56:Q57" si="690">IF(Q$8="","",P56)</f>
        <v/>
      </c>
      <c r="R56" s="20" t="str">
        <f t="shared" ref="R56:R57" si="691">IF(R$8="","",Q56)</f>
        <v/>
      </c>
      <c r="S56" s="20" t="str">
        <f>IF(S$8="","",R56)</f>
        <v/>
      </c>
      <c r="T56" s="20" t="str">
        <f t="shared" ref="T56:T57" si="692">IF(T$8="","",S56)</f>
        <v/>
      </c>
      <c r="U56" s="20" t="str">
        <f t="shared" ref="U56:U57" si="693">IF(U$8="","",T56)</f>
        <v/>
      </c>
      <c r="V56" s="20" t="str">
        <f>IF(V$8="","",U56)</f>
        <v/>
      </c>
      <c r="W56" s="20" t="str">
        <f t="shared" ref="W56:W57" si="694">IF(W$8="","",V56)</f>
        <v/>
      </c>
      <c r="X56" s="20" t="str">
        <f t="shared" ref="X56:X57" si="695">IF(X$8="","",W56)</f>
        <v/>
      </c>
      <c r="Y56" s="20" t="str">
        <f t="shared" ref="Y56:Y57" si="696">IF(Y$8="","",X56)</f>
        <v/>
      </c>
      <c r="Z56" s="20" t="str">
        <f>IF(Z$8="","",Y56)</f>
        <v/>
      </c>
      <c r="AA56" s="20" t="str">
        <f t="shared" ref="AA56:AA57" si="697">IF(AA$8="","",Z56)</f>
        <v/>
      </c>
      <c r="AB56" s="20" t="str">
        <f t="shared" ref="AB56:AB57" si="698">IF(AB$8="","",AA56)</f>
        <v/>
      </c>
      <c r="AC56" s="20" t="str">
        <f t="shared" ref="AC56:AC57" si="699">IF(AC$8="","",AB56)</f>
        <v/>
      </c>
      <c r="AD56" s="20" t="str">
        <f>IF(AD$8="","",AC56)</f>
        <v/>
      </c>
      <c r="AE56" s="20" t="str">
        <f>IF(AE$8="","",AD56)</f>
        <v/>
      </c>
      <c r="AF56" s="20" t="str">
        <f t="shared" ref="AF56:AF57" si="700">IF(AF$8="","",AE56)</f>
        <v/>
      </c>
      <c r="AG56" s="20" t="str">
        <f>IF(AG$8="","",AF56)</f>
        <v/>
      </c>
      <c r="AH56" s="20" t="str">
        <f t="shared" ref="AH56:AH57" si="701">IF(AH$8="","",AG56)</f>
        <v/>
      </c>
      <c r="AI56" s="20" t="str">
        <f t="shared" ref="AI56:AI57" si="702">IF(AI$8="","",AH56)</f>
        <v/>
      </c>
      <c r="AJ56" s="20" t="str">
        <f>IF(AJ$8="","",AI56)</f>
        <v/>
      </c>
      <c r="AK56" s="20" t="str">
        <f t="shared" ref="AK56:AK57" si="703">IF(AK$8="","",AJ56)</f>
        <v/>
      </c>
      <c r="AL56" s="20" t="str">
        <f t="shared" ref="AL56:AL57" si="704">IF(AL$8="","",AK56)</f>
        <v/>
      </c>
      <c r="AM56" s="20" t="str">
        <f t="shared" ref="AM56:AN56" si="705">IF(AM$8="","",AL56)</f>
        <v/>
      </c>
      <c r="AN56" s="20" t="str">
        <f>IF(AN$8="","",AM56)</f>
        <v/>
      </c>
      <c r="AO56" s="20" t="str">
        <f t="shared" ref="AO56:AS56" si="706">IF(AO$8="","",AN56)</f>
        <v/>
      </c>
      <c r="AP56" s="20" t="str">
        <f t="shared" si="706"/>
        <v/>
      </c>
      <c r="AQ56" s="20" t="str">
        <f t="shared" si="706"/>
        <v/>
      </c>
      <c r="AR56" s="20" t="str">
        <f t="shared" si="706"/>
        <v/>
      </c>
      <c r="AS56" s="20" t="str">
        <f t="shared" si="706"/>
        <v/>
      </c>
    </row>
    <row r="57" spans="1:45" s="84" customFormat="1" ht="11.25" x14ac:dyDescent="0.15">
      <c r="A57" s="16" t="s">
        <v>22</v>
      </c>
      <c r="B57" s="9" t="s">
        <v>4</v>
      </c>
      <c r="C57" s="8">
        <v>10</v>
      </c>
      <c r="D57" s="8">
        <v>10</v>
      </c>
      <c r="E57" s="8">
        <v>10</v>
      </c>
      <c r="F57" s="8">
        <v>10</v>
      </c>
      <c r="G57" s="8">
        <v>11</v>
      </c>
      <c r="H57" s="8">
        <v>11</v>
      </c>
      <c r="I57" s="8">
        <v>11</v>
      </c>
      <c r="J57" s="8">
        <v>11</v>
      </c>
      <c r="K57" s="8">
        <v>11</v>
      </c>
      <c r="L57" s="8">
        <f>IF(L$8="","",K57)</f>
        <v>11</v>
      </c>
      <c r="M57" s="8">
        <f t="shared" si="689"/>
        <v>11</v>
      </c>
      <c r="N57" s="8">
        <v>11</v>
      </c>
      <c r="O57" s="8" t="str">
        <f>IF(O$8="","",N57)</f>
        <v/>
      </c>
      <c r="P57" s="8" t="str">
        <f t="shared" ref="P57" si="707">IF(P$8="","",O57)</f>
        <v/>
      </c>
      <c r="Q57" s="8" t="str">
        <f t="shared" si="690"/>
        <v/>
      </c>
      <c r="R57" s="8" t="str">
        <f t="shared" si="691"/>
        <v/>
      </c>
      <c r="S57" s="8" t="str">
        <f t="shared" ref="S57" si="708">IF(S$8="","",R57)</f>
        <v/>
      </c>
      <c r="T57" s="8" t="str">
        <f t="shared" si="692"/>
        <v/>
      </c>
      <c r="U57" s="8" t="str">
        <f t="shared" si="693"/>
        <v/>
      </c>
      <c r="V57" s="8" t="str">
        <f t="shared" ref="V57" si="709">IF(V$8="","",U57)</f>
        <v/>
      </c>
      <c r="W57" s="8" t="str">
        <f t="shared" si="694"/>
        <v/>
      </c>
      <c r="X57" s="8" t="str">
        <f t="shared" si="695"/>
        <v/>
      </c>
      <c r="Y57" s="8" t="str">
        <f t="shared" si="696"/>
        <v/>
      </c>
      <c r="Z57" s="8" t="str">
        <f>IF(Z$8="","",Y57)</f>
        <v/>
      </c>
      <c r="AA57" s="8" t="str">
        <f t="shared" si="697"/>
        <v/>
      </c>
      <c r="AB57" s="8" t="str">
        <f t="shared" si="698"/>
        <v/>
      </c>
      <c r="AC57" s="8" t="str">
        <f t="shared" si="699"/>
        <v/>
      </c>
      <c r="AD57" s="8" t="str">
        <f t="shared" ref="AD57" si="710">IF(AD$8="","",AC57)</f>
        <v/>
      </c>
      <c r="AE57" s="8" t="str">
        <f t="shared" ref="AE56:AE57" si="711">IF(AE$8="","",AD57)</f>
        <v/>
      </c>
      <c r="AF57" s="8" t="str">
        <f t="shared" si="700"/>
        <v/>
      </c>
      <c r="AG57" s="8" t="str">
        <f t="shared" ref="AG57" si="712">IF(AG$8="","",AF57)</f>
        <v/>
      </c>
      <c r="AH57" s="8" t="str">
        <f t="shared" si="701"/>
        <v/>
      </c>
      <c r="AI57" s="8" t="str">
        <f t="shared" si="702"/>
        <v/>
      </c>
      <c r="AJ57" s="8" t="str">
        <f>IF(AJ$8="","",AI57)</f>
        <v/>
      </c>
      <c r="AK57" s="8" t="str">
        <f t="shared" si="703"/>
        <v/>
      </c>
      <c r="AL57" s="8" t="str">
        <f t="shared" si="704"/>
        <v/>
      </c>
      <c r="AM57" s="8" t="str">
        <f t="shared" ref="AM57:AN57" si="713">IF(AM$8="","",AL57)</f>
        <v/>
      </c>
      <c r="AN57" s="8" t="str">
        <f t="shared" si="713"/>
        <v/>
      </c>
      <c r="AO57" s="8" t="str">
        <f>IF(AO$8="","",AN57)</f>
        <v/>
      </c>
      <c r="AP57" s="8" t="str">
        <f>IF(天文館!AP$8="","",AO57)</f>
        <v/>
      </c>
      <c r="AQ57" s="8" t="str">
        <f>IF(天文館!AQ$8="","",AP57)</f>
        <v/>
      </c>
      <c r="AR57" s="8" t="str">
        <f>IF(天文館!AR$8="","",AQ57)</f>
        <v/>
      </c>
      <c r="AS57" s="8" t="str">
        <f>IF(天文館!AS$8="","",AR57)</f>
        <v/>
      </c>
    </row>
    <row r="58" spans="1:45" s="84" customFormat="1" ht="11.25" x14ac:dyDescent="0.15">
      <c r="A58" s="15">
        <v>1</v>
      </c>
      <c r="B58" s="9" t="s">
        <v>5</v>
      </c>
      <c r="C58" s="8">
        <v>9</v>
      </c>
      <c r="D58" s="8">
        <v>9</v>
      </c>
      <c r="E58" s="8">
        <v>9</v>
      </c>
      <c r="F58" s="8">
        <v>9</v>
      </c>
      <c r="G58" s="8">
        <v>9</v>
      </c>
      <c r="H58" s="8">
        <v>9</v>
      </c>
      <c r="I58" s="8">
        <v>9</v>
      </c>
      <c r="J58" s="8">
        <v>9</v>
      </c>
      <c r="K58" s="8">
        <v>9</v>
      </c>
      <c r="L58" s="8">
        <f>IF(L56="","",(K58+K59))</f>
        <v>9</v>
      </c>
      <c r="M58" s="8">
        <f t="shared" ref="M58" si="714">IF(M56="","",(L58+L59))</f>
        <v>9</v>
      </c>
      <c r="N58" s="8">
        <f t="shared" ref="N58" si="715">IF(N56="","",(M58+M59))</f>
        <v>9</v>
      </c>
      <c r="O58" s="8" t="str">
        <f>IF(O56="","",(N58+N59))</f>
        <v/>
      </c>
      <c r="P58" s="8" t="str">
        <f t="shared" ref="P58" si="716">IF(P56="","",(O58+O59))</f>
        <v/>
      </c>
      <c r="Q58" s="8" t="str">
        <f t="shared" ref="Q58" si="717">IF(Q56="","",(P58+P59))</f>
        <v/>
      </c>
      <c r="R58" s="8" t="str">
        <f t="shared" ref="R58" si="718">IF(R56="","",(Q58+Q59))</f>
        <v/>
      </c>
      <c r="S58" s="8" t="str">
        <f t="shared" ref="S58" si="719">IF(S56="","",(R58+R59))</f>
        <v/>
      </c>
      <c r="T58" s="8" t="str">
        <f t="shared" ref="T58" si="720">IF(T56="","",(S58+S59))</f>
        <v/>
      </c>
      <c r="U58" s="8" t="str">
        <f t="shared" ref="U58" si="721">IF(U56="","",(T58+T59))</f>
        <v/>
      </c>
      <c r="V58" s="8" t="str">
        <f t="shared" ref="V58" si="722">IF(V56="","",(U58+U59))</f>
        <v/>
      </c>
      <c r="W58" s="8" t="str">
        <f t="shared" ref="W58" si="723">IF(W56="","",(V58+V59))</f>
        <v/>
      </c>
      <c r="X58" s="8" t="str">
        <f t="shared" ref="X58" si="724">IF(X56="","",(W58+W59))</f>
        <v/>
      </c>
      <c r="Y58" s="8" t="str">
        <f t="shared" ref="Y58" si="725">IF(Y56="","",(X58+X59))</f>
        <v/>
      </c>
      <c r="Z58" s="8" t="str">
        <f t="shared" ref="Z58" si="726">IF(Z56="","",(Y58+Y59))</f>
        <v/>
      </c>
      <c r="AA58" s="8" t="str">
        <f t="shared" ref="AA58" si="727">IF(AA56="","",(Z58+Z59))</f>
        <v/>
      </c>
      <c r="AB58" s="8" t="str">
        <f t="shared" ref="AB58" si="728">IF(AB56="","",(AA58+AA59))</f>
        <v/>
      </c>
      <c r="AC58" s="8" t="str">
        <f t="shared" ref="AC58" si="729">IF(AC56="","",(AB58+AB59))</f>
        <v/>
      </c>
      <c r="AD58" s="8" t="str">
        <f>IF(AD56="","",(AC58+AC59))</f>
        <v/>
      </c>
      <c r="AE58" s="8" t="str">
        <f t="shared" ref="AE58" si="730">IF(AE56="","",(AD58+AD59))</f>
        <v/>
      </c>
      <c r="AF58" s="8" t="str">
        <f t="shared" ref="AF58" si="731">IF(AF56="","",(AE58+AE59))</f>
        <v/>
      </c>
      <c r="AG58" s="8" t="str">
        <f t="shared" ref="AG58" si="732">IF(AG56="","",(AF58+AF59))</f>
        <v/>
      </c>
      <c r="AH58" s="8" t="str">
        <f t="shared" ref="AH58" si="733">IF(AH56="","",(AG58+AG59))</f>
        <v/>
      </c>
      <c r="AI58" s="8" t="str">
        <f t="shared" ref="AI58" si="734">IF(AI56="","",(AH58+AH59))</f>
        <v/>
      </c>
      <c r="AJ58" s="8" t="str">
        <f t="shared" ref="AJ58" si="735">IF(AJ56="","",(AI58+AI59))</f>
        <v/>
      </c>
      <c r="AK58" s="8" t="str">
        <f t="shared" ref="AK58" si="736">IF(AK56="","",(AJ58+AJ59))</f>
        <v/>
      </c>
      <c r="AL58" s="8" t="str">
        <f t="shared" ref="AL58" si="737">IF(AL56="","",(AK58+AK59))</f>
        <v/>
      </c>
      <c r="AM58" s="8" t="str">
        <f t="shared" ref="AM58:AN58" si="738">IF(AM56="","",(AL58+AL59))</f>
        <v/>
      </c>
      <c r="AN58" s="8" t="str">
        <f t="shared" si="738"/>
        <v/>
      </c>
      <c r="AO58" s="8" t="str">
        <f t="shared" ref="AO58:AS58" si="739">IF(AO56="","",(AN58+AN59))</f>
        <v/>
      </c>
      <c r="AP58" s="8" t="str">
        <f t="shared" si="739"/>
        <v/>
      </c>
      <c r="AQ58" s="8" t="str">
        <f t="shared" si="739"/>
        <v/>
      </c>
      <c r="AR58" s="8" t="str">
        <f t="shared" si="739"/>
        <v/>
      </c>
      <c r="AS58" s="8" t="str">
        <f t="shared" si="739"/>
        <v/>
      </c>
    </row>
    <row r="59" spans="1:45" s="84" customFormat="1" ht="11.25" x14ac:dyDescent="0.15">
      <c r="A59" s="92" t="s">
        <v>6</v>
      </c>
      <c r="B59" s="9" t="s">
        <v>7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1:45" s="84" customFormat="1" ht="11.25" x14ac:dyDescent="0.15">
      <c r="A60" s="93">
        <f>+(A63+A75+A87+A99)*100</f>
        <v>32100</v>
      </c>
      <c r="B60" s="9" t="s">
        <v>8</v>
      </c>
      <c r="C60" s="8">
        <v>750</v>
      </c>
      <c r="D60" s="8">
        <v>750</v>
      </c>
      <c r="E60" s="8">
        <v>750</v>
      </c>
      <c r="F60" s="8">
        <v>750</v>
      </c>
      <c r="G60" s="8">
        <v>750</v>
      </c>
      <c r="H60" s="8">
        <v>750</v>
      </c>
      <c r="I60" s="8">
        <v>750</v>
      </c>
      <c r="J60" s="8">
        <v>750</v>
      </c>
      <c r="K60" s="8">
        <v>750</v>
      </c>
      <c r="L60" s="8">
        <f t="shared" ref="L60" si="740">IF(L56="","",K60)</f>
        <v>750</v>
      </c>
      <c r="M60" s="8">
        <f t="shared" ref="M60" si="741">IF(M56="","",L60)</f>
        <v>750</v>
      </c>
      <c r="N60" s="8">
        <f t="shared" ref="N60" si="742">IF(N56="","",M60)</f>
        <v>750</v>
      </c>
      <c r="O60" s="8" t="str">
        <f t="shared" ref="O60" si="743">IF(O56="","",N60)</f>
        <v/>
      </c>
      <c r="P60" s="8" t="str">
        <f t="shared" ref="P60" si="744">IF(P56="","",O60)</f>
        <v/>
      </c>
      <c r="Q60" s="8" t="str">
        <f t="shared" ref="Q60" si="745">IF(Q56="","",P60)</f>
        <v/>
      </c>
      <c r="R60" s="8" t="str">
        <f t="shared" ref="R60" si="746">IF(R56="","",Q60)</f>
        <v/>
      </c>
      <c r="S60" s="8" t="str">
        <f t="shared" ref="S60" si="747">IF(S56="","",R60)</f>
        <v/>
      </c>
      <c r="T60" s="8" t="str">
        <f t="shared" ref="T60" si="748">IF(T56="","",S60)</f>
        <v/>
      </c>
      <c r="U60" s="8" t="str">
        <f t="shared" ref="U60" si="749">IF(U56="","",T60)</f>
        <v/>
      </c>
      <c r="V60" s="8" t="str">
        <f t="shared" ref="V60" si="750">IF(V56="","",U60)</f>
        <v/>
      </c>
      <c r="W60" s="8" t="str">
        <f t="shared" ref="W60" si="751">IF(W56="","",V60)</f>
        <v/>
      </c>
      <c r="X60" s="8" t="str">
        <f t="shared" ref="X60" si="752">IF(X56="","",W60)</f>
        <v/>
      </c>
      <c r="Y60" s="8" t="str">
        <f t="shared" ref="Y60" si="753">IF(Y56="","",X60)</f>
        <v/>
      </c>
      <c r="Z60" s="8" t="str">
        <f t="shared" ref="Z60" si="754">IF(Z56="","",Y60)</f>
        <v/>
      </c>
      <c r="AA60" s="8" t="str">
        <f t="shared" ref="AA60" si="755">IF(AA56="","",Z60)</f>
        <v/>
      </c>
      <c r="AB60" s="8" t="str">
        <f t="shared" ref="AB60" si="756">IF(AB56="","",AA60)</f>
        <v/>
      </c>
      <c r="AC60" s="8" t="str">
        <f t="shared" ref="AC60" si="757">IF(AC56="","",AB60)</f>
        <v/>
      </c>
      <c r="AD60" s="8" t="str">
        <f t="shared" ref="AD60" si="758">IF(AD56="","",AC60)</f>
        <v/>
      </c>
      <c r="AE60" s="8" t="str">
        <f t="shared" ref="AE60" si="759">IF(AE56="","",AD60)</f>
        <v/>
      </c>
      <c r="AF60" s="8" t="str">
        <f t="shared" ref="AF60" si="760">IF(AF56="","",AE60)</f>
        <v/>
      </c>
      <c r="AG60" s="8" t="str">
        <f t="shared" ref="AG60" si="761">IF(AG56="","",AF60)</f>
        <v/>
      </c>
      <c r="AH60" s="8" t="str">
        <f t="shared" ref="AH60" si="762">IF(AH56="","",AG60)</f>
        <v/>
      </c>
      <c r="AI60" s="8" t="str">
        <f t="shared" ref="AI60" si="763">IF(AI56="","",AH60)</f>
        <v/>
      </c>
      <c r="AJ60" s="8" t="str">
        <f t="shared" ref="AJ60" si="764">IF(AJ56="","",AI60)</f>
        <v/>
      </c>
      <c r="AK60" s="8" t="str">
        <f t="shared" ref="AK60" si="765">IF(AK56="","",AJ60)</f>
        <v/>
      </c>
      <c r="AL60" s="8" t="str">
        <f t="shared" ref="AL60" si="766">IF(AL56="","",AK60)</f>
        <v/>
      </c>
      <c r="AM60" s="8" t="str">
        <f t="shared" ref="AM60:AN60" si="767">IF(AM56="","",AL60)</f>
        <v/>
      </c>
      <c r="AN60" s="8" t="str">
        <f t="shared" si="767"/>
        <v/>
      </c>
      <c r="AO60" s="8" t="str">
        <f t="shared" ref="AO60:AS60" si="768">IF(AO56="","",AN60)</f>
        <v/>
      </c>
      <c r="AP60" s="8" t="str">
        <f t="shared" si="768"/>
        <v/>
      </c>
      <c r="AQ60" s="8" t="str">
        <f t="shared" si="768"/>
        <v/>
      </c>
      <c r="AR60" s="8" t="str">
        <f t="shared" si="768"/>
        <v/>
      </c>
      <c r="AS60" s="8" t="str">
        <f t="shared" si="768"/>
        <v/>
      </c>
    </row>
    <row r="61" spans="1:45" s="85" customFormat="1" ht="11.25" x14ac:dyDescent="0.15">
      <c r="A61" s="14" t="s">
        <v>9</v>
      </c>
      <c r="B61" s="13" t="s">
        <v>10</v>
      </c>
      <c r="C61" s="12" t="s">
        <v>352</v>
      </c>
      <c r="D61" s="12" t="s">
        <v>352</v>
      </c>
      <c r="E61" s="12" t="s">
        <v>352</v>
      </c>
      <c r="F61" s="12" t="s">
        <v>352</v>
      </c>
      <c r="G61" s="12" t="s">
        <v>352</v>
      </c>
      <c r="H61" s="12" t="s">
        <v>352</v>
      </c>
      <c r="I61" s="12" t="s">
        <v>352</v>
      </c>
      <c r="J61" s="12" t="s">
        <v>352</v>
      </c>
      <c r="K61" s="12" t="s">
        <v>352</v>
      </c>
      <c r="L61" s="12" t="str">
        <f t="shared" ref="L61" si="769">IF(L56="","",K61)</f>
        <v>ベアブリック</v>
      </c>
      <c r="M61" s="12" t="str">
        <f t="shared" ref="M61" si="770">IF(M56="","",L61)</f>
        <v>ベアブリック</v>
      </c>
      <c r="N61" s="12" t="str">
        <f t="shared" ref="N61" si="771">IF(N56="","",M61)</f>
        <v>ベアブリック</v>
      </c>
      <c r="O61" s="12" t="str">
        <f t="shared" ref="O61" si="772">IF(O56="","",N61)</f>
        <v/>
      </c>
      <c r="P61" s="12" t="str">
        <f t="shared" ref="P61" si="773">IF(P56="","",O61)</f>
        <v/>
      </c>
      <c r="Q61" s="12" t="str">
        <f t="shared" ref="Q61" si="774">IF(Q56="","",P61)</f>
        <v/>
      </c>
      <c r="R61" s="12" t="str">
        <f t="shared" ref="R61" si="775">IF(R56="","",Q61)</f>
        <v/>
      </c>
      <c r="S61" s="12" t="str">
        <f>IF(S56="","",R61)</f>
        <v/>
      </c>
      <c r="T61" s="12" t="str">
        <f t="shared" ref="T61" si="776">IF(T56="","",S61)</f>
        <v/>
      </c>
      <c r="U61" s="12" t="str">
        <f t="shared" ref="U61" si="777">IF(U56="","",T61)</f>
        <v/>
      </c>
      <c r="V61" s="12" t="str">
        <f t="shared" ref="V61" si="778">IF(V56="","",U61)</f>
        <v/>
      </c>
      <c r="W61" s="12" t="str">
        <f t="shared" ref="W61" si="779">IF(W56="","",V61)</f>
        <v/>
      </c>
      <c r="X61" s="12" t="str">
        <f t="shared" ref="X61" si="780">IF(X56="","",W61)</f>
        <v/>
      </c>
      <c r="Y61" s="12" t="str">
        <f t="shared" ref="Y61" si="781">IF(Y56="","",X61)</f>
        <v/>
      </c>
      <c r="Z61" s="12" t="str">
        <f t="shared" ref="Z61" si="782">IF(Z56="","",Y61)</f>
        <v/>
      </c>
      <c r="AA61" s="12" t="str">
        <f t="shared" ref="AA61" si="783">IF(AA56="","",Z61)</f>
        <v/>
      </c>
      <c r="AB61" s="12" t="str">
        <f t="shared" ref="AB61" si="784">IF(AB56="","",AA61)</f>
        <v/>
      </c>
      <c r="AC61" s="12" t="str">
        <f t="shared" ref="AC61" si="785">IF(AC56="","",AB61)</f>
        <v/>
      </c>
      <c r="AD61" s="12" t="str">
        <f t="shared" ref="AD61" si="786">IF(AD56="","",AC61)</f>
        <v/>
      </c>
      <c r="AE61" s="12" t="str">
        <f t="shared" ref="AE61" si="787">IF(AE56="","",AD61)</f>
        <v/>
      </c>
      <c r="AF61" s="12" t="str">
        <f t="shared" ref="AF61" si="788">IF(AF56="","",AE61)</f>
        <v/>
      </c>
      <c r="AG61" s="12" t="str">
        <f>IF(AG56="","",AF61)</f>
        <v/>
      </c>
      <c r="AH61" s="12" t="str">
        <f t="shared" ref="AH61" si="789">IF(AH56="","",AG61)</f>
        <v/>
      </c>
      <c r="AI61" s="12" t="str">
        <f t="shared" ref="AI61" si="790">IF(AI56="","",AH61)</f>
        <v/>
      </c>
      <c r="AJ61" s="12" t="str">
        <f t="shared" ref="AJ61" si="791">IF(AJ56="","",AI61)</f>
        <v/>
      </c>
      <c r="AK61" s="12" t="str">
        <f t="shared" ref="AK61" si="792">IF(AK56="","",AJ61)</f>
        <v/>
      </c>
      <c r="AL61" s="12" t="str">
        <f t="shared" ref="AL61" si="793">IF(AL56="","",AK61)</f>
        <v/>
      </c>
      <c r="AM61" s="12" t="str">
        <f t="shared" ref="AM61:AN61" si="794">IF(AM56="","",AL61)</f>
        <v/>
      </c>
      <c r="AN61" s="12" t="str">
        <f t="shared" si="794"/>
        <v/>
      </c>
      <c r="AO61" s="12" t="str">
        <f t="shared" ref="AO61:AS61" si="795">IF(AO56="","",AN61)</f>
        <v/>
      </c>
      <c r="AP61" s="12" t="str">
        <f t="shared" si="795"/>
        <v/>
      </c>
      <c r="AQ61" s="12" t="str">
        <f t="shared" si="795"/>
        <v/>
      </c>
      <c r="AR61" s="12" t="str">
        <f t="shared" si="795"/>
        <v/>
      </c>
      <c r="AS61" s="12" t="str">
        <f t="shared" si="795"/>
        <v/>
      </c>
    </row>
    <row r="62" spans="1:45" s="84" customFormat="1" ht="11.25" x14ac:dyDescent="0.15">
      <c r="A62" s="7">
        <f>AVERAGE(C63:AS63)*30*100</f>
        <v>14000</v>
      </c>
      <c r="B62" s="9" t="s">
        <v>12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</row>
    <row r="63" spans="1:45" s="84" customFormat="1" ht="11.25" x14ac:dyDescent="0.15">
      <c r="A63" s="7">
        <f>SUM(C63:AS63)</f>
        <v>56</v>
      </c>
      <c r="B63" s="6" t="s">
        <v>13</v>
      </c>
      <c r="C63" s="5">
        <v>0</v>
      </c>
      <c r="D63" s="5">
        <v>0</v>
      </c>
      <c r="E63" s="5">
        <v>0</v>
      </c>
      <c r="F63" s="5">
        <v>0</v>
      </c>
      <c r="G63" s="5">
        <v>19</v>
      </c>
      <c r="H63" s="5">
        <v>0</v>
      </c>
      <c r="I63" s="5">
        <v>0</v>
      </c>
      <c r="J63" s="5">
        <v>0</v>
      </c>
      <c r="K63" s="5">
        <v>21</v>
      </c>
      <c r="L63" s="5">
        <f t="shared" ref="L63:L64" si="796">IF(L56="","",L56-K56)</f>
        <v>0</v>
      </c>
      <c r="M63" s="5">
        <f t="shared" ref="M63:M64" si="797">IF(M56="","",M56-L56)</f>
        <v>0</v>
      </c>
      <c r="N63" s="5">
        <f t="shared" ref="N63:N64" si="798">IF(N56="","",N56-M56)</f>
        <v>16</v>
      </c>
      <c r="O63" s="5" t="str">
        <f t="shared" ref="O63:O64" si="799">IF(O56="","",O56-N56)</f>
        <v/>
      </c>
      <c r="P63" s="5" t="str">
        <f t="shared" ref="P63:P64" si="800">IF(P56="","",P56-O56)</f>
        <v/>
      </c>
      <c r="Q63" s="5" t="str">
        <f t="shared" ref="Q63:Q64" si="801">IF(Q56="","",Q56-P56)</f>
        <v/>
      </c>
      <c r="R63" s="5" t="str">
        <f t="shared" ref="R63:R64" si="802">IF(R56="","",R56-Q56)</f>
        <v/>
      </c>
      <c r="S63" s="5" t="str">
        <f t="shared" ref="S63:S64" si="803">IF(S56="","",S56-R56)</f>
        <v/>
      </c>
      <c r="T63" s="5" t="str">
        <f t="shared" ref="T63:T64" si="804">IF(T56="","",T56-S56)</f>
        <v/>
      </c>
      <c r="U63" s="5" t="str">
        <f t="shared" ref="U63:U64" si="805">IF(U56="","",U56-T56)</f>
        <v/>
      </c>
      <c r="V63" s="5" t="str">
        <f t="shared" ref="V63:V64" si="806">IF(V56="","",V56-U56)</f>
        <v/>
      </c>
      <c r="W63" s="5" t="str">
        <f t="shared" ref="W63:W64" si="807">IF(W56="","",W56-V56)</f>
        <v/>
      </c>
      <c r="X63" s="5" t="str">
        <f t="shared" ref="X63:X64" si="808">IF(X56="","",X56-W56)</f>
        <v/>
      </c>
      <c r="Y63" s="5" t="str">
        <f t="shared" ref="Y63:Y64" si="809">IF(Y56="","",Y56-X56)</f>
        <v/>
      </c>
      <c r="Z63" s="5" t="str">
        <f t="shared" ref="Z63:Z64" si="810">IF(Z56="","",Z56-Y56)</f>
        <v/>
      </c>
      <c r="AA63" s="5" t="str">
        <f t="shared" ref="AA63:AA64" si="811">IF(AA56="","",AA56-Z56)</f>
        <v/>
      </c>
      <c r="AB63" s="5" t="str">
        <f t="shared" ref="AB63:AB64" si="812">IF(AB56="","",AB56-AA56)</f>
        <v/>
      </c>
      <c r="AC63" s="5" t="str">
        <f t="shared" ref="AC63:AC64" si="813">IF(AC56="","",AC56-AB56)</f>
        <v/>
      </c>
      <c r="AD63" s="5" t="str">
        <f t="shared" ref="AD63:AD64" si="814">IF(AD56="","",AD56-AC56)</f>
        <v/>
      </c>
      <c r="AE63" s="5" t="str">
        <f t="shared" ref="AE63:AE64" si="815">IF(AE56="","",AE56-AD56)</f>
        <v/>
      </c>
      <c r="AF63" s="5" t="str">
        <f t="shared" ref="AF63:AF64" si="816">IF(AF56="","",AF56-AE56)</f>
        <v/>
      </c>
      <c r="AG63" s="5" t="str">
        <f t="shared" ref="AG63:AG64" si="817">IF(AG56="","",AG56-AF56)</f>
        <v/>
      </c>
      <c r="AH63" s="5" t="str">
        <f t="shared" ref="AH63:AH64" si="818">IF(AH56="","",AH56-AG56)</f>
        <v/>
      </c>
      <c r="AI63" s="5" t="str">
        <f t="shared" ref="AI63:AI64" si="819">IF(AI56="","",AI56-AH56)</f>
        <v/>
      </c>
      <c r="AJ63" s="5" t="str">
        <f t="shared" ref="AJ63:AJ64" si="820">IF(AJ56="","",AJ56-AI56)</f>
        <v/>
      </c>
      <c r="AK63" s="5" t="str">
        <f t="shared" ref="AK63:AK64" si="821">IF(AK56="","",AK56-AJ56)</f>
        <v/>
      </c>
      <c r="AL63" s="5" t="str">
        <f t="shared" ref="AL63:AL64" si="822">IF(AL56="","",AL56-AK56)</f>
        <v/>
      </c>
      <c r="AM63" s="5" t="str">
        <f t="shared" ref="AM63:AN63" si="823">IF(AM56="","",AM56-AL56)</f>
        <v/>
      </c>
      <c r="AN63" s="5" t="str">
        <f t="shared" si="823"/>
        <v/>
      </c>
      <c r="AO63" s="5" t="str">
        <f t="shared" ref="AO63:AS63" si="824">IF(AO56="","",AO56-AN56)</f>
        <v/>
      </c>
      <c r="AP63" s="5" t="str">
        <f t="shared" si="824"/>
        <v/>
      </c>
      <c r="AQ63" s="5" t="str">
        <f t="shared" si="824"/>
        <v/>
      </c>
      <c r="AR63" s="5" t="str">
        <f t="shared" si="824"/>
        <v/>
      </c>
      <c r="AS63" s="5" t="str">
        <f t="shared" si="824"/>
        <v/>
      </c>
    </row>
    <row r="64" spans="1:45" s="84" customFormat="1" ht="11.25" x14ac:dyDescent="0.15">
      <c r="A64" s="7">
        <f>SUM(C64:AS64)</f>
        <v>1</v>
      </c>
      <c r="B64" s="6" t="s">
        <v>14</v>
      </c>
      <c r="C64" s="5">
        <v>0</v>
      </c>
      <c r="D64" s="5">
        <v>0</v>
      </c>
      <c r="E64" s="5">
        <v>0</v>
      </c>
      <c r="F64" s="5">
        <v>0</v>
      </c>
      <c r="G64" s="5">
        <v>1</v>
      </c>
      <c r="H64" s="5">
        <v>0</v>
      </c>
      <c r="I64" s="5">
        <v>0</v>
      </c>
      <c r="J64" s="5">
        <v>0</v>
      </c>
      <c r="K64" s="5">
        <v>0</v>
      </c>
      <c r="L64" s="5">
        <f t="shared" si="796"/>
        <v>0</v>
      </c>
      <c r="M64" s="5">
        <f t="shared" si="797"/>
        <v>0</v>
      </c>
      <c r="N64" s="5">
        <f t="shared" si="798"/>
        <v>0</v>
      </c>
      <c r="O64" s="5" t="str">
        <f t="shared" si="799"/>
        <v/>
      </c>
      <c r="P64" s="5" t="str">
        <f t="shared" si="800"/>
        <v/>
      </c>
      <c r="Q64" s="5" t="str">
        <f t="shared" si="801"/>
        <v/>
      </c>
      <c r="R64" s="5" t="str">
        <f t="shared" si="802"/>
        <v/>
      </c>
      <c r="S64" s="5" t="str">
        <f t="shared" si="803"/>
        <v/>
      </c>
      <c r="T64" s="5" t="str">
        <f t="shared" si="804"/>
        <v/>
      </c>
      <c r="U64" s="5" t="str">
        <f t="shared" si="805"/>
        <v/>
      </c>
      <c r="V64" s="5" t="str">
        <f t="shared" si="806"/>
        <v/>
      </c>
      <c r="W64" s="5" t="str">
        <f t="shared" si="807"/>
        <v/>
      </c>
      <c r="X64" s="5" t="str">
        <f t="shared" si="808"/>
        <v/>
      </c>
      <c r="Y64" s="5" t="str">
        <f t="shared" si="809"/>
        <v/>
      </c>
      <c r="Z64" s="5" t="str">
        <f t="shared" si="810"/>
        <v/>
      </c>
      <c r="AA64" s="5" t="str">
        <f t="shared" si="811"/>
        <v/>
      </c>
      <c r="AB64" s="5" t="str">
        <f t="shared" si="812"/>
        <v/>
      </c>
      <c r="AC64" s="5" t="str">
        <f t="shared" si="813"/>
        <v/>
      </c>
      <c r="AD64" s="5" t="str">
        <f t="shared" si="814"/>
        <v/>
      </c>
      <c r="AE64" s="5" t="str">
        <f t="shared" si="815"/>
        <v/>
      </c>
      <c r="AF64" s="5" t="str">
        <f t="shared" si="816"/>
        <v/>
      </c>
      <c r="AG64" s="5" t="str">
        <f t="shared" si="817"/>
        <v/>
      </c>
      <c r="AH64" s="5" t="str">
        <f t="shared" si="818"/>
        <v/>
      </c>
      <c r="AI64" s="5" t="str">
        <f t="shared" si="819"/>
        <v/>
      </c>
      <c r="AJ64" s="5" t="str">
        <f t="shared" si="820"/>
        <v/>
      </c>
      <c r="AK64" s="5" t="str">
        <f t="shared" si="821"/>
        <v/>
      </c>
      <c r="AL64" s="5" t="str">
        <f t="shared" si="822"/>
        <v/>
      </c>
      <c r="AM64" s="5" t="str">
        <f t="shared" ref="AM64:AN64" si="825">IF(AM57="","",AM57-AL57)</f>
        <v/>
      </c>
      <c r="AN64" s="5" t="str">
        <f t="shared" si="825"/>
        <v/>
      </c>
      <c r="AO64" s="5" t="str">
        <f t="shared" ref="AO64:AS64" si="826">IF(AO57="","",AO57-AN57)</f>
        <v/>
      </c>
      <c r="AP64" s="5" t="str">
        <f t="shared" si="826"/>
        <v/>
      </c>
      <c r="AQ64" s="5" t="str">
        <f t="shared" si="826"/>
        <v/>
      </c>
      <c r="AR64" s="5" t="str">
        <f t="shared" si="826"/>
        <v/>
      </c>
      <c r="AS64" s="5" t="str">
        <f t="shared" si="826"/>
        <v/>
      </c>
    </row>
    <row r="65" spans="1:45" s="84" customFormat="1" ht="11.25" x14ac:dyDescent="0.15">
      <c r="A65" s="7">
        <f>SUM(C65:AS65)</f>
        <v>0</v>
      </c>
      <c r="B65" s="6" t="s">
        <v>15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f t="shared" ref="L65" si="827">IF(L58="","",K58+K59-L58)</f>
        <v>0</v>
      </c>
      <c r="M65" s="5">
        <f t="shared" ref="M65" si="828">IF(M58="","",L58+L59-M58)</f>
        <v>0</v>
      </c>
      <c r="N65" s="5">
        <f t="shared" ref="N65" si="829">IF(N58="","",M58+M59-N58)</f>
        <v>0</v>
      </c>
      <c r="O65" s="5" t="str">
        <f t="shared" ref="O65" si="830">IF(O58="","",N58+N59-O58)</f>
        <v/>
      </c>
      <c r="P65" s="5" t="str">
        <f t="shared" ref="P65" si="831">IF(P58="","",O58+O59-P58)</f>
        <v/>
      </c>
      <c r="Q65" s="5" t="str">
        <f t="shared" ref="Q65" si="832">IF(Q58="","",P58+P59-Q58)</f>
        <v/>
      </c>
      <c r="R65" s="5" t="str">
        <f t="shared" ref="R65" si="833">IF(R58="","",Q58+Q59-R58)</f>
        <v/>
      </c>
      <c r="S65" s="5" t="str">
        <f t="shared" ref="S65" si="834">IF(S58="","",R58+R59-S58)</f>
        <v/>
      </c>
      <c r="T65" s="5" t="str">
        <f t="shared" ref="T65" si="835">IF(T58="","",S58+S59-T58)</f>
        <v/>
      </c>
      <c r="U65" s="5" t="str">
        <f t="shared" ref="U65" si="836">IF(U58="","",T58+T59-U58)</f>
        <v/>
      </c>
      <c r="V65" s="5" t="str">
        <f t="shared" ref="V65" si="837">IF(V58="","",U58+U59-V58)</f>
        <v/>
      </c>
      <c r="W65" s="5" t="str">
        <f t="shared" ref="W65" si="838">IF(W58="","",V58+V59-W58)</f>
        <v/>
      </c>
      <c r="X65" s="5" t="str">
        <f t="shared" ref="X65" si="839">IF(X58="","",W58+W59-X58)</f>
        <v/>
      </c>
      <c r="Y65" s="5" t="str">
        <f t="shared" ref="Y65" si="840">IF(Y58="","",X58+X59-Y58)</f>
        <v/>
      </c>
      <c r="Z65" s="5" t="str">
        <f t="shared" ref="Z65" si="841">IF(Z58="","",Y58+Y59-Z58)</f>
        <v/>
      </c>
      <c r="AA65" s="5" t="str">
        <f t="shared" ref="AA65" si="842">IF(AA58="","",Z58+Z59-AA58)</f>
        <v/>
      </c>
      <c r="AB65" s="5" t="str">
        <f t="shared" ref="AB65" si="843">IF(AB58="","",AA58+AA59-AB58)</f>
        <v/>
      </c>
      <c r="AC65" s="5" t="str">
        <f t="shared" ref="AC65" si="844">IF(AC58="","",AB58+AB59-AC58)</f>
        <v/>
      </c>
      <c r="AD65" s="5" t="str">
        <f t="shared" ref="AD65" si="845">IF(AD58="","",AC58+AC59-AD58)</f>
        <v/>
      </c>
      <c r="AE65" s="5" t="str">
        <f t="shared" ref="AE65" si="846">IF(AE58="","",AD58+AD59-AE58)</f>
        <v/>
      </c>
      <c r="AF65" s="5" t="str">
        <f t="shared" ref="AF65" si="847">IF(AF58="","",AE58+AE59-AF58)</f>
        <v/>
      </c>
      <c r="AG65" s="5" t="str">
        <f t="shared" ref="AG65" si="848">IF(AG58="","",AF58+AF59-AG58)</f>
        <v/>
      </c>
      <c r="AH65" s="5" t="str">
        <f t="shared" ref="AH65" si="849">IF(AH58="","",AG58+AG59-AH58)</f>
        <v/>
      </c>
      <c r="AI65" s="5" t="str">
        <f t="shared" ref="AI65" si="850">IF(AI58="","",AH58+AH59-AI58)</f>
        <v/>
      </c>
      <c r="AJ65" s="5" t="str">
        <f t="shared" ref="AJ65" si="851">IF(AJ58="","",AI58+AI59-AJ58)</f>
        <v/>
      </c>
      <c r="AK65" s="5" t="str">
        <f t="shared" ref="AK65" si="852">IF(AK58="","",AJ58+AJ59-AK58)</f>
        <v/>
      </c>
      <c r="AL65" s="5" t="str">
        <f t="shared" ref="AL65" si="853">IF(AL58="","",AK58+AK59-AL58)</f>
        <v/>
      </c>
      <c r="AM65" s="5" t="str">
        <f t="shared" ref="AM65:AN65" si="854">IF(AM58="","",AL58+AL59-AM58)</f>
        <v/>
      </c>
      <c r="AN65" s="5" t="str">
        <f t="shared" si="854"/>
        <v/>
      </c>
      <c r="AO65" s="5" t="str">
        <f t="shared" ref="AO65:AS65" si="855">IF(AO58="","",AN58+AN59-AO58)</f>
        <v/>
      </c>
      <c r="AP65" s="5" t="str">
        <f t="shared" si="855"/>
        <v/>
      </c>
      <c r="AQ65" s="5" t="str">
        <f t="shared" si="855"/>
        <v/>
      </c>
      <c r="AR65" s="5" t="str">
        <f t="shared" si="855"/>
        <v/>
      </c>
      <c r="AS65" s="5" t="str">
        <f t="shared" si="855"/>
        <v/>
      </c>
    </row>
    <row r="66" spans="1:45" s="84" customFormat="1" ht="11.25" x14ac:dyDescent="0.15">
      <c r="A66" s="7">
        <f>SUM(C66:AS66)</f>
        <v>0</v>
      </c>
      <c r="B66" s="6" t="s">
        <v>16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f t="shared" ref="J66:AL66" si="856">IF(L56="","",L65*L60)</f>
        <v>0</v>
      </c>
      <c r="M66" s="5">
        <f t="shared" si="856"/>
        <v>0</v>
      </c>
      <c r="N66" s="5">
        <f t="shared" si="856"/>
        <v>0</v>
      </c>
      <c r="O66" s="5" t="str">
        <f t="shared" si="856"/>
        <v/>
      </c>
      <c r="P66" s="5" t="str">
        <f t="shared" si="856"/>
        <v/>
      </c>
      <c r="Q66" s="5" t="str">
        <f t="shared" si="856"/>
        <v/>
      </c>
      <c r="R66" s="5" t="str">
        <f t="shared" si="856"/>
        <v/>
      </c>
      <c r="S66" s="5" t="str">
        <f t="shared" si="856"/>
        <v/>
      </c>
      <c r="T66" s="5" t="str">
        <f t="shared" si="856"/>
        <v/>
      </c>
      <c r="U66" s="5" t="str">
        <f t="shared" si="856"/>
        <v/>
      </c>
      <c r="V66" s="5" t="str">
        <f t="shared" si="856"/>
        <v/>
      </c>
      <c r="W66" s="5" t="str">
        <f t="shared" si="856"/>
        <v/>
      </c>
      <c r="X66" s="5" t="str">
        <f t="shared" si="856"/>
        <v/>
      </c>
      <c r="Y66" s="5" t="str">
        <f t="shared" si="856"/>
        <v/>
      </c>
      <c r="Z66" s="5" t="str">
        <f t="shared" si="856"/>
        <v/>
      </c>
      <c r="AA66" s="5" t="str">
        <f t="shared" si="856"/>
        <v/>
      </c>
      <c r="AB66" s="5" t="str">
        <f t="shared" si="856"/>
        <v/>
      </c>
      <c r="AC66" s="5" t="str">
        <f t="shared" si="856"/>
        <v/>
      </c>
      <c r="AD66" s="5" t="str">
        <f t="shared" si="856"/>
        <v/>
      </c>
      <c r="AE66" s="5" t="str">
        <f t="shared" si="856"/>
        <v/>
      </c>
      <c r="AF66" s="5" t="str">
        <f t="shared" si="856"/>
        <v/>
      </c>
      <c r="AG66" s="5" t="str">
        <f t="shared" si="856"/>
        <v/>
      </c>
      <c r="AH66" s="5" t="str">
        <f t="shared" si="856"/>
        <v/>
      </c>
      <c r="AI66" s="5" t="str">
        <f t="shared" si="856"/>
        <v/>
      </c>
      <c r="AJ66" s="5" t="str">
        <f t="shared" si="856"/>
        <v/>
      </c>
      <c r="AK66" s="5" t="str">
        <f t="shared" si="856"/>
        <v/>
      </c>
      <c r="AL66" s="5" t="str">
        <f t="shared" si="856"/>
        <v/>
      </c>
      <c r="AM66" s="5" t="str">
        <f t="shared" ref="AM66:AN66" si="857">IF(AM56="","",AM65*AM60)</f>
        <v/>
      </c>
      <c r="AN66" s="5" t="str">
        <f t="shared" si="857"/>
        <v/>
      </c>
      <c r="AO66" s="5" t="str">
        <f t="shared" ref="AO66:AS66" si="858">IF(AO56="","",AO65*AO60)</f>
        <v/>
      </c>
      <c r="AP66" s="5" t="str">
        <f t="shared" si="858"/>
        <v/>
      </c>
      <c r="AQ66" s="5" t="str">
        <f t="shared" si="858"/>
        <v/>
      </c>
      <c r="AR66" s="5" t="str">
        <f t="shared" si="858"/>
        <v/>
      </c>
      <c r="AS66" s="5" t="str">
        <f t="shared" si="858"/>
        <v/>
      </c>
    </row>
    <row r="67" spans="1:45" s="84" customFormat="1" ht="12" thickBot="1" x14ac:dyDescent="0.2">
      <c r="A67" s="4">
        <f>IF(A66="","",A66/(A63*100))</f>
        <v>0</v>
      </c>
      <c r="B67" s="6" t="s">
        <v>18</v>
      </c>
      <c r="C67" s="18" t="s">
        <v>19</v>
      </c>
      <c r="D67" s="18" t="s">
        <v>19</v>
      </c>
      <c r="E67" s="18" t="s">
        <v>19</v>
      </c>
      <c r="F67" s="18" t="s">
        <v>19</v>
      </c>
      <c r="G67" s="18" t="s">
        <v>19</v>
      </c>
      <c r="H67" s="18" t="s">
        <v>19</v>
      </c>
      <c r="I67" s="18" t="s">
        <v>19</v>
      </c>
      <c r="J67" s="18" t="s">
        <v>19</v>
      </c>
      <c r="K67" s="18" t="s">
        <v>19</v>
      </c>
      <c r="L67" s="18" t="str">
        <f t="shared" ref="J67:AL67" si="859">IF(L66="","",IF(L66=0,"",L66/(L63*100)))</f>
        <v/>
      </c>
      <c r="M67" s="18" t="str">
        <f t="shared" si="859"/>
        <v/>
      </c>
      <c r="N67" s="18" t="str">
        <f t="shared" si="859"/>
        <v/>
      </c>
      <c r="O67" s="18" t="str">
        <f t="shared" si="859"/>
        <v/>
      </c>
      <c r="P67" s="18" t="str">
        <f t="shared" si="859"/>
        <v/>
      </c>
      <c r="Q67" s="18" t="str">
        <f t="shared" si="859"/>
        <v/>
      </c>
      <c r="R67" s="18" t="str">
        <f t="shared" si="859"/>
        <v/>
      </c>
      <c r="S67" s="18" t="str">
        <f t="shared" si="859"/>
        <v/>
      </c>
      <c r="T67" s="18" t="str">
        <f t="shared" si="859"/>
        <v/>
      </c>
      <c r="U67" s="18" t="str">
        <f t="shared" si="859"/>
        <v/>
      </c>
      <c r="V67" s="18" t="str">
        <f t="shared" si="859"/>
        <v/>
      </c>
      <c r="W67" s="18" t="str">
        <f t="shared" si="859"/>
        <v/>
      </c>
      <c r="X67" s="18" t="str">
        <f t="shared" si="859"/>
        <v/>
      </c>
      <c r="Y67" s="18" t="str">
        <f t="shared" si="859"/>
        <v/>
      </c>
      <c r="Z67" s="18" t="str">
        <f t="shared" si="859"/>
        <v/>
      </c>
      <c r="AA67" s="18" t="str">
        <f t="shared" si="859"/>
        <v/>
      </c>
      <c r="AB67" s="18" t="str">
        <f t="shared" si="859"/>
        <v/>
      </c>
      <c r="AC67" s="18" t="str">
        <f t="shared" si="859"/>
        <v/>
      </c>
      <c r="AD67" s="18" t="str">
        <f t="shared" si="859"/>
        <v/>
      </c>
      <c r="AE67" s="18" t="str">
        <f t="shared" si="859"/>
        <v/>
      </c>
      <c r="AF67" s="18" t="str">
        <f t="shared" si="859"/>
        <v/>
      </c>
      <c r="AG67" s="18" t="str">
        <f t="shared" si="859"/>
        <v/>
      </c>
      <c r="AH67" s="18" t="str">
        <f t="shared" si="859"/>
        <v/>
      </c>
      <c r="AI67" s="18" t="str">
        <f t="shared" si="859"/>
        <v/>
      </c>
      <c r="AJ67" s="18" t="str">
        <f t="shared" si="859"/>
        <v/>
      </c>
      <c r="AK67" s="18" t="str">
        <f t="shared" si="859"/>
        <v/>
      </c>
      <c r="AL67" s="18" t="str">
        <f t="shared" si="859"/>
        <v/>
      </c>
      <c r="AM67" s="18" t="str">
        <f t="shared" ref="AM67:AN67" si="860">IF(AM66="","",IF(AM66=0,"",AM66/(AM63*100)))</f>
        <v/>
      </c>
      <c r="AN67" s="18" t="str">
        <f t="shared" si="860"/>
        <v/>
      </c>
      <c r="AO67" s="18" t="str">
        <f t="shared" ref="AO67:AS67" si="861">IF(AO66="","",IF(AO66=0,"",AO66/(AO63*100)))</f>
        <v/>
      </c>
      <c r="AP67" s="18" t="str">
        <f t="shared" si="861"/>
        <v/>
      </c>
      <c r="AQ67" s="18" t="str">
        <f t="shared" si="861"/>
        <v/>
      </c>
      <c r="AR67" s="18" t="str">
        <f t="shared" si="861"/>
        <v/>
      </c>
      <c r="AS67" s="18" t="str">
        <f t="shared" si="861"/>
        <v/>
      </c>
    </row>
    <row r="68" spans="1:45" s="84" customFormat="1" ht="11.25" x14ac:dyDescent="0.15">
      <c r="A68" s="17" t="s">
        <v>94</v>
      </c>
      <c r="B68" s="9" t="s">
        <v>2</v>
      </c>
      <c r="C68" s="8">
        <v>1181</v>
      </c>
      <c r="D68" s="8">
        <v>1181</v>
      </c>
      <c r="E68" s="8">
        <v>1181</v>
      </c>
      <c r="F68" s="8">
        <v>1181</v>
      </c>
      <c r="G68" s="8">
        <v>1237</v>
      </c>
      <c r="H68" s="8">
        <v>1237</v>
      </c>
      <c r="I68" s="8">
        <v>1237</v>
      </c>
      <c r="J68" s="8">
        <v>1237</v>
      </c>
      <c r="K68" s="8">
        <v>1257</v>
      </c>
      <c r="L68" s="8">
        <f>IF(L$8="","",K68)</f>
        <v>1257</v>
      </c>
      <c r="M68" s="8">
        <f t="shared" ref="M68:M69" si="862">IF(M$8="","",L68)</f>
        <v>1257</v>
      </c>
      <c r="N68" s="8">
        <v>1274</v>
      </c>
      <c r="O68" s="8" t="str">
        <f>IF(O$8="","",N68)</f>
        <v/>
      </c>
      <c r="P68" s="8" t="str">
        <f>IF(P$8="","",O68)</f>
        <v/>
      </c>
      <c r="Q68" s="8" t="str">
        <f t="shared" ref="Q68:Q69" si="863">IF(Q$8="","",P68)</f>
        <v/>
      </c>
      <c r="R68" s="8" t="str">
        <f t="shared" ref="R68:R69" si="864">IF(R$8="","",Q68)</f>
        <v/>
      </c>
      <c r="S68" s="8" t="str">
        <f>IF(S$8="","",R68)</f>
        <v/>
      </c>
      <c r="T68" s="8" t="str">
        <f t="shared" ref="T68:T69" si="865">IF(T$8="","",S68)</f>
        <v/>
      </c>
      <c r="U68" s="8" t="str">
        <f t="shared" ref="U68:U69" si="866">IF(U$8="","",T68)</f>
        <v/>
      </c>
      <c r="V68" s="8" t="str">
        <f>IF(V$8="","",U68)</f>
        <v/>
      </c>
      <c r="W68" s="8" t="str">
        <f t="shared" ref="W68:W69" si="867">IF(W$8="","",V68)</f>
        <v/>
      </c>
      <c r="X68" s="8" t="str">
        <f t="shared" ref="X68:X69" si="868">IF(X$8="","",W68)</f>
        <v/>
      </c>
      <c r="Y68" s="8" t="str">
        <f t="shared" ref="Y68:Y69" si="869">IF(Y$8="","",X68)</f>
        <v/>
      </c>
      <c r="Z68" s="8" t="str">
        <f>IF(Z$8="","",Y68)</f>
        <v/>
      </c>
      <c r="AA68" s="8" t="str">
        <f t="shared" ref="AA68:AA69" si="870">IF(AA$8="","",Z68)</f>
        <v/>
      </c>
      <c r="AB68" s="8" t="str">
        <f t="shared" ref="AB68:AB69" si="871">IF(AB$8="","",AA68)</f>
        <v/>
      </c>
      <c r="AC68" s="8" t="str">
        <f t="shared" ref="AC68:AC69" si="872">IF(AC$8="","",AB68)</f>
        <v/>
      </c>
      <c r="AD68" s="8" t="str">
        <f>IF(AD$8="","",AC68)</f>
        <v/>
      </c>
      <c r="AE68" s="8" t="str">
        <f>IF(AE$8="","",AD68)</f>
        <v/>
      </c>
      <c r="AF68" s="8" t="str">
        <f t="shared" ref="AF68:AF69" si="873">IF(AF$8="","",AE68)</f>
        <v/>
      </c>
      <c r="AG68" s="8" t="str">
        <f>IF(AG$8="","",AF68)</f>
        <v/>
      </c>
      <c r="AH68" s="8" t="str">
        <f t="shared" ref="AH68:AH69" si="874">IF(AH$8="","",AG68)</f>
        <v/>
      </c>
      <c r="AI68" s="8" t="str">
        <f t="shared" ref="AI68:AI69" si="875">IF(AI$8="","",AH68)</f>
        <v/>
      </c>
      <c r="AJ68" s="8" t="str">
        <f>IF(AJ$8="","",AI68)</f>
        <v/>
      </c>
      <c r="AK68" s="8" t="str">
        <f t="shared" ref="AK68:AK69" si="876">IF(AK$8="","",AJ68)</f>
        <v/>
      </c>
      <c r="AL68" s="8" t="str">
        <f t="shared" ref="AL68:AL69" si="877">IF(AL$8="","",AK68)</f>
        <v/>
      </c>
      <c r="AM68" s="8" t="str">
        <f t="shared" ref="AM68:AN68" si="878">IF(AM$8="","",AL68)</f>
        <v/>
      </c>
      <c r="AN68" s="8" t="str">
        <f>IF(AN$8="","",AM68)</f>
        <v/>
      </c>
      <c r="AO68" s="8" t="str">
        <f t="shared" ref="AO68:AS68" si="879">IF(AO$8="","",AN68)</f>
        <v/>
      </c>
      <c r="AP68" s="8" t="str">
        <f t="shared" si="879"/>
        <v/>
      </c>
      <c r="AQ68" s="8" t="str">
        <f t="shared" si="879"/>
        <v/>
      </c>
      <c r="AR68" s="8" t="str">
        <f t="shared" si="879"/>
        <v/>
      </c>
      <c r="AS68" s="8" t="str">
        <f t="shared" si="879"/>
        <v/>
      </c>
    </row>
    <row r="69" spans="1:45" s="84" customFormat="1" ht="11.25" x14ac:dyDescent="0.15">
      <c r="A69" s="16" t="str">
        <f>A57</f>
        <v>BUZZ＃2</v>
      </c>
      <c r="B69" s="9" t="s">
        <v>4</v>
      </c>
      <c r="C69" s="8">
        <v>17</v>
      </c>
      <c r="D69" s="8">
        <v>17</v>
      </c>
      <c r="E69" s="8">
        <v>17</v>
      </c>
      <c r="F69" s="8">
        <v>17</v>
      </c>
      <c r="G69" s="8">
        <v>19</v>
      </c>
      <c r="H69" s="8">
        <v>19</v>
      </c>
      <c r="I69" s="8">
        <v>19</v>
      </c>
      <c r="J69" s="8">
        <v>19</v>
      </c>
      <c r="K69" s="8">
        <v>20</v>
      </c>
      <c r="L69" s="8">
        <f>IF(L$8="","",K69)</f>
        <v>20</v>
      </c>
      <c r="M69" s="8">
        <f t="shared" si="862"/>
        <v>20</v>
      </c>
      <c r="N69" s="8">
        <f t="shared" ref="N68:N69" si="880">IF(N$8="","",M69)</f>
        <v>20</v>
      </c>
      <c r="O69" s="8" t="str">
        <f t="shared" ref="O69" si="881">IF(O$8="","",N69)</f>
        <v/>
      </c>
      <c r="P69" s="8" t="str">
        <f t="shared" ref="P69" si="882">IF(P$8="","",O69)</f>
        <v/>
      </c>
      <c r="Q69" s="8" t="str">
        <f t="shared" si="863"/>
        <v/>
      </c>
      <c r="R69" s="8" t="str">
        <f t="shared" si="864"/>
        <v/>
      </c>
      <c r="S69" s="8" t="str">
        <f>IF(S$8="","",R69)</f>
        <v/>
      </c>
      <c r="T69" s="8" t="str">
        <f t="shared" si="865"/>
        <v/>
      </c>
      <c r="U69" s="8" t="str">
        <f t="shared" si="866"/>
        <v/>
      </c>
      <c r="V69" s="8" t="str">
        <f>IF(V$8="","",U69)</f>
        <v/>
      </c>
      <c r="W69" s="8" t="str">
        <f t="shared" si="867"/>
        <v/>
      </c>
      <c r="X69" s="8" t="str">
        <f t="shared" si="868"/>
        <v/>
      </c>
      <c r="Y69" s="8" t="str">
        <f t="shared" si="869"/>
        <v/>
      </c>
      <c r="Z69" s="8" t="str">
        <f t="shared" ref="Z69" si="883">IF(Z$8="","",Y69)</f>
        <v/>
      </c>
      <c r="AA69" s="8" t="str">
        <f t="shared" si="870"/>
        <v/>
      </c>
      <c r="AB69" s="8" t="str">
        <f t="shared" si="871"/>
        <v/>
      </c>
      <c r="AC69" s="8" t="str">
        <f t="shared" si="872"/>
        <v/>
      </c>
      <c r="AD69" s="8" t="str">
        <f t="shared" ref="AD69" si="884">IF(AD$8="","",AC69)</f>
        <v/>
      </c>
      <c r="AE69" s="8" t="str">
        <f>IF(AE$8="","",AD69)</f>
        <v/>
      </c>
      <c r="AF69" s="8" t="str">
        <f t="shared" si="873"/>
        <v/>
      </c>
      <c r="AG69" s="8" t="str">
        <f>IF(AG$8="","",AF69)</f>
        <v/>
      </c>
      <c r="AH69" s="8" t="str">
        <f t="shared" si="874"/>
        <v/>
      </c>
      <c r="AI69" s="8" t="str">
        <f t="shared" si="875"/>
        <v/>
      </c>
      <c r="AJ69" s="8" t="str">
        <f>IF(AJ$8="","",AI69)</f>
        <v/>
      </c>
      <c r="AK69" s="8" t="str">
        <f t="shared" si="876"/>
        <v/>
      </c>
      <c r="AL69" s="8" t="str">
        <f t="shared" si="877"/>
        <v/>
      </c>
      <c r="AM69" s="8" t="str">
        <f t="shared" ref="AM69:AN69" si="885">IF(AM$8="","",AL69)</f>
        <v/>
      </c>
      <c r="AN69" s="8" t="str">
        <f>IF(AN$8="","",AM69)</f>
        <v/>
      </c>
      <c r="AO69" s="8" t="str">
        <f>IF(AO$8="","",AN69)</f>
        <v/>
      </c>
      <c r="AP69" s="8" t="str">
        <f>IF(天文館!AP$8="","",AO69)</f>
        <v/>
      </c>
      <c r="AQ69" s="8" t="str">
        <f>IF(天文館!AQ$8="","",AP69)</f>
        <v/>
      </c>
      <c r="AR69" s="8" t="str">
        <f>IF(天文館!AR$8="","",AQ69)</f>
        <v/>
      </c>
      <c r="AS69" s="8" t="str">
        <f>IF(天文館!AS$8="","",AR69)</f>
        <v/>
      </c>
    </row>
    <row r="70" spans="1:45" s="84" customFormat="1" ht="11.25" x14ac:dyDescent="0.15">
      <c r="A70" s="15">
        <v>2</v>
      </c>
      <c r="B70" s="9" t="s">
        <v>5</v>
      </c>
      <c r="C70" s="8">
        <v>15</v>
      </c>
      <c r="D70" s="8">
        <v>15</v>
      </c>
      <c r="E70" s="8">
        <v>15</v>
      </c>
      <c r="F70" s="8">
        <v>15</v>
      </c>
      <c r="G70" s="8">
        <v>12</v>
      </c>
      <c r="H70" s="8">
        <v>12</v>
      </c>
      <c r="I70" s="8">
        <v>12</v>
      </c>
      <c r="J70" s="8">
        <v>12</v>
      </c>
      <c r="K70" s="8">
        <v>11</v>
      </c>
      <c r="L70" s="8">
        <f t="shared" ref="L70" si="886">IF(L68="","",(K70+K71))</f>
        <v>11</v>
      </c>
      <c r="M70" s="8">
        <f t="shared" ref="M70" si="887">IF(M68="","",(L70+L71))</f>
        <v>11</v>
      </c>
      <c r="N70" s="8">
        <f t="shared" ref="N70" si="888">IF(N68="","",(M70+M71))</f>
        <v>11</v>
      </c>
      <c r="O70" s="8" t="str">
        <f t="shared" ref="O70" si="889">IF(O68="","",(N70+N71))</f>
        <v/>
      </c>
      <c r="P70" s="8" t="str">
        <f t="shared" ref="P70" si="890">IF(P68="","",(O70+O71))</f>
        <v/>
      </c>
      <c r="Q70" s="8" t="str">
        <f t="shared" ref="Q70" si="891">IF(Q68="","",(P70+P71))</f>
        <v/>
      </c>
      <c r="R70" s="8" t="str">
        <f t="shared" ref="R70" si="892">IF(R68="","",(Q70+Q71))</f>
        <v/>
      </c>
      <c r="S70" s="8" t="str">
        <f>IF(S68="","",(R70+R71))</f>
        <v/>
      </c>
      <c r="T70" s="8" t="str">
        <f t="shared" ref="T70" si="893">IF(T68="","",(S70+S71))</f>
        <v/>
      </c>
      <c r="U70" s="8" t="str">
        <f t="shared" ref="U70" si="894">IF(U68="","",(T70+T71))</f>
        <v/>
      </c>
      <c r="V70" s="8" t="str">
        <f>IF(V68="","",(U70+U71))</f>
        <v/>
      </c>
      <c r="W70" s="8" t="str">
        <f t="shared" ref="W70" si="895">IF(W68="","",(V70+V71))</f>
        <v/>
      </c>
      <c r="X70" s="8" t="str">
        <f t="shared" ref="X70" si="896">IF(X68="","",(W70+W71))</f>
        <v/>
      </c>
      <c r="Y70" s="8" t="str">
        <f t="shared" ref="Y70" si="897">IF(Y68="","",(X70+X71))</f>
        <v/>
      </c>
      <c r="Z70" s="8" t="str">
        <f t="shared" ref="Z70" si="898">IF(Z68="","",(Y70+Y71))</f>
        <v/>
      </c>
      <c r="AA70" s="8" t="str">
        <f t="shared" ref="AA70" si="899">IF(AA68="","",(Z70+Z71))</f>
        <v/>
      </c>
      <c r="AB70" s="8" t="str">
        <f t="shared" ref="AB70" si="900">IF(AB68="","",(AA70+AA71))</f>
        <v/>
      </c>
      <c r="AC70" s="8" t="str">
        <f t="shared" ref="AC70" si="901">IF(AC68="","",(AB70+AB71))</f>
        <v/>
      </c>
      <c r="AD70" s="8" t="str">
        <f t="shared" ref="AD70" si="902">IF(AD68="","",(AC70+AC71))</f>
        <v/>
      </c>
      <c r="AE70" s="8" t="str">
        <f>IF(AE68="","",(AD70+AD71))</f>
        <v/>
      </c>
      <c r="AF70" s="8" t="str">
        <f t="shared" ref="AF70" si="903">IF(AF68="","",(AE70+AE71))</f>
        <v/>
      </c>
      <c r="AG70" s="8" t="str">
        <f>IF(AG68="","",(AF70+AF71))</f>
        <v/>
      </c>
      <c r="AH70" s="8" t="str">
        <f t="shared" ref="AH70" si="904">IF(AH68="","",(AG70+AG71))</f>
        <v/>
      </c>
      <c r="AI70" s="8" t="str">
        <f t="shared" ref="AI70" si="905">IF(AI68="","",(AH70+AH71))</f>
        <v/>
      </c>
      <c r="AJ70" s="8" t="str">
        <f>IF(AJ68="","",(AI70+AI71))</f>
        <v/>
      </c>
      <c r="AK70" s="8" t="str">
        <f t="shared" ref="AK70" si="906">IF(AK68="","",(AJ70+AJ71))</f>
        <v/>
      </c>
      <c r="AL70" s="8" t="str">
        <f t="shared" ref="AL70" si="907">IF(AL68="","",(AK70+AK71))</f>
        <v/>
      </c>
      <c r="AM70" s="8" t="str">
        <f t="shared" ref="AM70:AN70" si="908">IF(AM68="","",(AL70+AL71))</f>
        <v/>
      </c>
      <c r="AN70" s="8" t="str">
        <f>IF(AN68="","",(AM70+AM71))</f>
        <v/>
      </c>
      <c r="AO70" s="8" t="str">
        <f t="shared" ref="AO70:AS70" si="909">IF(AO68="","",(AN70+AN71))</f>
        <v/>
      </c>
      <c r="AP70" s="8" t="str">
        <f t="shared" si="909"/>
        <v/>
      </c>
      <c r="AQ70" s="8" t="str">
        <f t="shared" si="909"/>
        <v/>
      </c>
      <c r="AR70" s="8" t="str">
        <f t="shared" si="909"/>
        <v/>
      </c>
      <c r="AS70" s="8" t="str">
        <f t="shared" si="909"/>
        <v/>
      </c>
    </row>
    <row r="71" spans="1:45" s="84" customFormat="1" ht="11.25" x14ac:dyDescent="0.15">
      <c r="A71" s="14"/>
      <c r="B71" s="9" t="s">
        <v>7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</row>
    <row r="72" spans="1:45" s="84" customFormat="1" ht="11.25" x14ac:dyDescent="0.15">
      <c r="A72" s="7"/>
      <c r="B72" s="9" t="s">
        <v>8</v>
      </c>
      <c r="C72" s="8">
        <v>800</v>
      </c>
      <c r="D72" s="8">
        <v>800</v>
      </c>
      <c r="E72" s="8">
        <v>800</v>
      </c>
      <c r="F72" s="8">
        <v>800</v>
      </c>
      <c r="G72" s="8">
        <v>800</v>
      </c>
      <c r="H72" s="8">
        <v>800</v>
      </c>
      <c r="I72" s="8">
        <v>800</v>
      </c>
      <c r="J72" s="8">
        <v>800</v>
      </c>
      <c r="K72" s="8">
        <v>800</v>
      </c>
      <c r="L72" s="8">
        <f t="shared" ref="L72" si="910">IF(L68="","",K72)</f>
        <v>800</v>
      </c>
      <c r="M72" s="8">
        <f t="shared" ref="M72" si="911">IF(M68="","",L72)</f>
        <v>800</v>
      </c>
      <c r="N72" s="8">
        <f t="shared" ref="N72" si="912">IF(N68="","",M72)</f>
        <v>800</v>
      </c>
      <c r="O72" s="8" t="str">
        <f t="shared" ref="O72" si="913">IF(O68="","",N72)</f>
        <v/>
      </c>
      <c r="P72" s="8" t="str">
        <f t="shared" ref="P72" si="914">IF(P68="","",O72)</f>
        <v/>
      </c>
      <c r="Q72" s="8" t="str">
        <f t="shared" ref="Q72" si="915">IF(Q68="","",P72)</f>
        <v/>
      </c>
      <c r="R72" s="8" t="str">
        <f t="shared" ref="R72" si="916">IF(R68="","",Q72)</f>
        <v/>
      </c>
      <c r="S72" s="8" t="str">
        <f t="shared" ref="S72" si="917">IF(S68="","",R72)</f>
        <v/>
      </c>
      <c r="T72" s="8" t="str">
        <f t="shared" ref="T72" si="918">IF(T68="","",S72)</f>
        <v/>
      </c>
      <c r="U72" s="8" t="str">
        <f t="shared" ref="U72" si="919">IF(U68="","",T72)</f>
        <v/>
      </c>
      <c r="V72" s="8" t="str">
        <f t="shared" ref="V72" si="920">IF(V68="","",U72)</f>
        <v/>
      </c>
      <c r="W72" s="8" t="str">
        <f t="shared" ref="W72" si="921">IF(W68="","",V72)</f>
        <v/>
      </c>
      <c r="X72" s="8" t="str">
        <f t="shared" ref="X72" si="922">IF(X68="","",W72)</f>
        <v/>
      </c>
      <c r="Y72" s="8" t="str">
        <f t="shared" ref="Y72" si="923">IF(Y68="","",X72)</f>
        <v/>
      </c>
      <c r="Z72" s="8" t="str">
        <f t="shared" ref="Z72" si="924">IF(Z68="","",Y72)</f>
        <v/>
      </c>
      <c r="AA72" s="8" t="str">
        <f t="shared" ref="AA72" si="925">IF(AA68="","",Z72)</f>
        <v/>
      </c>
      <c r="AB72" s="8" t="str">
        <f t="shared" ref="AB72" si="926">IF(AB68="","",AA72)</f>
        <v/>
      </c>
      <c r="AC72" s="8" t="str">
        <f t="shared" ref="AC72" si="927">IF(AC68="","",AB72)</f>
        <v/>
      </c>
      <c r="AD72" s="8" t="str">
        <f t="shared" ref="AD72" si="928">IF(AD68="","",AC72)</f>
        <v/>
      </c>
      <c r="AE72" s="8" t="str">
        <f t="shared" ref="AE72" si="929">IF(AE68="","",AD72)</f>
        <v/>
      </c>
      <c r="AF72" s="8" t="str">
        <f t="shared" ref="AF72" si="930">IF(AF68="","",AE72)</f>
        <v/>
      </c>
      <c r="AG72" s="8" t="str">
        <f t="shared" ref="AG72" si="931">IF(AG68="","",AF72)</f>
        <v/>
      </c>
      <c r="AH72" s="8" t="str">
        <f t="shared" ref="AH72" si="932">IF(AH68="","",AG72)</f>
        <v/>
      </c>
      <c r="AI72" s="8" t="str">
        <f t="shared" ref="AI72" si="933">IF(AI68="","",AH72)</f>
        <v/>
      </c>
      <c r="AJ72" s="8" t="str">
        <f t="shared" ref="AJ72" si="934">IF(AJ68="","",AI72)</f>
        <v/>
      </c>
      <c r="AK72" s="8" t="str">
        <f t="shared" ref="AK72" si="935">IF(AK68="","",AJ72)</f>
        <v/>
      </c>
      <c r="AL72" s="8" t="str">
        <f t="shared" ref="AL72" si="936">IF(AL68="","",AK72)</f>
        <v/>
      </c>
      <c r="AM72" s="8" t="str">
        <f t="shared" ref="AM72:AN72" si="937">IF(AM68="","",AL72)</f>
        <v/>
      </c>
      <c r="AN72" s="8" t="str">
        <f t="shared" si="937"/>
        <v/>
      </c>
      <c r="AO72" s="8" t="str">
        <f t="shared" ref="AO72:AS72" si="938">IF(AO68="","",AN72)</f>
        <v/>
      </c>
      <c r="AP72" s="8" t="str">
        <f t="shared" si="938"/>
        <v/>
      </c>
      <c r="AQ72" s="8" t="str">
        <f t="shared" si="938"/>
        <v/>
      </c>
      <c r="AR72" s="8" t="str">
        <f t="shared" si="938"/>
        <v/>
      </c>
      <c r="AS72" s="8" t="str">
        <f t="shared" si="938"/>
        <v/>
      </c>
    </row>
    <row r="73" spans="1:45" s="85" customFormat="1" ht="11.25" x14ac:dyDescent="0.15">
      <c r="A73" s="14" t="s">
        <v>9</v>
      </c>
      <c r="B73" s="13" t="s">
        <v>10</v>
      </c>
      <c r="C73" s="12" t="s">
        <v>69</v>
      </c>
      <c r="D73" s="12" t="s">
        <v>69</v>
      </c>
      <c r="E73" s="12" t="s">
        <v>69</v>
      </c>
      <c r="F73" s="12" t="s">
        <v>69</v>
      </c>
      <c r="G73" s="12" t="s">
        <v>69</v>
      </c>
      <c r="H73" s="12" t="s">
        <v>69</v>
      </c>
      <c r="I73" s="12" t="s">
        <v>69</v>
      </c>
      <c r="J73" s="12" t="s">
        <v>69</v>
      </c>
      <c r="K73" s="12" t="s">
        <v>69</v>
      </c>
      <c r="L73" s="12" t="str">
        <f t="shared" ref="L73" si="939">IF(L68="","",K73)</f>
        <v>バタースクイーズ</v>
      </c>
      <c r="M73" s="12" t="str">
        <f t="shared" ref="M73" si="940">IF(M68="","",L73)</f>
        <v>バタースクイーズ</v>
      </c>
      <c r="N73" s="12" t="str">
        <f t="shared" ref="N73" si="941">IF(N68="","",M73)</f>
        <v>バタースクイーズ</v>
      </c>
      <c r="O73" s="12" t="str">
        <f t="shared" ref="O73" si="942">IF(O68="","",N73)</f>
        <v/>
      </c>
      <c r="P73" s="12" t="str">
        <f t="shared" ref="P73" si="943">IF(P68="","",O73)</f>
        <v/>
      </c>
      <c r="Q73" s="12" t="str">
        <f t="shared" ref="Q73" si="944">IF(Q68="","",P73)</f>
        <v/>
      </c>
      <c r="R73" s="12" t="str">
        <f t="shared" ref="R73" si="945">IF(R68="","",Q73)</f>
        <v/>
      </c>
      <c r="S73" s="12" t="str">
        <f t="shared" ref="S73" si="946">IF(S68="","",R73)</f>
        <v/>
      </c>
      <c r="T73" s="12" t="str">
        <f t="shared" ref="T73" si="947">IF(T68="","",S73)</f>
        <v/>
      </c>
      <c r="U73" s="12" t="str">
        <f t="shared" ref="U73" si="948">IF(U68="","",T73)</f>
        <v/>
      </c>
      <c r="V73" s="12" t="str">
        <f t="shared" ref="V73" si="949">IF(V68="","",U73)</f>
        <v/>
      </c>
      <c r="W73" s="12" t="str">
        <f t="shared" ref="W73" si="950">IF(W68="","",V73)</f>
        <v/>
      </c>
      <c r="X73" s="12" t="str">
        <f t="shared" ref="X73" si="951">IF(X68="","",W73)</f>
        <v/>
      </c>
      <c r="Y73" s="12" t="str">
        <f t="shared" ref="Y73" si="952">IF(Y68="","",X73)</f>
        <v/>
      </c>
      <c r="Z73" s="12" t="str">
        <f t="shared" ref="Z73" si="953">IF(Z68="","",Y73)</f>
        <v/>
      </c>
      <c r="AA73" s="12" t="str">
        <f t="shared" ref="AA73" si="954">IF(AA68="","",Z73)</f>
        <v/>
      </c>
      <c r="AB73" s="12" t="str">
        <f t="shared" ref="AB73" si="955">IF(AB68="","",AA73)</f>
        <v/>
      </c>
      <c r="AC73" s="12" t="str">
        <f t="shared" ref="AC73" si="956">IF(AC68="","",AB73)</f>
        <v/>
      </c>
      <c r="AD73" s="12" t="str">
        <f t="shared" ref="AD73" si="957">IF(AD68="","",AC73)</f>
        <v/>
      </c>
      <c r="AE73" s="12" t="str">
        <f t="shared" ref="AE73" si="958">IF(AE68="","",AD73)</f>
        <v/>
      </c>
      <c r="AF73" s="12" t="str">
        <f t="shared" ref="AF73" si="959">IF(AF68="","",AE73)</f>
        <v/>
      </c>
      <c r="AG73" s="12" t="str">
        <f t="shared" ref="AG73" si="960">IF(AG68="","",AF73)</f>
        <v/>
      </c>
      <c r="AH73" s="12" t="str">
        <f t="shared" ref="AH73" si="961">IF(AH68="","",AG73)</f>
        <v/>
      </c>
      <c r="AI73" s="12" t="str">
        <f t="shared" ref="AI73" si="962">IF(AI68="","",AH73)</f>
        <v/>
      </c>
      <c r="AJ73" s="12" t="str">
        <f t="shared" ref="AJ73" si="963">IF(AJ68="","",AI73)</f>
        <v/>
      </c>
      <c r="AK73" s="12" t="str">
        <f t="shared" ref="AK73" si="964">IF(AK68="","",AJ73)</f>
        <v/>
      </c>
      <c r="AL73" s="12" t="str">
        <f t="shared" ref="AL73" si="965">IF(AL68="","",AK73)</f>
        <v/>
      </c>
      <c r="AM73" s="12" t="str">
        <f t="shared" ref="AM73:AN73" si="966">IF(AM68="","",AL73)</f>
        <v/>
      </c>
      <c r="AN73" s="12" t="str">
        <f t="shared" si="966"/>
        <v/>
      </c>
      <c r="AO73" s="12" t="str">
        <f t="shared" ref="AO73:AS73" si="967">IF(AO68="","",AN73)</f>
        <v/>
      </c>
      <c r="AP73" s="12" t="str">
        <f t="shared" si="967"/>
        <v/>
      </c>
      <c r="AQ73" s="12" t="str">
        <f t="shared" si="967"/>
        <v/>
      </c>
      <c r="AR73" s="12" t="str">
        <f t="shared" si="967"/>
        <v/>
      </c>
      <c r="AS73" s="12" t="str">
        <f t="shared" si="967"/>
        <v/>
      </c>
    </row>
    <row r="74" spans="1:45" s="84" customFormat="1" ht="11.25" x14ac:dyDescent="0.15">
      <c r="A74" s="7">
        <f>AVERAGE(C75:AS75)*30*100</f>
        <v>23250</v>
      </c>
      <c r="B74" s="9" t="s">
        <v>12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</row>
    <row r="75" spans="1:45" s="84" customFormat="1" ht="11.25" x14ac:dyDescent="0.15">
      <c r="A75" s="7">
        <f>SUM(C75:AS75)</f>
        <v>93</v>
      </c>
      <c r="B75" s="6" t="s">
        <v>13</v>
      </c>
      <c r="C75" s="5">
        <v>0</v>
      </c>
      <c r="D75" s="5">
        <v>0</v>
      </c>
      <c r="E75" s="5">
        <v>0</v>
      </c>
      <c r="F75" s="5">
        <v>0</v>
      </c>
      <c r="G75" s="5">
        <v>56</v>
      </c>
      <c r="H75" s="5">
        <v>0</v>
      </c>
      <c r="I75" s="5">
        <v>0</v>
      </c>
      <c r="J75" s="5">
        <v>0</v>
      </c>
      <c r="K75" s="5">
        <v>20</v>
      </c>
      <c r="L75" s="5">
        <f t="shared" ref="L75:L76" si="968">IF(L68="","",L68-K68)</f>
        <v>0</v>
      </c>
      <c r="M75" s="5">
        <f t="shared" ref="M75:M76" si="969">IF(M68="","",M68-L68)</f>
        <v>0</v>
      </c>
      <c r="N75" s="5">
        <f t="shared" ref="N75:N76" si="970">IF(N68="","",N68-M68)</f>
        <v>17</v>
      </c>
      <c r="O75" s="5" t="str">
        <f t="shared" ref="O75:O76" si="971">IF(O68="","",O68-N68)</f>
        <v/>
      </c>
      <c r="P75" s="5" t="str">
        <f t="shared" ref="P75:P76" si="972">IF(P68="","",P68-O68)</f>
        <v/>
      </c>
      <c r="Q75" s="5" t="str">
        <f t="shared" ref="Q75:Q76" si="973">IF(Q68="","",Q68-P68)</f>
        <v/>
      </c>
      <c r="R75" s="5" t="str">
        <f t="shared" ref="R75:R76" si="974">IF(R68="","",R68-Q68)</f>
        <v/>
      </c>
      <c r="S75" s="5" t="str">
        <f t="shared" ref="S75:S76" si="975">IF(S68="","",S68-R68)</f>
        <v/>
      </c>
      <c r="T75" s="5" t="str">
        <f t="shared" ref="T75:T76" si="976">IF(T68="","",T68-S68)</f>
        <v/>
      </c>
      <c r="U75" s="5" t="str">
        <f t="shared" ref="U75:U76" si="977">IF(U68="","",U68-T68)</f>
        <v/>
      </c>
      <c r="V75" s="5" t="str">
        <f t="shared" ref="V75:V76" si="978">IF(V68="","",V68-U68)</f>
        <v/>
      </c>
      <c r="W75" s="5" t="str">
        <f t="shared" ref="W75:W76" si="979">IF(W68="","",W68-V68)</f>
        <v/>
      </c>
      <c r="X75" s="5" t="str">
        <f t="shared" ref="X75:X76" si="980">IF(X68="","",X68-W68)</f>
        <v/>
      </c>
      <c r="Y75" s="5" t="str">
        <f t="shared" ref="Y75:Y76" si="981">IF(Y68="","",Y68-X68)</f>
        <v/>
      </c>
      <c r="Z75" s="5" t="str">
        <f t="shared" ref="Z75:Z76" si="982">IF(Z68="","",Z68-Y68)</f>
        <v/>
      </c>
      <c r="AA75" s="5" t="str">
        <f t="shared" ref="AA75:AA76" si="983">IF(AA68="","",AA68-Z68)</f>
        <v/>
      </c>
      <c r="AB75" s="5" t="str">
        <f t="shared" ref="AB75:AB76" si="984">IF(AB68="","",AB68-AA68)</f>
        <v/>
      </c>
      <c r="AC75" s="5" t="str">
        <f t="shared" ref="AC75:AC76" si="985">IF(AC68="","",AC68-AB68)</f>
        <v/>
      </c>
      <c r="AD75" s="5" t="str">
        <f t="shared" ref="AD75:AD76" si="986">IF(AD68="","",AD68-AC68)</f>
        <v/>
      </c>
      <c r="AE75" s="5" t="str">
        <f t="shared" ref="AE75:AE76" si="987">IF(AE68="","",AE68-AD68)</f>
        <v/>
      </c>
      <c r="AF75" s="5" t="str">
        <f t="shared" ref="AF75:AF76" si="988">IF(AF68="","",AF68-AE68)</f>
        <v/>
      </c>
      <c r="AG75" s="5" t="str">
        <f t="shared" ref="AG75:AG76" si="989">IF(AG68="","",AG68-AF68)</f>
        <v/>
      </c>
      <c r="AH75" s="5" t="str">
        <f t="shared" ref="AH75:AH76" si="990">IF(AH68="","",AH68-AG68)</f>
        <v/>
      </c>
      <c r="AI75" s="5" t="str">
        <f t="shared" ref="AI75:AI76" si="991">IF(AI68="","",AI68-AH68)</f>
        <v/>
      </c>
      <c r="AJ75" s="5" t="str">
        <f t="shared" ref="AJ75:AJ76" si="992">IF(AJ68="","",AJ68-AI68)</f>
        <v/>
      </c>
      <c r="AK75" s="5" t="str">
        <f t="shared" ref="AK75:AK76" si="993">IF(AK68="","",AK68-AJ68)</f>
        <v/>
      </c>
      <c r="AL75" s="5" t="str">
        <f t="shared" ref="AL75:AL76" si="994">IF(AL68="","",AL68-AK68)</f>
        <v/>
      </c>
      <c r="AM75" s="5" t="str">
        <f t="shared" ref="AM75:AN75" si="995">IF(AM68="","",AM68-AL68)</f>
        <v/>
      </c>
      <c r="AN75" s="5" t="str">
        <f t="shared" si="995"/>
        <v/>
      </c>
      <c r="AO75" s="5" t="str">
        <f t="shared" ref="AO75:AS75" si="996">IF(AO68="","",AO68-AN68)</f>
        <v/>
      </c>
      <c r="AP75" s="5" t="str">
        <f t="shared" si="996"/>
        <v/>
      </c>
      <c r="AQ75" s="5" t="str">
        <f t="shared" si="996"/>
        <v/>
      </c>
      <c r="AR75" s="5" t="str">
        <f t="shared" si="996"/>
        <v/>
      </c>
      <c r="AS75" s="5" t="str">
        <f t="shared" si="996"/>
        <v/>
      </c>
    </row>
    <row r="76" spans="1:45" s="84" customFormat="1" ht="11.25" x14ac:dyDescent="0.15">
      <c r="A76" s="7">
        <f>SUM(C76:AS76)</f>
        <v>3</v>
      </c>
      <c r="B76" s="6" t="s">
        <v>14</v>
      </c>
      <c r="C76" s="5">
        <v>0</v>
      </c>
      <c r="D76" s="5">
        <v>0</v>
      </c>
      <c r="E76" s="5">
        <v>0</v>
      </c>
      <c r="F76" s="5">
        <v>0</v>
      </c>
      <c r="G76" s="5">
        <v>2</v>
      </c>
      <c r="H76" s="5">
        <v>0</v>
      </c>
      <c r="I76" s="5">
        <v>0</v>
      </c>
      <c r="J76" s="5">
        <v>0</v>
      </c>
      <c r="K76" s="5">
        <v>1</v>
      </c>
      <c r="L76" s="5">
        <f t="shared" si="968"/>
        <v>0</v>
      </c>
      <c r="M76" s="5">
        <f t="shared" si="969"/>
        <v>0</v>
      </c>
      <c r="N76" s="5">
        <f t="shared" si="970"/>
        <v>0</v>
      </c>
      <c r="O76" s="5" t="str">
        <f t="shared" si="971"/>
        <v/>
      </c>
      <c r="P76" s="5" t="str">
        <f t="shared" si="972"/>
        <v/>
      </c>
      <c r="Q76" s="5" t="str">
        <f t="shared" si="973"/>
        <v/>
      </c>
      <c r="R76" s="5" t="str">
        <f t="shared" si="974"/>
        <v/>
      </c>
      <c r="S76" s="5" t="str">
        <f t="shared" si="975"/>
        <v/>
      </c>
      <c r="T76" s="5" t="str">
        <f t="shared" si="976"/>
        <v/>
      </c>
      <c r="U76" s="5" t="str">
        <f t="shared" si="977"/>
        <v/>
      </c>
      <c r="V76" s="5" t="str">
        <f t="shared" si="978"/>
        <v/>
      </c>
      <c r="W76" s="5" t="str">
        <f t="shared" si="979"/>
        <v/>
      </c>
      <c r="X76" s="5" t="str">
        <f t="shared" si="980"/>
        <v/>
      </c>
      <c r="Y76" s="5" t="str">
        <f t="shared" si="981"/>
        <v/>
      </c>
      <c r="Z76" s="5" t="str">
        <f t="shared" si="982"/>
        <v/>
      </c>
      <c r="AA76" s="5" t="str">
        <f t="shared" si="983"/>
        <v/>
      </c>
      <c r="AB76" s="5" t="str">
        <f t="shared" si="984"/>
        <v/>
      </c>
      <c r="AC76" s="5" t="str">
        <f t="shared" si="985"/>
        <v/>
      </c>
      <c r="AD76" s="5" t="str">
        <f t="shared" si="986"/>
        <v/>
      </c>
      <c r="AE76" s="5" t="str">
        <f t="shared" si="987"/>
        <v/>
      </c>
      <c r="AF76" s="5" t="str">
        <f t="shared" si="988"/>
        <v/>
      </c>
      <c r="AG76" s="5" t="str">
        <f t="shared" si="989"/>
        <v/>
      </c>
      <c r="AH76" s="5" t="str">
        <f t="shared" si="990"/>
        <v/>
      </c>
      <c r="AI76" s="5" t="str">
        <f t="shared" si="991"/>
        <v/>
      </c>
      <c r="AJ76" s="5" t="str">
        <f t="shared" si="992"/>
        <v/>
      </c>
      <c r="AK76" s="5" t="str">
        <f t="shared" si="993"/>
        <v/>
      </c>
      <c r="AL76" s="5" t="str">
        <f t="shared" si="994"/>
        <v/>
      </c>
      <c r="AM76" s="5" t="str">
        <f t="shared" ref="AM76:AN76" si="997">IF(AM69="","",AM69-AL69)</f>
        <v/>
      </c>
      <c r="AN76" s="5" t="str">
        <f t="shared" si="997"/>
        <v/>
      </c>
      <c r="AO76" s="5" t="str">
        <f t="shared" ref="AO76:AS76" si="998">IF(AO69="","",AO69-AN69)</f>
        <v/>
      </c>
      <c r="AP76" s="5" t="str">
        <f t="shared" si="998"/>
        <v/>
      </c>
      <c r="AQ76" s="5" t="str">
        <f t="shared" si="998"/>
        <v/>
      </c>
      <c r="AR76" s="5" t="str">
        <f t="shared" si="998"/>
        <v/>
      </c>
      <c r="AS76" s="5" t="str">
        <f t="shared" si="998"/>
        <v/>
      </c>
    </row>
    <row r="77" spans="1:45" s="84" customFormat="1" ht="11.25" x14ac:dyDescent="0.15">
      <c r="A77" s="7">
        <f>SUM(C77:AS77)</f>
        <v>4</v>
      </c>
      <c r="B77" s="6" t="s">
        <v>15</v>
      </c>
      <c r="C77" s="5">
        <v>0</v>
      </c>
      <c r="D77" s="5">
        <v>0</v>
      </c>
      <c r="E77" s="5">
        <v>0</v>
      </c>
      <c r="F77" s="5">
        <v>0</v>
      </c>
      <c r="G77" s="5">
        <v>3</v>
      </c>
      <c r="H77" s="5">
        <v>0</v>
      </c>
      <c r="I77" s="5">
        <v>0</v>
      </c>
      <c r="J77" s="5">
        <v>0</v>
      </c>
      <c r="K77" s="5">
        <v>1</v>
      </c>
      <c r="L77" s="5">
        <f t="shared" ref="L77" si="999">IF(L70="","",K70+K71-L70)</f>
        <v>0</v>
      </c>
      <c r="M77" s="5">
        <f t="shared" ref="M77" si="1000">IF(M70="","",L70+L71-M70)</f>
        <v>0</v>
      </c>
      <c r="N77" s="5">
        <f t="shared" ref="N77" si="1001">IF(N70="","",M70+M71-N70)</f>
        <v>0</v>
      </c>
      <c r="O77" s="5" t="str">
        <f t="shared" ref="O77" si="1002">IF(O70="","",N70+N71-O70)</f>
        <v/>
      </c>
      <c r="P77" s="5" t="str">
        <f t="shared" ref="P77" si="1003">IF(P70="","",O70+O71-P70)</f>
        <v/>
      </c>
      <c r="Q77" s="5" t="str">
        <f t="shared" ref="Q77" si="1004">IF(Q70="","",P70+P71-Q70)</f>
        <v/>
      </c>
      <c r="R77" s="5" t="str">
        <f t="shared" ref="R77" si="1005">IF(R70="","",Q70+Q71-R70)</f>
        <v/>
      </c>
      <c r="S77" s="5" t="str">
        <f t="shared" ref="S77" si="1006">IF(S70="","",R70+R71-S70)</f>
        <v/>
      </c>
      <c r="T77" s="5" t="str">
        <f t="shared" ref="T77" si="1007">IF(T70="","",S70+S71-T70)</f>
        <v/>
      </c>
      <c r="U77" s="5" t="str">
        <f t="shared" ref="U77" si="1008">IF(U70="","",T70+T71-U70)</f>
        <v/>
      </c>
      <c r="V77" s="5" t="str">
        <f t="shared" ref="V77" si="1009">IF(V70="","",U70+U71-V70)</f>
        <v/>
      </c>
      <c r="W77" s="5" t="str">
        <f t="shared" ref="W77" si="1010">IF(W70="","",V70+V71-W70)</f>
        <v/>
      </c>
      <c r="X77" s="5" t="str">
        <f t="shared" ref="X77" si="1011">IF(X70="","",W70+W71-X70)</f>
        <v/>
      </c>
      <c r="Y77" s="5" t="str">
        <f t="shared" ref="Y77" si="1012">IF(Y70="","",X70+X71-Y70)</f>
        <v/>
      </c>
      <c r="Z77" s="5" t="str">
        <f t="shared" ref="Z77" si="1013">IF(Z70="","",Y70+Y71-Z70)</f>
        <v/>
      </c>
      <c r="AA77" s="5" t="str">
        <f t="shared" ref="AA77" si="1014">IF(AA70="","",Z70+Z71-AA70)</f>
        <v/>
      </c>
      <c r="AB77" s="5" t="str">
        <f t="shared" ref="AB77" si="1015">IF(AB70="","",AA70+AA71-AB70)</f>
        <v/>
      </c>
      <c r="AC77" s="5" t="str">
        <f t="shared" ref="AC77" si="1016">IF(AC70="","",AB70+AB71-AC70)</f>
        <v/>
      </c>
      <c r="AD77" s="5" t="str">
        <f t="shared" ref="AD77" si="1017">IF(AD70="","",AC70+AC71-AD70)</f>
        <v/>
      </c>
      <c r="AE77" s="5" t="str">
        <f t="shared" ref="AE77" si="1018">IF(AE70="","",AD70+AD71-AE70)</f>
        <v/>
      </c>
      <c r="AF77" s="5" t="str">
        <f t="shared" ref="AF77" si="1019">IF(AF70="","",AE70+AE71-AF70)</f>
        <v/>
      </c>
      <c r="AG77" s="5" t="str">
        <f t="shared" ref="AG77" si="1020">IF(AG70="","",AF70+AF71-AG70)</f>
        <v/>
      </c>
      <c r="AH77" s="5" t="str">
        <f t="shared" ref="AH77" si="1021">IF(AH70="","",AG70+AG71-AH70)</f>
        <v/>
      </c>
      <c r="AI77" s="5" t="str">
        <f t="shared" ref="AI77" si="1022">IF(AI70="","",AH70+AH71-AI70)</f>
        <v/>
      </c>
      <c r="AJ77" s="5" t="str">
        <f t="shared" ref="AJ77" si="1023">IF(AJ70="","",AI70+AI71-AJ70)</f>
        <v/>
      </c>
      <c r="AK77" s="5" t="str">
        <f t="shared" ref="AK77" si="1024">IF(AK70="","",AJ70+AJ71-AK70)</f>
        <v/>
      </c>
      <c r="AL77" s="5" t="str">
        <f t="shared" ref="AL77" si="1025">IF(AL70="","",AK70+AK71-AL70)</f>
        <v/>
      </c>
      <c r="AM77" s="5" t="str">
        <f t="shared" ref="AM77:AN77" si="1026">IF(AM70="","",AL70+AL71-AM70)</f>
        <v/>
      </c>
      <c r="AN77" s="5" t="str">
        <f t="shared" si="1026"/>
        <v/>
      </c>
      <c r="AO77" s="5" t="str">
        <f t="shared" ref="AO77:AS77" si="1027">IF(AO70="","",AN70+AN71-AO70)</f>
        <v/>
      </c>
      <c r="AP77" s="5" t="str">
        <f t="shared" si="1027"/>
        <v/>
      </c>
      <c r="AQ77" s="5" t="str">
        <f t="shared" si="1027"/>
        <v/>
      </c>
      <c r="AR77" s="5" t="str">
        <f t="shared" si="1027"/>
        <v/>
      </c>
      <c r="AS77" s="5" t="str">
        <f t="shared" si="1027"/>
        <v/>
      </c>
    </row>
    <row r="78" spans="1:45" s="84" customFormat="1" ht="11.25" x14ac:dyDescent="0.15">
      <c r="A78" s="7">
        <f>SUM(C78:AS78)</f>
        <v>3200</v>
      </c>
      <c r="B78" s="6" t="s">
        <v>16</v>
      </c>
      <c r="C78" s="5">
        <v>0</v>
      </c>
      <c r="D78" s="5">
        <v>0</v>
      </c>
      <c r="E78" s="5">
        <v>0</v>
      </c>
      <c r="F78" s="5">
        <v>0</v>
      </c>
      <c r="G78" s="5">
        <v>2400</v>
      </c>
      <c r="H78" s="5">
        <v>0</v>
      </c>
      <c r="I78" s="5">
        <v>0</v>
      </c>
      <c r="J78" s="5">
        <v>0</v>
      </c>
      <c r="K78" s="5">
        <v>800</v>
      </c>
      <c r="L78" s="5">
        <f t="shared" ref="J78:AL78" si="1028">IF(L68="","",L77*L72)</f>
        <v>0</v>
      </c>
      <c r="M78" s="5">
        <f t="shared" si="1028"/>
        <v>0</v>
      </c>
      <c r="N78" s="5">
        <f t="shared" si="1028"/>
        <v>0</v>
      </c>
      <c r="O78" s="5" t="str">
        <f t="shared" si="1028"/>
        <v/>
      </c>
      <c r="P78" s="5" t="str">
        <f t="shared" si="1028"/>
        <v/>
      </c>
      <c r="Q78" s="5" t="str">
        <f t="shared" si="1028"/>
        <v/>
      </c>
      <c r="R78" s="5" t="str">
        <f t="shared" si="1028"/>
        <v/>
      </c>
      <c r="S78" s="5" t="str">
        <f t="shared" si="1028"/>
        <v/>
      </c>
      <c r="T78" s="5" t="str">
        <f t="shared" si="1028"/>
        <v/>
      </c>
      <c r="U78" s="5" t="str">
        <f t="shared" si="1028"/>
        <v/>
      </c>
      <c r="V78" s="5" t="str">
        <f t="shared" si="1028"/>
        <v/>
      </c>
      <c r="W78" s="5" t="str">
        <f t="shared" si="1028"/>
        <v/>
      </c>
      <c r="X78" s="5" t="str">
        <f t="shared" si="1028"/>
        <v/>
      </c>
      <c r="Y78" s="5" t="str">
        <f t="shared" si="1028"/>
        <v/>
      </c>
      <c r="Z78" s="5" t="str">
        <f t="shared" si="1028"/>
        <v/>
      </c>
      <c r="AA78" s="5" t="str">
        <f t="shared" si="1028"/>
        <v/>
      </c>
      <c r="AB78" s="5" t="str">
        <f t="shared" si="1028"/>
        <v/>
      </c>
      <c r="AC78" s="5" t="str">
        <f t="shared" si="1028"/>
        <v/>
      </c>
      <c r="AD78" s="5" t="str">
        <f t="shared" si="1028"/>
        <v/>
      </c>
      <c r="AE78" s="5" t="str">
        <f t="shared" si="1028"/>
        <v/>
      </c>
      <c r="AF78" s="5" t="str">
        <f t="shared" si="1028"/>
        <v/>
      </c>
      <c r="AG78" s="5" t="str">
        <f t="shared" si="1028"/>
        <v/>
      </c>
      <c r="AH78" s="5" t="str">
        <f t="shared" si="1028"/>
        <v/>
      </c>
      <c r="AI78" s="5" t="str">
        <f t="shared" si="1028"/>
        <v/>
      </c>
      <c r="AJ78" s="5" t="str">
        <f t="shared" si="1028"/>
        <v/>
      </c>
      <c r="AK78" s="5" t="str">
        <f t="shared" si="1028"/>
        <v/>
      </c>
      <c r="AL78" s="5" t="str">
        <f t="shared" si="1028"/>
        <v/>
      </c>
      <c r="AM78" s="5" t="str">
        <f t="shared" ref="AM78:AN78" si="1029">IF(AM68="","",AM77*AM72)</f>
        <v/>
      </c>
      <c r="AN78" s="5" t="str">
        <f t="shared" si="1029"/>
        <v/>
      </c>
      <c r="AO78" s="5" t="str">
        <f t="shared" ref="AO78:AS78" si="1030">IF(AO68="","",AO77*AO72)</f>
        <v/>
      </c>
      <c r="AP78" s="5" t="str">
        <f t="shared" si="1030"/>
        <v/>
      </c>
      <c r="AQ78" s="5" t="str">
        <f t="shared" si="1030"/>
        <v/>
      </c>
      <c r="AR78" s="5" t="str">
        <f t="shared" si="1030"/>
        <v/>
      </c>
      <c r="AS78" s="5" t="str">
        <f t="shared" si="1030"/>
        <v/>
      </c>
    </row>
    <row r="79" spans="1:45" s="84" customFormat="1" ht="12" thickBot="1" x14ac:dyDescent="0.2">
      <c r="A79" s="4">
        <f>IF(A78="","",A78/(A75*100))</f>
        <v>0.34408602150537637</v>
      </c>
      <c r="B79" s="6" t="s">
        <v>18</v>
      </c>
      <c r="C79" s="18" t="s">
        <v>19</v>
      </c>
      <c r="D79" s="18" t="s">
        <v>19</v>
      </c>
      <c r="E79" s="18" t="s">
        <v>19</v>
      </c>
      <c r="F79" s="18" t="s">
        <v>19</v>
      </c>
      <c r="G79" s="18">
        <v>0.42857142857142855</v>
      </c>
      <c r="H79" s="18" t="s">
        <v>19</v>
      </c>
      <c r="I79" s="18" t="s">
        <v>19</v>
      </c>
      <c r="J79" s="18" t="s">
        <v>19</v>
      </c>
      <c r="K79" s="18">
        <v>0.4</v>
      </c>
      <c r="L79" s="18" t="str">
        <f t="shared" ref="J79:AL79" si="1031">IF(L78="","",IF(L78=0,"",L78/(L75*100)))</f>
        <v/>
      </c>
      <c r="M79" s="18" t="str">
        <f t="shared" si="1031"/>
        <v/>
      </c>
      <c r="N79" s="18" t="str">
        <f t="shared" si="1031"/>
        <v/>
      </c>
      <c r="O79" s="18" t="str">
        <f t="shared" si="1031"/>
        <v/>
      </c>
      <c r="P79" s="18" t="str">
        <f t="shared" si="1031"/>
        <v/>
      </c>
      <c r="Q79" s="18" t="str">
        <f t="shared" si="1031"/>
        <v/>
      </c>
      <c r="R79" s="18" t="str">
        <f t="shared" si="1031"/>
        <v/>
      </c>
      <c r="S79" s="18" t="str">
        <f t="shared" si="1031"/>
        <v/>
      </c>
      <c r="T79" s="18" t="str">
        <f t="shared" si="1031"/>
        <v/>
      </c>
      <c r="U79" s="18" t="str">
        <f t="shared" si="1031"/>
        <v/>
      </c>
      <c r="V79" s="18" t="str">
        <f t="shared" si="1031"/>
        <v/>
      </c>
      <c r="W79" s="18" t="str">
        <f t="shared" si="1031"/>
        <v/>
      </c>
      <c r="X79" s="18" t="str">
        <f t="shared" si="1031"/>
        <v/>
      </c>
      <c r="Y79" s="18" t="str">
        <f t="shared" si="1031"/>
        <v/>
      </c>
      <c r="Z79" s="18" t="str">
        <f t="shared" si="1031"/>
        <v/>
      </c>
      <c r="AA79" s="18" t="str">
        <f t="shared" si="1031"/>
        <v/>
      </c>
      <c r="AB79" s="18" t="str">
        <f t="shared" si="1031"/>
        <v/>
      </c>
      <c r="AC79" s="18" t="str">
        <f t="shared" si="1031"/>
        <v/>
      </c>
      <c r="AD79" s="18" t="str">
        <f t="shared" si="1031"/>
        <v/>
      </c>
      <c r="AE79" s="18" t="str">
        <f t="shared" si="1031"/>
        <v/>
      </c>
      <c r="AF79" s="18" t="str">
        <f t="shared" si="1031"/>
        <v/>
      </c>
      <c r="AG79" s="18" t="str">
        <f t="shared" si="1031"/>
        <v/>
      </c>
      <c r="AH79" s="18" t="str">
        <f t="shared" si="1031"/>
        <v/>
      </c>
      <c r="AI79" s="18" t="str">
        <f t="shared" si="1031"/>
        <v/>
      </c>
      <c r="AJ79" s="18" t="str">
        <f t="shared" si="1031"/>
        <v/>
      </c>
      <c r="AK79" s="18" t="str">
        <f t="shared" si="1031"/>
        <v/>
      </c>
      <c r="AL79" s="18" t="str">
        <f t="shared" si="1031"/>
        <v/>
      </c>
      <c r="AM79" s="18" t="str">
        <f t="shared" ref="AM79:AN79" si="1032">IF(AM78="","",IF(AM78=0,"",AM78/(AM75*100)))</f>
        <v/>
      </c>
      <c r="AN79" s="18" t="str">
        <f t="shared" si="1032"/>
        <v/>
      </c>
      <c r="AO79" s="18" t="str">
        <f t="shared" ref="AO79:AS79" si="1033">IF(AO78="","",IF(AO78=0,"",AO78/(AO75*100)))</f>
        <v/>
      </c>
      <c r="AP79" s="18" t="str">
        <f t="shared" si="1033"/>
        <v/>
      </c>
      <c r="AQ79" s="18" t="str">
        <f t="shared" si="1033"/>
        <v/>
      </c>
      <c r="AR79" s="18" t="str">
        <f t="shared" si="1033"/>
        <v/>
      </c>
      <c r="AS79" s="18" t="str">
        <f t="shared" si="1033"/>
        <v/>
      </c>
    </row>
    <row r="80" spans="1:45" s="84" customFormat="1" ht="11.25" x14ac:dyDescent="0.15">
      <c r="A80" s="17" t="s">
        <v>94</v>
      </c>
      <c r="B80" s="9" t="s">
        <v>2</v>
      </c>
      <c r="C80" s="8">
        <v>802</v>
      </c>
      <c r="D80" s="8">
        <v>802</v>
      </c>
      <c r="E80" s="8">
        <v>802</v>
      </c>
      <c r="F80" s="8">
        <v>802</v>
      </c>
      <c r="G80" s="8">
        <v>850</v>
      </c>
      <c r="H80" s="8">
        <v>850</v>
      </c>
      <c r="I80" s="8">
        <v>850</v>
      </c>
      <c r="J80" s="8">
        <v>850</v>
      </c>
      <c r="K80" s="8">
        <v>860</v>
      </c>
      <c r="L80" s="8">
        <f>IF(L$8="","",K80)</f>
        <v>860</v>
      </c>
      <c r="M80" s="8">
        <f t="shared" ref="M80:M81" si="1034">IF(M$8="","",L80)</f>
        <v>860</v>
      </c>
      <c r="N80" s="8">
        <v>891</v>
      </c>
      <c r="O80" s="8" t="str">
        <f>IF(O$8="","",N80)</f>
        <v/>
      </c>
      <c r="P80" s="8" t="str">
        <f>IF(P$8="","",O80)</f>
        <v/>
      </c>
      <c r="Q80" s="8" t="str">
        <f t="shared" ref="Q80:Q81" si="1035">IF(Q$8="","",P80)</f>
        <v/>
      </c>
      <c r="R80" s="8" t="str">
        <f t="shared" ref="R80:R81" si="1036">IF(R$8="","",Q80)</f>
        <v/>
      </c>
      <c r="S80" s="8" t="str">
        <f>IF(S$8="","",R80)</f>
        <v/>
      </c>
      <c r="T80" s="8" t="str">
        <f t="shared" ref="T80:T81" si="1037">IF(T$8="","",S80)</f>
        <v/>
      </c>
      <c r="U80" s="8" t="str">
        <f t="shared" ref="U80:U81" si="1038">IF(U$8="","",T80)</f>
        <v/>
      </c>
      <c r="V80" s="8" t="str">
        <f>IF(V$8="","",U80)</f>
        <v/>
      </c>
      <c r="W80" s="8" t="str">
        <f t="shared" ref="W80:W81" si="1039">IF(W$8="","",V80)</f>
        <v/>
      </c>
      <c r="X80" s="8" t="str">
        <f t="shared" ref="X80:X81" si="1040">IF(X$8="","",W80)</f>
        <v/>
      </c>
      <c r="Y80" s="8" t="str">
        <f t="shared" ref="Y80:Y81" si="1041">IF(Y$8="","",X80)</f>
        <v/>
      </c>
      <c r="Z80" s="8" t="str">
        <f>IF(Z$8="","",Y80)</f>
        <v/>
      </c>
      <c r="AA80" s="8" t="str">
        <f t="shared" ref="AA80:AA81" si="1042">IF(AA$8="","",Z80)</f>
        <v/>
      </c>
      <c r="AB80" s="8" t="str">
        <f t="shared" ref="AB80:AB81" si="1043">IF(AB$8="","",AA80)</f>
        <v/>
      </c>
      <c r="AC80" s="8" t="str">
        <f t="shared" ref="AC80:AC81" si="1044">IF(AC$8="","",AB80)</f>
        <v/>
      </c>
      <c r="AD80" s="8" t="str">
        <f>IF(AD$8="","",AC80)</f>
        <v/>
      </c>
      <c r="AE80" s="8" t="str">
        <f>IF(AE$8="","",AD80)</f>
        <v/>
      </c>
      <c r="AF80" s="8" t="str">
        <f t="shared" ref="AF80:AF81" si="1045">IF(AF$8="","",AE80)</f>
        <v/>
      </c>
      <c r="AG80" s="8" t="str">
        <f>IF(AG$8="","",AF80)</f>
        <v/>
      </c>
      <c r="AH80" s="8" t="str">
        <f t="shared" ref="AH80:AH81" si="1046">IF(AH$8="","",AG80)</f>
        <v/>
      </c>
      <c r="AI80" s="8" t="str">
        <f t="shared" ref="AI80:AI81" si="1047">IF(AI$8="","",AH80)</f>
        <v/>
      </c>
      <c r="AJ80" s="8" t="str">
        <f>IF(AJ$8="","",AI80)</f>
        <v/>
      </c>
      <c r="AK80" s="8" t="str">
        <f t="shared" ref="AK80:AK81" si="1048">IF(AK$8="","",AJ80)</f>
        <v/>
      </c>
      <c r="AL80" s="8" t="str">
        <f t="shared" ref="AL80:AL81" si="1049">IF(AL$8="","",AK80)</f>
        <v/>
      </c>
      <c r="AM80" s="8" t="str">
        <f t="shared" ref="AM80:AN80" si="1050">IF(AM$8="","",AL80)</f>
        <v/>
      </c>
      <c r="AN80" s="8" t="str">
        <f>IF(AN$8="","",AM80)</f>
        <v/>
      </c>
      <c r="AO80" s="8" t="str">
        <f t="shared" ref="AO80:AS80" si="1051">IF(AO$8="","",AN80)</f>
        <v/>
      </c>
      <c r="AP80" s="8" t="str">
        <f t="shared" si="1051"/>
        <v/>
      </c>
      <c r="AQ80" s="8" t="str">
        <f t="shared" si="1051"/>
        <v/>
      </c>
      <c r="AR80" s="8" t="str">
        <f t="shared" si="1051"/>
        <v/>
      </c>
      <c r="AS80" s="8" t="str">
        <f t="shared" si="1051"/>
        <v/>
      </c>
    </row>
    <row r="81" spans="1:45" s="84" customFormat="1" ht="11.25" x14ac:dyDescent="0.15">
      <c r="A81" s="16" t="str">
        <f>A69</f>
        <v>BUZZ＃2</v>
      </c>
      <c r="B81" s="9" t="s">
        <v>4</v>
      </c>
      <c r="C81" s="8">
        <v>14</v>
      </c>
      <c r="D81" s="8">
        <v>14</v>
      </c>
      <c r="E81" s="8">
        <v>14</v>
      </c>
      <c r="F81" s="8">
        <v>14</v>
      </c>
      <c r="G81" s="8">
        <v>14</v>
      </c>
      <c r="H81" s="8">
        <v>14</v>
      </c>
      <c r="I81" s="8">
        <v>14</v>
      </c>
      <c r="J81" s="8">
        <v>14</v>
      </c>
      <c r="K81" s="8">
        <v>14</v>
      </c>
      <c r="L81" s="8">
        <f t="shared" ref="L81" si="1052">IF(L$8="","",K81)</f>
        <v>14</v>
      </c>
      <c r="M81" s="8">
        <f t="shared" si="1034"/>
        <v>14</v>
      </c>
      <c r="N81" s="8">
        <f t="shared" ref="N80:N81" si="1053">IF(N$8="","",M81)</f>
        <v>14</v>
      </c>
      <c r="O81" s="8" t="str">
        <f>IF(O$8="","",N81)</f>
        <v/>
      </c>
      <c r="P81" s="8" t="str">
        <f>IF(P$8="","",O81)</f>
        <v/>
      </c>
      <c r="Q81" s="8" t="str">
        <f t="shared" si="1035"/>
        <v/>
      </c>
      <c r="R81" s="8" t="str">
        <f t="shared" si="1036"/>
        <v/>
      </c>
      <c r="S81" s="8" t="str">
        <f t="shared" ref="S81" si="1054">IF(S$8="","",R81)</f>
        <v/>
      </c>
      <c r="T81" s="8" t="str">
        <f t="shared" si="1037"/>
        <v/>
      </c>
      <c r="U81" s="8" t="str">
        <f t="shared" si="1038"/>
        <v/>
      </c>
      <c r="V81" s="8" t="str">
        <f t="shared" ref="V81" si="1055">IF(V$8="","",U81)</f>
        <v/>
      </c>
      <c r="W81" s="8" t="str">
        <f t="shared" si="1039"/>
        <v/>
      </c>
      <c r="X81" s="8" t="str">
        <f t="shared" si="1040"/>
        <v/>
      </c>
      <c r="Y81" s="8" t="str">
        <f t="shared" si="1041"/>
        <v/>
      </c>
      <c r="Z81" s="8" t="str">
        <f>IF(Z$8="","",Y81)</f>
        <v/>
      </c>
      <c r="AA81" s="8" t="str">
        <f t="shared" si="1042"/>
        <v/>
      </c>
      <c r="AB81" s="8" t="str">
        <f t="shared" si="1043"/>
        <v/>
      </c>
      <c r="AC81" s="8" t="str">
        <f t="shared" si="1044"/>
        <v/>
      </c>
      <c r="AD81" s="8" t="str">
        <f t="shared" ref="AD81" si="1056">IF(AD$8="","",AC81)</f>
        <v/>
      </c>
      <c r="AE81" s="8" t="str">
        <f t="shared" ref="AE80:AE81" si="1057">IF(AE$8="","",AD81)</f>
        <v/>
      </c>
      <c r="AF81" s="8" t="str">
        <f t="shared" si="1045"/>
        <v/>
      </c>
      <c r="AG81" s="8" t="str">
        <f t="shared" ref="AG81" si="1058">IF(AG$8="","",AF81)</f>
        <v/>
      </c>
      <c r="AH81" s="8" t="str">
        <f t="shared" si="1046"/>
        <v/>
      </c>
      <c r="AI81" s="8" t="str">
        <f t="shared" si="1047"/>
        <v/>
      </c>
      <c r="AJ81" s="8" t="str">
        <f t="shared" ref="AJ80:AJ81" si="1059">IF(AJ$8="","",AI81)</f>
        <v/>
      </c>
      <c r="AK81" s="8" t="str">
        <f t="shared" si="1048"/>
        <v/>
      </c>
      <c r="AL81" s="8" t="str">
        <f t="shared" si="1049"/>
        <v/>
      </c>
      <c r="AM81" s="8" t="str">
        <f t="shared" ref="AM81:AN81" si="1060">IF(AM$8="","",AL81)</f>
        <v/>
      </c>
      <c r="AN81" s="8" t="str">
        <f t="shared" si="1060"/>
        <v/>
      </c>
      <c r="AO81" s="8" t="str">
        <f>IF(AO$8="","",AN81)</f>
        <v/>
      </c>
      <c r="AP81" s="8" t="str">
        <f>IF(天文館!AP$8="","",AO81)</f>
        <v/>
      </c>
      <c r="AQ81" s="8" t="str">
        <f>IF(天文館!AQ$8="","",AP81)</f>
        <v/>
      </c>
      <c r="AR81" s="8" t="str">
        <f>IF(天文館!AR$8="","",AQ81)</f>
        <v/>
      </c>
      <c r="AS81" s="8" t="str">
        <f>IF(天文館!AS$8="","",AR81)</f>
        <v/>
      </c>
    </row>
    <row r="82" spans="1:45" s="84" customFormat="1" ht="11.25" x14ac:dyDescent="0.15">
      <c r="A82" s="15">
        <v>3</v>
      </c>
      <c r="B82" s="9" t="s">
        <v>5</v>
      </c>
      <c r="C82" s="8">
        <v>7</v>
      </c>
      <c r="D82" s="8">
        <v>7</v>
      </c>
      <c r="E82" s="8">
        <v>7</v>
      </c>
      <c r="F82" s="8">
        <v>7</v>
      </c>
      <c r="G82" s="8">
        <v>7</v>
      </c>
      <c r="H82" s="8">
        <v>7</v>
      </c>
      <c r="I82" s="8">
        <v>7</v>
      </c>
      <c r="J82" s="8">
        <v>7</v>
      </c>
      <c r="K82" s="8">
        <v>7</v>
      </c>
      <c r="L82" s="8">
        <f t="shared" ref="L82" si="1061">IF(L80="","",(K82+K83))</f>
        <v>7</v>
      </c>
      <c r="M82" s="8">
        <f t="shared" ref="M82" si="1062">IF(M80="","",(L82+L83))</f>
        <v>7</v>
      </c>
      <c r="N82" s="8">
        <f t="shared" ref="N82" si="1063">IF(N80="","",(M82+M83))</f>
        <v>7</v>
      </c>
      <c r="O82" s="8" t="str">
        <f t="shared" ref="O82" si="1064">IF(O80="","",(N82+N83))</f>
        <v/>
      </c>
      <c r="P82" s="8" t="str">
        <f>IF(P80="","",(O82+O83))</f>
        <v/>
      </c>
      <c r="Q82" s="8" t="str">
        <f t="shared" ref="Q82" si="1065">IF(Q80="","",(P82+P83))</f>
        <v/>
      </c>
      <c r="R82" s="8" t="str">
        <f t="shared" ref="R82" si="1066">IF(R80="","",(Q82+Q83))</f>
        <v/>
      </c>
      <c r="S82" s="8" t="str">
        <f t="shared" ref="S82" si="1067">IF(S80="","",(R82+R83))</f>
        <v/>
      </c>
      <c r="T82" s="8" t="str">
        <f t="shared" ref="T82" si="1068">IF(T80="","",(S82+S83))</f>
        <v/>
      </c>
      <c r="U82" s="8" t="str">
        <f t="shared" ref="U82" si="1069">IF(U80="","",(T82+T83))</f>
        <v/>
      </c>
      <c r="V82" s="8" t="str">
        <f t="shared" ref="V82" si="1070">IF(V80="","",(U82+U83))</f>
        <v/>
      </c>
      <c r="W82" s="8" t="str">
        <f t="shared" ref="W82" si="1071">IF(W80="","",(V82+V83))</f>
        <v/>
      </c>
      <c r="X82" s="8" t="str">
        <f t="shared" ref="X82" si="1072">IF(X80="","",(W82+W83))</f>
        <v/>
      </c>
      <c r="Y82" s="8" t="str">
        <f t="shared" ref="Y82" si="1073">IF(Y80="","",(X82+X83))</f>
        <v/>
      </c>
      <c r="Z82" s="8" t="str">
        <f t="shared" ref="Z82" si="1074">IF(Z80="","",(Y82+Y83))</f>
        <v/>
      </c>
      <c r="AA82" s="8" t="str">
        <f t="shared" ref="AA82" si="1075">IF(AA80="","",(Z82+Z83))</f>
        <v/>
      </c>
      <c r="AB82" s="8" t="str">
        <f t="shared" ref="AB82" si="1076">IF(AB80="","",(AA82+AA83))</f>
        <v/>
      </c>
      <c r="AC82" s="8" t="str">
        <f t="shared" ref="AC82" si="1077">IF(AC80="","",(AB82+AB83))</f>
        <v/>
      </c>
      <c r="AD82" s="8" t="str">
        <f t="shared" ref="AD82" si="1078">IF(AD80="","",(AC82+AC83))</f>
        <v/>
      </c>
      <c r="AE82" s="8" t="str">
        <f t="shared" ref="AE82" si="1079">IF(AE80="","",(AD82+AD83))</f>
        <v/>
      </c>
      <c r="AF82" s="8" t="str">
        <f t="shared" ref="AF82" si="1080">IF(AF80="","",(AE82+AE83))</f>
        <v/>
      </c>
      <c r="AG82" s="8" t="str">
        <f t="shared" ref="AG82" si="1081">IF(AG80="","",(AF82+AF83))</f>
        <v/>
      </c>
      <c r="AH82" s="8" t="str">
        <f t="shared" ref="AH82" si="1082">IF(AH80="","",(AG82+AG83))</f>
        <v/>
      </c>
      <c r="AI82" s="8" t="str">
        <f t="shared" ref="AI82" si="1083">IF(AI80="","",(AH82+AH83))</f>
        <v/>
      </c>
      <c r="AJ82" s="8" t="str">
        <f t="shared" ref="AJ82" si="1084">IF(AJ80="","",(AI82+AI83))</f>
        <v/>
      </c>
      <c r="AK82" s="8" t="str">
        <f t="shared" ref="AK82" si="1085">IF(AK80="","",(AJ82+AJ83))</f>
        <v/>
      </c>
      <c r="AL82" s="8" t="str">
        <f t="shared" ref="AL82" si="1086">IF(AL80="","",(AK82+AK83))</f>
        <v/>
      </c>
      <c r="AM82" s="8" t="str">
        <f t="shared" ref="AM82:AN82" si="1087">IF(AM80="","",(AL82+AL83))</f>
        <v/>
      </c>
      <c r="AN82" s="8" t="str">
        <f t="shared" si="1087"/>
        <v/>
      </c>
      <c r="AO82" s="8" t="str">
        <f t="shared" ref="AO82:AS82" si="1088">IF(AO80="","",(AN82+AN83))</f>
        <v/>
      </c>
      <c r="AP82" s="8" t="str">
        <f t="shared" si="1088"/>
        <v/>
      </c>
      <c r="AQ82" s="8" t="str">
        <f t="shared" si="1088"/>
        <v/>
      </c>
      <c r="AR82" s="8" t="str">
        <f t="shared" si="1088"/>
        <v/>
      </c>
      <c r="AS82" s="8" t="str">
        <f t="shared" si="1088"/>
        <v/>
      </c>
    </row>
    <row r="83" spans="1:45" s="84" customFormat="1" ht="11.25" x14ac:dyDescent="0.15">
      <c r="A83" s="14"/>
      <c r="B83" s="9" t="s">
        <v>7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</row>
    <row r="84" spans="1:45" s="84" customFormat="1" ht="11.25" x14ac:dyDescent="0.15">
      <c r="A84" s="7"/>
      <c r="B84" s="9" t="s">
        <v>8</v>
      </c>
      <c r="C84" s="8">
        <v>500</v>
      </c>
      <c r="D84" s="8">
        <v>500</v>
      </c>
      <c r="E84" s="8">
        <v>500</v>
      </c>
      <c r="F84" s="8">
        <v>500</v>
      </c>
      <c r="G84" s="8">
        <v>500</v>
      </c>
      <c r="H84" s="8">
        <v>500</v>
      </c>
      <c r="I84" s="8">
        <v>500</v>
      </c>
      <c r="J84" s="8">
        <v>500</v>
      </c>
      <c r="K84" s="8">
        <v>500</v>
      </c>
      <c r="L84" s="8">
        <f t="shared" ref="L84" si="1089">IF(L80="","",K84)</f>
        <v>500</v>
      </c>
      <c r="M84" s="8">
        <f t="shared" ref="M84" si="1090">IF(M80="","",L84)</f>
        <v>500</v>
      </c>
      <c r="N84" s="8">
        <f t="shared" ref="N84" si="1091">IF(N80="","",M84)</f>
        <v>500</v>
      </c>
      <c r="O84" s="8" t="str">
        <f t="shared" ref="O84" si="1092">IF(O80="","",N84)</f>
        <v/>
      </c>
      <c r="P84" s="8" t="str">
        <f t="shared" ref="P84" si="1093">IF(P80="","",O84)</f>
        <v/>
      </c>
      <c r="Q84" s="8" t="str">
        <f t="shared" ref="Q84" si="1094">IF(Q80="","",P84)</f>
        <v/>
      </c>
      <c r="R84" s="8" t="str">
        <f t="shared" ref="R84" si="1095">IF(R80="","",Q84)</f>
        <v/>
      </c>
      <c r="S84" s="8" t="str">
        <f t="shared" ref="S84" si="1096">IF(S80="","",R84)</f>
        <v/>
      </c>
      <c r="T84" s="8" t="str">
        <f t="shared" ref="T84" si="1097">IF(T80="","",S84)</f>
        <v/>
      </c>
      <c r="U84" s="8" t="str">
        <f t="shared" ref="U84" si="1098">IF(U80="","",T84)</f>
        <v/>
      </c>
      <c r="V84" s="8" t="str">
        <f t="shared" ref="V84" si="1099">IF(V80="","",U84)</f>
        <v/>
      </c>
      <c r="W84" s="8" t="str">
        <f t="shared" ref="W84" si="1100">IF(W80="","",V84)</f>
        <v/>
      </c>
      <c r="X84" s="8" t="str">
        <f t="shared" ref="X84" si="1101">IF(X80="","",W84)</f>
        <v/>
      </c>
      <c r="Y84" s="8" t="str">
        <f t="shared" ref="Y84" si="1102">IF(Y80="","",X84)</f>
        <v/>
      </c>
      <c r="Z84" s="8" t="str">
        <f t="shared" ref="Z84" si="1103">IF(Z80="","",Y84)</f>
        <v/>
      </c>
      <c r="AA84" s="8" t="str">
        <f t="shared" ref="AA84" si="1104">IF(AA80="","",Z84)</f>
        <v/>
      </c>
      <c r="AB84" s="8" t="str">
        <f t="shared" ref="AB84" si="1105">IF(AB80="","",AA84)</f>
        <v/>
      </c>
      <c r="AC84" s="8" t="str">
        <f t="shared" ref="AC84" si="1106">IF(AC80="","",AB84)</f>
        <v/>
      </c>
      <c r="AD84" s="8" t="str">
        <f t="shared" ref="AD84" si="1107">IF(AD80="","",AC84)</f>
        <v/>
      </c>
      <c r="AE84" s="8" t="str">
        <f t="shared" ref="AE84" si="1108">IF(AE80="","",AD84)</f>
        <v/>
      </c>
      <c r="AF84" s="8" t="str">
        <f t="shared" ref="AF84" si="1109">IF(AF80="","",AE84)</f>
        <v/>
      </c>
      <c r="AG84" s="8" t="str">
        <f t="shared" ref="AG84" si="1110">IF(AG80="","",AF84)</f>
        <v/>
      </c>
      <c r="AH84" s="8" t="str">
        <f t="shared" ref="AH84" si="1111">IF(AH80="","",AG84)</f>
        <v/>
      </c>
      <c r="AI84" s="8" t="str">
        <f t="shared" ref="AI84" si="1112">IF(AI80="","",AH84)</f>
        <v/>
      </c>
      <c r="AJ84" s="8" t="str">
        <f t="shared" ref="AJ84" si="1113">IF(AJ80="","",AI84)</f>
        <v/>
      </c>
      <c r="AK84" s="8" t="str">
        <f t="shared" ref="AK84" si="1114">IF(AK80="","",AJ84)</f>
        <v/>
      </c>
      <c r="AL84" s="8" t="str">
        <f t="shared" ref="AL84" si="1115">IF(AL80="","",AK84)</f>
        <v/>
      </c>
      <c r="AM84" s="8" t="str">
        <f t="shared" ref="AM84:AN84" si="1116">IF(AM80="","",AL84)</f>
        <v/>
      </c>
      <c r="AN84" s="8" t="str">
        <f t="shared" si="1116"/>
        <v/>
      </c>
      <c r="AO84" s="8" t="str">
        <f t="shared" ref="AO84:AS84" si="1117">IF(AO80="","",AN84)</f>
        <v/>
      </c>
      <c r="AP84" s="8" t="str">
        <f t="shared" si="1117"/>
        <v/>
      </c>
      <c r="AQ84" s="8" t="str">
        <f t="shared" si="1117"/>
        <v/>
      </c>
      <c r="AR84" s="8" t="str">
        <f t="shared" si="1117"/>
        <v/>
      </c>
      <c r="AS84" s="8" t="str">
        <f t="shared" si="1117"/>
        <v/>
      </c>
    </row>
    <row r="85" spans="1:45" s="85" customFormat="1" ht="11.25" x14ac:dyDescent="0.15">
      <c r="A85" s="14" t="s">
        <v>9</v>
      </c>
      <c r="B85" s="13" t="s">
        <v>10</v>
      </c>
      <c r="C85" s="12" t="s">
        <v>349</v>
      </c>
      <c r="D85" s="12" t="s">
        <v>349</v>
      </c>
      <c r="E85" s="12" t="s">
        <v>349</v>
      </c>
      <c r="F85" s="12" t="s">
        <v>349</v>
      </c>
      <c r="G85" s="12" t="s">
        <v>349</v>
      </c>
      <c r="H85" s="12" t="s">
        <v>349</v>
      </c>
      <c r="I85" s="12" t="s">
        <v>349</v>
      </c>
      <c r="J85" s="12" t="s">
        <v>349</v>
      </c>
      <c r="K85" s="12" t="s">
        <v>349</v>
      </c>
      <c r="L85" s="12" t="str">
        <f>IF(L80="","",K85)</f>
        <v>ファン</v>
      </c>
      <c r="M85" s="12" t="str">
        <f t="shared" ref="M85" si="1118">IF(M80="","",L85)</f>
        <v>ファン</v>
      </c>
      <c r="N85" s="12" t="str">
        <f t="shared" ref="N85" si="1119">IF(N80="","",M85)</f>
        <v>ファン</v>
      </c>
      <c r="O85" s="12" t="str">
        <f t="shared" ref="O85" si="1120">IF(O80="","",N85)</f>
        <v/>
      </c>
      <c r="P85" s="12" t="str">
        <f t="shared" ref="P85" si="1121">IF(P80="","",O85)</f>
        <v/>
      </c>
      <c r="Q85" s="12" t="str">
        <f t="shared" ref="Q85" si="1122">IF(Q80="","",P85)</f>
        <v/>
      </c>
      <c r="R85" s="12" t="str">
        <f t="shared" ref="R85" si="1123">IF(R80="","",Q85)</f>
        <v/>
      </c>
      <c r="S85" s="12" t="str">
        <f t="shared" ref="S85" si="1124">IF(S80="","",R85)</f>
        <v/>
      </c>
      <c r="T85" s="12" t="str">
        <f t="shared" ref="T85" si="1125">IF(T80="","",S85)</f>
        <v/>
      </c>
      <c r="U85" s="12" t="str">
        <f t="shared" ref="U85" si="1126">IF(U80="","",T85)</f>
        <v/>
      </c>
      <c r="V85" s="12" t="str">
        <f t="shared" ref="V85" si="1127">IF(V80="","",U85)</f>
        <v/>
      </c>
      <c r="W85" s="12" t="str">
        <f t="shared" ref="W85" si="1128">IF(W80="","",V85)</f>
        <v/>
      </c>
      <c r="X85" s="12" t="str">
        <f t="shared" ref="X85" si="1129">IF(X80="","",W85)</f>
        <v/>
      </c>
      <c r="Y85" s="12" t="str">
        <f t="shared" ref="Y85" si="1130">IF(Y80="","",X85)</f>
        <v/>
      </c>
      <c r="Z85" s="12" t="str">
        <f t="shared" ref="Z85" si="1131">IF(Z80="","",Y85)</f>
        <v/>
      </c>
      <c r="AA85" s="12" t="str">
        <f t="shared" ref="AA85" si="1132">IF(AA80="","",Z85)</f>
        <v/>
      </c>
      <c r="AB85" s="12" t="str">
        <f t="shared" ref="AB85" si="1133">IF(AB80="","",AA85)</f>
        <v/>
      </c>
      <c r="AC85" s="12" t="str">
        <f t="shared" ref="AC85" si="1134">IF(AC80="","",AB85)</f>
        <v/>
      </c>
      <c r="AD85" s="12" t="str">
        <f t="shared" ref="AD85" si="1135">IF(AD80="","",AC85)</f>
        <v/>
      </c>
      <c r="AE85" s="12" t="str">
        <f t="shared" ref="AE85" si="1136">IF(AE80="","",AD85)</f>
        <v/>
      </c>
      <c r="AF85" s="12" t="str">
        <f t="shared" ref="AF85" si="1137">IF(AF80="","",AE85)</f>
        <v/>
      </c>
      <c r="AG85" s="12" t="str">
        <f>IF(AG80="","",AF85)</f>
        <v/>
      </c>
      <c r="AH85" s="12" t="str">
        <f t="shared" ref="AH85" si="1138">IF(AH80="","",AG85)</f>
        <v/>
      </c>
      <c r="AI85" s="12" t="str">
        <f t="shared" ref="AI85" si="1139">IF(AI80="","",AH85)</f>
        <v/>
      </c>
      <c r="AJ85" s="12" t="str">
        <f t="shared" ref="AJ85" si="1140">IF(AJ80="","",AI85)</f>
        <v/>
      </c>
      <c r="AK85" s="12" t="str">
        <f t="shared" ref="AK85" si="1141">IF(AK80="","",AJ85)</f>
        <v/>
      </c>
      <c r="AL85" s="12" t="str">
        <f t="shared" ref="AL85" si="1142">IF(AL80="","",AK85)</f>
        <v/>
      </c>
      <c r="AM85" s="12" t="str">
        <f t="shared" ref="AM85:AN85" si="1143">IF(AM80="","",AL85)</f>
        <v/>
      </c>
      <c r="AN85" s="12" t="str">
        <f t="shared" si="1143"/>
        <v/>
      </c>
      <c r="AO85" s="12" t="str">
        <f t="shared" ref="AO85:AS85" si="1144">IF(AO80="","",AN85)</f>
        <v/>
      </c>
      <c r="AP85" s="12" t="str">
        <f t="shared" si="1144"/>
        <v/>
      </c>
      <c r="AQ85" s="12" t="str">
        <f t="shared" si="1144"/>
        <v/>
      </c>
      <c r="AR85" s="12" t="str">
        <f t="shared" si="1144"/>
        <v/>
      </c>
      <c r="AS85" s="12" t="str">
        <f t="shared" si="1144"/>
        <v/>
      </c>
    </row>
    <row r="86" spans="1:45" s="84" customFormat="1" ht="11.25" x14ac:dyDescent="0.15">
      <c r="A86" s="7">
        <f>AVERAGE(C87:AS87)*30*100</f>
        <v>22250</v>
      </c>
      <c r="B86" s="9" t="s">
        <v>12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</row>
    <row r="87" spans="1:45" s="84" customFormat="1" ht="11.25" x14ac:dyDescent="0.15">
      <c r="A87" s="7">
        <f>SUM(C87:AS87)</f>
        <v>89</v>
      </c>
      <c r="B87" s="6" t="s">
        <v>13</v>
      </c>
      <c r="C87" s="5">
        <v>0</v>
      </c>
      <c r="D87" s="5">
        <v>0</v>
      </c>
      <c r="E87" s="5">
        <v>0</v>
      </c>
      <c r="F87" s="5">
        <v>0</v>
      </c>
      <c r="G87" s="5">
        <v>48</v>
      </c>
      <c r="H87" s="5">
        <v>0</v>
      </c>
      <c r="I87" s="5">
        <v>0</v>
      </c>
      <c r="J87" s="5">
        <v>0</v>
      </c>
      <c r="K87" s="5">
        <v>10</v>
      </c>
      <c r="L87" s="5">
        <f t="shared" ref="L87:L88" si="1145">IF(L80="","",L80-K80)</f>
        <v>0</v>
      </c>
      <c r="M87" s="5">
        <f t="shared" ref="M87:M88" si="1146">IF(M80="","",M80-L80)</f>
        <v>0</v>
      </c>
      <c r="N87" s="5">
        <f t="shared" ref="N87:N88" si="1147">IF(N80="","",N80-M80)</f>
        <v>31</v>
      </c>
      <c r="O87" s="5" t="str">
        <f t="shared" ref="O87:O88" si="1148">IF(O80="","",O80-N80)</f>
        <v/>
      </c>
      <c r="P87" s="5" t="str">
        <f t="shared" ref="P87:P88" si="1149">IF(P80="","",P80-O80)</f>
        <v/>
      </c>
      <c r="Q87" s="5" t="str">
        <f t="shared" ref="Q87:Q88" si="1150">IF(Q80="","",Q80-P80)</f>
        <v/>
      </c>
      <c r="R87" s="5" t="str">
        <f t="shared" ref="R87:R88" si="1151">IF(R80="","",R80-Q80)</f>
        <v/>
      </c>
      <c r="S87" s="5" t="str">
        <f t="shared" ref="S87:S88" si="1152">IF(S80="","",S80-R80)</f>
        <v/>
      </c>
      <c r="T87" s="5" t="str">
        <f t="shared" ref="T87:T88" si="1153">IF(T80="","",T80-S80)</f>
        <v/>
      </c>
      <c r="U87" s="5" t="str">
        <f t="shared" ref="U87:U88" si="1154">IF(U80="","",U80-T80)</f>
        <v/>
      </c>
      <c r="V87" s="5" t="str">
        <f t="shared" ref="V87:V88" si="1155">IF(V80="","",V80-U80)</f>
        <v/>
      </c>
      <c r="W87" s="5" t="str">
        <f t="shared" ref="W87:W88" si="1156">IF(W80="","",W80-V80)</f>
        <v/>
      </c>
      <c r="X87" s="5" t="str">
        <f t="shared" ref="X87:X88" si="1157">IF(X80="","",X80-W80)</f>
        <v/>
      </c>
      <c r="Y87" s="5" t="str">
        <f t="shared" ref="Y87:Y88" si="1158">IF(Y80="","",Y80-X80)</f>
        <v/>
      </c>
      <c r="Z87" s="5" t="str">
        <f t="shared" ref="Z87:Z88" si="1159">IF(Z80="","",Z80-Y80)</f>
        <v/>
      </c>
      <c r="AA87" s="5" t="str">
        <f t="shared" ref="AA87:AA88" si="1160">IF(AA80="","",AA80-Z80)</f>
        <v/>
      </c>
      <c r="AB87" s="5" t="str">
        <f t="shared" ref="AB87:AB88" si="1161">IF(AB80="","",AB80-AA80)</f>
        <v/>
      </c>
      <c r="AC87" s="5" t="str">
        <f t="shared" ref="AC87:AC88" si="1162">IF(AC80="","",AC80-AB80)</f>
        <v/>
      </c>
      <c r="AD87" s="5" t="str">
        <f t="shared" ref="AD87:AD88" si="1163">IF(AD80="","",AD80-AC80)</f>
        <v/>
      </c>
      <c r="AE87" s="5" t="str">
        <f t="shared" ref="AE87:AE88" si="1164">IF(AE80="","",AE80-AD80)</f>
        <v/>
      </c>
      <c r="AF87" s="5" t="str">
        <f t="shared" ref="AF87:AF88" si="1165">IF(AF80="","",AF80-AE80)</f>
        <v/>
      </c>
      <c r="AG87" s="5" t="str">
        <f t="shared" ref="AG87:AG88" si="1166">IF(AG80="","",AG80-AF80)</f>
        <v/>
      </c>
      <c r="AH87" s="5" t="str">
        <f t="shared" ref="AH87:AH88" si="1167">IF(AH80="","",AH80-AG80)</f>
        <v/>
      </c>
      <c r="AI87" s="5" t="str">
        <f t="shared" ref="AI87:AI88" si="1168">IF(AI80="","",AI80-AH80)</f>
        <v/>
      </c>
      <c r="AJ87" s="5" t="str">
        <f t="shared" ref="AJ87:AJ88" si="1169">IF(AJ80="","",AJ80-AI80)</f>
        <v/>
      </c>
      <c r="AK87" s="5" t="str">
        <f t="shared" ref="AK87:AK88" si="1170">IF(AK80="","",AK80-AJ80)</f>
        <v/>
      </c>
      <c r="AL87" s="5" t="str">
        <f t="shared" ref="AL87:AL88" si="1171">IF(AL80="","",AL80-AK80)</f>
        <v/>
      </c>
      <c r="AM87" s="5" t="str">
        <f t="shared" ref="AM87:AN87" si="1172">IF(AM80="","",AM80-AL80)</f>
        <v/>
      </c>
      <c r="AN87" s="5" t="str">
        <f t="shared" si="1172"/>
        <v/>
      </c>
      <c r="AO87" s="5" t="str">
        <f t="shared" ref="AO87:AS87" si="1173">IF(AO80="","",AO80-AN80)</f>
        <v/>
      </c>
      <c r="AP87" s="5" t="str">
        <f t="shared" si="1173"/>
        <v/>
      </c>
      <c r="AQ87" s="5" t="str">
        <f t="shared" si="1173"/>
        <v/>
      </c>
      <c r="AR87" s="5" t="str">
        <f t="shared" si="1173"/>
        <v/>
      </c>
      <c r="AS87" s="5" t="str">
        <f t="shared" si="1173"/>
        <v/>
      </c>
    </row>
    <row r="88" spans="1:45" s="84" customFormat="1" ht="11.25" x14ac:dyDescent="0.15">
      <c r="A88" s="7">
        <f>SUM(C88:AS88)</f>
        <v>0</v>
      </c>
      <c r="B88" s="6" t="s">
        <v>14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f t="shared" si="1145"/>
        <v>0</v>
      </c>
      <c r="M88" s="5">
        <f t="shared" si="1146"/>
        <v>0</v>
      </c>
      <c r="N88" s="5">
        <f t="shared" si="1147"/>
        <v>0</v>
      </c>
      <c r="O88" s="5" t="str">
        <f t="shared" si="1148"/>
        <v/>
      </c>
      <c r="P88" s="5" t="str">
        <f t="shared" si="1149"/>
        <v/>
      </c>
      <c r="Q88" s="5" t="str">
        <f t="shared" si="1150"/>
        <v/>
      </c>
      <c r="R88" s="5" t="str">
        <f t="shared" si="1151"/>
        <v/>
      </c>
      <c r="S88" s="5" t="str">
        <f t="shared" si="1152"/>
        <v/>
      </c>
      <c r="T88" s="5" t="str">
        <f t="shared" si="1153"/>
        <v/>
      </c>
      <c r="U88" s="5" t="str">
        <f t="shared" si="1154"/>
        <v/>
      </c>
      <c r="V88" s="5" t="str">
        <f t="shared" si="1155"/>
        <v/>
      </c>
      <c r="W88" s="5" t="str">
        <f t="shared" si="1156"/>
        <v/>
      </c>
      <c r="X88" s="5" t="str">
        <f t="shared" si="1157"/>
        <v/>
      </c>
      <c r="Y88" s="5" t="str">
        <f t="shared" si="1158"/>
        <v/>
      </c>
      <c r="Z88" s="5" t="str">
        <f t="shared" si="1159"/>
        <v/>
      </c>
      <c r="AA88" s="5" t="str">
        <f t="shared" si="1160"/>
        <v/>
      </c>
      <c r="AB88" s="5" t="str">
        <f t="shared" si="1161"/>
        <v/>
      </c>
      <c r="AC88" s="5" t="str">
        <f t="shared" si="1162"/>
        <v/>
      </c>
      <c r="AD88" s="5" t="str">
        <f t="shared" si="1163"/>
        <v/>
      </c>
      <c r="AE88" s="5" t="str">
        <f t="shared" si="1164"/>
        <v/>
      </c>
      <c r="AF88" s="5" t="str">
        <f t="shared" si="1165"/>
        <v/>
      </c>
      <c r="AG88" s="5" t="str">
        <f t="shared" si="1166"/>
        <v/>
      </c>
      <c r="AH88" s="5" t="str">
        <f t="shared" si="1167"/>
        <v/>
      </c>
      <c r="AI88" s="5" t="str">
        <f t="shared" si="1168"/>
        <v/>
      </c>
      <c r="AJ88" s="5" t="str">
        <f t="shared" si="1169"/>
        <v/>
      </c>
      <c r="AK88" s="5" t="str">
        <f t="shared" si="1170"/>
        <v/>
      </c>
      <c r="AL88" s="5" t="str">
        <f t="shared" si="1171"/>
        <v/>
      </c>
      <c r="AM88" s="5" t="str">
        <f t="shared" ref="AM88:AN88" si="1174">IF(AM81="","",AM81-AL81)</f>
        <v/>
      </c>
      <c r="AN88" s="5" t="str">
        <f t="shared" si="1174"/>
        <v/>
      </c>
      <c r="AO88" s="5" t="str">
        <f t="shared" ref="AO88:AS88" si="1175">IF(AO81="","",AO81-AN81)</f>
        <v/>
      </c>
      <c r="AP88" s="5" t="str">
        <f t="shared" si="1175"/>
        <v/>
      </c>
      <c r="AQ88" s="5" t="str">
        <f t="shared" si="1175"/>
        <v/>
      </c>
      <c r="AR88" s="5" t="str">
        <f t="shared" si="1175"/>
        <v/>
      </c>
      <c r="AS88" s="5" t="str">
        <f t="shared" si="1175"/>
        <v/>
      </c>
    </row>
    <row r="89" spans="1:45" s="84" customFormat="1" ht="11.25" x14ac:dyDescent="0.15">
      <c r="A89" s="7">
        <f>SUM(C89:AS89)</f>
        <v>0</v>
      </c>
      <c r="B89" s="6" t="s">
        <v>15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f t="shared" ref="L89" si="1176">IF(L82="","",K82+K83-L82)</f>
        <v>0</v>
      </c>
      <c r="M89" s="5">
        <f t="shared" ref="M89" si="1177">IF(M82="","",L82+L83-M82)</f>
        <v>0</v>
      </c>
      <c r="N89" s="5">
        <f t="shared" ref="N89" si="1178">IF(N82="","",M82+M83-N82)</f>
        <v>0</v>
      </c>
      <c r="O89" s="5" t="str">
        <f t="shared" ref="O89" si="1179">IF(O82="","",N82+N83-O82)</f>
        <v/>
      </c>
      <c r="P89" s="5" t="str">
        <f t="shared" ref="P89" si="1180">IF(P82="","",O82+O83-P82)</f>
        <v/>
      </c>
      <c r="Q89" s="5" t="str">
        <f t="shared" ref="Q89" si="1181">IF(Q82="","",P82+P83-Q82)</f>
        <v/>
      </c>
      <c r="R89" s="5" t="str">
        <f t="shared" ref="R89" si="1182">IF(R82="","",Q82+Q83-R82)</f>
        <v/>
      </c>
      <c r="S89" s="5" t="str">
        <f t="shared" ref="S89" si="1183">IF(S82="","",R82+R83-S82)</f>
        <v/>
      </c>
      <c r="T89" s="5" t="str">
        <f t="shared" ref="T89" si="1184">IF(T82="","",S82+S83-T82)</f>
        <v/>
      </c>
      <c r="U89" s="5" t="str">
        <f t="shared" ref="U89" si="1185">IF(U82="","",T82+T83-U82)</f>
        <v/>
      </c>
      <c r="V89" s="5" t="str">
        <f t="shared" ref="V89" si="1186">IF(V82="","",U82+U83-V82)</f>
        <v/>
      </c>
      <c r="W89" s="5" t="str">
        <f t="shared" ref="W89" si="1187">IF(W82="","",V82+V83-W82)</f>
        <v/>
      </c>
      <c r="X89" s="5" t="str">
        <f t="shared" ref="X89" si="1188">IF(X82="","",W82+W83-X82)</f>
        <v/>
      </c>
      <c r="Y89" s="5" t="str">
        <f t="shared" ref="Y89" si="1189">IF(Y82="","",X82+X83-Y82)</f>
        <v/>
      </c>
      <c r="Z89" s="5" t="str">
        <f t="shared" ref="Z89" si="1190">IF(Z82="","",Y82+Y83-Z82)</f>
        <v/>
      </c>
      <c r="AA89" s="5" t="str">
        <f t="shared" ref="AA89" si="1191">IF(AA82="","",Z82+Z83-AA82)</f>
        <v/>
      </c>
      <c r="AB89" s="5" t="str">
        <f t="shared" ref="AB89" si="1192">IF(AB82="","",AA82+AA83-AB82)</f>
        <v/>
      </c>
      <c r="AC89" s="5" t="str">
        <f t="shared" ref="AC89" si="1193">IF(AC82="","",AB82+AB83-AC82)</f>
        <v/>
      </c>
      <c r="AD89" s="5" t="str">
        <f t="shared" ref="AD89" si="1194">IF(AD82="","",AC82+AC83-AD82)</f>
        <v/>
      </c>
      <c r="AE89" s="5" t="str">
        <f t="shared" ref="AE89" si="1195">IF(AE82="","",AD82+AD83-AE82)</f>
        <v/>
      </c>
      <c r="AF89" s="5" t="str">
        <f t="shared" ref="AF89" si="1196">IF(AF82="","",AE82+AE83-AF82)</f>
        <v/>
      </c>
      <c r="AG89" s="5" t="str">
        <f t="shared" ref="AG89" si="1197">IF(AG82="","",AF82+AF83-AG82)</f>
        <v/>
      </c>
      <c r="AH89" s="5" t="str">
        <f t="shared" ref="AH89" si="1198">IF(AH82="","",AG82+AG83-AH82)</f>
        <v/>
      </c>
      <c r="AI89" s="5" t="str">
        <f t="shared" ref="AI89" si="1199">IF(AI82="","",AH82+AH83-AI82)</f>
        <v/>
      </c>
      <c r="AJ89" s="5" t="str">
        <f t="shared" ref="AJ89" si="1200">IF(AJ82="","",AI82+AI83-AJ82)</f>
        <v/>
      </c>
      <c r="AK89" s="5" t="str">
        <f t="shared" ref="AK89" si="1201">IF(AK82="","",AJ82+AJ83-AK82)</f>
        <v/>
      </c>
      <c r="AL89" s="5" t="str">
        <f t="shared" ref="AL89" si="1202">IF(AL82="","",AK82+AK83-AL82)</f>
        <v/>
      </c>
      <c r="AM89" s="5" t="str">
        <f t="shared" ref="AM89:AN89" si="1203">IF(AM82="","",AL82+AL83-AM82)</f>
        <v/>
      </c>
      <c r="AN89" s="5" t="str">
        <f t="shared" si="1203"/>
        <v/>
      </c>
      <c r="AO89" s="5" t="str">
        <f t="shared" ref="AO89:AS89" si="1204">IF(AO82="","",AN82+AN83-AO82)</f>
        <v/>
      </c>
      <c r="AP89" s="5" t="str">
        <f t="shared" si="1204"/>
        <v/>
      </c>
      <c r="AQ89" s="5" t="str">
        <f t="shared" si="1204"/>
        <v/>
      </c>
      <c r="AR89" s="5" t="str">
        <f t="shared" si="1204"/>
        <v/>
      </c>
      <c r="AS89" s="5" t="str">
        <f t="shared" si="1204"/>
        <v/>
      </c>
    </row>
    <row r="90" spans="1:45" s="84" customFormat="1" ht="11.25" x14ac:dyDescent="0.15">
      <c r="A90" s="7">
        <f>SUM(C90:AS90)</f>
        <v>0</v>
      </c>
      <c r="B90" s="6" t="s">
        <v>16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f t="shared" ref="J90:AL90" si="1205">IF(L80="","",L89*L84)</f>
        <v>0</v>
      </c>
      <c r="M90" s="5">
        <f t="shared" si="1205"/>
        <v>0</v>
      </c>
      <c r="N90" s="5">
        <f t="shared" si="1205"/>
        <v>0</v>
      </c>
      <c r="O90" s="5" t="str">
        <f t="shared" si="1205"/>
        <v/>
      </c>
      <c r="P90" s="5" t="str">
        <f t="shared" si="1205"/>
        <v/>
      </c>
      <c r="Q90" s="5" t="str">
        <f t="shared" si="1205"/>
        <v/>
      </c>
      <c r="R90" s="5" t="str">
        <f t="shared" si="1205"/>
        <v/>
      </c>
      <c r="S90" s="5" t="str">
        <f t="shared" si="1205"/>
        <v/>
      </c>
      <c r="T90" s="5" t="str">
        <f t="shared" si="1205"/>
        <v/>
      </c>
      <c r="U90" s="5" t="str">
        <f t="shared" si="1205"/>
        <v/>
      </c>
      <c r="V90" s="5" t="str">
        <f t="shared" si="1205"/>
        <v/>
      </c>
      <c r="W90" s="5" t="str">
        <f t="shared" si="1205"/>
        <v/>
      </c>
      <c r="X90" s="5" t="str">
        <f t="shared" si="1205"/>
        <v/>
      </c>
      <c r="Y90" s="5" t="str">
        <f t="shared" si="1205"/>
        <v/>
      </c>
      <c r="Z90" s="5" t="str">
        <f t="shared" si="1205"/>
        <v/>
      </c>
      <c r="AA90" s="5" t="str">
        <f t="shared" si="1205"/>
        <v/>
      </c>
      <c r="AB90" s="5" t="str">
        <f t="shared" si="1205"/>
        <v/>
      </c>
      <c r="AC90" s="5" t="str">
        <f t="shared" si="1205"/>
        <v/>
      </c>
      <c r="AD90" s="5" t="str">
        <f t="shared" si="1205"/>
        <v/>
      </c>
      <c r="AE90" s="5" t="str">
        <f t="shared" si="1205"/>
        <v/>
      </c>
      <c r="AF90" s="5" t="str">
        <f t="shared" si="1205"/>
        <v/>
      </c>
      <c r="AG90" s="5" t="str">
        <f t="shared" si="1205"/>
        <v/>
      </c>
      <c r="AH90" s="5" t="str">
        <f t="shared" si="1205"/>
        <v/>
      </c>
      <c r="AI90" s="5" t="str">
        <f t="shared" si="1205"/>
        <v/>
      </c>
      <c r="AJ90" s="5" t="str">
        <f t="shared" si="1205"/>
        <v/>
      </c>
      <c r="AK90" s="5" t="str">
        <f t="shared" si="1205"/>
        <v/>
      </c>
      <c r="AL90" s="5" t="str">
        <f t="shared" si="1205"/>
        <v/>
      </c>
      <c r="AM90" s="5" t="str">
        <f t="shared" ref="AM90:AN90" si="1206">IF(AM80="","",AM89*AM84)</f>
        <v/>
      </c>
      <c r="AN90" s="5" t="str">
        <f t="shared" si="1206"/>
        <v/>
      </c>
      <c r="AO90" s="5" t="str">
        <f t="shared" ref="AO90:AS90" si="1207">IF(AO80="","",AO89*AO84)</f>
        <v/>
      </c>
      <c r="AP90" s="5" t="str">
        <f t="shared" si="1207"/>
        <v/>
      </c>
      <c r="AQ90" s="5" t="str">
        <f t="shared" si="1207"/>
        <v/>
      </c>
      <c r="AR90" s="5" t="str">
        <f t="shared" si="1207"/>
        <v/>
      </c>
      <c r="AS90" s="5" t="str">
        <f t="shared" si="1207"/>
        <v/>
      </c>
    </row>
    <row r="91" spans="1:45" s="84" customFormat="1" ht="12" thickBot="1" x14ac:dyDescent="0.2">
      <c r="A91" s="4">
        <f>IF(A90="","",A90/(A87*100))</f>
        <v>0</v>
      </c>
      <c r="B91" s="6" t="s">
        <v>18</v>
      </c>
      <c r="C91" s="18" t="s">
        <v>19</v>
      </c>
      <c r="D91" s="18" t="s">
        <v>19</v>
      </c>
      <c r="E91" s="18" t="s">
        <v>19</v>
      </c>
      <c r="F91" s="18" t="s">
        <v>19</v>
      </c>
      <c r="G91" s="18" t="s">
        <v>19</v>
      </c>
      <c r="H91" s="18" t="s">
        <v>19</v>
      </c>
      <c r="I91" s="18" t="s">
        <v>19</v>
      </c>
      <c r="J91" s="18" t="s">
        <v>19</v>
      </c>
      <c r="K91" s="18" t="s">
        <v>19</v>
      </c>
      <c r="L91" s="18" t="str">
        <f t="shared" ref="J91:AL91" si="1208">IF(L90="","",IF(L90=0,"",L90/(L87*100)))</f>
        <v/>
      </c>
      <c r="M91" s="18" t="str">
        <f t="shared" si="1208"/>
        <v/>
      </c>
      <c r="N91" s="18" t="str">
        <f t="shared" si="1208"/>
        <v/>
      </c>
      <c r="O91" s="18" t="str">
        <f t="shared" si="1208"/>
        <v/>
      </c>
      <c r="P91" s="18" t="str">
        <f t="shared" si="1208"/>
        <v/>
      </c>
      <c r="Q91" s="18" t="str">
        <f t="shared" si="1208"/>
        <v/>
      </c>
      <c r="R91" s="18" t="str">
        <f t="shared" si="1208"/>
        <v/>
      </c>
      <c r="S91" s="18" t="str">
        <f t="shared" si="1208"/>
        <v/>
      </c>
      <c r="T91" s="18" t="str">
        <f t="shared" si="1208"/>
        <v/>
      </c>
      <c r="U91" s="18" t="str">
        <f t="shared" si="1208"/>
        <v/>
      </c>
      <c r="V91" s="18" t="str">
        <f t="shared" si="1208"/>
        <v/>
      </c>
      <c r="W91" s="18" t="str">
        <f t="shared" si="1208"/>
        <v/>
      </c>
      <c r="X91" s="18" t="str">
        <f t="shared" si="1208"/>
        <v/>
      </c>
      <c r="Y91" s="18" t="str">
        <f t="shared" si="1208"/>
        <v/>
      </c>
      <c r="Z91" s="18" t="str">
        <f t="shared" si="1208"/>
        <v/>
      </c>
      <c r="AA91" s="18" t="str">
        <f t="shared" si="1208"/>
        <v/>
      </c>
      <c r="AB91" s="18" t="str">
        <f t="shared" si="1208"/>
        <v/>
      </c>
      <c r="AC91" s="18" t="str">
        <f t="shared" si="1208"/>
        <v/>
      </c>
      <c r="AD91" s="18" t="str">
        <f t="shared" si="1208"/>
        <v/>
      </c>
      <c r="AE91" s="18" t="str">
        <f t="shared" si="1208"/>
        <v/>
      </c>
      <c r="AF91" s="18" t="str">
        <f t="shared" si="1208"/>
        <v/>
      </c>
      <c r="AG91" s="18" t="str">
        <f t="shared" si="1208"/>
        <v/>
      </c>
      <c r="AH91" s="18" t="str">
        <f t="shared" si="1208"/>
        <v/>
      </c>
      <c r="AI91" s="18" t="str">
        <f t="shared" si="1208"/>
        <v/>
      </c>
      <c r="AJ91" s="18" t="str">
        <f t="shared" si="1208"/>
        <v/>
      </c>
      <c r="AK91" s="18" t="str">
        <f t="shared" si="1208"/>
        <v/>
      </c>
      <c r="AL91" s="18" t="str">
        <f t="shared" si="1208"/>
        <v/>
      </c>
      <c r="AM91" s="18" t="str">
        <f t="shared" ref="AM91:AN91" si="1209">IF(AM90="","",IF(AM90=0,"",AM90/(AM87*100)))</f>
        <v/>
      </c>
      <c r="AN91" s="18" t="str">
        <f t="shared" si="1209"/>
        <v/>
      </c>
      <c r="AO91" s="18" t="str">
        <f t="shared" ref="AO91:AS91" si="1210">IF(AO90="","",IF(AO90=0,"",AO90/(AO87*100)))</f>
        <v/>
      </c>
      <c r="AP91" s="18" t="str">
        <f t="shared" si="1210"/>
        <v/>
      </c>
      <c r="AQ91" s="18" t="str">
        <f t="shared" si="1210"/>
        <v/>
      </c>
      <c r="AR91" s="18" t="str">
        <f t="shared" si="1210"/>
        <v/>
      </c>
      <c r="AS91" s="18" t="str">
        <f t="shared" si="1210"/>
        <v/>
      </c>
    </row>
    <row r="92" spans="1:45" s="84" customFormat="1" ht="11.25" x14ac:dyDescent="0.15">
      <c r="A92" s="17" t="s">
        <v>94</v>
      </c>
      <c r="B92" s="9" t="s">
        <v>2</v>
      </c>
      <c r="C92" s="8">
        <v>1064</v>
      </c>
      <c r="D92" s="8">
        <v>1064</v>
      </c>
      <c r="E92" s="8">
        <v>1064</v>
      </c>
      <c r="F92" s="8">
        <v>1064</v>
      </c>
      <c r="G92" s="8">
        <v>1117</v>
      </c>
      <c r="H92" s="8">
        <v>1117</v>
      </c>
      <c r="I92" s="8">
        <v>1117</v>
      </c>
      <c r="J92" s="8">
        <v>1117</v>
      </c>
      <c r="K92" s="8">
        <v>1141</v>
      </c>
      <c r="L92" s="8">
        <f>IF(L$8="","",K92)</f>
        <v>1141</v>
      </c>
      <c r="M92" s="8">
        <f t="shared" ref="M92:M93" si="1211">IF(M$8="","",L92)</f>
        <v>1141</v>
      </c>
      <c r="N92" s="8">
        <v>1147</v>
      </c>
      <c r="O92" s="8" t="str">
        <f>IF(O$8="","",N92)</f>
        <v/>
      </c>
      <c r="P92" s="8" t="str">
        <f>IF(P$8="","",O92)</f>
        <v/>
      </c>
      <c r="Q92" s="8" t="str">
        <f t="shared" ref="Q92:Q93" si="1212">IF(Q$8="","",P92)</f>
        <v/>
      </c>
      <c r="R92" s="8" t="str">
        <f t="shared" ref="R92:R93" si="1213">IF(R$8="","",Q92)</f>
        <v/>
      </c>
      <c r="S92" s="8" t="str">
        <f>IF(S$8="","",R92)</f>
        <v/>
      </c>
      <c r="T92" s="8" t="str">
        <f t="shared" ref="T92:T93" si="1214">IF(T$8="","",S92)</f>
        <v/>
      </c>
      <c r="U92" s="8" t="str">
        <f t="shared" ref="U92:U93" si="1215">IF(U$8="","",T92)</f>
        <v/>
      </c>
      <c r="V92" s="8" t="str">
        <f>IF(V$8="","",U92)</f>
        <v/>
      </c>
      <c r="W92" s="8" t="str">
        <f t="shared" ref="W92:W93" si="1216">IF(W$8="","",V92)</f>
        <v/>
      </c>
      <c r="X92" s="8" t="str">
        <f t="shared" ref="X92:X93" si="1217">IF(X$8="","",W92)</f>
        <v/>
      </c>
      <c r="Y92" s="8" t="str">
        <f t="shared" ref="Y92:Y93" si="1218">IF(Y$8="","",X92)</f>
        <v/>
      </c>
      <c r="Z92" s="8" t="str">
        <f>IF(Z$8="","",Y92)</f>
        <v/>
      </c>
      <c r="AA92" s="8" t="str">
        <f t="shared" ref="AA92:AA93" si="1219">IF(AA$8="","",Z92)</f>
        <v/>
      </c>
      <c r="AB92" s="8" t="str">
        <f t="shared" ref="AB92:AB93" si="1220">IF(AB$8="","",AA92)</f>
        <v/>
      </c>
      <c r="AC92" s="8" t="str">
        <f t="shared" ref="AC92:AC93" si="1221">IF(AC$8="","",AB92)</f>
        <v/>
      </c>
      <c r="AD92" s="8" t="str">
        <f>IF(AD$8="","",AC92)</f>
        <v/>
      </c>
      <c r="AE92" s="8" t="str">
        <f>IF(AE$8="","",AD92)</f>
        <v/>
      </c>
      <c r="AF92" s="8" t="str">
        <f t="shared" ref="AF92:AF93" si="1222">IF(AF$8="","",AE92)</f>
        <v/>
      </c>
      <c r="AG92" s="8" t="str">
        <f>IF(AG$8="","",AF92)</f>
        <v/>
      </c>
      <c r="AH92" s="8" t="str">
        <f t="shared" ref="AH92:AH93" si="1223">IF(AH$8="","",AG92)</f>
        <v/>
      </c>
      <c r="AI92" s="8" t="str">
        <f t="shared" ref="AI92:AI93" si="1224">IF(AI$8="","",AH92)</f>
        <v/>
      </c>
      <c r="AJ92" s="8" t="str">
        <f>IF(AJ$8="","",AI92)</f>
        <v/>
      </c>
      <c r="AK92" s="8" t="str">
        <f t="shared" ref="AK92:AK93" si="1225">IF(AK$8="","",AJ92)</f>
        <v/>
      </c>
      <c r="AL92" s="8" t="str">
        <f t="shared" ref="AL92:AL93" si="1226">IF(AL$8="","",AK92)</f>
        <v/>
      </c>
      <c r="AM92" s="8" t="str">
        <f t="shared" ref="AM92:AN92" si="1227">IF(AM$8="","",AL92)</f>
        <v/>
      </c>
      <c r="AN92" s="8" t="str">
        <f>IF(AN$8="","",AM92)</f>
        <v/>
      </c>
      <c r="AO92" s="8" t="str">
        <f t="shared" ref="AO92:AS92" si="1228">IF(AO$8="","",AN92)</f>
        <v/>
      </c>
      <c r="AP92" s="8" t="str">
        <f t="shared" si="1228"/>
        <v/>
      </c>
      <c r="AQ92" s="8" t="str">
        <f t="shared" si="1228"/>
        <v/>
      </c>
      <c r="AR92" s="8" t="str">
        <f t="shared" si="1228"/>
        <v/>
      </c>
      <c r="AS92" s="8" t="str">
        <f t="shared" si="1228"/>
        <v/>
      </c>
    </row>
    <row r="93" spans="1:45" s="84" customFormat="1" ht="11.25" x14ac:dyDescent="0.15">
      <c r="A93" s="16" t="str">
        <f>A81</f>
        <v>BUZZ＃2</v>
      </c>
      <c r="B93" s="9" t="s">
        <v>4</v>
      </c>
      <c r="C93" s="8">
        <v>30</v>
      </c>
      <c r="D93" s="8">
        <v>30</v>
      </c>
      <c r="E93" s="8">
        <v>30</v>
      </c>
      <c r="F93" s="8">
        <v>30</v>
      </c>
      <c r="G93" s="8">
        <v>30</v>
      </c>
      <c r="H93" s="8">
        <v>30</v>
      </c>
      <c r="I93" s="8">
        <v>30</v>
      </c>
      <c r="J93" s="8">
        <v>30</v>
      </c>
      <c r="K93" s="8">
        <v>30</v>
      </c>
      <c r="L93" s="8">
        <f t="shared" ref="L93" si="1229">IF(L$8="","",K93)</f>
        <v>30</v>
      </c>
      <c r="M93" s="8">
        <f t="shared" si="1211"/>
        <v>30</v>
      </c>
      <c r="N93" s="8">
        <v>31</v>
      </c>
      <c r="O93" s="8" t="str">
        <f t="shared" ref="O93" si="1230">IF(O$8="","",N93)</f>
        <v/>
      </c>
      <c r="P93" s="8" t="str">
        <f>IF(P$8="","",O93)</f>
        <v/>
      </c>
      <c r="Q93" s="8" t="str">
        <f t="shared" si="1212"/>
        <v/>
      </c>
      <c r="R93" s="8" t="str">
        <f t="shared" si="1213"/>
        <v/>
      </c>
      <c r="S93" s="8" t="str">
        <f>IF(S$8="","",R93)</f>
        <v/>
      </c>
      <c r="T93" s="8" t="str">
        <f t="shared" si="1214"/>
        <v/>
      </c>
      <c r="U93" s="8" t="str">
        <f t="shared" si="1215"/>
        <v/>
      </c>
      <c r="V93" s="8" t="str">
        <f>IF(V$8="","",U93)</f>
        <v/>
      </c>
      <c r="W93" s="8" t="str">
        <f t="shared" si="1216"/>
        <v/>
      </c>
      <c r="X93" s="8" t="str">
        <f t="shared" si="1217"/>
        <v/>
      </c>
      <c r="Y93" s="8" t="str">
        <f t="shared" si="1218"/>
        <v/>
      </c>
      <c r="Z93" s="8" t="str">
        <f t="shared" ref="Z93" si="1231">IF(Z$8="","",Y93)</f>
        <v/>
      </c>
      <c r="AA93" s="8" t="str">
        <f t="shared" si="1219"/>
        <v/>
      </c>
      <c r="AB93" s="8" t="str">
        <f t="shared" si="1220"/>
        <v/>
      </c>
      <c r="AC93" s="8" t="str">
        <f t="shared" si="1221"/>
        <v/>
      </c>
      <c r="AD93" s="8" t="str">
        <f>IF(AD$8="","",AC93)</f>
        <v/>
      </c>
      <c r="AE93" s="8" t="str">
        <f>IF(AE$8="","",AD93)</f>
        <v/>
      </c>
      <c r="AF93" s="8" t="str">
        <f t="shared" si="1222"/>
        <v/>
      </c>
      <c r="AG93" s="8" t="str">
        <f>IF(AG$8="","",AF93)</f>
        <v/>
      </c>
      <c r="AH93" s="8" t="str">
        <f t="shared" si="1223"/>
        <v/>
      </c>
      <c r="AI93" s="8" t="str">
        <f t="shared" si="1224"/>
        <v/>
      </c>
      <c r="AJ93" s="8" t="str">
        <f t="shared" ref="AJ92:AJ93" si="1232">IF(AJ$8="","",AI93)</f>
        <v/>
      </c>
      <c r="AK93" s="8" t="str">
        <f t="shared" si="1225"/>
        <v/>
      </c>
      <c r="AL93" s="8" t="str">
        <f t="shared" si="1226"/>
        <v/>
      </c>
      <c r="AM93" s="8" t="str">
        <f t="shared" ref="AM93:AN93" si="1233">IF(AM$8="","",AL93)</f>
        <v/>
      </c>
      <c r="AN93" s="8" t="str">
        <f t="shared" si="1233"/>
        <v/>
      </c>
      <c r="AO93" s="8" t="str">
        <f>IF(AO$8="","",AN93)</f>
        <v/>
      </c>
      <c r="AP93" s="8" t="str">
        <f>IF(天文館!AP$8="","",AO93)</f>
        <v/>
      </c>
      <c r="AQ93" s="8" t="str">
        <f>IF(天文館!AQ$8="","",AP93)</f>
        <v/>
      </c>
      <c r="AR93" s="8" t="str">
        <f>IF(天文館!AR$8="","",AQ93)</f>
        <v/>
      </c>
      <c r="AS93" s="8" t="str">
        <f>IF(天文館!AS$8="","",AR93)</f>
        <v/>
      </c>
    </row>
    <row r="94" spans="1:45" s="84" customFormat="1" ht="11.25" x14ac:dyDescent="0.15">
      <c r="A94" s="15">
        <v>4</v>
      </c>
      <c r="B94" s="9" t="s">
        <v>5</v>
      </c>
      <c r="C94" s="8">
        <v>3</v>
      </c>
      <c r="D94" s="8">
        <v>3</v>
      </c>
      <c r="E94" s="8">
        <v>3</v>
      </c>
      <c r="F94" s="8">
        <v>3</v>
      </c>
      <c r="G94" s="8">
        <v>3</v>
      </c>
      <c r="H94" s="8">
        <v>5</v>
      </c>
      <c r="I94" s="8">
        <v>5</v>
      </c>
      <c r="J94" s="8">
        <v>5</v>
      </c>
      <c r="K94" s="8">
        <v>5</v>
      </c>
      <c r="L94" s="8">
        <f t="shared" ref="L94" si="1234">IF(L92="","",(K94+K95))</f>
        <v>5</v>
      </c>
      <c r="M94" s="8">
        <f t="shared" ref="M94" si="1235">IF(M92="","",(L94+L95))</f>
        <v>5</v>
      </c>
      <c r="N94" s="8">
        <v>4</v>
      </c>
      <c r="O94" s="8" t="str">
        <f t="shared" ref="O94" si="1236">IF(O92="","",(N94+N95))</f>
        <v/>
      </c>
      <c r="P94" s="8" t="str">
        <f>IF(P92="","",(O94+O95))</f>
        <v/>
      </c>
      <c r="Q94" s="8" t="str">
        <f t="shared" ref="Q94" si="1237">IF(Q92="","",(P94+P95))</f>
        <v/>
      </c>
      <c r="R94" s="8" t="str">
        <f t="shared" ref="R94" si="1238">IF(R92="","",(Q94+Q95))</f>
        <v/>
      </c>
      <c r="S94" s="8" t="str">
        <f>IF(S92="","",(R94+R95))</f>
        <v/>
      </c>
      <c r="T94" s="8" t="str">
        <f t="shared" ref="T94" si="1239">IF(T92="","",(S94+S95))</f>
        <v/>
      </c>
      <c r="U94" s="8" t="str">
        <f t="shared" ref="U94" si="1240">IF(U92="","",(T94+T95))</f>
        <v/>
      </c>
      <c r="V94" s="8" t="str">
        <f t="shared" ref="V94" si="1241">IF(V92="","",(U94+U95))</f>
        <v/>
      </c>
      <c r="W94" s="8" t="str">
        <f t="shared" ref="W94" si="1242">IF(W92="","",(V94+V95))</f>
        <v/>
      </c>
      <c r="X94" s="8" t="str">
        <f t="shared" ref="X94" si="1243">IF(X92="","",(W94+W95))</f>
        <v/>
      </c>
      <c r="Y94" s="8" t="str">
        <f t="shared" ref="Y94" si="1244">IF(Y92="","",(X94+X95))</f>
        <v/>
      </c>
      <c r="Z94" s="8" t="str">
        <f t="shared" ref="Z94" si="1245">IF(Z92="","",(Y94+Y95))</f>
        <v/>
      </c>
      <c r="AA94" s="8" t="str">
        <f t="shared" ref="AA94" si="1246">IF(AA92="","",(Z94+Z95))</f>
        <v/>
      </c>
      <c r="AB94" s="8" t="str">
        <f t="shared" ref="AB94" si="1247">IF(AB92="","",(AA94+AA95))</f>
        <v/>
      </c>
      <c r="AC94" s="8" t="str">
        <f t="shared" ref="AC94" si="1248">IF(AC92="","",(AB94+AB95))</f>
        <v/>
      </c>
      <c r="AD94" s="8" t="str">
        <f>IF(AD92="","",(AC94+AC95))</f>
        <v/>
      </c>
      <c r="AE94" s="8" t="str">
        <f>IF(AE92="","",(AD94+AD95))</f>
        <v/>
      </c>
      <c r="AF94" s="8" t="str">
        <f t="shared" ref="AF94" si="1249">IF(AF92="","",(AE94+AE95))</f>
        <v/>
      </c>
      <c r="AG94" s="8" t="str">
        <f t="shared" ref="AG94" si="1250">IF(AG92="","",(AF94+AF95))</f>
        <v/>
      </c>
      <c r="AH94" s="8" t="str">
        <f t="shared" ref="AH94" si="1251">IF(AH92="","",(AG94+AG95))</f>
        <v/>
      </c>
      <c r="AI94" s="8" t="str">
        <f t="shared" ref="AI94" si="1252">IF(AI92="","",(AH94+AH95))</f>
        <v/>
      </c>
      <c r="AJ94" s="8" t="str">
        <f t="shared" ref="AJ94" si="1253">IF(AJ92="","",(AI94+AI95))</f>
        <v/>
      </c>
      <c r="AK94" s="8" t="str">
        <f t="shared" ref="AK94" si="1254">IF(AK92="","",(AJ94+AJ95))</f>
        <v/>
      </c>
      <c r="AL94" s="8" t="str">
        <f t="shared" ref="AL94" si="1255">IF(AL92="","",(AK94+AK95))</f>
        <v/>
      </c>
      <c r="AM94" s="8" t="str">
        <f t="shared" ref="AM94:AN94" si="1256">IF(AM92="","",(AL94+AL95))</f>
        <v/>
      </c>
      <c r="AN94" s="8" t="str">
        <f t="shared" si="1256"/>
        <v/>
      </c>
      <c r="AO94" s="8" t="str">
        <f t="shared" ref="AO94:AS94" si="1257">IF(AO92="","",(AN94+AN95))</f>
        <v/>
      </c>
      <c r="AP94" s="8" t="str">
        <f t="shared" si="1257"/>
        <v/>
      </c>
      <c r="AQ94" s="8" t="str">
        <f t="shared" si="1257"/>
        <v/>
      </c>
      <c r="AR94" s="8" t="str">
        <f t="shared" si="1257"/>
        <v/>
      </c>
      <c r="AS94" s="8" t="str">
        <f t="shared" si="1257"/>
        <v/>
      </c>
    </row>
    <row r="95" spans="1:45" s="84" customFormat="1" ht="11.25" x14ac:dyDescent="0.15">
      <c r="A95" s="14"/>
      <c r="B95" s="9" t="s">
        <v>7</v>
      </c>
      <c r="C95" s="8"/>
      <c r="D95" s="8"/>
      <c r="E95" s="8"/>
      <c r="F95" s="8"/>
      <c r="G95" s="8">
        <v>2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</row>
    <row r="96" spans="1:45" s="84" customFormat="1" ht="11.25" x14ac:dyDescent="0.15">
      <c r="A96" s="7"/>
      <c r="B96" s="9" t="s">
        <v>8</v>
      </c>
      <c r="C96" s="8">
        <v>500</v>
      </c>
      <c r="D96" s="8">
        <v>500</v>
      </c>
      <c r="E96" s="8">
        <v>500</v>
      </c>
      <c r="F96" s="8">
        <v>500</v>
      </c>
      <c r="G96" s="8">
        <v>500</v>
      </c>
      <c r="H96" s="8">
        <v>500</v>
      </c>
      <c r="I96" s="8">
        <v>500</v>
      </c>
      <c r="J96" s="8">
        <v>500</v>
      </c>
      <c r="K96" s="8">
        <v>500</v>
      </c>
      <c r="L96" s="8">
        <f t="shared" ref="L96" si="1258">IF(L92="","",K96)</f>
        <v>500</v>
      </c>
      <c r="M96" s="8">
        <f t="shared" ref="M96" si="1259">IF(M92="","",L96)</f>
        <v>500</v>
      </c>
      <c r="N96" s="8">
        <f t="shared" ref="N96" si="1260">IF(N92="","",M96)</f>
        <v>500</v>
      </c>
      <c r="O96" s="8" t="str">
        <f t="shared" ref="O96" si="1261">IF(O92="","",N96)</f>
        <v/>
      </c>
      <c r="P96" s="8" t="str">
        <f t="shared" ref="P96" si="1262">IF(P92="","",O96)</f>
        <v/>
      </c>
      <c r="Q96" s="8" t="str">
        <f t="shared" ref="Q96" si="1263">IF(Q92="","",P96)</f>
        <v/>
      </c>
      <c r="R96" s="8" t="str">
        <f t="shared" ref="R96" si="1264">IF(R92="","",Q96)</f>
        <v/>
      </c>
      <c r="S96" s="8" t="str">
        <f t="shared" ref="S96" si="1265">IF(S92="","",R96)</f>
        <v/>
      </c>
      <c r="T96" s="8" t="str">
        <f t="shared" ref="T96" si="1266">IF(T92="","",S96)</f>
        <v/>
      </c>
      <c r="U96" s="8" t="str">
        <f t="shared" ref="U96" si="1267">IF(U92="","",T96)</f>
        <v/>
      </c>
      <c r="V96" s="8" t="str">
        <f t="shared" ref="V96" si="1268">IF(V92="","",U96)</f>
        <v/>
      </c>
      <c r="W96" s="8" t="str">
        <f t="shared" ref="W96" si="1269">IF(W92="","",V96)</f>
        <v/>
      </c>
      <c r="X96" s="8" t="str">
        <f t="shared" ref="X96" si="1270">IF(X92="","",W96)</f>
        <v/>
      </c>
      <c r="Y96" s="8" t="str">
        <f t="shared" ref="Y96" si="1271">IF(Y92="","",X96)</f>
        <v/>
      </c>
      <c r="Z96" s="8" t="str">
        <f t="shared" ref="Z96" si="1272">IF(Z92="","",Y96)</f>
        <v/>
      </c>
      <c r="AA96" s="8" t="str">
        <f t="shared" ref="AA96" si="1273">IF(AA92="","",Z96)</f>
        <v/>
      </c>
      <c r="AB96" s="8" t="str">
        <f t="shared" ref="AB96" si="1274">IF(AB92="","",AA96)</f>
        <v/>
      </c>
      <c r="AC96" s="8" t="str">
        <f t="shared" ref="AC96" si="1275">IF(AC92="","",AB96)</f>
        <v/>
      </c>
      <c r="AD96" s="8" t="str">
        <f t="shared" ref="AD96" si="1276">IF(AD92="","",AC96)</f>
        <v/>
      </c>
      <c r="AE96" s="8" t="str">
        <f t="shared" ref="AE96" si="1277">IF(AE92="","",AD96)</f>
        <v/>
      </c>
      <c r="AF96" s="8" t="str">
        <f t="shared" ref="AF96" si="1278">IF(AF92="","",AE96)</f>
        <v/>
      </c>
      <c r="AG96" s="8" t="str">
        <f t="shared" ref="AG96" si="1279">IF(AG92="","",AF96)</f>
        <v/>
      </c>
      <c r="AH96" s="8" t="str">
        <f t="shared" ref="AH96" si="1280">IF(AH92="","",AG96)</f>
        <v/>
      </c>
      <c r="AI96" s="8" t="str">
        <f t="shared" ref="AI96" si="1281">IF(AI92="","",AH96)</f>
        <v/>
      </c>
      <c r="AJ96" s="8" t="str">
        <f t="shared" ref="AJ96" si="1282">IF(AJ92="","",AI96)</f>
        <v/>
      </c>
      <c r="AK96" s="8" t="str">
        <f t="shared" ref="AK96" si="1283">IF(AK92="","",AJ96)</f>
        <v/>
      </c>
      <c r="AL96" s="8" t="str">
        <f t="shared" ref="AL96" si="1284">IF(AL92="","",AK96)</f>
        <v/>
      </c>
      <c r="AM96" s="8" t="str">
        <f t="shared" ref="AM96:AN96" si="1285">IF(AM92="","",AL96)</f>
        <v/>
      </c>
      <c r="AN96" s="8" t="str">
        <f t="shared" si="1285"/>
        <v/>
      </c>
      <c r="AO96" s="8" t="str">
        <f t="shared" ref="AO96:AS96" si="1286">IF(AO92="","",AN96)</f>
        <v/>
      </c>
      <c r="AP96" s="8" t="str">
        <f t="shared" si="1286"/>
        <v/>
      </c>
      <c r="AQ96" s="8" t="str">
        <f t="shared" si="1286"/>
        <v/>
      </c>
      <c r="AR96" s="8" t="str">
        <f t="shared" si="1286"/>
        <v/>
      </c>
      <c r="AS96" s="8" t="str">
        <f t="shared" si="1286"/>
        <v/>
      </c>
    </row>
    <row r="97" spans="1:45" s="85" customFormat="1" ht="11.25" x14ac:dyDescent="0.15">
      <c r="A97" s="14" t="s">
        <v>9</v>
      </c>
      <c r="B97" s="13" t="s">
        <v>10</v>
      </c>
      <c r="C97" s="12" t="s">
        <v>52</v>
      </c>
      <c r="D97" s="12" t="s">
        <v>52</v>
      </c>
      <c r="E97" s="12" t="s">
        <v>52</v>
      </c>
      <c r="F97" s="12" t="s">
        <v>52</v>
      </c>
      <c r="G97" s="12" t="s">
        <v>52</v>
      </c>
      <c r="H97" s="12" t="s">
        <v>52</v>
      </c>
      <c r="I97" s="12" t="s">
        <v>52</v>
      </c>
      <c r="J97" s="12" t="s">
        <v>52</v>
      </c>
      <c r="K97" s="12" t="s">
        <v>52</v>
      </c>
      <c r="L97" s="12" t="str">
        <f t="shared" ref="L97" si="1287">IF(L92="","",K97)</f>
        <v>ギャルキティフェイスポーチ</v>
      </c>
      <c r="M97" s="12" t="str">
        <f t="shared" ref="M97" si="1288">IF(M92="","",L97)</f>
        <v>ギャルキティフェイスポーチ</v>
      </c>
      <c r="N97" s="12" t="str">
        <f t="shared" ref="N97" si="1289">IF(N92="","",M97)</f>
        <v>ギャルキティフェイスポーチ</v>
      </c>
      <c r="O97" s="12" t="str">
        <f t="shared" ref="O97" si="1290">IF(O92="","",N97)</f>
        <v/>
      </c>
      <c r="P97" s="12" t="str">
        <f t="shared" ref="P97" si="1291">IF(P92="","",O97)</f>
        <v/>
      </c>
      <c r="Q97" s="12" t="str">
        <f t="shared" ref="Q97" si="1292">IF(Q92="","",P97)</f>
        <v/>
      </c>
      <c r="R97" s="12" t="str">
        <f t="shared" ref="R97" si="1293">IF(R92="","",Q97)</f>
        <v/>
      </c>
      <c r="S97" s="12" t="str">
        <f t="shared" ref="S97" si="1294">IF(S92="","",R97)</f>
        <v/>
      </c>
      <c r="T97" s="12" t="str">
        <f t="shared" ref="T97" si="1295">IF(T92="","",S97)</f>
        <v/>
      </c>
      <c r="U97" s="12" t="str">
        <f t="shared" ref="U97" si="1296">IF(U92="","",T97)</f>
        <v/>
      </c>
      <c r="V97" s="12" t="str">
        <f t="shared" ref="V97" si="1297">IF(V92="","",U97)</f>
        <v/>
      </c>
      <c r="W97" s="12" t="str">
        <f t="shared" ref="W97" si="1298">IF(W92="","",V97)</f>
        <v/>
      </c>
      <c r="X97" s="12" t="str">
        <f t="shared" ref="X97" si="1299">IF(X92="","",W97)</f>
        <v/>
      </c>
      <c r="Y97" s="12" t="str">
        <f t="shared" ref="Y97" si="1300">IF(Y92="","",X97)</f>
        <v/>
      </c>
      <c r="Z97" s="12" t="str">
        <f t="shared" ref="Z97" si="1301">IF(Z92="","",Y97)</f>
        <v/>
      </c>
      <c r="AA97" s="12" t="str">
        <f t="shared" ref="AA97" si="1302">IF(AA92="","",Z97)</f>
        <v/>
      </c>
      <c r="AB97" s="12" t="str">
        <f t="shared" ref="AB97" si="1303">IF(AB92="","",AA97)</f>
        <v/>
      </c>
      <c r="AC97" s="12" t="str">
        <f t="shared" ref="AC97" si="1304">IF(AC92="","",AB97)</f>
        <v/>
      </c>
      <c r="AD97" s="12" t="str">
        <f t="shared" ref="AD97" si="1305">IF(AD92="","",AC97)</f>
        <v/>
      </c>
      <c r="AE97" s="12" t="str">
        <f t="shared" ref="AE97" si="1306">IF(AE92="","",AD97)</f>
        <v/>
      </c>
      <c r="AF97" s="12" t="str">
        <f t="shared" ref="AF97" si="1307">IF(AF92="","",AE97)</f>
        <v/>
      </c>
      <c r="AG97" s="12" t="str">
        <f t="shared" ref="AG97" si="1308">IF(AG92="","",AF97)</f>
        <v/>
      </c>
      <c r="AH97" s="12" t="str">
        <f t="shared" ref="AH97" si="1309">IF(AH92="","",AG97)</f>
        <v/>
      </c>
      <c r="AI97" s="12" t="str">
        <f t="shared" ref="AI97" si="1310">IF(AI92="","",AH97)</f>
        <v/>
      </c>
      <c r="AJ97" s="12" t="str">
        <f t="shared" ref="AJ97" si="1311">IF(AJ92="","",AI97)</f>
        <v/>
      </c>
      <c r="AK97" s="12" t="str">
        <f t="shared" ref="AK97" si="1312">IF(AK92="","",AJ97)</f>
        <v/>
      </c>
      <c r="AL97" s="12" t="str">
        <f t="shared" ref="AL97" si="1313">IF(AL92="","",AK97)</f>
        <v/>
      </c>
      <c r="AM97" s="12" t="str">
        <f t="shared" ref="AM97:AN97" si="1314">IF(AM92="","",AL97)</f>
        <v/>
      </c>
      <c r="AN97" s="12" t="str">
        <f t="shared" si="1314"/>
        <v/>
      </c>
      <c r="AO97" s="12" t="str">
        <f t="shared" ref="AO97:AS97" si="1315">IF(AO92="","",AN97)</f>
        <v/>
      </c>
      <c r="AP97" s="12" t="str">
        <f t="shared" si="1315"/>
        <v/>
      </c>
      <c r="AQ97" s="12" t="str">
        <f t="shared" si="1315"/>
        <v/>
      </c>
      <c r="AR97" s="12" t="str">
        <f t="shared" si="1315"/>
        <v/>
      </c>
      <c r="AS97" s="12" t="str">
        <f t="shared" si="1315"/>
        <v/>
      </c>
    </row>
    <row r="98" spans="1:45" s="84" customFormat="1" ht="11.25" x14ac:dyDescent="0.15">
      <c r="A98" s="7">
        <f>AVERAGE(C99:AS99)*30*100</f>
        <v>20750</v>
      </c>
      <c r="B98" s="9" t="s">
        <v>12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</row>
    <row r="99" spans="1:45" s="84" customFormat="1" ht="11.25" x14ac:dyDescent="0.15">
      <c r="A99" s="7">
        <f>SUM(C99:AS99)</f>
        <v>83</v>
      </c>
      <c r="B99" s="6" t="s">
        <v>13</v>
      </c>
      <c r="C99" s="5">
        <v>0</v>
      </c>
      <c r="D99" s="5">
        <v>0</v>
      </c>
      <c r="E99" s="5">
        <v>0</v>
      </c>
      <c r="F99" s="5">
        <v>0</v>
      </c>
      <c r="G99" s="5">
        <v>53</v>
      </c>
      <c r="H99" s="5">
        <v>0</v>
      </c>
      <c r="I99" s="5">
        <v>0</v>
      </c>
      <c r="J99" s="5">
        <v>0</v>
      </c>
      <c r="K99" s="5">
        <v>24</v>
      </c>
      <c r="L99" s="5">
        <f t="shared" ref="L99:L100" si="1316">IF(L92="","",L92-K92)</f>
        <v>0</v>
      </c>
      <c r="M99" s="5">
        <f t="shared" ref="M99:M100" si="1317">IF(M92="","",M92-L92)</f>
        <v>0</v>
      </c>
      <c r="N99" s="5">
        <f t="shared" ref="N99:N100" si="1318">IF(N92="","",N92-M92)</f>
        <v>6</v>
      </c>
      <c r="O99" s="5" t="str">
        <f t="shared" ref="O99:O100" si="1319">IF(O92="","",O92-N92)</f>
        <v/>
      </c>
      <c r="P99" s="5" t="str">
        <f t="shared" ref="P99:P100" si="1320">IF(P92="","",P92-O92)</f>
        <v/>
      </c>
      <c r="Q99" s="5" t="str">
        <f t="shared" ref="Q99:Q100" si="1321">IF(Q92="","",Q92-P92)</f>
        <v/>
      </c>
      <c r="R99" s="5" t="str">
        <f t="shared" ref="R99:R100" si="1322">IF(R92="","",R92-Q92)</f>
        <v/>
      </c>
      <c r="S99" s="5" t="str">
        <f t="shared" ref="S99:S100" si="1323">IF(S92="","",S92-R92)</f>
        <v/>
      </c>
      <c r="T99" s="5" t="str">
        <f t="shared" ref="T99:T100" si="1324">IF(T92="","",T92-S92)</f>
        <v/>
      </c>
      <c r="U99" s="5" t="str">
        <f t="shared" ref="U99:U100" si="1325">IF(U92="","",U92-T92)</f>
        <v/>
      </c>
      <c r="V99" s="5" t="str">
        <f t="shared" ref="V99:V100" si="1326">IF(V92="","",V92-U92)</f>
        <v/>
      </c>
      <c r="W99" s="5" t="str">
        <f t="shared" ref="W99:W100" si="1327">IF(W92="","",W92-V92)</f>
        <v/>
      </c>
      <c r="X99" s="5" t="str">
        <f t="shared" ref="X99:X100" si="1328">IF(X92="","",X92-W92)</f>
        <v/>
      </c>
      <c r="Y99" s="5" t="str">
        <f t="shared" ref="Y99:Y100" si="1329">IF(Y92="","",Y92-X92)</f>
        <v/>
      </c>
      <c r="Z99" s="5" t="str">
        <f t="shared" ref="Z99:Z100" si="1330">IF(Z92="","",Z92-Y92)</f>
        <v/>
      </c>
      <c r="AA99" s="5" t="str">
        <f t="shared" ref="AA99:AA100" si="1331">IF(AA92="","",AA92-Z92)</f>
        <v/>
      </c>
      <c r="AB99" s="5" t="str">
        <f t="shared" ref="AB99:AB100" si="1332">IF(AB92="","",AB92-AA92)</f>
        <v/>
      </c>
      <c r="AC99" s="5" t="str">
        <f t="shared" ref="AC99:AC100" si="1333">IF(AC92="","",AC92-AB92)</f>
        <v/>
      </c>
      <c r="AD99" s="5" t="str">
        <f t="shared" ref="AD99:AD100" si="1334">IF(AD92="","",AD92-AC92)</f>
        <v/>
      </c>
      <c r="AE99" s="5" t="str">
        <f t="shared" ref="AE99:AE100" si="1335">IF(AE92="","",AE92-AD92)</f>
        <v/>
      </c>
      <c r="AF99" s="5" t="str">
        <f t="shared" ref="AF99:AF100" si="1336">IF(AF92="","",AF92-AE92)</f>
        <v/>
      </c>
      <c r="AG99" s="5" t="str">
        <f t="shared" ref="AG99:AG100" si="1337">IF(AG92="","",AG92-AF92)</f>
        <v/>
      </c>
      <c r="AH99" s="5" t="str">
        <f t="shared" ref="AH99:AH100" si="1338">IF(AH92="","",AH92-AG92)</f>
        <v/>
      </c>
      <c r="AI99" s="5" t="str">
        <f t="shared" ref="AI99:AI100" si="1339">IF(AI92="","",AI92-AH92)</f>
        <v/>
      </c>
      <c r="AJ99" s="5" t="str">
        <f t="shared" ref="AJ99:AJ100" si="1340">IF(AJ92="","",AJ92-AI92)</f>
        <v/>
      </c>
      <c r="AK99" s="5" t="str">
        <f t="shared" ref="AK99:AK100" si="1341">IF(AK92="","",AK92-AJ92)</f>
        <v/>
      </c>
      <c r="AL99" s="5" t="str">
        <f t="shared" ref="AL99:AL100" si="1342">IF(AL92="","",AL92-AK92)</f>
        <v/>
      </c>
      <c r="AM99" s="5" t="str">
        <f t="shared" ref="AM99:AN99" si="1343">IF(AM92="","",AM92-AL92)</f>
        <v/>
      </c>
      <c r="AN99" s="5" t="str">
        <f t="shared" si="1343"/>
        <v/>
      </c>
      <c r="AO99" s="5" t="str">
        <f t="shared" ref="AO99:AS99" si="1344">IF(AO92="","",AO92-AN92)</f>
        <v/>
      </c>
      <c r="AP99" s="5" t="str">
        <f t="shared" si="1344"/>
        <v/>
      </c>
      <c r="AQ99" s="5" t="str">
        <f t="shared" si="1344"/>
        <v/>
      </c>
      <c r="AR99" s="5" t="str">
        <f t="shared" si="1344"/>
        <v/>
      </c>
      <c r="AS99" s="5" t="str">
        <f t="shared" si="1344"/>
        <v/>
      </c>
    </row>
    <row r="100" spans="1:45" s="84" customFormat="1" ht="11.25" x14ac:dyDescent="0.15">
      <c r="A100" s="7">
        <f>SUM(C100:AS100)</f>
        <v>1</v>
      </c>
      <c r="B100" s="6" t="s">
        <v>14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f t="shared" si="1316"/>
        <v>0</v>
      </c>
      <c r="M100" s="5">
        <f t="shared" si="1317"/>
        <v>0</v>
      </c>
      <c r="N100" s="5">
        <f t="shared" si="1318"/>
        <v>1</v>
      </c>
      <c r="O100" s="5" t="str">
        <f t="shared" si="1319"/>
        <v/>
      </c>
      <c r="P100" s="5" t="str">
        <f t="shared" si="1320"/>
        <v/>
      </c>
      <c r="Q100" s="5" t="str">
        <f t="shared" si="1321"/>
        <v/>
      </c>
      <c r="R100" s="5" t="str">
        <f t="shared" si="1322"/>
        <v/>
      </c>
      <c r="S100" s="5" t="str">
        <f t="shared" si="1323"/>
        <v/>
      </c>
      <c r="T100" s="5" t="str">
        <f t="shared" si="1324"/>
        <v/>
      </c>
      <c r="U100" s="5" t="str">
        <f t="shared" si="1325"/>
        <v/>
      </c>
      <c r="V100" s="5" t="str">
        <f t="shared" si="1326"/>
        <v/>
      </c>
      <c r="W100" s="5" t="str">
        <f t="shared" si="1327"/>
        <v/>
      </c>
      <c r="X100" s="5" t="str">
        <f t="shared" si="1328"/>
        <v/>
      </c>
      <c r="Y100" s="5" t="str">
        <f t="shared" si="1329"/>
        <v/>
      </c>
      <c r="Z100" s="5" t="str">
        <f t="shared" si="1330"/>
        <v/>
      </c>
      <c r="AA100" s="5" t="str">
        <f t="shared" si="1331"/>
        <v/>
      </c>
      <c r="AB100" s="5" t="str">
        <f t="shared" si="1332"/>
        <v/>
      </c>
      <c r="AC100" s="5" t="str">
        <f t="shared" si="1333"/>
        <v/>
      </c>
      <c r="AD100" s="5" t="str">
        <f t="shared" si="1334"/>
        <v/>
      </c>
      <c r="AE100" s="5" t="str">
        <f t="shared" si="1335"/>
        <v/>
      </c>
      <c r="AF100" s="5" t="str">
        <f t="shared" si="1336"/>
        <v/>
      </c>
      <c r="AG100" s="5" t="str">
        <f t="shared" si="1337"/>
        <v/>
      </c>
      <c r="AH100" s="5" t="str">
        <f t="shared" si="1338"/>
        <v/>
      </c>
      <c r="AI100" s="5" t="str">
        <f t="shared" si="1339"/>
        <v/>
      </c>
      <c r="AJ100" s="5" t="str">
        <f t="shared" si="1340"/>
        <v/>
      </c>
      <c r="AK100" s="5" t="str">
        <f t="shared" si="1341"/>
        <v/>
      </c>
      <c r="AL100" s="5" t="str">
        <f t="shared" si="1342"/>
        <v/>
      </c>
      <c r="AM100" s="5" t="str">
        <f t="shared" ref="AM100:AN100" si="1345">IF(AM93="","",AM93-AL93)</f>
        <v/>
      </c>
      <c r="AN100" s="5" t="str">
        <f t="shared" si="1345"/>
        <v/>
      </c>
      <c r="AO100" s="5" t="str">
        <f t="shared" ref="AO100:AS100" si="1346">IF(AO93="","",AO93-AN93)</f>
        <v/>
      </c>
      <c r="AP100" s="5" t="str">
        <f t="shared" si="1346"/>
        <v/>
      </c>
      <c r="AQ100" s="5" t="str">
        <f t="shared" si="1346"/>
        <v/>
      </c>
      <c r="AR100" s="5" t="str">
        <f t="shared" si="1346"/>
        <v/>
      </c>
      <c r="AS100" s="5" t="str">
        <f t="shared" si="1346"/>
        <v/>
      </c>
    </row>
    <row r="101" spans="1:45" s="84" customFormat="1" ht="11.25" x14ac:dyDescent="0.15">
      <c r="A101" s="7">
        <f>SUM(C101:AS101)</f>
        <v>1</v>
      </c>
      <c r="B101" s="6" t="s">
        <v>15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f t="shared" ref="L101" si="1347">IF(L94="","",K94+K95-L94)</f>
        <v>0</v>
      </c>
      <c r="M101" s="5">
        <f t="shared" ref="M101" si="1348">IF(M94="","",L94+L95-M94)</f>
        <v>0</v>
      </c>
      <c r="N101" s="5">
        <f t="shared" ref="N101" si="1349">IF(N94="","",M94+M95-N94)</f>
        <v>1</v>
      </c>
      <c r="O101" s="5" t="str">
        <f t="shared" ref="O101" si="1350">IF(O94="","",N94+N95-O94)</f>
        <v/>
      </c>
      <c r="P101" s="5" t="str">
        <f t="shared" ref="P101" si="1351">IF(P94="","",O94+O95-P94)</f>
        <v/>
      </c>
      <c r="Q101" s="5" t="str">
        <f t="shared" ref="Q101" si="1352">IF(Q94="","",P94+P95-Q94)</f>
        <v/>
      </c>
      <c r="R101" s="5" t="str">
        <f t="shared" ref="R101" si="1353">IF(R94="","",Q94+Q95-R94)</f>
        <v/>
      </c>
      <c r="S101" s="5" t="str">
        <f t="shared" ref="S101" si="1354">IF(S94="","",R94+R95-S94)</f>
        <v/>
      </c>
      <c r="T101" s="5" t="str">
        <f t="shared" ref="T101" si="1355">IF(T94="","",S94+S95-T94)</f>
        <v/>
      </c>
      <c r="U101" s="5" t="str">
        <f t="shared" ref="U101" si="1356">IF(U94="","",T94+T95-U94)</f>
        <v/>
      </c>
      <c r="V101" s="5" t="str">
        <f t="shared" ref="V101" si="1357">IF(V94="","",U94+U95-V94)</f>
        <v/>
      </c>
      <c r="W101" s="5" t="str">
        <f t="shared" ref="W101" si="1358">IF(W94="","",V94+V95-W94)</f>
        <v/>
      </c>
      <c r="X101" s="5" t="str">
        <f t="shared" ref="X101" si="1359">IF(X94="","",W94+W95-X94)</f>
        <v/>
      </c>
      <c r="Y101" s="5" t="str">
        <f t="shared" ref="Y101" si="1360">IF(Y94="","",X94+X95-Y94)</f>
        <v/>
      </c>
      <c r="Z101" s="5" t="str">
        <f t="shared" ref="Z101" si="1361">IF(Z94="","",Y94+Y95-Z94)</f>
        <v/>
      </c>
      <c r="AA101" s="5" t="str">
        <f t="shared" ref="AA101" si="1362">IF(AA94="","",Z94+Z95-AA94)</f>
        <v/>
      </c>
      <c r="AB101" s="5" t="str">
        <f t="shared" ref="AB101" si="1363">IF(AB94="","",AA94+AA95-AB94)</f>
        <v/>
      </c>
      <c r="AC101" s="5" t="str">
        <f t="shared" ref="AC101" si="1364">IF(AC94="","",AB94+AB95-AC94)</f>
        <v/>
      </c>
      <c r="AD101" s="5" t="str">
        <f t="shared" ref="AD101" si="1365">IF(AD94="","",AC94+AC95-AD94)</f>
        <v/>
      </c>
      <c r="AE101" s="5" t="str">
        <f t="shared" ref="AE101" si="1366">IF(AE94="","",AD94+AD95-AE94)</f>
        <v/>
      </c>
      <c r="AF101" s="5" t="str">
        <f t="shared" ref="AF101" si="1367">IF(AF94="","",AE94+AE95-AF94)</f>
        <v/>
      </c>
      <c r="AG101" s="5" t="str">
        <f t="shared" ref="AG101" si="1368">IF(AG94="","",AF94+AF95-AG94)</f>
        <v/>
      </c>
      <c r="AH101" s="5" t="str">
        <f t="shared" ref="AH101" si="1369">IF(AH94="","",AG94+AG95-AH94)</f>
        <v/>
      </c>
      <c r="AI101" s="5" t="str">
        <f t="shared" ref="AI101" si="1370">IF(AI94="","",AH94+AH95-AI94)</f>
        <v/>
      </c>
      <c r="AJ101" s="5" t="str">
        <f t="shared" ref="AJ101" si="1371">IF(AJ94="","",AI94+AI95-AJ94)</f>
        <v/>
      </c>
      <c r="AK101" s="5" t="str">
        <f t="shared" ref="AK101" si="1372">IF(AK94="","",AJ94+AJ95-AK94)</f>
        <v/>
      </c>
      <c r="AL101" s="5" t="str">
        <f t="shared" ref="AL101" si="1373">IF(AL94="","",AK94+AK95-AL94)</f>
        <v/>
      </c>
      <c r="AM101" s="5" t="str">
        <f t="shared" ref="AM101:AN101" si="1374">IF(AM94="","",AL94+AL95-AM94)</f>
        <v/>
      </c>
      <c r="AN101" s="5" t="str">
        <f t="shared" si="1374"/>
        <v/>
      </c>
      <c r="AO101" s="5" t="str">
        <f t="shared" ref="AO101:AS101" si="1375">IF(AO94="","",AN94+AN95-AO94)</f>
        <v/>
      </c>
      <c r="AP101" s="5" t="str">
        <f t="shared" si="1375"/>
        <v/>
      </c>
      <c r="AQ101" s="5" t="str">
        <f t="shared" si="1375"/>
        <v/>
      </c>
      <c r="AR101" s="5" t="str">
        <f t="shared" si="1375"/>
        <v/>
      </c>
      <c r="AS101" s="5" t="str">
        <f t="shared" si="1375"/>
        <v/>
      </c>
    </row>
    <row r="102" spans="1:45" s="84" customFormat="1" ht="11.25" x14ac:dyDescent="0.15">
      <c r="A102" s="7">
        <f>SUM(C102:AS102)</f>
        <v>500</v>
      </c>
      <c r="B102" s="6" t="s">
        <v>16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f t="shared" ref="J102:AL102" si="1376">IF(L92="","",L101*L96)</f>
        <v>0</v>
      </c>
      <c r="M102" s="5">
        <f t="shared" si="1376"/>
        <v>0</v>
      </c>
      <c r="N102" s="5">
        <f t="shared" si="1376"/>
        <v>500</v>
      </c>
      <c r="O102" s="5" t="str">
        <f t="shared" si="1376"/>
        <v/>
      </c>
      <c r="P102" s="5" t="str">
        <f t="shared" si="1376"/>
        <v/>
      </c>
      <c r="Q102" s="5" t="str">
        <f t="shared" si="1376"/>
        <v/>
      </c>
      <c r="R102" s="5" t="str">
        <f t="shared" si="1376"/>
        <v/>
      </c>
      <c r="S102" s="5" t="str">
        <f t="shared" si="1376"/>
        <v/>
      </c>
      <c r="T102" s="5" t="str">
        <f t="shared" si="1376"/>
        <v/>
      </c>
      <c r="U102" s="5" t="str">
        <f t="shared" si="1376"/>
        <v/>
      </c>
      <c r="V102" s="5" t="str">
        <f t="shared" si="1376"/>
        <v/>
      </c>
      <c r="W102" s="5" t="str">
        <f t="shared" si="1376"/>
        <v/>
      </c>
      <c r="X102" s="5" t="str">
        <f t="shared" si="1376"/>
        <v/>
      </c>
      <c r="Y102" s="5" t="str">
        <f t="shared" si="1376"/>
        <v/>
      </c>
      <c r="Z102" s="5" t="str">
        <f t="shared" si="1376"/>
        <v/>
      </c>
      <c r="AA102" s="5" t="str">
        <f t="shared" si="1376"/>
        <v/>
      </c>
      <c r="AB102" s="5" t="str">
        <f t="shared" si="1376"/>
        <v/>
      </c>
      <c r="AC102" s="5" t="str">
        <f t="shared" si="1376"/>
        <v/>
      </c>
      <c r="AD102" s="5" t="str">
        <f t="shared" si="1376"/>
        <v/>
      </c>
      <c r="AE102" s="5" t="str">
        <f t="shared" si="1376"/>
        <v/>
      </c>
      <c r="AF102" s="5" t="str">
        <f t="shared" si="1376"/>
        <v/>
      </c>
      <c r="AG102" s="5" t="str">
        <f t="shared" si="1376"/>
        <v/>
      </c>
      <c r="AH102" s="5" t="str">
        <f t="shared" si="1376"/>
        <v/>
      </c>
      <c r="AI102" s="5" t="str">
        <f t="shared" si="1376"/>
        <v/>
      </c>
      <c r="AJ102" s="5" t="str">
        <f t="shared" si="1376"/>
        <v/>
      </c>
      <c r="AK102" s="5" t="str">
        <f t="shared" si="1376"/>
        <v/>
      </c>
      <c r="AL102" s="5" t="str">
        <f t="shared" si="1376"/>
        <v/>
      </c>
      <c r="AM102" s="5" t="str">
        <f t="shared" ref="AM102:AN102" si="1377">IF(AM92="","",AM101*AM96)</f>
        <v/>
      </c>
      <c r="AN102" s="5" t="str">
        <f t="shared" si="1377"/>
        <v/>
      </c>
      <c r="AO102" s="5" t="str">
        <f t="shared" ref="AO102:AS102" si="1378">IF(AO92="","",AO101*AO96)</f>
        <v/>
      </c>
      <c r="AP102" s="5" t="str">
        <f t="shared" si="1378"/>
        <v/>
      </c>
      <c r="AQ102" s="5" t="str">
        <f t="shared" si="1378"/>
        <v/>
      </c>
      <c r="AR102" s="5" t="str">
        <f t="shared" si="1378"/>
        <v/>
      </c>
      <c r="AS102" s="5" t="str">
        <f t="shared" si="1378"/>
        <v/>
      </c>
    </row>
    <row r="103" spans="1:45" s="84" customFormat="1" ht="12" thickBot="1" x14ac:dyDescent="0.2">
      <c r="A103" s="4">
        <f>IF(A102="","",A102/(A99*100))</f>
        <v>6.0240963855421686E-2</v>
      </c>
      <c r="B103" s="3" t="s">
        <v>18</v>
      </c>
      <c r="C103" s="2" t="s">
        <v>19</v>
      </c>
      <c r="D103" s="2" t="s">
        <v>19</v>
      </c>
      <c r="E103" s="2" t="s">
        <v>19</v>
      </c>
      <c r="F103" s="2" t="s">
        <v>19</v>
      </c>
      <c r="G103" s="2" t="s">
        <v>19</v>
      </c>
      <c r="H103" s="2" t="s">
        <v>19</v>
      </c>
      <c r="I103" s="2" t="s">
        <v>19</v>
      </c>
      <c r="J103" s="2" t="s">
        <v>19</v>
      </c>
      <c r="K103" s="2" t="s">
        <v>19</v>
      </c>
      <c r="L103" s="2" t="str">
        <f t="shared" ref="J103:AL103" si="1379">IF(L102="","",IF(L102=0,"",L102/(L99*100)))</f>
        <v/>
      </c>
      <c r="M103" s="2" t="str">
        <f t="shared" si="1379"/>
        <v/>
      </c>
      <c r="N103" s="2">
        <f t="shared" si="1379"/>
        <v>0.83333333333333337</v>
      </c>
      <c r="O103" s="2" t="str">
        <f t="shared" si="1379"/>
        <v/>
      </c>
      <c r="P103" s="2" t="str">
        <f t="shared" si="1379"/>
        <v/>
      </c>
      <c r="Q103" s="2" t="str">
        <f t="shared" si="1379"/>
        <v/>
      </c>
      <c r="R103" s="2" t="str">
        <f t="shared" si="1379"/>
        <v/>
      </c>
      <c r="S103" s="2" t="str">
        <f t="shared" si="1379"/>
        <v/>
      </c>
      <c r="T103" s="2" t="str">
        <f t="shared" si="1379"/>
        <v/>
      </c>
      <c r="U103" s="2" t="str">
        <f t="shared" si="1379"/>
        <v/>
      </c>
      <c r="V103" s="2" t="str">
        <f t="shared" si="1379"/>
        <v/>
      </c>
      <c r="W103" s="2" t="str">
        <f t="shared" si="1379"/>
        <v/>
      </c>
      <c r="X103" s="2" t="str">
        <f t="shared" si="1379"/>
        <v/>
      </c>
      <c r="Y103" s="2" t="str">
        <f t="shared" si="1379"/>
        <v/>
      </c>
      <c r="Z103" s="2" t="str">
        <f t="shared" si="1379"/>
        <v/>
      </c>
      <c r="AA103" s="2" t="str">
        <f t="shared" si="1379"/>
        <v/>
      </c>
      <c r="AB103" s="2" t="str">
        <f t="shared" si="1379"/>
        <v/>
      </c>
      <c r="AC103" s="2" t="str">
        <f t="shared" si="1379"/>
        <v/>
      </c>
      <c r="AD103" s="2" t="str">
        <f t="shared" si="1379"/>
        <v/>
      </c>
      <c r="AE103" s="2" t="str">
        <f t="shared" si="1379"/>
        <v/>
      </c>
      <c r="AF103" s="2" t="str">
        <f t="shared" si="1379"/>
        <v/>
      </c>
      <c r="AG103" s="2" t="str">
        <f t="shared" si="1379"/>
        <v/>
      </c>
      <c r="AH103" s="2" t="str">
        <f t="shared" si="1379"/>
        <v/>
      </c>
      <c r="AI103" s="2" t="str">
        <f t="shared" si="1379"/>
        <v/>
      </c>
      <c r="AJ103" s="2" t="str">
        <f t="shared" si="1379"/>
        <v/>
      </c>
      <c r="AK103" s="2" t="str">
        <f t="shared" si="1379"/>
        <v/>
      </c>
      <c r="AL103" s="2" t="str">
        <f t="shared" si="1379"/>
        <v/>
      </c>
      <c r="AM103" s="2" t="str">
        <f t="shared" ref="AM103:AN103" si="1380">IF(AM102="","",IF(AM102=0,"",AM102/(AM99*100)))</f>
        <v/>
      </c>
      <c r="AN103" s="2" t="str">
        <f t="shared" si="1380"/>
        <v/>
      </c>
      <c r="AO103" s="2" t="str">
        <f t="shared" ref="AO103:AS103" si="1381">IF(AO102="","",IF(AO102=0,"",AO102/(AO99*100)))</f>
        <v/>
      </c>
      <c r="AP103" s="2" t="str">
        <f t="shared" si="1381"/>
        <v/>
      </c>
      <c r="AQ103" s="2" t="str">
        <f t="shared" si="1381"/>
        <v/>
      </c>
      <c r="AR103" s="2" t="str">
        <f t="shared" si="1381"/>
        <v/>
      </c>
      <c r="AS103" s="2" t="str">
        <f t="shared" si="1381"/>
        <v/>
      </c>
    </row>
    <row r="104" spans="1:45" s="84" customFormat="1" ht="11.25" x14ac:dyDescent="0.15">
      <c r="A104" s="40" t="s">
        <v>94</v>
      </c>
      <c r="B104" s="39" t="s">
        <v>2</v>
      </c>
      <c r="C104" s="38">
        <v>7427</v>
      </c>
      <c r="D104" s="38">
        <v>7427</v>
      </c>
      <c r="E104" s="38">
        <v>7427</v>
      </c>
      <c r="F104" s="38">
        <v>7427</v>
      </c>
      <c r="G104" s="38">
        <v>7667</v>
      </c>
      <c r="H104" s="38">
        <v>7667</v>
      </c>
      <c r="I104" s="38">
        <v>7667</v>
      </c>
      <c r="J104" s="38">
        <v>7667</v>
      </c>
      <c r="K104" s="38">
        <v>7728</v>
      </c>
      <c r="L104" s="38">
        <f>IF(L$8="","",K104)</f>
        <v>7728</v>
      </c>
      <c r="M104" s="38">
        <f t="shared" ref="M104:M105" si="1382">IF(M$8="","",L104)</f>
        <v>7728</v>
      </c>
      <c r="N104" s="38">
        <v>7793</v>
      </c>
      <c r="O104" s="38" t="str">
        <f>IF(O$8="","",N104)</f>
        <v/>
      </c>
      <c r="P104" s="38" t="str">
        <f>IF(P$8="","",O104)</f>
        <v/>
      </c>
      <c r="Q104" s="38" t="str">
        <f t="shared" ref="Q104:Q105" si="1383">IF(Q$8="","",P104)</f>
        <v/>
      </c>
      <c r="R104" s="38" t="str">
        <f t="shared" ref="R104:R105" si="1384">IF(R$8="","",Q104)</f>
        <v/>
      </c>
      <c r="S104" s="38" t="str">
        <f>IF(S$8="","",R104)</f>
        <v/>
      </c>
      <c r="T104" s="38" t="str">
        <f t="shared" ref="T104:T105" si="1385">IF(T$8="","",S104)</f>
        <v/>
      </c>
      <c r="U104" s="38" t="str">
        <f t="shared" ref="U104:U105" si="1386">IF(U$8="","",T104)</f>
        <v/>
      </c>
      <c r="V104" s="38" t="str">
        <f>IF(V$8="","",U104)</f>
        <v/>
      </c>
      <c r="W104" s="38" t="str">
        <f t="shared" ref="W104:W105" si="1387">IF(W$8="","",V104)</f>
        <v/>
      </c>
      <c r="X104" s="38" t="str">
        <f t="shared" ref="X104:X105" si="1388">IF(X$8="","",W104)</f>
        <v/>
      </c>
      <c r="Y104" s="38" t="str">
        <f t="shared" ref="Y104:Y105" si="1389">IF(Y$8="","",X104)</f>
        <v/>
      </c>
      <c r="Z104" s="38" t="str">
        <f>IF(Z$8="","",Y104)</f>
        <v/>
      </c>
      <c r="AA104" s="38" t="str">
        <f t="shared" ref="AA104:AA105" si="1390">IF(AA$8="","",Z104)</f>
        <v/>
      </c>
      <c r="AB104" s="38" t="str">
        <f t="shared" ref="AB104:AB105" si="1391">IF(AB$8="","",AA104)</f>
        <v/>
      </c>
      <c r="AC104" s="38" t="str">
        <f t="shared" ref="AC104:AC105" si="1392">IF(AC$8="","",AB104)</f>
        <v/>
      </c>
      <c r="AD104" s="38" t="str">
        <f>IF(AD$8="","",AC104)</f>
        <v/>
      </c>
      <c r="AE104" s="38" t="str">
        <f>IF(AE$8="","",AD104)</f>
        <v/>
      </c>
      <c r="AF104" s="38" t="str">
        <f t="shared" ref="AF104:AF105" si="1393">IF(AF$8="","",AE104)</f>
        <v/>
      </c>
      <c r="AG104" s="38" t="str">
        <f>IF(AG$8="","",AF104)</f>
        <v/>
      </c>
      <c r="AH104" s="38" t="str">
        <f t="shared" ref="AH104:AH105" si="1394">IF(AH$8="","",AG104)</f>
        <v/>
      </c>
      <c r="AI104" s="38" t="str">
        <f t="shared" ref="AI104:AI105" si="1395">IF(AI$8="","",AH104)</f>
        <v/>
      </c>
      <c r="AJ104" s="38" t="str">
        <f>IF(AJ$8="","",AI104)</f>
        <v/>
      </c>
      <c r="AK104" s="38" t="str">
        <f t="shared" ref="AK104:AK105" si="1396">IF(AK$8="","",AJ104)</f>
        <v/>
      </c>
      <c r="AL104" s="38" t="str">
        <f t="shared" ref="AL104:AL105" si="1397">IF(AL$8="","",AK104)</f>
        <v/>
      </c>
      <c r="AM104" s="38" t="str">
        <f t="shared" ref="AM104:AN104" si="1398">IF(AM$8="","",AL104)</f>
        <v/>
      </c>
      <c r="AN104" s="38" t="str">
        <f>IF(AN$8="","",AM104)</f>
        <v/>
      </c>
      <c r="AO104" s="38" t="str">
        <f t="shared" ref="AO104:AS104" si="1399">IF(AO$8="","",AN104)</f>
        <v/>
      </c>
      <c r="AP104" s="38" t="str">
        <f t="shared" si="1399"/>
        <v/>
      </c>
      <c r="AQ104" s="38" t="str">
        <f t="shared" si="1399"/>
        <v/>
      </c>
      <c r="AR104" s="38" t="str">
        <f t="shared" si="1399"/>
        <v/>
      </c>
      <c r="AS104" s="38" t="str">
        <f t="shared" si="1399"/>
        <v/>
      </c>
    </row>
    <row r="105" spans="1:45" s="84" customFormat="1" ht="11.25" x14ac:dyDescent="0.15">
      <c r="A105" s="37" t="s">
        <v>79</v>
      </c>
      <c r="B105" s="30" t="s">
        <v>4</v>
      </c>
      <c r="C105" s="29">
        <v>39</v>
      </c>
      <c r="D105" s="29">
        <v>39</v>
      </c>
      <c r="E105" s="29">
        <v>39</v>
      </c>
      <c r="F105" s="29">
        <v>39</v>
      </c>
      <c r="G105" s="29">
        <v>39</v>
      </c>
      <c r="H105" s="29">
        <v>39</v>
      </c>
      <c r="I105" s="29">
        <v>39</v>
      </c>
      <c r="J105" s="29">
        <v>39</v>
      </c>
      <c r="K105" s="29">
        <v>39</v>
      </c>
      <c r="L105" s="29">
        <f>IF(L$8="","",K105)</f>
        <v>39</v>
      </c>
      <c r="M105" s="29">
        <f t="shared" si="1382"/>
        <v>39</v>
      </c>
      <c r="N105" s="29">
        <f t="shared" ref="N104:N105" si="1400">IF(N$8="","",M105)</f>
        <v>39</v>
      </c>
      <c r="O105" s="29" t="str">
        <f>IF(O$8="","",N105)</f>
        <v/>
      </c>
      <c r="P105" s="29" t="str">
        <f>IF(P$8="","",O105)</f>
        <v/>
      </c>
      <c r="Q105" s="29" t="str">
        <f t="shared" si="1383"/>
        <v/>
      </c>
      <c r="R105" s="29" t="str">
        <f t="shared" si="1384"/>
        <v/>
      </c>
      <c r="S105" s="29" t="str">
        <f>IF(S$8="","",R105)</f>
        <v/>
      </c>
      <c r="T105" s="29" t="str">
        <f t="shared" si="1385"/>
        <v/>
      </c>
      <c r="U105" s="29" t="str">
        <f t="shared" si="1386"/>
        <v/>
      </c>
      <c r="V105" s="29" t="str">
        <f>IF(V$8="","",U105)</f>
        <v/>
      </c>
      <c r="W105" s="29" t="str">
        <f t="shared" si="1387"/>
        <v/>
      </c>
      <c r="X105" s="29" t="str">
        <f t="shared" si="1388"/>
        <v/>
      </c>
      <c r="Y105" s="29" t="str">
        <f t="shared" si="1389"/>
        <v/>
      </c>
      <c r="Z105" s="29" t="str">
        <f t="shared" ref="Z105" si="1401">IF(Z$8="","",Y105)</f>
        <v/>
      </c>
      <c r="AA105" s="29" t="str">
        <f t="shared" si="1390"/>
        <v/>
      </c>
      <c r="AB105" s="29" t="str">
        <f t="shared" si="1391"/>
        <v/>
      </c>
      <c r="AC105" s="29" t="str">
        <f t="shared" si="1392"/>
        <v/>
      </c>
      <c r="AD105" s="29" t="str">
        <f>IF(AD$8="","",AC105)</f>
        <v/>
      </c>
      <c r="AE105" s="29" t="str">
        <f>IF(AE$8="","",AD105)</f>
        <v/>
      </c>
      <c r="AF105" s="29" t="str">
        <f t="shared" si="1393"/>
        <v/>
      </c>
      <c r="AG105" s="29" t="str">
        <f t="shared" ref="AG105" si="1402">IF(AG$8="","",AF105)</f>
        <v/>
      </c>
      <c r="AH105" s="29" t="str">
        <f t="shared" si="1394"/>
        <v/>
      </c>
      <c r="AI105" s="29" t="str">
        <f t="shared" si="1395"/>
        <v/>
      </c>
      <c r="AJ105" s="29" t="str">
        <f t="shared" ref="AJ104:AJ105" si="1403">IF(AJ$8="","",AI105)</f>
        <v/>
      </c>
      <c r="AK105" s="29" t="str">
        <f t="shared" si="1396"/>
        <v/>
      </c>
      <c r="AL105" s="29" t="str">
        <f t="shared" si="1397"/>
        <v/>
      </c>
      <c r="AM105" s="29" t="str">
        <f t="shared" ref="AM105:AN105" si="1404">IF(AM$8="","",AL105)</f>
        <v/>
      </c>
      <c r="AN105" s="29" t="str">
        <f t="shared" si="1404"/>
        <v/>
      </c>
      <c r="AO105" s="29" t="str">
        <f>IF(AO$8="","",AN105)</f>
        <v/>
      </c>
      <c r="AP105" s="29" t="str">
        <f>IF(宇宿!AP$8="","",AO105)</f>
        <v/>
      </c>
      <c r="AQ105" s="29" t="str">
        <f>IF(宇宿!AQ$8="","",AP105)</f>
        <v/>
      </c>
      <c r="AR105" s="29" t="str">
        <f>IF(宇宿!AR$8="","",AQ105)</f>
        <v/>
      </c>
      <c r="AS105" s="29" t="str">
        <f>IF(宇宿!AS$8="","",AR105)</f>
        <v/>
      </c>
    </row>
    <row r="106" spans="1:45" s="84" customFormat="1" ht="11.25" x14ac:dyDescent="0.15">
      <c r="A106" s="34"/>
      <c r="B106" s="30" t="s">
        <v>5</v>
      </c>
      <c r="C106" s="29">
        <v>9</v>
      </c>
      <c r="D106" s="29">
        <v>9</v>
      </c>
      <c r="E106" s="29">
        <v>9</v>
      </c>
      <c r="F106" s="29">
        <v>9</v>
      </c>
      <c r="G106" s="29">
        <v>8</v>
      </c>
      <c r="H106" s="29">
        <v>8</v>
      </c>
      <c r="I106" s="29">
        <v>8</v>
      </c>
      <c r="J106" s="29">
        <v>8</v>
      </c>
      <c r="K106" s="29">
        <v>8</v>
      </c>
      <c r="L106" s="29">
        <f>IF(L104="","",(K106+K107))</f>
        <v>8</v>
      </c>
      <c r="M106" s="29">
        <f t="shared" ref="M106" si="1405">IF(M104="","",(L106+L107))</f>
        <v>8</v>
      </c>
      <c r="N106" s="29">
        <f t="shared" ref="N106" si="1406">IF(N104="","",(M106+M107))</f>
        <v>8</v>
      </c>
      <c r="O106" s="29" t="str">
        <f>IF(O104="","",(N106+N107))</f>
        <v/>
      </c>
      <c r="P106" s="29" t="str">
        <f t="shared" ref="P106" si="1407">IF(P104="","",(O106+O107))</f>
        <v/>
      </c>
      <c r="Q106" s="29" t="str">
        <f t="shared" ref="Q106" si="1408">IF(Q104="","",(P106+P107))</f>
        <v/>
      </c>
      <c r="R106" s="29" t="str">
        <f t="shared" ref="R106" si="1409">IF(R104="","",(Q106+Q107))</f>
        <v/>
      </c>
      <c r="S106" s="29" t="str">
        <f>IF(S104="","",(R106+R107))</f>
        <v/>
      </c>
      <c r="T106" s="29" t="str">
        <f t="shared" ref="T106" si="1410">IF(T104="","",(S106+S107))</f>
        <v/>
      </c>
      <c r="U106" s="29" t="str">
        <f t="shared" ref="U106" si="1411">IF(U104="","",(T106+T107))</f>
        <v/>
      </c>
      <c r="V106" s="29" t="str">
        <f>IF(V104="","",(U106+U107))</f>
        <v/>
      </c>
      <c r="W106" s="29" t="str">
        <f t="shared" ref="W106" si="1412">IF(W104="","",(V106+V107))</f>
        <v/>
      </c>
      <c r="X106" s="29" t="str">
        <f t="shared" ref="X106" si="1413">IF(X104="","",(W106+W107))</f>
        <v/>
      </c>
      <c r="Y106" s="29" t="str">
        <f t="shared" ref="Y106" si="1414">IF(Y104="","",(X106+X107))</f>
        <v/>
      </c>
      <c r="Z106" s="29" t="str">
        <f t="shared" ref="Z106" si="1415">IF(Z104="","",(Y106+Y107))</f>
        <v/>
      </c>
      <c r="AA106" s="29" t="str">
        <f t="shared" ref="AA106" si="1416">IF(AA104="","",(Z106+Z107))</f>
        <v/>
      </c>
      <c r="AB106" s="29" t="str">
        <f t="shared" ref="AB106" si="1417">IF(AB104="","",(AA106+AA107))</f>
        <v/>
      </c>
      <c r="AC106" s="29" t="str">
        <f t="shared" ref="AC106" si="1418">IF(AC104="","",(AB106+AB107))</f>
        <v/>
      </c>
      <c r="AD106" s="29" t="str">
        <f>IF(AD104="","",(AC106+AC107))</f>
        <v/>
      </c>
      <c r="AE106" s="29" t="str">
        <f t="shared" ref="AE106" si="1419">IF(AE104="","",(AD106+AD107))</f>
        <v/>
      </c>
      <c r="AF106" s="29" t="str">
        <f t="shared" ref="AF106" si="1420">IF(AF104="","",(AE106+AE107))</f>
        <v/>
      </c>
      <c r="AG106" s="29" t="str">
        <f t="shared" ref="AG106" si="1421">IF(AG104="","",(AF106+AF107))</f>
        <v/>
      </c>
      <c r="AH106" s="29" t="str">
        <f t="shared" ref="AH106" si="1422">IF(AH104="","",(AG106+AG107))</f>
        <v/>
      </c>
      <c r="AI106" s="29" t="str">
        <f t="shared" ref="AI106" si="1423">IF(AI104="","",(AH106+AH107))</f>
        <v/>
      </c>
      <c r="AJ106" s="29" t="str">
        <f>IF(AJ104="","",(AI106+AI107))</f>
        <v/>
      </c>
      <c r="AK106" s="29" t="str">
        <f t="shared" ref="AK106" si="1424">IF(AK104="","",(AJ106+AJ107))</f>
        <v/>
      </c>
      <c r="AL106" s="29" t="str">
        <f t="shared" ref="AL106" si="1425">IF(AL104="","",(AK106+AK107))</f>
        <v/>
      </c>
      <c r="AM106" s="29" t="str">
        <f t="shared" ref="AM106:AN106" si="1426">IF(AM104="","",(AL106+AL107))</f>
        <v/>
      </c>
      <c r="AN106" s="29" t="str">
        <f t="shared" si="1426"/>
        <v/>
      </c>
      <c r="AO106" s="29" t="str">
        <f t="shared" ref="AO106:AS106" si="1427">IF(AO104="","",(AN106+AN107))</f>
        <v/>
      </c>
      <c r="AP106" s="29" t="str">
        <f t="shared" si="1427"/>
        <v/>
      </c>
      <c r="AQ106" s="29" t="str">
        <f t="shared" si="1427"/>
        <v/>
      </c>
      <c r="AR106" s="29" t="str">
        <f t="shared" si="1427"/>
        <v/>
      </c>
      <c r="AS106" s="29" t="str">
        <f t="shared" si="1427"/>
        <v/>
      </c>
    </row>
    <row r="107" spans="1:45" s="84" customFormat="1" ht="11.25" x14ac:dyDescent="0.15">
      <c r="A107" s="14"/>
      <c r="B107" s="30" t="s">
        <v>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s="84" customFormat="1" ht="11.25" x14ac:dyDescent="0.15">
      <c r="A108" s="7"/>
      <c r="B108" s="30" t="s">
        <v>8</v>
      </c>
      <c r="C108" s="35">
        <v>1500</v>
      </c>
      <c r="D108" s="35">
        <v>1500</v>
      </c>
      <c r="E108" s="35">
        <v>1500</v>
      </c>
      <c r="F108" s="35">
        <v>1500</v>
      </c>
      <c r="G108" s="35">
        <v>1500</v>
      </c>
      <c r="H108" s="35">
        <v>1500</v>
      </c>
      <c r="I108" s="35">
        <v>1500</v>
      </c>
      <c r="J108" s="35">
        <v>1500</v>
      </c>
      <c r="K108" s="35">
        <v>1500</v>
      </c>
      <c r="L108" s="35">
        <f t="shared" ref="L108" si="1428">IF(L104="","",K108)</f>
        <v>1500</v>
      </c>
      <c r="M108" s="35">
        <f t="shared" ref="M108" si="1429">IF(M104="","",L108)</f>
        <v>1500</v>
      </c>
      <c r="N108" s="35">
        <f t="shared" ref="N108" si="1430">IF(N104="","",M108)</f>
        <v>1500</v>
      </c>
      <c r="O108" s="35" t="str">
        <f t="shared" ref="O108" si="1431">IF(O104="","",N108)</f>
        <v/>
      </c>
      <c r="P108" s="35" t="str">
        <f t="shared" ref="P108" si="1432">IF(P104="","",O108)</f>
        <v/>
      </c>
      <c r="Q108" s="35" t="str">
        <f t="shared" ref="Q108" si="1433">IF(Q104="","",P108)</f>
        <v/>
      </c>
      <c r="R108" s="35" t="str">
        <f t="shared" ref="R108" si="1434">IF(R104="","",Q108)</f>
        <v/>
      </c>
      <c r="S108" s="35" t="str">
        <f t="shared" ref="S108" si="1435">IF(S104="","",R108)</f>
        <v/>
      </c>
      <c r="T108" s="35" t="str">
        <f t="shared" ref="T108" si="1436">IF(T104="","",S108)</f>
        <v/>
      </c>
      <c r="U108" s="35" t="str">
        <f t="shared" ref="U108" si="1437">IF(U104="","",T108)</f>
        <v/>
      </c>
      <c r="V108" s="35" t="str">
        <f t="shared" ref="V108" si="1438">IF(V104="","",U108)</f>
        <v/>
      </c>
      <c r="W108" s="35" t="str">
        <f t="shared" ref="W108" si="1439">IF(W104="","",V108)</f>
        <v/>
      </c>
      <c r="X108" s="35" t="str">
        <f t="shared" ref="X108" si="1440">IF(X104="","",W108)</f>
        <v/>
      </c>
      <c r="Y108" s="35" t="str">
        <f t="shared" ref="Y108" si="1441">IF(Y104="","",X108)</f>
        <v/>
      </c>
      <c r="Z108" s="35" t="str">
        <f t="shared" ref="Z108" si="1442">IF(Z104="","",Y108)</f>
        <v/>
      </c>
      <c r="AA108" s="35" t="str">
        <f t="shared" ref="AA108" si="1443">IF(AA104="","",Z108)</f>
        <v/>
      </c>
      <c r="AB108" s="35" t="str">
        <f t="shared" ref="AB108" si="1444">IF(AB104="","",AA108)</f>
        <v/>
      </c>
      <c r="AC108" s="35" t="str">
        <f t="shared" ref="AC108" si="1445">IF(AC104="","",AB108)</f>
        <v/>
      </c>
      <c r="AD108" s="35" t="str">
        <f t="shared" ref="AD108" si="1446">IF(AD104="","",AC108)</f>
        <v/>
      </c>
      <c r="AE108" s="35" t="str">
        <f t="shared" ref="AE108" si="1447">IF(AE104="","",AD108)</f>
        <v/>
      </c>
      <c r="AF108" s="35" t="str">
        <f t="shared" ref="AF108" si="1448">IF(AF104="","",AE108)</f>
        <v/>
      </c>
      <c r="AG108" s="35" t="str">
        <f t="shared" ref="AG108" si="1449">IF(AG104="","",AF108)</f>
        <v/>
      </c>
      <c r="AH108" s="35" t="str">
        <f t="shared" ref="AH108" si="1450">IF(AH104="","",AG108)</f>
        <v/>
      </c>
      <c r="AI108" s="35" t="str">
        <f t="shared" ref="AI108" si="1451">IF(AI104="","",AH108)</f>
        <v/>
      </c>
      <c r="AJ108" s="35" t="str">
        <f t="shared" ref="AJ108" si="1452">IF(AJ104="","",AI108)</f>
        <v/>
      </c>
      <c r="AK108" s="35" t="str">
        <f t="shared" ref="AK108" si="1453">IF(AK104="","",AJ108)</f>
        <v/>
      </c>
      <c r="AL108" s="35" t="str">
        <f t="shared" ref="AL108" si="1454">IF(AL104="","",AK108)</f>
        <v/>
      </c>
      <c r="AM108" s="35" t="str">
        <f t="shared" ref="AM108:AN108" si="1455">IF(AM104="","",AL108)</f>
        <v/>
      </c>
      <c r="AN108" s="35" t="str">
        <f t="shared" si="1455"/>
        <v/>
      </c>
      <c r="AO108" s="35" t="str">
        <f t="shared" ref="AO108:AS108" si="1456">IF(AO104="","",AN108)</f>
        <v/>
      </c>
      <c r="AP108" s="35" t="str">
        <f t="shared" si="1456"/>
        <v/>
      </c>
      <c r="AQ108" s="35" t="str">
        <f t="shared" si="1456"/>
        <v/>
      </c>
      <c r="AR108" s="35" t="str">
        <f t="shared" si="1456"/>
        <v/>
      </c>
      <c r="AS108" s="35" t="str">
        <f t="shared" si="1456"/>
        <v/>
      </c>
    </row>
    <row r="109" spans="1:45" s="85" customFormat="1" ht="11.25" x14ac:dyDescent="0.15">
      <c r="A109" s="14" t="s">
        <v>9</v>
      </c>
      <c r="B109" s="33" t="s">
        <v>10</v>
      </c>
      <c r="C109" s="32" t="s">
        <v>45</v>
      </c>
      <c r="D109" s="32" t="s">
        <v>45</v>
      </c>
      <c r="E109" s="32" t="s">
        <v>45</v>
      </c>
      <c r="F109" s="32" t="s">
        <v>45</v>
      </c>
      <c r="G109" s="32" t="s">
        <v>45</v>
      </c>
      <c r="H109" s="32" t="s">
        <v>45</v>
      </c>
      <c r="I109" s="32" t="s">
        <v>45</v>
      </c>
      <c r="J109" s="32" t="s">
        <v>45</v>
      </c>
      <c r="K109" s="32" t="s">
        <v>45</v>
      </c>
      <c r="L109" s="32" t="str">
        <f t="shared" ref="L109" si="1457">IF(L104="","",K109)</f>
        <v>ボンボンドロップ</v>
      </c>
      <c r="M109" s="32" t="str">
        <f t="shared" ref="M109" si="1458">IF(M104="","",L109)</f>
        <v>ボンボンドロップ</v>
      </c>
      <c r="N109" s="32" t="str">
        <f t="shared" ref="N109" si="1459">IF(N104="","",M109)</f>
        <v>ボンボンドロップ</v>
      </c>
      <c r="O109" s="32" t="str">
        <f t="shared" ref="O109" si="1460">IF(O104="","",N109)</f>
        <v/>
      </c>
      <c r="P109" s="32" t="str">
        <f t="shared" ref="P109" si="1461">IF(P104="","",O109)</f>
        <v/>
      </c>
      <c r="Q109" s="32" t="str">
        <f t="shared" ref="Q109" si="1462">IF(Q104="","",P109)</f>
        <v/>
      </c>
      <c r="R109" s="32" t="str">
        <f t="shared" ref="R109" si="1463">IF(R104="","",Q109)</f>
        <v/>
      </c>
      <c r="S109" s="32" t="str">
        <f t="shared" ref="S109" si="1464">IF(S104="","",R109)</f>
        <v/>
      </c>
      <c r="T109" s="32" t="str">
        <f t="shared" ref="T109" si="1465">IF(T104="","",S109)</f>
        <v/>
      </c>
      <c r="U109" s="32" t="str">
        <f t="shared" ref="U109" si="1466">IF(U104="","",T109)</f>
        <v/>
      </c>
      <c r="V109" s="32" t="str">
        <f t="shared" ref="V109" si="1467">IF(V104="","",U109)</f>
        <v/>
      </c>
      <c r="W109" s="32" t="str">
        <f t="shared" ref="W109" si="1468">IF(W104="","",V109)</f>
        <v/>
      </c>
      <c r="X109" s="32" t="str">
        <f t="shared" ref="X109" si="1469">IF(X104="","",W109)</f>
        <v/>
      </c>
      <c r="Y109" s="32" t="str">
        <f t="shared" ref="Y109" si="1470">IF(Y104="","",X109)</f>
        <v/>
      </c>
      <c r="Z109" s="32" t="str">
        <f t="shared" ref="Z109" si="1471">IF(Z104="","",Y109)</f>
        <v/>
      </c>
      <c r="AA109" s="32" t="str">
        <f t="shared" ref="AA109" si="1472">IF(AA104="","",Z109)</f>
        <v/>
      </c>
      <c r="AB109" s="32" t="str">
        <f t="shared" ref="AB109" si="1473">IF(AB104="","",AA109)</f>
        <v/>
      </c>
      <c r="AC109" s="32" t="str">
        <f t="shared" ref="AC109" si="1474">IF(AC104="","",AB109)</f>
        <v/>
      </c>
      <c r="AD109" s="32" t="str">
        <f t="shared" ref="AD109" si="1475">IF(AD104="","",AC109)</f>
        <v/>
      </c>
      <c r="AE109" s="32" t="str">
        <f t="shared" ref="AE109" si="1476">IF(AE104="","",AD109)</f>
        <v/>
      </c>
      <c r="AF109" s="32" t="str">
        <f t="shared" ref="AF109" si="1477">IF(AF104="","",AE109)</f>
        <v/>
      </c>
      <c r="AG109" s="32" t="str">
        <f t="shared" ref="AG109" si="1478">IF(AG104="","",AF109)</f>
        <v/>
      </c>
      <c r="AH109" s="32" t="str">
        <f t="shared" ref="AH109" si="1479">IF(AH104="","",AG109)</f>
        <v/>
      </c>
      <c r="AI109" s="32" t="str">
        <f t="shared" ref="AI109" si="1480">IF(AI104="","",AH109)</f>
        <v/>
      </c>
      <c r="AJ109" s="32" t="str">
        <f t="shared" ref="AJ109" si="1481">IF(AJ104="","",AI109)</f>
        <v/>
      </c>
      <c r="AK109" s="32" t="str">
        <f t="shared" ref="AK109" si="1482">IF(AK104="","",AJ109)</f>
        <v/>
      </c>
      <c r="AL109" s="32" t="str">
        <f t="shared" ref="AL109" si="1483">IF(AL104="","",AK109)</f>
        <v/>
      </c>
      <c r="AM109" s="32" t="str">
        <f t="shared" ref="AM109:AN109" si="1484">IF(AM104="","",AL109)</f>
        <v/>
      </c>
      <c r="AN109" s="32" t="str">
        <f t="shared" si="1484"/>
        <v/>
      </c>
      <c r="AO109" s="32" t="str">
        <f t="shared" ref="AO109:AS109" si="1485">IF(AO104="","",AN109)</f>
        <v/>
      </c>
      <c r="AP109" s="32" t="str">
        <f t="shared" si="1485"/>
        <v/>
      </c>
      <c r="AQ109" s="32" t="str">
        <f t="shared" si="1485"/>
        <v/>
      </c>
      <c r="AR109" s="32" t="str">
        <f t="shared" si="1485"/>
        <v/>
      </c>
      <c r="AS109" s="32" t="str">
        <f t="shared" si="1485"/>
        <v/>
      </c>
    </row>
    <row r="110" spans="1:45" s="84" customFormat="1" ht="11.25" x14ac:dyDescent="0.15">
      <c r="A110" s="7">
        <f>AVERAGE(C111:AS111)*30*100</f>
        <v>91500</v>
      </c>
      <c r="B110" s="30" t="s">
        <v>12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s="84" customFormat="1" ht="11.25" x14ac:dyDescent="0.15">
      <c r="A111" s="7">
        <f>SUM(C111:AS111)</f>
        <v>366</v>
      </c>
      <c r="B111" s="27" t="s">
        <v>13</v>
      </c>
      <c r="C111" s="26">
        <v>0</v>
      </c>
      <c r="D111" s="26">
        <v>0</v>
      </c>
      <c r="E111" s="26">
        <v>0</v>
      </c>
      <c r="F111" s="26">
        <v>0</v>
      </c>
      <c r="G111" s="26">
        <v>240</v>
      </c>
      <c r="H111" s="26">
        <v>0</v>
      </c>
      <c r="I111" s="26">
        <v>0</v>
      </c>
      <c r="J111" s="26">
        <v>0</v>
      </c>
      <c r="K111" s="26">
        <v>61</v>
      </c>
      <c r="L111" s="26">
        <f t="shared" ref="L111:L112" si="1486">IF(L104="","",L104-K104)</f>
        <v>0</v>
      </c>
      <c r="M111" s="26">
        <f t="shared" ref="M111:M112" si="1487">IF(M104="","",M104-L104)</f>
        <v>0</v>
      </c>
      <c r="N111" s="26">
        <f t="shared" ref="N111:N112" si="1488">IF(N104="","",N104-M104)</f>
        <v>65</v>
      </c>
      <c r="O111" s="26" t="str">
        <f t="shared" ref="O111:O112" si="1489">IF(O104="","",O104-N104)</f>
        <v/>
      </c>
      <c r="P111" s="26" t="str">
        <f t="shared" ref="P111:P112" si="1490">IF(P104="","",P104-O104)</f>
        <v/>
      </c>
      <c r="Q111" s="26" t="str">
        <f t="shared" ref="Q111:Q112" si="1491">IF(Q104="","",Q104-P104)</f>
        <v/>
      </c>
      <c r="R111" s="26" t="str">
        <f t="shared" ref="R111:R112" si="1492">IF(R104="","",R104-Q104)</f>
        <v/>
      </c>
      <c r="S111" s="26" t="str">
        <f t="shared" ref="S111:S112" si="1493">IF(S104="","",S104-R104)</f>
        <v/>
      </c>
      <c r="T111" s="26" t="str">
        <f t="shared" ref="T111:T112" si="1494">IF(T104="","",T104-S104)</f>
        <v/>
      </c>
      <c r="U111" s="26" t="str">
        <f t="shared" ref="U111:U112" si="1495">IF(U104="","",U104-T104)</f>
        <v/>
      </c>
      <c r="V111" s="26" t="str">
        <f t="shared" ref="V111:V112" si="1496">IF(V104="","",V104-U104)</f>
        <v/>
      </c>
      <c r="W111" s="26" t="str">
        <f t="shared" ref="W111:W112" si="1497">IF(W104="","",W104-V104)</f>
        <v/>
      </c>
      <c r="X111" s="26" t="str">
        <f t="shared" ref="X111:X112" si="1498">IF(X104="","",X104-W104)</f>
        <v/>
      </c>
      <c r="Y111" s="26" t="str">
        <f t="shared" ref="Y111:Y112" si="1499">IF(Y104="","",Y104-X104)</f>
        <v/>
      </c>
      <c r="Z111" s="26" t="str">
        <f t="shared" ref="Z111:Z112" si="1500">IF(Z104="","",Z104-Y104)</f>
        <v/>
      </c>
      <c r="AA111" s="26" t="str">
        <f t="shared" ref="AA111:AA112" si="1501">IF(AA104="","",AA104-Z104)</f>
        <v/>
      </c>
      <c r="AB111" s="26" t="str">
        <f t="shared" ref="AB111:AB112" si="1502">IF(AB104="","",AB104-AA104)</f>
        <v/>
      </c>
      <c r="AC111" s="26" t="str">
        <f t="shared" ref="AC111:AC112" si="1503">IF(AC104="","",AC104-AB104)</f>
        <v/>
      </c>
      <c r="AD111" s="26" t="str">
        <f t="shared" ref="AD111:AD112" si="1504">IF(AD104="","",AD104-AC104)</f>
        <v/>
      </c>
      <c r="AE111" s="26" t="str">
        <f t="shared" ref="AE111:AE112" si="1505">IF(AE104="","",AE104-AD104)</f>
        <v/>
      </c>
      <c r="AF111" s="26" t="str">
        <f t="shared" ref="AF111:AF112" si="1506">IF(AF104="","",AF104-AE104)</f>
        <v/>
      </c>
      <c r="AG111" s="26" t="str">
        <f t="shared" ref="AG111:AG112" si="1507">IF(AG104="","",AG104-AF104)</f>
        <v/>
      </c>
      <c r="AH111" s="26" t="str">
        <f t="shared" ref="AH111:AH112" si="1508">IF(AH104="","",AH104-AG104)</f>
        <v/>
      </c>
      <c r="AI111" s="26" t="str">
        <f t="shared" ref="AI111:AI112" si="1509">IF(AI104="","",AI104-AH104)</f>
        <v/>
      </c>
      <c r="AJ111" s="26" t="str">
        <f t="shared" ref="AJ111:AJ112" si="1510">IF(AJ104="","",AJ104-AI104)</f>
        <v/>
      </c>
      <c r="AK111" s="26" t="str">
        <f t="shared" ref="AK111:AK112" si="1511">IF(AK104="","",AK104-AJ104)</f>
        <v/>
      </c>
      <c r="AL111" s="26" t="str">
        <f t="shared" ref="AL111:AL112" si="1512">IF(AL104="","",AL104-AK104)</f>
        <v/>
      </c>
      <c r="AM111" s="26" t="str">
        <f t="shared" ref="AM111:AN111" si="1513">IF(AM104="","",AM104-AL104)</f>
        <v/>
      </c>
      <c r="AN111" s="26" t="str">
        <f t="shared" si="1513"/>
        <v/>
      </c>
      <c r="AO111" s="26" t="str">
        <f t="shared" ref="AO111:AS111" si="1514">IF(AO104="","",AO104-AN104)</f>
        <v/>
      </c>
      <c r="AP111" s="26" t="str">
        <f t="shared" si="1514"/>
        <v/>
      </c>
      <c r="AQ111" s="26" t="str">
        <f t="shared" si="1514"/>
        <v/>
      </c>
      <c r="AR111" s="26" t="str">
        <f t="shared" si="1514"/>
        <v/>
      </c>
      <c r="AS111" s="26" t="str">
        <f t="shared" si="1514"/>
        <v/>
      </c>
    </row>
    <row r="112" spans="1:45" s="84" customFormat="1" ht="11.25" x14ac:dyDescent="0.15">
      <c r="A112" s="7">
        <f>SUM(C112:AS112)</f>
        <v>0</v>
      </c>
      <c r="B112" s="27" t="s">
        <v>14</v>
      </c>
      <c r="C112" s="26">
        <v>0</v>
      </c>
      <c r="D112" s="26">
        <v>0</v>
      </c>
      <c r="E112" s="26">
        <v>0</v>
      </c>
      <c r="F112" s="26">
        <v>0</v>
      </c>
      <c r="G112" s="26">
        <v>0</v>
      </c>
      <c r="H112" s="26">
        <v>0</v>
      </c>
      <c r="I112" s="26">
        <v>0</v>
      </c>
      <c r="J112" s="26">
        <v>0</v>
      </c>
      <c r="K112" s="26">
        <v>0</v>
      </c>
      <c r="L112" s="26">
        <f t="shared" si="1486"/>
        <v>0</v>
      </c>
      <c r="M112" s="26">
        <f t="shared" si="1487"/>
        <v>0</v>
      </c>
      <c r="N112" s="26">
        <f t="shared" si="1488"/>
        <v>0</v>
      </c>
      <c r="O112" s="26" t="str">
        <f t="shared" si="1489"/>
        <v/>
      </c>
      <c r="P112" s="26" t="str">
        <f t="shared" si="1490"/>
        <v/>
      </c>
      <c r="Q112" s="26" t="str">
        <f t="shared" si="1491"/>
        <v/>
      </c>
      <c r="R112" s="26" t="str">
        <f t="shared" si="1492"/>
        <v/>
      </c>
      <c r="S112" s="26" t="str">
        <f t="shared" si="1493"/>
        <v/>
      </c>
      <c r="T112" s="26" t="str">
        <f t="shared" si="1494"/>
        <v/>
      </c>
      <c r="U112" s="26" t="str">
        <f t="shared" si="1495"/>
        <v/>
      </c>
      <c r="V112" s="26" t="str">
        <f t="shared" si="1496"/>
        <v/>
      </c>
      <c r="W112" s="26" t="str">
        <f t="shared" si="1497"/>
        <v/>
      </c>
      <c r="X112" s="26" t="str">
        <f t="shared" si="1498"/>
        <v/>
      </c>
      <c r="Y112" s="26" t="str">
        <f t="shared" si="1499"/>
        <v/>
      </c>
      <c r="Z112" s="26" t="str">
        <f t="shared" si="1500"/>
        <v/>
      </c>
      <c r="AA112" s="26" t="str">
        <f t="shared" si="1501"/>
        <v/>
      </c>
      <c r="AB112" s="26" t="str">
        <f t="shared" si="1502"/>
        <v/>
      </c>
      <c r="AC112" s="26" t="str">
        <f t="shared" si="1503"/>
        <v/>
      </c>
      <c r="AD112" s="26" t="str">
        <f t="shared" si="1504"/>
        <v/>
      </c>
      <c r="AE112" s="26" t="str">
        <f t="shared" si="1505"/>
        <v/>
      </c>
      <c r="AF112" s="26" t="str">
        <f t="shared" si="1506"/>
        <v/>
      </c>
      <c r="AG112" s="26" t="str">
        <f t="shared" si="1507"/>
        <v/>
      </c>
      <c r="AH112" s="26" t="str">
        <f t="shared" si="1508"/>
        <v/>
      </c>
      <c r="AI112" s="26" t="str">
        <f t="shared" si="1509"/>
        <v/>
      </c>
      <c r="AJ112" s="26" t="str">
        <f t="shared" si="1510"/>
        <v/>
      </c>
      <c r="AK112" s="26" t="str">
        <f t="shared" si="1511"/>
        <v/>
      </c>
      <c r="AL112" s="26" t="str">
        <f t="shared" si="1512"/>
        <v/>
      </c>
      <c r="AM112" s="26" t="str">
        <f t="shared" ref="AM112:AN112" si="1515">IF(AM105="","",AM105-AL105)</f>
        <v/>
      </c>
      <c r="AN112" s="26" t="str">
        <f t="shared" si="1515"/>
        <v/>
      </c>
      <c r="AO112" s="26" t="str">
        <f t="shared" ref="AO112:AS112" si="1516">IF(AO105="","",AO105-AN105)</f>
        <v/>
      </c>
      <c r="AP112" s="26" t="str">
        <f t="shared" si="1516"/>
        <v/>
      </c>
      <c r="AQ112" s="26" t="str">
        <f t="shared" si="1516"/>
        <v/>
      </c>
      <c r="AR112" s="26" t="str">
        <f t="shared" si="1516"/>
        <v/>
      </c>
      <c r="AS112" s="26" t="str">
        <f t="shared" si="1516"/>
        <v/>
      </c>
    </row>
    <row r="113" spans="1:45" s="84" customFormat="1" ht="11.25" x14ac:dyDescent="0.15">
      <c r="A113" s="7">
        <f>SUM(C113:AS113)</f>
        <v>1</v>
      </c>
      <c r="B113" s="27" t="s">
        <v>15</v>
      </c>
      <c r="C113" s="26">
        <v>0</v>
      </c>
      <c r="D113" s="26">
        <v>0</v>
      </c>
      <c r="E113" s="26">
        <v>0</v>
      </c>
      <c r="F113" s="26">
        <v>0</v>
      </c>
      <c r="G113" s="26">
        <v>1</v>
      </c>
      <c r="H113" s="26">
        <v>0</v>
      </c>
      <c r="I113" s="26">
        <v>0</v>
      </c>
      <c r="J113" s="26">
        <v>0</v>
      </c>
      <c r="K113" s="26">
        <v>0</v>
      </c>
      <c r="L113" s="26">
        <f t="shared" ref="L113" si="1517">IF(L106="","",K106+K107-L106)</f>
        <v>0</v>
      </c>
      <c r="M113" s="26">
        <f t="shared" ref="M113" si="1518">IF(M106="","",L106+L107-M106)</f>
        <v>0</v>
      </c>
      <c r="N113" s="26">
        <f t="shared" ref="N113" si="1519">IF(N106="","",M106+M107-N106)</f>
        <v>0</v>
      </c>
      <c r="O113" s="26" t="str">
        <f t="shared" ref="O113" si="1520">IF(O106="","",N106+N107-O106)</f>
        <v/>
      </c>
      <c r="P113" s="26" t="str">
        <f t="shared" ref="P113" si="1521">IF(P106="","",O106+O107-P106)</f>
        <v/>
      </c>
      <c r="Q113" s="26" t="str">
        <f t="shared" ref="Q113" si="1522">IF(Q106="","",P106+P107-Q106)</f>
        <v/>
      </c>
      <c r="R113" s="26" t="str">
        <f t="shared" ref="R113" si="1523">IF(R106="","",Q106+Q107-R106)</f>
        <v/>
      </c>
      <c r="S113" s="26" t="str">
        <f t="shared" ref="S113" si="1524">IF(S106="","",R106+R107-S106)</f>
        <v/>
      </c>
      <c r="T113" s="26" t="str">
        <f t="shared" ref="T113" si="1525">IF(T106="","",S106+S107-T106)</f>
        <v/>
      </c>
      <c r="U113" s="26" t="str">
        <f t="shared" ref="U113" si="1526">IF(U106="","",T106+T107-U106)</f>
        <v/>
      </c>
      <c r="V113" s="26" t="str">
        <f t="shared" ref="V113" si="1527">IF(V106="","",U106+U107-V106)</f>
        <v/>
      </c>
      <c r="W113" s="26" t="str">
        <f t="shared" ref="W113" si="1528">IF(W106="","",V106+V107-W106)</f>
        <v/>
      </c>
      <c r="X113" s="26" t="str">
        <f t="shared" ref="X113" si="1529">IF(X106="","",W106+W107-X106)</f>
        <v/>
      </c>
      <c r="Y113" s="26" t="str">
        <f t="shared" ref="Y113" si="1530">IF(Y106="","",X106+X107-Y106)</f>
        <v/>
      </c>
      <c r="Z113" s="26" t="str">
        <f t="shared" ref="Z113" si="1531">IF(Z106="","",Y106+Y107-Z106)</f>
        <v/>
      </c>
      <c r="AA113" s="26" t="str">
        <f t="shared" ref="AA113" si="1532">IF(AA106="","",Z106+Z107-AA106)</f>
        <v/>
      </c>
      <c r="AB113" s="26" t="str">
        <f t="shared" ref="AB113" si="1533">IF(AB106="","",AA106+AA107-AB106)</f>
        <v/>
      </c>
      <c r="AC113" s="26" t="str">
        <f t="shared" ref="AC113" si="1534">IF(AC106="","",AB106+AB107-AC106)</f>
        <v/>
      </c>
      <c r="AD113" s="26" t="str">
        <f t="shared" ref="AD113" si="1535">IF(AD106="","",AC106+AC107-AD106)</f>
        <v/>
      </c>
      <c r="AE113" s="26" t="str">
        <f t="shared" ref="AE113" si="1536">IF(AE106="","",AD106+AD107-AE106)</f>
        <v/>
      </c>
      <c r="AF113" s="26" t="str">
        <f t="shared" ref="AF113" si="1537">IF(AF106="","",AE106+AE107-AF106)</f>
        <v/>
      </c>
      <c r="AG113" s="26" t="str">
        <f t="shared" ref="AG113" si="1538">IF(AG106="","",AF106+AF107-AG106)</f>
        <v/>
      </c>
      <c r="AH113" s="26" t="str">
        <f t="shared" ref="AH113" si="1539">IF(AH106="","",AG106+AG107-AH106)</f>
        <v/>
      </c>
      <c r="AI113" s="26" t="str">
        <f t="shared" ref="AI113" si="1540">IF(AI106="","",AH106+AH107-AI106)</f>
        <v/>
      </c>
      <c r="AJ113" s="26" t="str">
        <f t="shared" ref="AJ113" si="1541">IF(AJ106="","",AI106+AI107-AJ106)</f>
        <v/>
      </c>
      <c r="AK113" s="26" t="str">
        <f t="shared" ref="AK113" si="1542">IF(AK106="","",AJ106+AJ107-AK106)</f>
        <v/>
      </c>
      <c r="AL113" s="26" t="str">
        <f t="shared" ref="AL113" si="1543">IF(AL106="","",AK106+AK107-AL106)</f>
        <v/>
      </c>
      <c r="AM113" s="26" t="str">
        <f t="shared" ref="AM113:AN113" si="1544">IF(AM106="","",AL106+AL107-AM106)</f>
        <v/>
      </c>
      <c r="AN113" s="26" t="str">
        <f t="shared" si="1544"/>
        <v/>
      </c>
      <c r="AO113" s="26" t="str">
        <f t="shared" ref="AO113:AS113" si="1545">IF(AO106="","",AN106+AN107-AO106)</f>
        <v/>
      </c>
      <c r="AP113" s="26" t="str">
        <f t="shared" si="1545"/>
        <v/>
      </c>
      <c r="AQ113" s="26" t="str">
        <f t="shared" si="1545"/>
        <v/>
      </c>
      <c r="AR113" s="26" t="str">
        <f t="shared" si="1545"/>
        <v/>
      </c>
      <c r="AS113" s="26" t="str">
        <f t="shared" si="1545"/>
        <v/>
      </c>
    </row>
    <row r="114" spans="1:45" s="84" customFormat="1" ht="11.25" x14ac:dyDescent="0.15">
      <c r="A114" s="7">
        <f>SUM(C114:AS114)</f>
        <v>1500</v>
      </c>
      <c r="B114" s="27" t="s">
        <v>16</v>
      </c>
      <c r="C114" s="26">
        <v>0</v>
      </c>
      <c r="D114" s="26">
        <v>0</v>
      </c>
      <c r="E114" s="26">
        <v>0</v>
      </c>
      <c r="F114" s="26">
        <v>0</v>
      </c>
      <c r="G114" s="26">
        <v>1500</v>
      </c>
      <c r="H114" s="26">
        <v>0</v>
      </c>
      <c r="I114" s="26">
        <v>0</v>
      </c>
      <c r="J114" s="26">
        <v>0</v>
      </c>
      <c r="K114" s="26">
        <v>0</v>
      </c>
      <c r="L114" s="26">
        <f t="shared" ref="J114:AL114" si="1546">IF(L104="","",L113*L108)</f>
        <v>0</v>
      </c>
      <c r="M114" s="26">
        <f t="shared" si="1546"/>
        <v>0</v>
      </c>
      <c r="N114" s="26">
        <f t="shared" si="1546"/>
        <v>0</v>
      </c>
      <c r="O114" s="26" t="str">
        <f t="shared" si="1546"/>
        <v/>
      </c>
      <c r="P114" s="26" t="str">
        <f t="shared" si="1546"/>
        <v/>
      </c>
      <c r="Q114" s="26" t="str">
        <f t="shared" si="1546"/>
        <v/>
      </c>
      <c r="R114" s="26" t="str">
        <f t="shared" si="1546"/>
        <v/>
      </c>
      <c r="S114" s="26" t="str">
        <f t="shared" si="1546"/>
        <v/>
      </c>
      <c r="T114" s="26" t="str">
        <f t="shared" si="1546"/>
        <v/>
      </c>
      <c r="U114" s="26" t="str">
        <f t="shared" si="1546"/>
        <v/>
      </c>
      <c r="V114" s="26" t="str">
        <f t="shared" si="1546"/>
        <v/>
      </c>
      <c r="W114" s="26" t="str">
        <f t="shared" si="1546"/>
        <v/>
      </c>
      <c r="X114" s="26" t="str">
        <f t="shared" si="1546"/>
        <v/>
      </c>
      <c r="Y114" s="26" t="str">
        <f t="shared" si="1546"/>
        <v/>
      </c>
      <c r="Z114" s="26" t="str">
        <f t="shared" si="1546"/>
        <v/>
      </c>
      <c r="AA114" s="26" t="str">
        <f t="shared" si="1546"/>
        <v/>
      </c>
      <c r="AB114" s="26" t="str">
        <f t="shared" si="1546"/>
        <v/>
      </c>
      <c r="AC114" s="26" t="str">
        <f t="shared" si="1546"/>
        <v/>
      </c>
      <c r="AD114" s="26" t="str">
        <f t="shared" si="1546"/>
        <v/>
      </c>
      <c r="AE114" s="26" t="str">
        <f t="shared" si="1546"/>
        <v/>
      </c>
      <c r="AF114" s="26" t="str">
        <f t="shared" si="1546"/>
        <v/>
      </c>
      <c r="AG114" s="26" t="str">
        <f t="shared" si="1546"/>
        <v/>
      </c>
      <c r="AH114" s="26" t="str">
        <f t="shared" si="1546"/>
        <v/>
      </c>
      <c r="AI114" s="26" t="str">
        <f t="shared" si="1546"/>
        <v/>
      </c>
      <c r="AJ114" s="26" t="str">
        <f t="shared" si="1546"/>
        <v/>
      </c>
      <c r="AK114" s="26" t="str">
        <f t="shared" si="1546"/>
        <v/>
      </c>
      <c r="AL114" s="26" t="str">
        <f t="shared" si="1546"/>
        <v/>
      </c>
      <c r="AM114" s="26" t="str">
        <f t="shared" ref="AM114:AN114" si="1547">IF(AM104="","",AM113*AM108)</f>
        <v/>
      </c>
      <c r="AN114" s="26" t="str">
        <f t="shared" si="1547"/>
        <v/>
      </c>
      <c r="AO114" s="26" t="str">
        <f t="shared" ref="AO114:AS114" si="1548">IF(AO104="","",AO113*AO108)</f>
        <v/>
      </c>
      <c r="AP114" s="26" t="str">
        <f t="shared" si="1548"/>
        <v/>
      </c>
      <c r="AQ114" s="26" t="str">
        <f t="shared" si="1548"/>
        <v/>
      </c>
      <c r="AR114" s="26" t="str">
        <f t="shared" si="1548"/>
        <v/>
      </c>
      <c r="AS114" s="26" t="str">
        <f t="shared" si="1548"/>
        <v/>
      </c>
    </row>
    <row r="115" spans="1:45" s="84" customFormat="1" ht="12" thickBot="1" x14ac:dyDescent="0.2">
      <c r="A115" s="4">
        <f>IF(A114="","",A114/(A111*100))</f>
        <v>4.0983606557377046E-2</v>
      </c>
      <c r="B115" s="24" t="s">
        <v>18</v>
      </c>
      <c r="C115" s="23" t="s">
        <v>19</v>
      </c>
      <c r="D115" s="23" t="s">
        <v>19</v>
      </c>
      <c r="E115" s="23" t="s">
        <v>19</v>
      </c>
      <c r="F115" s="23" t="s">
        <v>19</v>
      </c>
      <c r="G115" s="23">
        <v>6.25E-2</v>
      </c>
      <c r="H115" s="23" t="s">
        <v>19</v>
      </c>
      <c r="I115" s="23" t="s">
        <v>19</v>
      </c>
      <c r="J115" s="23" t="s">
        <v>19</v>
      </c>
      <c r="K115" s="23" t="s">
        <v>19</v>
      </c>
      <c r="L115" s="23" t="str">
        <f t="shared" ref="J115:AL115" si="1549">IF(L114="","",IF(L114=0,"",L114/(L111*100)))</f>
        <v/>
      </c>
      <c r="M115" s="23" t="str">
        <f t="shared" si="1549"/>
        <v/>
      </c>
      <c r="N115" s="23" t="str">
        <f t="shared" si="1549"/>
        <v/>
      </c>
      <c r="O115" s="23" t="str">
        <f t="shared" si="1549"/>
        <v/>
      </c>
      <c r="P115" s="23" t="str">
        <f t="shared" si="1549"/>
        <v/>
      </c>
      <c r="Q115" s="23" t="str">
        <f t="shared" si="1549"/>
        <v/>
      </c>
      <c r="R115" s="23" t="str">
        <f t="shared" si="1549"/>
        <v/>
      </c>
      <c r="S115" s="23" t="str">
        <f t="shared" si="1549"/>
        <v/>
      </c>
      <c r="T115" s="23" t="str">
        <f t="shared" si="1549"/>
        <v/>
      </c>
      <c r="U115" s="23" t="str">
        <f t="shared" si="1549"/>
        <v/>
      </c>
      <c r="V115" s="23" t="str">
        <f t="shared" si="1549"/>
        <v/>
      </c>
      <c r="W115" s="23" t="str">
        <f t="shared" si="1549"/>
        <v/>
      </c>
      <c r="X115" s="23" t="str">
        <f t="shared" si="1549"/>
        <v/>
      </c>
      <c r="Y115" s="23" t="str">
        <f t="shared" si="1549"/>
        <v/>
      </c>
      <c r="Z115" s="23" t="str">
        <f t="shared" si="1549"/>
        <v/>
      </c>
      <c r="AA115" s="23" t="str">
        <f t="shared" si="1549"/>
        <v/>
      </c>
      <c r="AB115" s="23" t="str">
        <f t="shared" si="1549"/>
        <v/>
      </c>
      <c r="AC115" s="23" t="str">
        <f t="shared" si="1549"/>
        <v/>
      </c>
      <c r="AD115" s="23" t="str">
        <f t="shared" si="1549"/>
        <v/>
      </c>
      <c r="AE115" s="23" t="str">
        <f t="shared" si="1549"/>
        <v/>
      </c>
      <c r="AF115" s="23" t="str">
        <f t="shared" si="1549"/>
        <v/>
      </c>
      <c r="AG115" s="23" t="str">
        <f t="shared" si="1549"/>
        <v/>
      </c>
      <c r="AH115" s="23" t="str">
        <f t="shared" si="1549"/>
        <v/>
      </c>
      <c r="AI115" s="23" t="str">
        <f t="shared" si="1549"/>
        <v/>
      </c>
      <c r="AJ115" s="23" t="str">
        <f t="shared" si="1549"/>
        <v/>
      </c>
      <c r="AK115" s="23" t="str">
        <f t="shared" si="1549"/>
        <v/>
      </c>
      <c r="AL115" s="23" t="str">
        <f t="shared" si="1549"/>
        <v/>
      </c>
      <c r="AM115" s="23" t="str">
        <f t="shared" ref="AM115:AN115" si="1550">IF(AM114="","",IF(AM114=0,"",AM114/(AM111*100)))</f>
        <v/>
      </c>
      <c r="AN115" s="23" t="str">
        <f t="shared" si="1550"/>
        <v/>
      </c>
      <c r="AO115" s="23" t="str">
        <f t="shared" ref="AO115:AS115" si="1551">IF(AO114="","",IF(AO114=0,"",AO114/(AO111*100)))</f>
        <v/>
      </c>
      <c r="AP115" s="23" t="str">
        <f t="shared" si="1551"/>
        <v/>
      </c>
      <c r="AQ115" s="23" t="str">
        <f t="shared" si="1551"/>
        <v/>
      </c>
      <c r="AR115" s="23" t="str">
        <f t="shared" si="1551"/>
        <v/>
      </c>
      <c r="AS115" s="23" t="str">
        <f t="shared" si="1551"/>
        <v/>
      </c>
    </row>
    <row r="116" spans="1:45" x14ac:dyDescent="0.2">
      <c r="A116" s="364" t="s">
        <v>82</v>
      </c>
      <c r="B116" s="365"/>
    </row>
  </sheetData>
  <phoneticPr fontId="2"/>
  <conditionalFormatting sqref="A19">
    <cfRule type="cellIs" dxfId="14" priority="9" operator="greaterThan">
      <formula>0.25</formula>
    </cfRule>
  </conditionalFormatting>
  <conditionalFormatting sqref="A31">
    <cfRule type="cellIs" dxfId="13" priority="10" operator="greaterThan">
      <formula>0.25</formula>
    </cfRule>
  </conditionalFormatting>
  <conditionalFormatting sqref="A43">
    <cfRule type="cellIs" dxfId="12" priority="11" operator="greaterThan">
      <formula>0.25</formula>
    </cfRule>
  </conditionalFormatting>
  <conditionalFormatting sqref="A55 A103">
    <cfRule type="cellIs" dxfId="11" priority="15" operator="greaterThan">
      <formula>0.25</formula>
    </cfRule>
  </conditionalFormatting>
  <conditionalFormatting sqref="A67">
    <cfRule type="cellIs" dxfId="10" priority="12" operator="greaterThan">
      <formula>0.25</formula>
    </cfRule>
  </conditionalFormatting>
  <conditionalFormatting sqref="A79">
    <cfRule type="cellIs" dxfId="9" priority="13" operator="greaterThan">
      <formula>0.25</formula>
    </cfRule>
  </conditionalFormatting>
  <conditionalFormatting sqref="A91">
    <cfRule type="cellIs" dxfId="8" priority="14" operator="greaterThan">
      <formula>0.25</formula>
    </cfRule>
  </conditionalFormatting>
  <conditionalFormatting sqref="A115">
    <cfRule type="cellIs" dxfId="7" priority="8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A9E0-DC27-40A3-8697-56CA838235ED}">
  <dimension ref="A1:AS104"/>
  <sheetViews>
    <sheetView zoomScaleNormal="60" zoomScaleSheetLayoutView="100" workbookViewId="0">
      <pane xSplit="2" ySplit="2" topLeftCell="L31" activePane="bottomRight" state="frozen"/>
      <selection pane="bottomLeft" activeCell="A3" sqref="A3"/>
      <selection pane="topRight" activeCell="C1" sqref="C1"/>
      <selection pane="bottomRight" activeCell="V1" sqref="V1:V1048576"/>
    </sheetView>
  </sheetViews>
  <sheetFormatPr defaultColWidth="8.875" defaultRowHeight="15" x14ac:dyDescent="0.2"/>
  <cols>
    <col min="3" max="11" width="9.14453125" bestFit="1" customWidth="1"/>
    <col min="12" max="41" width="8.875" bestFit="1" customWidth="1"/>
  </cols>
  <sheetData>
    <row r="1" spans="1:45" s="84" customFormat="1" ht="11.25" x14ac:dyDescent="0.15">
      <c r="A1" s="349">
        <f>SUM(A62,A74,A86,A98,A14,A26,A38,A50)</f>
        <v>254250</v>
      </c>
      <c r="B1" s="47" t="s">
        <v>0</v>
      </c>
      <c r="C1" s="46">
        <v>46156</v>
      </c>
      <c r="D1" s="46">
        <v>46157</v>
      </c>
      <c r="E1" s="46">
        <v>46158</v>
      </c>
      <c r="F1" s="46">
        <v>46159</v>
      </c>
      <c r="G1" s="46">
        <v>46160</v>
      </c>
      <c r="H1" s="46">
        <v>46161</v>
      </c>
      <c r="I1" s="46">
        <v>46162</v>
      </c>
      <c r="J1" s="46">
        <v>46163</v>
      </c>
      <c r="K1" s="46">
        <v>46164</v>
      </c>
      <c r="L1" s="46">
        <f t="shared" ref="L1" si="0">K1+1</f>
        <v>46165</v>
      </c>
      <c r="M1" s="46">
        <f t="shared" ref="M1" si="1">L1+1</f>
        <v>46166</v>
      </c>
      <c r="N1" s="46">
        <f t="shared" ref="N1" si="2">M1+1</f>
        <v>46167</v>
      </c>
      <c r="O1" s="46">
        <f t="shared" ref="O1" si="3">N1+1</f>
        <v>46168</v>
      </c>
      <c r="P1" s="46">
        <f t="shared" ref="P1" si="4">O1+1</f>
        <v>46169</v>
      </c>
      <c r="Q1" s="46">
        <f t="shared" ref="Q1" si="5">P1+1</f>
        <v>46170</v>
      </c>
      <c r="R1" s="46">
        <f t="shared" ref="R1" si="6">Q1+1</f>
        <v>46171</v>
      </c>
      <c r="S1" s="46">
        <f t="shared" ref="S1" si="7">R1+1</f>
        <v>46172</v>
      </c>
      <c r="T1" s="46">
        <f t="shared" ref="T1" si="8">S1+1</f>
        <v>46173</v>
      </c>
      <c r="U1" s="46">
        <f t="shared" ref="U1" si="9">T1+1</f>
        <v>46174</v>
      </c>
      <c r="V1" s="46">
        <f t="shared" ref="V1" si="10">U1+1</f>
        <v>46175</v>
      </c>
      <c r="W1" s="46">
        <f t="shared" ref="W1" si="11">V1+1</f>
        <v>46176</v>
      </c>
      <c r="X1" s="46">
        <f t="shared" ref="X1" si="12">W1+1</f>
        <v>46177</v>
      </c>
      <c r="Y1" s="46">
        <f t="shared" ref="Y1" si="13">X1+1</f>
        <v>46178</v>
      </c>
      <c r="Z1" s="46">
        <f t="shared" ref="Z1" si="14">Y1+1</f>
        <v>46179</v>
      </c>
      <c r="AA1" s="46">
        <f t="shared" ref="AA1" si="15">Z1+1</f>
        <v>46180</v>
      </c>
      <c r="AB1" s="46">
        <f t="shared" ref="AB1" si="16">AA1+1</f>
        <v>46181</v>
      </c>
      <c r="AC1" s="46">
        <f t="shared" ref="AC1" si="17">AB1+1</f>
        <v>46182</v>
      </c>
      <c r="AD1" s="46">
        <f t="shared" ref="AD1" si="18">AC1+1</f>
        <v>46183</v>
      </c>
      <c r="AE1" s="46">
        <f t="shared" ref="AE1" si="19">AD1+1</f>
        <v>46184</v>
      </c>
      <c r="AF1" s="46">
        <f t="shared" ref="AF1" si="20">AE1+1</f>
        <v>46185</v>
      </c>
      <c r="AG1" s="46">
        <f t="shared" ref="AG1" si="21">AF1+1</f>
        <v>46186</v>
      </c>
      <c r="AH1" s="46">
        <f t="shared" ref="AH1" si="22">AG1+1</f>
        <v>46187</v>
      </c>
      <c r="AI1" s="46">
        <f t="shared" ref="AI1" si="23">AH1+1</f>
        <v>46188</v>
      </c>
      <c r="AJ1" s="46">
        <f t="shared" ref="AJ1" si="24">AI1+1</f>
        <v>46189</v>
      </c>
      <c r="AK1" s="46">
        <f t="shared" ref="AK1" si="25">AJ1+1</f>
        <v>46190</v>
      </c>
      <c r="AL1" s="46">
        <f t="shared" ref="AL1" si="26">AK1+1</f>
        <v>46191</v>
      </c>
      <c r="AM1" s="46">
        <f t="shared" ref="AM1" si="27">AL1+1</f>
        <v>46192</v>
      </c>
      <c r="AN1" s="46">
        <f t="shared" ref="AN1" si="28">AM1+1</f>
        <v>46193</v>
      </c>
      <c r="AO1" s="46">
        <f t="shared" ref="AO1:AS1" si="29">AN1+1</f>
        <v>46194</v>
      </c>
      <c r="AP1" s="46">
        <f t="shared" si="29"/>
        <v>46195</v>
      </c>
      <c r="AQ1" s="46">
        <f t="shared" si="29"/>
        <v>46196</v>
      </c>
      <c r="AR1" s="46">
        <f t="shared" si="29"/>
        <v>46197</v>
      </c>
      <c r="AS1" s="46">
        <f t="shared" si="29"/>
        <v>46198</v>
      </c>
    </row>
    <row r="2" spans="1:45" s="84" customFormat="1" ht="11.25" x14ac:dyDescent="0.15">
      <c r="A2" s="45"/>
      <c r="B2" s="44">
        <f>SUM(C2:AO2)</f>
        <v>1017</v>
      </c>
      <c r="C2" s="43">
        <v>0</v>
      </c>
      <c r="D2" s="43">
        <v>0</v>
      </c>
      <c r="E2" s="43">
        <v>0</v>
      </c>
      <c r="F2" s="43">
        <v>0</v>
      </c>
      <c r="G2" s="43">
        <v>511</v>
      </c>
      <c r="H2" s="43">
        <v>0</v>
      </c>
      <c r="I2" s="43">
        <v>0</v>
      </c>
      <c r="J2" s="43">
        <v>0</v>
      </c>
      <c r="K2" s="43">
        <v>261</v>
      </c>
      <c r="L2" s="43">
        <f t="shared" ref="J2:AN2" si="30">SUM(L15,L27,L39,L51,L63,L75,L87,L99)</f>
        <v>0</v>
      </c>
      <c r="M2" s="43">
        <f t="shared" si="30"/>
        <v>0</v>
      </c>
      <c r="N2" s="43">
        <f t="shared" si="30"/>
        <v>245</v>
      </c>
      <c r="O2" s="43">
        <f t="shared" si="30"/>
        <v>0</v>
      </c>
      <c r="P2" s="43">
        <f t="shared" si="30"/>
        <v>0</v>
      </c>
      <c r="Q2" s="43">
        <f t="shared" si="30"/>
        <v>0</v>
      </c>
      <c r="R2" s="43">
        <f t="shared" si="30"/>
        <v>0</v>
      </c>
      <c r="S2" s="43">
        <f t="shared" si="30"/>
        <v>0</v>
      </c>
      <c r="T2" s="43">
        <f t="shared" si="30"/>
        <v>0</v>
      </c>
      <c r="U2" s="43">
        <f t="shared" si="30"/>
        <v>0</v>
      </c>
      <c r="V2" s="43">
        <f t="shared" si="30"/>
        <v>0</v>
      </c>
      <c r="W2" s="43">
        <f t="shared" si="30"/>
        <v>0</v>
      </c>
      <c r="X2" s="43">
        <f t="shared" si="30"/>
        <v>0</v>
      </c>
      <c r="Y2" s="43">
        <f t="shared" si="30"/>
        <v>0</v>
      </c>
      <c r="Z2" s="43">
        <f t="shared" si="30"/>
        <v>0</v>
      </c>
      <c r="AA2" s="43">
        <f t="shared" si="30"/>
        <v>0</v>
      </c>
      <c r="AB2" s="43">
        <f t="shared" si="30"/>
        <v>0</v>
      </c>
      <c r="AC2" s="43">
        <f t="shared" si="30"/>
        <v>0</v>
      </c>
      <c r="AD2" s="43">
        <f t="shared" si="30"/>
        <v>0</v>
      </c>
      <c r="AE2" s="43">
        <f t="shared" si="30"/>
        <v>0</v>
      </c>
      <c r="AF2" s="43">
        <f t="shared" si="30"/>
        <v>0</v>
      </c>
      <c r="AG2" s="43">
        <f t="shared" si="30"/>
        <v>0</v>
      </c>
      <c r="AH2" s="43">
        <f t="shared" si="30"/>
        <v>0</v>
      </c>
      <c r="AI2" s="43">
        <f t="shared" si="30"/>
        <v>0</v>
      </c>
      <c r="AJ2" s="43">
        <f t="shared" si="30"/>
        <v>0</v>
      </c>
      <c r="AK2" s="43">
        <f t="shared" si="30"/>
        <v>0</v>
      </c>
      <c r="AL2" s="43">
        <f t="shared" si="30"/>
        <v>0</v>
      </c>
      <c r="AM2" s="43">
        <f t="shared" si="30"/>
        <v>0</v>
      </c>
      <c r="AN2" s="43">
        <f t="shared" si="30"/>
        <v>0</v>
      </c>
      <c r="AO2" s="43">
        <f t="shared" ref="AO2:AS2" si="31">SUM(AO15,AO27,AO39,AO51,AO63,AO75,AO87,AO99)</f>
        <v>0</v>
      </c>
      <c r="AP2" s="43">
        <f t="shared" si="31"/>
        <v>0</v>
      </c>
      <c r="AQ2" s="43">
        <f t="shared" si="31"/>
        <v>0</v>
      </c>
      <c r="AR2" s="43">
        <f t="shared" si="31"/>
        <v>0</v>
      </c>
      <c r="AS2" s="43">
        <f t="shared" si="31"/>
        <v>0</v>
      </c>
    </row>
    <row r="3" spans="1:45" s="388" customFormat="1" ht="11.25" x14ac:dyDescent="0.15">
      <c r="A3" s="385" t="s">
        <v>342</v>
      </c>
      <c r="B3" s="386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7"/>
      <c r="AJ3" s="387"/>
      <c r="AK3" s="387"/>
      <c r="AL3" s="387"/>
      <c r="AM3" s="387"/>
      <c r="AN3" s="387"/>
      <c r="AO3" s="387"/>
      <c r="AP3" s="387"/>
      <c r="AQ3" s="387"/>
      <c r="AR3" s="387"/>
      <c r="AS3" s="387"/>
    </row>
    <row r="4" spans="1:45" s="388" customFormat="1" ht="11.25" x14ac:dyDescent="0.15">
      <c r="A4" s="385" t="s">
        <v>343</v>
      </c>
      <c r="B4" s="386"/>
      <c r="C4" s="387"/>
      <c r="D4" s="387"/>
      <c r="E4" s="387"/>
      <c r="F4" s="387"/>
      <c r="G4" s="387"/>
      <c r="H4" s="387"/>
      <c r="I4" s="387"/>
      <c r="J4" s="387"/>
      <c r="K4" s="387"/>
      <c r="L4" s="387"/>
      <c r="M4" s="387"/>
      <c r="N4" s="387"/>
      <c r="O4" s="387"/>
      <c r="P4" s="387"/>
      <c r="Q4" s="387"/>
      <c r="R4" s="387"/>
      <c r="S4" s="387"/>
      <c r="T4" s="387"/>
      <c r="U4" s="387"/>
      <c r="V4" s="387"/>
      <c r="W4" s="387"/>
      <c r="X4" s="387"/>
      <c r="Y4" s="387"/>
      <c r="Z4" s="387"/>
      <c r="AA4" s="387"/>
      <c r="AB4" s="387"/>
      <c r="AC4" s="387"/>
      <c r="AD4" s="387"/>
      <c r="AE4" s="387"/>
      <c r="AF4" s="387"/>
      <c r="AG4" s="387"/>
      <c r="AH4" s="387"/>
      <c r="AI4" s="387"/>
      <c r="AJ4" s="387"/>
      <c r="AK4" s="387"/>
      <c r="AL4" s="387"/>
      <c r="AM4" s="387"/>
      <c r="AN4" s="387"/>
      <c r="AO4" s="387"/>
      <c r="AP4" s="387"/>
      <c r="AQ4" s="387"/>
      <c r="AR4" s="387"/>
      <c r="AS4" s="387"/>
    </row>
    <row r="5" spans="1:45" s="388" customFormat="1" ht="11.25" x14ac:dyDescent="0.15">
      <c r="A5" s="385" t="s">
        <v>344</v>
      </c>
      <c r="B5" s="386"/>
      <c r="C5" s="387"/>
      <c r="D5" s="387"/>
      <c r="E5" s="387"/>
      <c r="F5" s="387"/>
      <c r="G5" s="387"/>
      <c r="H5" s="387"/>
      <c r="I5" s="387"/>
      <c r="J5" s="387"/>
      <c r="K5" s="387"/>
      <c r="L5" s="387"/>
      <c r="M5" s="387"/>
      <c r="N5" s="387"/>
      <c r="O5" s="387"/>
      <c r="P5" s="387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  <c r="AK5" s="387"/>
      <c r="AL5" s="387"/>
      <c r="AM5" s="387"/>
      <c r="AN5" s="387"/>
      <c r="AO5" s="387"/>
      <c r="AP5" s="387"/>
      <c r="AQ5" s="387"/>
      <c r="AR5" s="387"/>
      <c r="AS5" s="387"/>
    </row>
    <row r="6" spans="1:45" s="388" customFormat="1" ht="11.25" x14ac:dyDescent="0.15">
      <c r="A6" s="385" t="s">
        <v>345</v>
      </c>
      <c r="B6" s="386"/>
      <c r="C6" s="387"/>
      <c r="D6" s="387"/>
      <c r="E6" s="387"/>
      <c r="F6" s="387"/>
      <c r="G6" s="387"/>
      <c r="H6" s="387"/>
      <c r="I6" s="387"/>
      <c r="J6" s="387"/>
      <c r="K6" s="387"/>
      <c r="L6" s="387"/>
      <c r="M6" s="387"/>
      <c r="N6" s="387"/>
      <c r="O6" s="387"/>
      <c r="P6" s="387"/>
      <c r="Q6" s="387"/>
      <c r="R6" s="387"/>
      <c r="S6" s="387"/>
      <c r="T6" s="387"/>
      <c r="U6" s="387"/>
      <c r="V6" s="387"/>
      <c r="W6" s="387"/>
      <c r="X6" s="387"/>
      <c r="Y6" s="387"/>
      <c r="Z6" s="387"/>
      <c r="AA6" s="387"/>
      <c r="AB6" s="387"/>
      <c r="AC6" s="387"/>
      <c r="AD6" s="387"/>
      <c r="AE6" s="387"/>
      <c r="AF6" s="387"/>
      <c r="AG6" s="387"/>
      <c r="AH6" s="387"/>
      <c r="AI6" s="387"/>
      <c r="AJ6" s="387"/>
      <c r="AK6" s="387"/>
      <c r="AL6" s="387"/>
      <c r="AM6" s="387"/>
      <c r="AN6" s="387"/>
      <c r="AO6" s="387"/>
      <c r="AP6" s="387"/>
      <c r="AQ6" s="387"/>
      <c r="AR6" s="387"/>
      <c r="AS6" s="387"/>
    </row>
    <row r="7" spans="1:45" s="388" customFormat="1" ht="12" thickBot="1" x14ac:dyDescent="0.2">
      <c r="A7" s="385" t="s">
        <v>346</v>
      </c>
      <c r="B7" s="386"/>
      <c r="C7" s="387"/>
      <c r="D7" s="387"/>
      <c r="E7" s="387"/>
      <c r="F7" s="387"/>
      <c r="G7" s="387"/>
      <c r="H7" s="387"/>
      <c r="I7" s="387"/>
      <c r="J7" s="387"/>
      <c r="K7" s="387"/>
      <c r="L7" s="387"/>
      <c r="M7" s="387"/>
      <c r="N7" s="387"/>
      <c r="O7" s="387"/>
      <c r="P7" s="387"/>
      <c r="Q7" s="387"/>
      <c r="R7" s="387"/>
      <c r="S7" s="387"/>
      <c r="T7" s="387"/>
      <c r="U7" s="387"/>
      <c r="V7" s="387"/>
      <c r="W7" s="387"/>
      <c r="X7" s="387"/>
      <c r="Y7" s="387"/>
      <c r="Z7" s="387"/>
      <c r="AA7" s="387"/>
      <c r="AB7" s="387"/>
      <c r="AC7" s="387"/>
      <c r="AD7" s="387"/>
      <c r="AE7" s="387"/>
      <c r="AF7" s="387"/>
      <c r="AG7" s="387"/>
      <c r="AH7" s="387"/>
      <c r="AI7" s="387"/>
      <c r="AJ7" s="387"/>
      <c r="AK7" s="387"/>
      <c r="AL7" s="387"/>
      <c r="AM7" s="387"/>
      <c r="AN7" s="387"/>
      <c r="AO7" s="387"/>
      <c r="AP7" s="387"/>
      <c r="AQ7" s="387"/>
      <c r="AR7" s="387"/>
      <c r="AS7" s="387"/>
    </row>
    <row r="8" spans="1:45" s="84" customFormat="1" ht="11.25" x14ac:dyDescent="0.15">
      <c r="A8" s="22" t="s">
        <v>96</v>
      </c>
      <c r="B8" s="21" t="s">
        <v>2</v>
      </c>
      <c r="C8" s="20">
        <v>24643</v>
      </c>
      <c r="D8" s="20">
        <v>24643</v>
      </c>
      <c r="E8" s="20">
        <v>24643</v>
      </c>
      <c r="F8" s="20">
        <v>24643</v>
      </c>
      <c r="G8" s="20">
        <v>24786</v>
      </c>
      <c r="H8" s="20">
        <v>24786</v>
      </c>
      <c r="I8" s="20">
        <v>24786</v>
      </c>
      <c r="J8" s="20">
        <v>24786</v>
      </c>
      <c r="K8" s="20">
        <v>24827</v>
      </c>
      <c r="L8" s="20">
        <v>24827</v>
      </c>
      <c r="M8" s="20">
        <v>24827</v>
      </c>
      <c r="N8" s="20">
        <v>24884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</row>
    <row r="9" spans="1:45" s="84" customFormat="1" ht="11.25" x14ac:dyDescent="0.15">
      <c r="A9" s="16" t="s">
        <v>95</v>
      </c>
      <c r="B9" s="9" t="s">
        <v>4</v>
      </c>
      <c r="C9" s="8">
        <v>1612</v>
      </c>
      <c r="D9" s="8">
        <v>1612</v>
      </c>
      <c r="E9" s="8">
        <v>1612</v>
      </c>
      <c r="F9" s="8">
        <v>1612</v>
      </c>
      <c r="G9" s="8">
        <v>1627</v>
      </c>
      <c r="H9" s="8">
        <v>1627</v>
      </c>
      <c r="I9" s="8">
        <v>1627</v>
      </c>
      <c r="J9" s="8">
        <v>1627</v>
      </c>
      <c r="K9" s="8">
        <v>1629</v>
      </c>
      <c r="L9" s="8">
        <f>IF(L$8="","",K9)</f>
        <v>1629</v>
      </c>
      <c r="M9" s="8">
        <f t="shared" ref="M9" si="32">IF(M$8="","",L9)</f>
        <v>1629</v>
      </c>
      <c r="N9" s="8">
        <v>1635</v>
      </c>
      <c r="O9" s="8" t="str">
        <f>IF(O$8="","",N9)</f>
        <v/>
      </c>
      <c r="P9" s="8" t="str">
        <f t="shared" ref="P9" si="33">IF(P$8="","",O9)</f>
        <v/>
      </c>
      <c r="Q9" s="8" t="str">
        <f t="shared" ref="Q9" si="34">IF(Q$8="","",P9)</f>
        <v/>
      </c>
      <c r="R9" s="8" t="str">
        <f t="shared" ref="R9" si="35">IF(R$8="","",Q9)</f>
        <v/>
      </c>
      <c r="S9" s="8" t="str">
        <f>IF(S$8="","",R9)</f>
        <v/>
      </c>
      <c r="T9" s="8" t="str">
        <f t="shared" ref="T9" si="36">IF(T$8="","",S9)</f>
        <v/>
      </c>
      <c r="U9" s="8" t="str">
        <f t="shared" ref="U9" si="37">IF(U$8="","",T9)</f>
        <v/>
      </c>
      <c r="V9" s="8" t="str">
        <f>IF(V$8="","",U9)</f>
        <v/>
      </c>
      <c r="W9" s="8" t="str">
        <f t="shared" ref="W9" si="38">IF(W$8="","",V9)</f>
        <v/>
      </c>
      <c r="X9" s="8" t="str">
        <f t="shared" ref="X9" si="39">IF(X$8="","",W9)</f>
        <v/>
      </c>
      <c r="Y9" s="8" t="str">
        <f>IF(Y$8="","",X9)</f>
        <v/>
      </c>
      <c r="Z9" s="8" t="str">
        <f>IF(Z$8="","",Y9)</f>
        <v/>
      </c>
      <c r="AA9" s="8" t="str">
        <f t="shared" ref="AA9" si="40">IF(AA$8="","",Z9)</f>
        <v/>
      </c>
      <c r="AB9" s="8" t="str">
        <f t="shared" ref="AB9" si="41">IF(AB$8="","",AA9)</f>
        <v/>
      </c>
      <c r="AC9" s="8" t="str">
        <f t="shared" ref="AC9" si="42">IF(AC$8="","",AB9)</f>
        <v/>
      </c>
      <c r="AD9" s="8" t="str">
        <f>IF(AD$8="","",AC9)</f>
        <v/>
      </c>
      <c r="AE9" s="8" t="str">
        <f>IF(AE$8="","",AD9)</f>
        <v/>
      </c>
      <c r="AF9" s="8" t="str">
        <f t="shared" ref="AF9" si="43">IF(AF$8="","",AE9)</f>
        <v/>
      </c>
      <c r="AG9" s="8" t="str">
        <f t="shared" ref="AG9" si="44">IF(AG$8="","",AF9)</f>
        <v/>
      </c>
      <c r="AH9" s="8" t="str">
        <f t="shared" ref="AH9" si="45">IF(AH$8="","",AG9)</f>
        <v/>
      </c>
      <c r="AI9" s="8" t="str">
        <f t="shared" ref="AI9" si="46">IF(AI$8="","",AH9)</f>
        <v/>
      </c>
      <c r="AJ9" s="8" t="str">
        <f>IF(AJ$8="","",AI9)</f>
        <v/>
      </c>
      <c r="AK9" s="8" t="str">
        <f t="shared" ref="AK9" si="47">IF(AK$8="","",AJ9)</f>
        <v/>
      </c>
      <c r="AL9" s="8" t="str">
        <f t="shared" ref="AL9" si="48">IF(AL$8="","",AK9)</f>
        <v/>
      </c>
      <c r="AM9" s="8" t="str">
        <f t="shared" ref="AM9" si="49">IF(AM$8="","",AL9)</f>
        <v/>
      </c>
      <c r="AN9" s="8" t="str">
        <f>IF(AN$8="","",AM9)</f>
        <v/>
      </c>
      <c r="AO9" s="8" t="str">
        <f t="shared" ref="AO9:AS9" si="50">IF(AO$8="","",AN9)</f>
        <v/>
      </c>
      <c r="AP9" s="8" t="str">
        <f t="shared" si="50"/>
        <v/>
      </c>
      <c r="AQ9" s="8" t="str">
        <f t="shared" si="50"/>
        <v/>
      </c>
      <c r="AR9" s="8" t="str">
        <f t="shared" si="50"/>
        <v/>
      </c>
      <c r="AS9" s="8" t="str">
        <f t="shared" si="50"/>
        <v/>
      </c>
    </row>
    <row r="10" spans="1:45" s="84" customFormat="1" ht="11.25" x14ac:dyDescent="0.15">
      <c r="A10" s="15">
        <v>1</v>
      </c>
      <c r="B10" s="9" t="s">
        <v>5</v>
      </c>
      <c r="C10" s="8">
        <v>34</v>
      </c>
      <c r="D10" s="8">
        <v>34</v>
      </c>
      <c r="E10" s="8">
        <v>34</v>
      </c>
      <c r="F10" s="8">
        <v>34</v>
      </c>
      <c r="G10" s="8">
        <v>26</v>
      </c>
      <c r="H10" s="8">
        <v>26</v>
      </c>
      <c r="I10" s="8">
        <v>26</v>
      </c>
      <c r="J10" s="8">
        <v>26</v>
      </c>
      <c r="K10" s="8">
        <v>24</v>
      </c>
      <c r="L10" s="8">
        <f>IF(L8="","",(K10+K11))</f>
        <v>24</v>
      </c>
      <c r="M10" s="8">
        <f t="shared" ref="M10" si="51">IF(M8="","",(L10+L11))</f>
        <v>24</v>
      </c>
      <c r="N10" s="8">
        <v>18</v>
      </c>
      <c r="O10" s="8" t="str">
        <f>IF(O8="","",(N10+N11))</f>
        <v/>
      </c>
      <c r="P10" s="8" t="str">
        <f t="shared" ref="P10" si="52">IF(P8="","",(O10+O11))</f>
        <v/>
      </c>
      <c r="Q10" s="8" t="str">
        <f t="shared" ref="Q10" si="53">IF(Q8="","",(P10+P11))</f>
        <v/>
      </c>
      <c r="R10" s="8" t="str">
        <f t="shared" ref="R10" si="54">IF(R8="","",(Q10+Q11))</f>
        <v/>
      </c>
      <c r="S10" s="8" t="str">
        <f>IF(S8="","",(R10+R11))</f>
        <v/>
      </c>
      <c r="T10" s="8" t="str">
        <f t="shared" ref="T10" si="55">IF(T8="","",(S10+S11))</f>
        <v/>
      </c>
      <c r="U10" s="8" t="str">
        <f t="shared" ref="U10" si="56">IF(U8="","",(T10+T11))</f>
        <v/>
      </c>
      <c r="V10" s="8" t="str">
        <f>IF(V8="","",(U10+U11))</f>
        <v/>
      </c>
      <c r="W10" s="8" t="str">
        <f t="shared" ref="W10" si="57">IF(W8="","",(V10+V11))</f>
        <v/>
      </c>
      <c r="X10" s="8" t="str">
        <f t="shared" ref="X10" si="58">IF(X8="","",(W10+W11))</f>
        <v/>
      </c>
      <c r="Y10" s="8" t="str">
        <f t="shared" ref="Y10" si="59">IF(Y8="","",(X10+X11))</f>
        <v/>
      </c>
      <c r="Z10" s="8" t="str">
        <f>IF(Z8="","",(Y10+Y11))</f>
        <v/>
      </c>
      <c r="AA10" s="8" t="str">
        <f t="shared" ref="AA10" si="60">IF(AA8="","",(Z10+Z11))</f>
        <v/>
      </c>
      <c r="AB10" s="8" t="str">
        <f t="shared" ref="AB10" si="61">IF(AB8="","",(AA10+AA11))</f>
        <v/>
      </c>
      <c r="AC10" s="8" t="str">
        <f t="shared" ref="AC10" si="62">IF(AC8="","",(AB10+AB11))</f>
        <v/>
      </c>
      <c r="AD10" s="8" t="str">
        <f t="shared" ref="AD10" si="63">IF(AD8="","",(AC10+AC11))</f>
        <v/>
      </c>
      <c r="AE10" s="8" t="str">
        <f>IF(AE8="","",(AD10+AD11))</f>
        <v/>
      </c>
      <c r="AF10" s="8" t="str">
        <f t="shared" ref="AF10" si="64">IF(AF8="","",(AE10+AE11))</f>
        <v/>
      </c>
      <c r="AG10" s="8" t="str">
        <f>IF(AG8="","",(AF10+AF11))</f>
        <v/>
      </c>
      <c r="AH10" s="8" t="str">
        <f t="shared" ref="AH10" si="65">IF(AH8="","",(AG10+AG11))</f>
        <v/>
      </c>
      <c r="AI10" s="8" t="str">
        <f t="shared" ref="AI10" si="66">IF(AI8="","",(AH10+AH11))</f>
        <v/>
      </c>
      <c r="AJ10" s="8" t="str">
        <f>IF(AJ8="","",(AI10+AI11))</f>
        <v/>
      </c>
      <c r="AK10" s="8" t="str">
        <f t="shared" ref="AK10" si="67">IF(AK8="","",(AJ10+AJ11))</f>
        <v/>
      </c>
      <c r="AL10" s="8" t="str">
        <f t="shared" ref="AL10" si="68">IF(AL8="","",(AK10+AK11))</f>
        <v/>
      </c>
      <c r="AM10" s="8" t="str">
        <f t="shared" ref="AM10" si="69">IF(AM8="","",(AL10+AL11))</f>
        <v/>
      </c>
      <c r="AN10" s="8" t="str">
        <f>IF(AN8="","",(AM10+AM11))</f>
        <v/>
      </c>
      <c r="AO10" s="8" t="str">
        <f t="shared" ref="AO10:AS10" si="70">IF(AO8="","",(AN10+AN11))</f>
        <v/>
      </c>
      <c r="AP10" s="8" t="str">
        <f t="shared" si="70"/>
        <v/>
      </c>
      <c r="AQ10" s="8" t="str">
        <f t="shared" si="70"/>
        <v/>
      </c>
      <c r="AR10" s="8" t="str">
        <f t="shared" si="70"/>
        <v/>
      </c>
      <c r="AS10" s="8" t="str">
        <f t="shared" si="70"/>
        <v/>
      </c>
    </row>
    <row r="11" spans="1:45" s="84" customFormat="1" ht="11.25" x14ac:dyDescent="0.15">
      <c r="A11" s="92" t="s">
        <v>6</v>
      </c>
      <c r="B11" s="9" t="s">
        <v>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>
        <v>9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</row>
    <row r="12" spans="1:45" s="84" customFormat="1" ht="11.25" x14ac:dyDescent="0.15">
      <c r="A12" s="93">
        <f>+(A15+A27+A39+A51)*100</f>
        <v>58300</v>
      </c>
      <c r="B12" s="9" t="s">
        <v>8</v>
      </c>
      <c r="C12" s="8">
        <v>400</v>
      </c>
      <c r="D12" s="8">
        <v>400</v>
      </c>
      <c r="E12" s="8">
        <v>400</v>
      </c>
      <c r="F12" s="8">
        <v>400</v>
      </c>
      <c r="G12" s="8">
        <v>400</v>
      </c>
      <c r="H12" s="8">
        <v>400</v>
      </c>
      <c r="I12" s="8">
        <v>400</v>
      </c>
      <c r="J12" s="8">
        <v>400</v>
      </c>
      <c r="K12" s="8">
        <v>400</v>
      </c>
      <c r="L12" s="8">
        <f t="shared" ref="L12" si="71">IF(L8="","",K12)</f>
        <v>400</v>
      </c>
      <c r="M12" s="8">
        <f t="shared" ref="M12" si="72">IF(M8="","",L12)</f>
        <v>400</v>
      </c>
      <c r="N12" s="8">
        <f t="shared" ref="N12" si="73">IF(N8="","",M12)</f>
        <v>400</v>
      </c>
      <c r="O12" s="8" t="str">
        <f t="shared" ref="O12" si="74">IF(O8="","",N12)</f>
        <v/>
      </c>
      <c r="P12" s="8" t="str">
        <f t="shared" ref="P12" si="75">IF(P8="","",O12)</f>
        <v/>
      </c>
      <c r="Q12" s="8" t="str">
        <f t="shared" ref="Q12" si="76">IF(Q8="","",P12)</f>
        <v/>
      </c>
      <c r="R12" s="8" t="str">
        <f t="shared" ref="R12" si="77">IF(R8="","",Q12)</f>
        <v/>
      </c>
      <c r="S12" s="8" t="str">
        <f t="shared" ref="S12" si="78">IF(S8="","",R12)</f>
        <v/>
      </c>
      <c r="T12" s="8" t="str">
        <f t="shared" ref="T12" si="79">IF(T8="","",S12)</f>
        <v/>
      </c>
      <c r="U12" s="8" t="str">
        <f t="shared" ref="U12" si="80">IF(U8="","",T12)</f>
        <v/>
      </c>
      <c r="V12" s="8" t="str">
        <f t="shared" ref="V12" si="81">IF(V8="","",U12)</f>
        <v/>
      </c>
      <c r="W12" s="8" t="str">
        <f t="shared" ref="W12" si="82">IF(W8="","",V12)</f>
        <v/>
      </c>
      <c r="X12" s="8" t="str">
        <f t="shared" ref="X12" si="83">IF(X8="","",W12)</f>
        <v/>
      </c>
      <c r="Y12" s="8" t="str">
        <f t="shared" ref="Y12" si="84">IF(Y8="","",X12)</f>
        <v/>
      </c>
      <c r="Z12" s="8" t="str">
        <f t="shared" ref="Z12" si="85">IF(Z8="","",Y12)</f>
        <v/>
      </c>
      <c r="AA12" s="8" t="str">
        <f t="shared" ref="AA12" si="86">IF(AA8="","",Z12)</f>
        <v/>
      </c>
      <c r="AB12" s="8" t="str">
        <f t="shared" ref="AB12" si="87">IF(AB8="","",AA12)</f>
        <v/>
      </c>
      <c r="AC12" s="8" t="str">
        <f t="shared" ref="AC12" si="88">IF(AC8="","",AB12)</f>
        <v/>
      </c>
      <c r="AD12" s="8" t="str">
        <f t="shared" ref="AD12" si="89">IF(AD8="","",AC12)</f>
        <v/>
      </c>
      <c r="AE12" s="8" t="str">
        <f t="shared" ref="AE12" si="90">IF(AE8="","",AD12)</f>
        <v/>
      </c>
      <c r="AF12" s="8" t="str">
        <f t="shared" ref="AF12" si="91">IF(AF8="","",AE12)</f>
        <v/>
      </c>
      <c r="AG12" s="8" t="str">
        <f t="shared" ref="AG12" si="92">IF(AG8="","",AF12)</f>
        <v/>
      </c>
      <c r="AH12" s="8" t="str">
        <f t="shared" ref="AH12" si="93">IF(AH8="","",AG12)</f>
        <v/>
      </c>
      <c r="AI12" s="8" t="str">
        <f t="shared" ref="AI12" si="94">IF(AI8="","",AH12)</f>
        <v/>
      </c>
      <c r="AJ12" s="8" t="str">
        <f t="shared" ref="AJ12" si="95">IF(AJ8="","",AI12)</f>
        <v/>
      </c>
      <c r="AK12" s="8" t="str">
        <f t="shared" ref="AK12" si="96">IF(AK8="","",AJ12)</f>
        <v/>
      </c>
      <c r="AL12" s="8" t="str">
        <f t="shared" ref="AL12" si="97">IF(AL8="","",AK12)</f>
        <v/>
      </c>
      <c r="AM12" s="8" t="str">
        <f t="shared" ref="AM12" si="98">IF(AM8="","",AL12)</f>
        <v/>
      </c>
      <c r="AN12" s="8" t="str">
        <f t="shared" ref="AN12" si="99">IF(AN8="","",AM12)</f>
        <v/>
      </c>
      <c r="AO12" s="8" t="str">
        <f t="shared" ref="AO12:AS12" si="100">IF(AO8="","",AN12)</f>
        <v/>
      </c>
      <c r="AP12" s="8" t="str">
        <f t="shared" si="100"/>
        <v/>
      </c>
      <c r="AQ12" s="8" t="str">
        <f t="shared" si="100"/>
        <v/>
      </c>
      <c r="AR12" s="8" t="str">
        <f t="shared" si="100"/>
        <v/>
      </c>
      <c r="AS12" s="8" t="str">
        <f t="shared" si="100"/>
        <v/>
      </c>
    </row>
    <row r="13" spans="1:45" s="85" customFormat="1" ht="11.25" x14ac:dyDescent="0.15">
      <c r="A13" s="14" t="s">
        <v>9</v>
      </c>
      <c r="B13" s="13" t="s">
        <v>10</v>
      </c>
      <c r="C13" s="12" t="s">
        <v>355</v>
      </c>
      <c r="D13" s="12" t="s">
        <v>355</v>
      </c>
      <c r="E13" s="12" t="s">
        <v>355</v>
      </c>
      <c r="F13" s="12" t="s">
        <v>355</v>
      </c>
      <c r="G13" s="12" t="s">
        <v>355</v>
      </c>
      <c r="H13" s="12" t="s">
        <v>355</v>
      </c>
      <c r="I13" s="12" t="s">
        <v>355</v>
      </c>
      <c r="J13" s="12" t="s">
        <v>355</v>
      </c>
      <c r="K13" s="12" t="s">
        <v>355</v>
      </c>
      <c r="L13" s="12" t="str">
        <f>IF(L8="","",K13)</f>
        <v>トロミスクイーズ</v>
      </c>
      <c r="M13" s="12" t="str">
        <f t="shared" ref="M13" si="101">IF(M8="","",L13)</f>
        <v>トロミスクイーズ</v>
      </c>
      <c r="N13" s="12" t="str">
        <f t="shared" ref="N13" si="102">IF(N8="","",M13)</f>
        <v>トロミスクイーズ</v>
      </c>
      <c r="O13" s="12" t="str">
        <f t="shared" ref="O13" si="103">IF(O8="","",N13)</f>
        <v/>
      </c>
      <c r="P13" s="12" t="str">
        <f t="shared" ref="P13" si="104">IF(P8="","",O13)</f>
        <v/>
      </c>
      <c r="Q13" s="12" t="str">
        <f t="shared" ref="Q13" si="105">IF(Q8="","",P13)</f>
        <v/>
      </c>
      <c r="R13" s="12" t="str">
        <f t="shared" ref="R13" si="106">IF(R8="","",Q13)</f>
        <v/>
      </c>
      <c r="S13" s="12" t="str">
        <f t="shared" ref="S13" si="107">IF(S8="","",R13)</f>
        <v/>
      </c>
      <c r="T13" s="12" t="str">
        <f t="shared" ref="T13" si="108">IF(T8="","",S13)</f>
        <v/>
      </c>
      <c r="U13" s="12" t="str">
        <f t="shared" ref="U13" si="109">IF(U8="","",T13)</f>
        <v/>
      </c>
      <c r="V13" s="12" t="str">
        <f t="shared" ref="V13" si="110">IF(V8="","",U13)</f>
        <v/>
      </c>
      <c r="W13" s="12" t="str">
        <f t="shared" ref="W13" si="111">IF(W8="","",V13)</f>
        <v/>
      </c>
      <c r="X13" s="12" t="str">
        <f t="shared" ref="X13" si="112">IF(X8="","",W13)</f>
        <v/>
      </c>
      <c r="Y13" s="12" t="str">
        <f t="shared" ref="Y13" si="113">IF(Y8="","",X13)</f>
        <v/>
      </c>
      <c r="Z13" s="12" t="str">
        <f t="shared" ref="Z13" si="114">IF(Z8="","",Y13)</f>
        <v/>
      </c>
      <c r="AA13" s="12" t="str">
        <f t="shared" ref="AA13" si="115">IF(AA8="","",Z13)</f>
        <v/>
      </c>
      <c r="AB13" s="12" t="str">
        <f t="shared" ref="AB13" si="116">IF(AB8="","",AA13)</f>
        <v/>
      </c>
      <c r="AC13" s="12" t="str">
        <f t="shared" ref="AC13" si="117">IF(AC8="","",AB13)</f>
        <v/>
      </c>
      <c r="AD13" s="12" t="str">
        <f t="shared" ref="AD13" si="118">IF(AD8="","",AC13)</f>
        <v/>
      </c>
      <c r="AE13" s="12" t="str">
        <f t="shared" ref="AE13" si="119">IF(AE8="","",AD13)</f>
        <v/>
      </c>
      <c r="AF13" s="12" t="str">
        <f t="shared" ref="AF13" si="120">IF(AF8="","",AE13)</f>
        <v/>
      </c>
      <c r="AG13" s="12" t="str">
        <f t="shared" ref="AG13" si="121">IF(AG8="","",AF13)</f>
        <v/>
      </c>
      <c r="AH13" s="12" t="str">
        <f t="shared" ref="AH13" si="122">IF(AH8="","",AG13)</f>
        <v/>
      </c>
      <c r="AI13" s="12" t="str">
        <f t="shared" ref="AI13" si="123">IF(AI8="","",AH13)</f>
        <v/>
      </c>
      <c r="AJ13" s="12" t="str">
        <f t="shared" ref="AJ13" si="124">IF(AJ8="","",AI13)</f>
        <v/>
      </c>
      <c r="AK13" s="12" t="str">
        <f t="shared" ref="AK13" si="125">IF(AK8="","",AJ13)</f>
        <v/>
      </c>
      <c r="AL13" s="12" t="str">
        <f t="shared" ref="AL13" si="126">IF(AL8="","",AK13)</f>
        <v/>
      </c>
      <c r="AM13" s="12" t="str">
        <f t="shared" ref="AM13" si="127">IF(AM8="","",AL13)</f>
        <v/>
      </c>
      <c r="AN13" s="12" t="str">
        <f t="shared" ref="AN13" si="128">IF(AN8="","",AM13)</f>
        <v/>
      </c>
      <c r="AO13" s="12" t="str">
        <f t="shared" ref="AO13:AS13" si="129">IF(AO8="","",AN13)</f>
        <v/>
      </c>
      <c r="AP13" s="12" t="str">
        <f t="shared" si="129"/>
        <v/>
      </c>
      <c r="AQ13" s="12" t="str">
        <f t="shared" si="129"/>
        <v/>
      </c>
      <c r="AR13" s="12" t="str">
        <f t="shared" si="129"/>
        <v/>
      </c>
      <c r="AS13" s="12" t="str">
        <f t="shared" si="129"/>
        <v/>
      </c>
    </row>
    <row r="14" spans="1:45" s="84" customFormat="1" ht="11.25" x14ac:dyDescent="0.15">
      <c r="A14" s="7">
        <f>AVERAGE(C15:AS15)*30*100</f>
        <v>60250</v>
      </c>
      <c r="B14" s="9" t="s">
        <v>12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</row>
    <row r="15" spans="1:45" s="84" customFormat="1" ht="11.25" x14ac:dyDescent="0.15">
      <c r="A15" s="7">
        <f>SUM(C15:AS15)</f>
        <v>241</v>
      </c>
      <c r="B15" s="6" t="s">
        <v>13</v>
      </c>
      <c r="C15" s="5">
        <v>0</v>
      </c>
      <c r="D15" s="5">
        <v>0</v>
      </c>
      <c r="E15" s="5">
        <v>0</v>
      </c>
      <c r="F15" s="5">
        <v>0</v>
      </c>
      <c r="G15" s="5">
        <v>143</v>
      </c>
      <c r="H15" s="5">
        <v>0</v>
      </c>
      <c r="I15" s="5">
        <v>0</v>
      </c>
      <c r="J15" s="5">
        <v>0</v>
      </c>
      <c r="K15" s="5">
        <v>41</v>
      </c>
      <c r="L15" s="5">
        <f t="shared" ref="L15:L16" si="130">IF(L8="","",L8-K8)</f>
        <v>0</v>
      </c>
      <c r="M15" s="5">
        <f t="shared" ref="M15:M16" si="131">IF(M8="","",M8-L8)</f>
        <v>0</v>
      </c>
      <c r="N15" s="5">
        <f t="shared" ref="N15:N16" si="132">IF(N8="","",N8-M8)</f>
        <v>57</v>
      </c>
      <c r="O15" s="5" t="str">
        <f t="shared" ref="O15:O16" si="133">IF(O8="","",O8-N8)</f>
        <v/>
      </c>
      <c r="P15" s="5" t="str">
        <f t="shared" ref="P15:P16" si="134">IF(P8="","",P8-O8)</f>
        <v/>
      </c>
      <c r="Q15" s="5" t="str">
        <f t="shared" ref="Q15:Q16" si="135">IF(Q8="","",Q8-P8)</f>
        <v/>
      </c>
      <c r="R15" s="5" t="str">
        <f t="shared" ref="R15:R16" si="136">IF(R8="","",R8-Q8)</f>
        <v/>
      </c>
      <c r="S15" s="5" t="str">
        <f t="shared" ref="S15:S16" si="137">IF(S8="","",S8-R8)</f>
        <v/>
      </c>
      <c r="T15" s="5" t="str">
        <f t="shared" ref="T15:T16" si="138">IF(T8="","",T8-S8)</f>
        <v/>
      </c>
      <c r="U15" s="5" t="str">
        <f t="shared" ref="U15:U16" si="139">IF(U8="","",U8-T8)</f>
        <v/>
      </c>
      <c r="V15" s="5" t="str">
        <f t="shared" ref="V15:V16" si="140">IF(V8="","",V8-U8)</f>
        <v/>
      </c>
      <c r="W15" s="5" t="str">
        <f t="shared" ref="W15:W16" si="141">IF(W8="","",W8-V8)</f>
        <v/>
      </c>
      <c r="X15" s="5" t="str">
        <f t="shared" ref="X15:X16" si="142">IF(X8="","",X8-W8)</f>
        <v/>
      </c>
      <c r="Y15" s="5" t="str">
        <f t="shared" ref="Y15:Y16" si="143">IF(Y8="","",Y8-X8)</f>
        <v/>
      </c>
      <c r="Z15" s="5" t="str">
        <f t="shared" ref="Z15:Z16" si="144">IF(Z8="","",Z8-Y8)</f>
        <v/>
      </c>
      <c r="AA15" s="5" t="str">
        <f t="shared" ref="AA15:AA16" si="145">IF(AA8="","",AA8-Z8)</f>
        <v/>
      </c>
      <c r="AB15" s="5" t="str">
        <f t="shared" ref="AB15:AB16" si="146">IF(AB8="","",AB8-AA8)</f>
        <v/>
      </c>
      <c r="AC15" s="5" t="str">
        <f t="shared" ref="AC15:AC16" si="147">IF(AC8="","",AC8-AB8)</f>
        <v/>
      </c>
      <c r="AD15" s="5" t="str">
        <f t="shared" ref="AD15:AD16" si="148">IF(AD8="","",AD8-AC8)</f>
        <v/>
      </c>
      <c r="AE15" s="5" t="str">
        <f t="shared" ref="AE15:AE16" si="149">IF(AE8="","",AE8-AD8)</f>
        <v/>
      </c>
      <c r="AF15" s="5" t="str">
        <f t="shared" ref="AF15:AF16" si="150">IF(AF8="","",AF8-AE8)</f>
        <v/>
      </c>
      <c r="AG15" s="5" t="str">
        <f t="shared" ref="AG15:AG16" si="151">IF(AG8="","",AG8-AF8)</f>
        <v/>
      </c>
      <c r="AH15" s="5" t="str">
        <f t="shared" ref="AH15:AH16" si="152">IF(AH8="","",AH8-AG8)</f>
        <v/>
      </c>
      <c r="AI15" s="5" t="str">
        <f t="shared" ref="AI15:AI16" si="153">IF(AI8="","",AI8-AH8)</f>
        <v/>
      </c>
      <c r="AJ15" s="5" t="str">
        <f t="shared" ref="AJ15:AJ16" si="154">IF(AJ8="","",AJ8-AI8)</f>
        <v/>
      </c>
      <c r="AK15" s="5" t="str">
        <f t="shared" ref="AK15:AK16" si="155">IF(AK8="","",AK8-AJ8)</f>
        <v/>
      </c>
      <c r="AL15" s="5" t="str">
        <f t="shared" ref="AL15:AL16" si="156">IF(AL8="","",AL8-AK8)</f>
        <v/>
      </c>
      <c r="AM15" s="5" t="str">
        <f t="shared" ref="AM15:AM16" si="157">IF(AM8="","",AM8-AL8)</f>
        <v/>
      </c>
      <c r="AN15" s="5" t="str">
        <f t="shared" ref="AN15:AN16" si="158">IF(AN8="","",AN8-AM8)</f>
        <v/>
      </c>
      <c r="AO15" s="5" t="str">
        <f t="shared" ref="AO15:AS15" si="159">IF(AO8="","",AO8-AN8)</f>
        <v/>
      </c>
      <c r="AP15" s="5" t="str">
        <f t="shared" si="159"/>
        <v/>
      </c>
      <c r="AQ15" s="5" t="str">
        <f t="shared" si="159"/>
        <v/>
      </c>
      <c r="AR15" s="5" t="str">
        <f t="shared" si="159"/>
        <v/>
      </c>
      <c r="AS15" s="5" t="str">
        <f t="shared" si="159"/>
        <v/>
      </c>
    </row>
    <row r="16" spans="1:45" s="84" customFormat="1" ht="11.25" x14ac:dyDescent="0.15">
      <c r="A16" s="7">
        <f>SUM(C16:AS16)</f>
        <v>23</v>
      </c>
      <c r="B16" s="6" t="s">
        <v>14</v>
      </c>
      <c r="C16" s="5">
        <v>0</v>
      </c>
      <c r="D16" s="5">
        <v>0</v>
      </c>
      <c r="E16" s="5">
        <v>0</v>
      </c>
      <c r="F16" s="5">
        <v>0</v>
      </c>
      <c r="G16" s="5">
        <v>15</v>
      </c>
      <c r="H16" s="5">
        <v>0</v>
      </c>
      <c r="I16" s="5">
        <v>0</v>
      </c>
      <c r="J16" s="5">
        <v>0</v>
      </c>
      <c r="K16" s="5">
        <v>2</v>
      </c>
      <c r="L16" s="5">
        <f t="shared" si="130"/>
        <v>0</v>
      </c>
      <c r="M16" s="5">
        <f t="shared" si="131"/>
        <v>0</v>
      </c>
      <c r="N16" s="5">
        <f t="shared" si="132"/>
        <v>6</v>
      </c>
      <c r="O16" s="5" t="str">
        <f t="shared" si="133"/>
        <v/>
      </c>
      <c r="P16" s="5" t="str">
        <f t="shared" si="134"/>
        <v/>
      </c>
      <c r="Q16" s="5" t="str">
        <f t="shared" si="135"/>
        <v/>
      </c>
      <c r="R16" s="5" t="str">
        <f t="shared" si="136"/>
        <v/>
      </c>
      <c r="S16" s="5" t="str">
        <f t="shared" si="137"/>
        <v/>
      </c>
      <c r="T16" s="5" t="str">
        <f t="shared" si="138"/>
        <v/>
      </c>
      <c r="U16" s="5" t="str">
        <f t="shared" si="139"/>
        <v/>
      </c>
      <c r="V16" s="5" t="str">
        <f t="shared" si="140"/>
        <v/>
      </c>
      <c r="W16" s="5" t="str">
        <f t="shared" si="141"/>
        <v/>
      </c>
      <c r="X16" s="5" t="str">
        <f t="shared" si="142"/>
        <v/>
      </c>
      <c r="Y16" s="5" t="str">
        <f t="shared" si="143"/>
        <v/>
      </c>
      <c r="Z16" s="5" t="str">
        <f t="shared" si="144"/>
        <v/>
      </c>
      <c r="AA16" s="5" t="str">
        <f t="shared" si="145"/>
        <v/>
      </c>
      <c r="AB16" s="5" t="str">
        <f t="shared" si="146"/>
        <v/>
      </c>
      <c r="AC16" s="5" t="str">
        <f t="shared" si="147"/>
        <v/>
      </c>
      <c r="AD16" s="5" t="str">
        <f t="shared" si="148"/>
        <v/>
      </c>
      <c r="AE16" s="5" t="str">
        <f t="shared" si="149"/>
        <v/>
      </c>
      <c r="AF16" s="5" t="str">
        <f t="shared" si="150"/>
        <v/>
      </c>
      <c r="AG16" s="5" t="str">
        <f t="shared" si="151"/>
        <v/>
      </c>
      <c r="AH16" s="5" t="str">
        <f t="shared" si="152"/>
        <v/>
      </c>
      <c r="AI16" s="5" t="str">
        <f t="shared" si="153"/>
        <v/>
      </c>
      <c r="AJ16" s="5" t="str">
        <f t="shared" si="154"/>
        <v/>
      </c>
      <c r="AK16" s="5" t="str">
        <f t="shared" si="155"/>
        <v/>
      </c>
      <c r="AL16" s="5" t="str">
        <f t="shared" si="156"/>
        <v/>
      </c>
      <c r="AM16" s="5" t="str">
        <f t="shared" si="157"/>
        <v/>
      </c>
      <c r="AN16" s="5" t="str">
        <f t="shared" si="158"/>
        <v/>
      </c>
      <c r="AO16" s="5" t="str">
        <f t="shared" ref="AO16:AS16" si="160">IF(AO9="","",AO9-AN9)</f>
        <v/>
      </c>
      <c r="AP16" s="5" t="str">
        <f t="shared" si="160"/>
        <v/>
      </c>
      <c r="AQ16" s="5" t="str">
        <f t="shared" si="160"/>
        <v/>
      </c>
      <c r="AR16" s="5" t="str">
        <f t="shared" si="160"/>
        <v/>
      </c>
      <c r="AS16" s="5" t="str">
        <f t="shared" si="160"/>
        <v/>
      </c>
    </row>
    <row r="17" spans="1:45" s="84" customFormat="1" ht="11.25" x14ac:dyDescent="0.15">
      <c r="A17" s="7">
        <f>SUM(C17:AS17)</f>
        <v>16</v>
      </c>
      <c r="B17" s="6" t="s">
        <v>15</v>
      </c>
      <c r="C17" s="5">
        <v>0</v>
      </c>
      <c r="D17" s="5">
        <v>0</v>
      </c>
      <c r="E17" s="5">
        <v>0</v>
      </c>
      <c r="F17" s="5">
        <v>0</v>
      </c>
      <c r="G17" s="5">
        <v>8</v>
      </c>
      <c r="H17" s="5">
        <v>0</v>
      </c>
      <c r="I17" s="5">
        <v>0</v>
      </c>
      <c r="J17" s="5">
        <v>0</v>
      </c>
      <c r="K17" s="5">
        <v>2</v>
      </c>
      <c r="L17" s="5">
        <f t="shared" ref="L17" si="161">IF(L10="","",K10+K11-L10)</f>
        <v>0</v>
      </c>
      <c r="M17" s="5">
        <f t="shared" ref="M17" si="162">IF(M10="","",L10+L11-M10)</f>
        <v>0</v>
      </c>
      <c r="N17" s="5">
        <f t="shared" ref="N17" si="163">IF(N10="","",M10+M11-N10)</f>
        <v>6</v>
      </c>
      <c r="O17" s="5" t="str">
        <f t="shared" ref="O17" si="164">IF(O10="","",N10+N11-O10)</f>
        <v/>
      </c>
      <c r="P17" s="5" t="str">
        <f t="shared" ref="P17" si="165">IF(P10="","",O10+O11-P10)</f>
        <v/>
      </c>
      <c r="Q17" s="5" t="str">
        <f t="shared" ref="Q17" si="166">IF(Q10="","",P10+P11-Q10)</f>
        <v/>
      </c>
      <c r="R17" s="5" t="str">
        <f t="shared" ref="R17" si="167">IF(R10="","",Q10+Q11-R10)</f>
        <v/>
      </c>
      <c r="S17" s="5" t="str">
        <f t="shared" ref="S17" si="168">IF(S10="","",R10+R11-S10)</f>
        <v/>
      </c>
      <c r="T17" s="5" t="str">
        <f t="shared" ref="T17" si="169">IF(T10="","",S10+S11-T10)</f>
        <v/>
      </c>
      <c r="U17" s="5" t="str">
        <f t="shared" ref="U17" si="170">IF(U10="","",T10+T11-U10)</f>
        <v/>
      </c>
      <c r="V17" s="5" t="str">
        <f t="shared" ref="V17" si="171">IF(V10="","",U10+U11-V10)</f>
        <v/>
      </c>
      <c r="W17" s="5" t="str">
        <f t="shared" ref="W17" si="172">IF(W10="","",V10+V11-W10)</f>
        <v/>
      </c>
      <c r="X17" s="5" t="str">
        <f t="shared" ref="X17" si="173">IF(X10="","",W10+W11-X10)</f>
        <v/>
      </c>
      <c r="Y17" s="5" t="str">
        <f t="shared" ref="Y17" si="174">IF(Y10="","",X10+X11-Y10)</f>
        <v/>
      </c>
      <c r="Z17" s="5" t="str">
        <f t="shared" ref="Z17" si="175">IF(Z10="","",Y10+Y11-Z10)</f>
        <v/>
      </c>
      <c r="AA17" s="5" t="str">
        <f t="shared" ref="AA17" si="176">IF(AA10="","",Z10+Z11-AA10)</f>
        <v/>
      </c>
      <c r="AB17" s="5" t="str">
        <f t="shared" ref="AB17" si="177">IF(AB10="","",AA10+AA11-AB10)</f>
        <v/>
      </c>
      <c r="AC17" s="5" t="str">
        <f t="shared" ref="AC17" si="178">IF(AC10="","",AB10+AB11-AC10)</f>
        <v/>
      </c>
      <c r="AD17" s="5" t="str">
        <f t="shared" ref="AD17" si="179">IF(AD10="","",AC10+AC11-AD10)</f>
        <v/>
      </c>
      <c r="AE17" s="5" t="str">
        <f t="shared" ref="AE17" si="180">IF(AE10="","",AD10+AD11-AE10)</f>
        <v/>
      </c>
      <c r="AF17" s="5" t="str">
        <f t="shared" ref="AF17" si="181">IF(AF10="","",AE10+AE11-AF10)</f>
        <v/>
      </c>
      <c r="AG17" s="5" t="str">
        <f t="shared" ref="AG17" si="182">IF(AG10="","",AF10+AF11-AG10)</f>
        <v/>
      </c>
      <c r="AH17" s="5" t="str">
        <f t="shared" ref="AH17" si="183">IF(AH10="","",AG10+AG11-AH10)</f>
        <v/>
      </c>
      <c r="AI17" s="5" t="str">
        <f t="shared" ref="AI17" si="184">IF(AI10="","",AH10+AH11-AI10)</f>
        <v/>
      </c>
      <c r="AJ17" s="5" t="str">
        <f t="shared" ref="AJ17" si="185">IF(AJ10="","",AI10+AI11-AJ10)</f>
        <v/>
      </c>
      <c r="AK17" s="5" t="str">
        <f t="shared" ref="AK17" si="186">IF(AK10="","",AJ10+AJ11-AK10)</f>
        <v/>
      </c>
      <c r="AL17" s="5" t="str">
        <f t="shared" ref="AL17" si="187">IF(AL10="","",AK10+AK11-AL10)</f>
        <v/>
      </c>
      <c r="AM17" s="5" t="str">
        <f t="shared" ref="AM17" si="188">IF(AM10="","",AL10+AL11-AM10)</f>
        <v/>
      </c>
      <c r="AN17" s="5" t="str">
        <f t="shared" ref="AN17" si="189">IF(AN10="","",AM10+AM11-AN10)</f>
        <v/>
      </c>
      <c r="AO17" s="5" t="str">
        <f t="shared" ref="AO17:AS17" si="190">IF(AO10="","",AN10+AN11-AO10)</f>
        <v/>
      </c>
      <c r="AP17" s="5" t="str">
        <f t="shared" si="190"/>
        <v/>
      </c>
      <c r="AQ17" s="5" t="str">
        <f t="shared" si="190"/>
        <v/>
      </c>
      <c r="AR17" s="5" t="str">
        <f t="shared" si="190"/>
        <v/>
      </c>
      <c r="AS17" s="5" t="str">
        <f t="shared" si="190"/>
        <v/>
      </c>
    </row>
    <row r="18" spans="1:45" s="84" customFormat="1" ht="11.25" x14ac:dyDescent="0.15">
      <c r="A18" s="7">
        <f>SUM(C18:AS18)</f>
        <v>6400</v>
      </c>
      <c r="B18" s="6" t="s">
        <v>16</v>
      </c>
      <c r="C18" s="5">
        <v>0</v>
      </c>
      <c r="D18" s="5">
        <v>0</v>
      </c>
      <c r="E18" s="5">
        <v>0</v>
      </c>
      <c r="F18" s="5">
        <v>0</v>
      </c>
      <c r="G18" s="5">
        <v>3200</v>
      </c>
      <c r="H18" s="5">
        <v>0</v>
      </c>
      <c r="I18" s="5">
        <v>0</v>
      </c>
      <c r="J18" s="5">
        <v>0</v>
      </c>
      <c r="K18" s="5">
        <v>800</v>
      </c>
      <c r="L18" s="5">
        <f t="shared" ref="J18:AN18" si="191">IF(L8="","",L17*L12)</f>
        <v>0</v>
      </c>
      <c r="M18" s="5">
        <f t="shared" si="191"/>
        <v>0</v>
      </c>
      <c r="N18" s="5">
        <f t="shared" si="191"/>
        <v>2400</v>
      </c>
      <c r="O18" s="5" t="str">
        <f t="shared" si="191"/>
        <v/>
      </c>
      <c r="P18" s="5" t="str">
        <f t="shared" si="191"/>
        <v/>
      </c>
      <c r="Q18" s="5" t="str">
        <f t="shared" si="191"/>
        <v/>
      </c>
      <c r="R18" s="5" t="str">
        <f t="shared" si="191"/>
        <v/>
      </c>
      <c r="S18" s="5" t="str">
        <f t="shared" si="191"/>
        <v/>
      </c>
      <c r="T18" s="5" t="str">
        <f t="shared" si="191"/>
        <v/>
      </c>
      <c r="U18" s="5" t="str">
        <f t="shared" si="191"/>
        <v/>
      </c>
      <c r="V18" s="5" t="str">
        <f t="shared" si="191"/>
        <v/>
      </c>
      <c r="W18" s="5" t="str">
        <f t="shared" si="191"/>
        <v/>
      </c>
      <c r="X18" s="5" t="str">
        <f t="shared" si="191"/>
        <v/>
      </c>
      <c r="Y18" s="5" t="str">
        <f t="shared" si="191"/>
        <v/>
      </c>
      <c r="Z18" s="5" t="str">
        <f t="shared" si="191"/>
        <v/>
      </c>
      <c r="AA18" s="5" t="str">
        <f t="shared" si="191"/>
        <v/>
      </c>
      <c r="AB18" s="5" t="str">
        <f t="shared" si="191"/>
        <v/>
      </c>
      <c r="AC18" s="5" t="str">
        <f t="shared" si="191"/>
        <v/>
      </c>
      <c r="AD18" s="5" t="str">
        <f t="shared" si="191"/>
        <v/>
      </c>
      <c r="AE18" s="5" t="str">
        <f t="shared" si="191"/>
        <v/>
      </c>
      <c r="AF18" s="5" t="str">
        <f t="shared" si="191"/>
        <v/>
      </c>
      <c r="AG18" s="5" t="str">
        <f t="shared" si="191"/>
        <v/>
      </c>
      <c r="AH18" s="5" t="str">
        <f t="shared" si="191"/>
        <v/>
      </c>
      <c r="AI18" s="5" t="str">
        <f t="shared" si="191"/>
        <v/>
      </c>
      <c r="AJ18" s="5" t="str">
        <f t="shared" si="191"/>
        <v/>
      </c>
      <c r="AK18" s="5" t="str">
        <f t="shared" si="191"/>
        <v/>
      </c>
      <c r="AL18" s="5" t="str">
        <f t="shared" si="191"/>
        <v/>
      </c>
      <c r="AM18" s="5" t="str">
        <f t="shared" si="191"/>
        <v/>
      </c>
      <c r="AN18" s="5" t="str">
        <f t="shared" si="191"/>
        <v/>
      </c>
      <c r="AO18" s="5" t="str">
        <f t="shared" ref="AO18:AS18" si="192">IF(AO8="","",AO17*AO12)</f>
        <v/>
      </c>
      <c r="AP18" s="5" t="str">
        <f t="shared" si="192"/>
        <v/>
      </c>
      <c r="AQ18" s="5" t="str">
        <f t="shared" si="192"/>
        <v/>
      </c>
      <c r="AR18" s="5" t="str">
        <f t="shared" si="192"/>
        <v/>
      </c>
      <c r="AS18" s="5" t="str">
        <f t="shared" si="192"/>
        <v/>
      </c>
    </row>
    <row r="19" spans="1:45" s="84" customFormat="1" ht="12" thickBot="1" x14ac:dyDescent="0.2">
      <c r="A19" s="4">
        <f>IF(A18="","",A18/(A15*100))</f>
        <v>0.26556016597510373</v>
      </c>
      <c r="B19" s="6" t="s">
        <v>18</v>
      </c>
      <c r="C19" s="18" t="s">
        <v>19</v>
      </c>
      <c r="D19" s="18" t="s">
        <v>19</v>
      </c>
      <c r="E19" s="18" t="s">
        <v>19</v>
      </c>
      <c r="F19" s="18" t="s">
        <v>19</v>
      </c>
      <c r="G19" s="18">
        <v>0.22377622377622378</v>
      </c>
      <c r="H19" s="18" t="s">
        <v>19</v>
      </c>
      <c r="I19" s="18" t="s">
        <v>19</v>
      </c>
      <c r="J19" s="18" t="s">
        <v>19</v>
      </c>
      <c r="K19" s="18">
        <v>0.1951219512195122</v>
      </c>
      <c r="L19" s="18" t="str">
        <f t="shared" ref="J19:AN19" si="193">IF(L18="","",IF(L18=0,"",L18/(L15*100)))</f>
        <v/>
      </c>
      <c r="M19" s="18" t="str">
        <f t="shared" si="193"/>
        <v/>
      </c>
      <c r="N19" s="18">
        <f t="shared" si="193"/>
        <v>0.42105263157894735</v>
      </c>
      <c r="O19" s="18" t="str">
        <f t="shared" si="193"/>
        <v/>
      </c>
      <c r="P19" s="18" t="str">
        <f t="shared" si="193"/>
        <v/>
      </c>
      <c r="Q19" s="18" t="str">
        <f t="shared" si="193"/>
        <v/>
      </c>
      <c r="R19" s="18" t="str">
        <f t="shared" si="193"/>
        <v/>
      </c>
      <c r="S19" s="18" t="str">
        <f t="shared" si="193"/>
        <v/>
      </c>
      <c r="T19" s="18" t="str">
        <f t="shared" si="193"/>
        <v/>
      </c>
      <c r="U19" s="18" t="str">
        <f t="shared" si="193"/>
        <v/>
      </c>
      <c r="V19" s="18" t="str">
        <f t="shared" si="193"/>
        <v/>
      </c>
      <c r="W19" s="18" t="str">
        <f t="shared" si="193"/>
        <v/>
      </c>
      <c r="X19" s="18" t="str">
        <f t="shared" si="193"/>
        <v/>
      </c>
      <c r="Y19" s="18" t="str">
        <f t="shared" si="193"/>
        <v/>
      </c>
      <c r="Z19" s="18" t="str">
        <f t="shared" si="193"/>
        <v/>
      </c>
      <c r="AA19" s="18" t="str">
        <f t="shared" si="193"/>
        <v/>
      </c>
      <c r="AB19" s="18" t="str">
        <f t="shared" si="193"/>
        <v/>
      </c>
      <c r="AC19" s="18" t="str">
        <f t="shared" si="193"/>
        <v/>
      </c>
      <c r="AD19" s="18" t="str">
        <f t="shared" si="193"/>
        <v/>
      </c>
      <c r="AE19" s="18" t="str">
        <f t="shared" si="193"/>
        <v/>
      </c>
      <c r="AF19" s="18" t="str">
        <f t="shared" si="193"/>
        <v/>
      </c>
      <c r="AG19" s="18" t="str">
        <f t="shared" si="193"/>
        <v/>
      </c>
      <c r="AH19" s="18" t="str">
        <f t="shared" si="193"/>
        <v/>
      </c>
      <c r="AI19" s="18" t="str">
        <f t="shared" si="193"/>
        <v/>
      </c>
      <c r="AJ19" s="18" t="str">
        <f t="shared" si="193"/>
        <v/>
      </c>
      <c r="AK19" s="18" t="str">
        <f t="shared" si="193"/>
        <v/>
      </c>
      <c r="AL19" s="18" t="str">
        <f t="shared" si="193"/>
        <v/>
      </c>
      <c r="AM19" s="18" t="str">
        <f t="shared" si="193"/>
        <v/>
      </c>
      <c r="AN19" s="18" t="str">
        <f t="shared" si="193"/>
        <v/>
      </c>
      <c r="AO19" s="18" t="str">
        <f t="shared" ref="AO19:AS19" si="194">IF(AO18="","",IF(AO18=0,"",AO18/(AO15*100)))</f>
        <v/>
      </c>
      <c r="AP19" s="18" t="str">
        <f t="shared" si="194"/>
        <v/>
      </c>
      <c r="AQ19" s="18" t="str">
        <f t="shared" si="194"/>
        <v/>
      </c>
      <c r="AR19" s="18" t="str">
        <f t="shared" si="194"/>
        <v/>
      </c>
      <c r="AS19" s="18" t="str">
        <f t="shared" si="194"/>
        <v/>
      </c>
    </row>
    <row r="20" spans="1:45" s="84" customFormat="1" ht="11.25" x14ac:dyDescent="0.15">
      <c r="A20" s="17" t="s">
        <v>96</v>
      </c>
      <c r="B20" s="9" t="s">
        <v>2</v>
      </c>
      <c r="C20" s="8">
        <v>31190</v>
      </c>
      <c r="D20" s="8">
        <v>31190</v>
      </c>
      <c r="E20" s="8">
        <v>31190</v>
      </c>
      <c r="F20" s="8">
        <v>31190</v>
      </c>
      <c r="G20" s="8">
        <v>31295</v>
      </c>
      <c r="H20" s="8">
        <v>31295</v>
      </c>
      <c r="I20" s="8">
        <v>31295</v>
      </c>
      <c r="J20" s="8">
        <v>31295</v>
      </c>
      <c r="K20" s="8">
        <v>31343</v>
      </c>
      <c r="L20" s="8">
        <f>IF(L$8="","",K20)</f>
        <v>31343</v>
      </c>
      <c r="M20" s="8">
        <f t="shared" ref="M20:M21" si="195">IF(M$8="","",L20)</f>
        <v>31343</v>
      </c>
      <c r="N20" s="8">
        <v>31365</v>
      </c>
      <c r="O20" s="8" t="str">
        <f>IF(O$8="","",N20)</f>
        <v/>
      </c>
      <c r="P20" s="8" t="str">
        <f t="shared" ref="P20:P21" si="196">IF(P$8="","",O20)</f>
        <v/>
      </c>
      <c r="Q20" s="8" t="str">
        <f t="shared" ref="Q20:Q21" si="197">IF(Q$8="","",P20)</f>
        <v/>
      </c>
      <c r="R20" s="8" t="str">
        <f t="shared" ref="R20:R21" si="198">IF(R$8="","",Q20)</f>
        <v/>
      </c>
      <c r="S20" s="8" t="str">
        <f>IF(S$8="","",R20)</f>
        <v/>
      </c>
      <c r="T20" s="8" t="str">
        <f t="shared" ref="T20:T21" si="199">IF(T$8="","",S20)</f>
        <v/>
      </c>
      <c r="U20" s="8" t="str">
        <f t="shared" ref="U20:U21" si="200">IF(U$8="","",T20)</f>
        <v/>
      </c>
      <c r="V20" s="8" t="str">
        <f>IF(V$8="","",U20)</f>
        <v/>
      </c>
      <c r="W20" s="8" t="str">
        <f t="shared" ref="W20:W21" si="201">IF(W$8="","",V20)</f>
        <v/>
      </c>
      <c r="X20" s="8" t="str">
        <f t="shared" ref="X20:X21" si="202">IF(X$8="","",W20)</f>
        <v/>
      </c>
      <c r="Y20" s="8" t="str">
        <f t="shared" ref="Y20:Y21" si="203">IF(Y$8="","",X20)</f>
        <v/>
      </c>
      <c r="Z20" s="8" t="str">
        <f>IF(Z$8="","",Y20)</f>
        <v/>
      </c>
      <c r="AA20" s="8" t="str">
        <f t="shared" ref="AA20:AA21" si="204">IF(AA$8="","",Z20)</f>
        <v/>
      </c>
      <c r="AB20" s="8" t="str">
        <f t="shared" ref="AB20:AB21" si="205">IF(AB$8="","",AA20)</f>
        <v/>
      </c>
      <c r="AC20" s="8" t="str">
        <f t="shared" ref="AC20:AC21" si="206">IF(AC$8="","",AB20)</f>
        <v/>
      </c>
      <c r="AD20" s="8" t="str">
        <f>IF(AD$8="","",AC20)</f>
        <v/>
      </c>
      <c r="AE20" s="8" t="str">
        <f>IF(AE$8="","",AD20)</f>
        <v/>
      </c>
      <c r="AF20" s="8" t="str">
        <f t="shared" ref="AF20:AF21" si="207">IF(AF$8="","",AE20)</f>
        <v/>
      </c>
      <c r="AG20" s="8" t="str">
        <f>IF(AG$8="","",AF20)</f>
        <v/>
      </c>
      <c r="AH20" s="8" t="str">
        <f t="shared" ref="AH20:AH21" si="208">IF(AH$8="","",AG20)</f>
        <v/>
      </c>
      <c r="AI20" s="8" t="str">
        <f t="shared" ref="AI20:AI21" si="209">IF(AI$8="","",AH20)</f>
        <v/>
      </c>
      <c r="AJ20" s="8" t="str">
        <f>IF(AJ$8="","",AI20)</f>
        <v/>
      </c>
      <c r="AK20" s="8" t="str">
        <f t="shared" ref="AK20:AK21" si="210">IF(AK$8="","",AJ20)</f>
        <v/>
      </c>
      <c r="AL20" s="8" t="str">
        <f t="shared" ref="AL20:AL21" si="211">IF(AL$8="","",AK20)</f>
        <v/>
      </c>
      <c r="AM20" s="8" t="str">
        <f t="shared" ref="AM20:AM21" si="212">IF(AM$8="","",AL20)</f>
        <v/>
      </c>
      <c r="AN20" s="8" t="str">
        <f>IF(AN$8="","",AM20)</f>
        <v/>
      </c>
      <c r="AO20" s="8" t="str">
        <f t="shared" ref="AO20:AS20" si="213">IF(AO$8="","",AN20)</f>
        <v/>
      </c>
      <c r="AP20" s="8" t="str">
        <f t="shared" si="213"/>
        <v/>
      </c>
      <c r="AQ20" s="8" t="str">
        <f t="shared" si="213"/>
        <v/>
      </c>
      <c r="AR20" s="8" t="str">
        <f t="shared" si="213"/>
        <v/>
      </c>
      <c r="AS20" s="8" t="str">
        <f t="shared" si="213"/>
        <v/>
      </c>
    </row>
    <row r="21" spans="1:45" s="84" customFormat="1" ht="11.25" x14ac:dyDescent="0.15">
      <c r="A21" s="16" t="str">
        <f>A9</f>
        <v>BUZZ＃1</v>
      </c>
      <c r="B21" s="9" t="s">
        <v>4</v>
      </c>
      <c r="C21" s="8">
        <v>1593</v>
      </c>
      <c r="D21" s="8">
        <v>1593</v>
      </c>
      <c r="E21" s="8">
        <v>1593</v>
      </c>
      <c r="F21" s="8">
        <v>1593</v>
      </c>
      <c r="G21" s="8">
        <v>1596</v>
      </c>
      <c r="H21" s="8">
        <v>1596</v>
      </c>
      <c r="I21" s="8">
        <v>1596</v>
      </c>
      <c r="J21" s="8">
        <v>1596</v>
      </c>
      <c r="K21" s="8">
        <v>1597</v>
      </c>
      <c r="L21" s="8">
        <f>IF(L$8="","",K21)</f>
        <v>1597</v>
      </c>
      <c r="M21" s="8">
        <f t="shared" si="195"/>
        <v>1597</v>
      </c>
      <c r="N21" s="8">
        <v>1597</v>
      </c>
      <c r="O21" s="8" t="str">
        <f t="shared" ref="O21" si="214">IF(O$8="","",N21)</f>
        <v/>
      </c>
      <c r="P21" s="8" t="str">
        <f t="shared" si="196"/>
        <v/>
      </c>
      <c r="Q21" s="8" t="str">
        <f t="shared" si="197"/>
        <v/>
      </c>
      <c r="R21" s="8" t="str">
        <f t="shared" si="198"/>
        <v/>
      </c>
      <c r="S21" s="8" t="str">
        <f>IF(S$8="","",R21)</f>
        <v/>
      </c>
      <c r="T21" s="8" t="str">
        <f t="shared" si="199"/>
        <v/>
      </c>
      <c r="U21" s="8" t="str">
        <f t="shared" si="200"/>
        <v/>
      </c>
      <c r="V21" s="8" t="str">
        <f>IF(V$8="","",U21)</f>
        <v/>
      </c>
      <c r="W21" s="8" t="str">
        <f t="shared" si="201"/>
        <v/>
      </c>
      <c r="X21" s="8" t="str">
        <f t="shared" si="202"/>
        <v/>
      </c>
      <c r="Y21" s="8" t="str">
        <f t="shared" si="203"/>
        <v/>
      </c>
      <c r="Z21" s="8" t="str">
        <f>IF(Z$8="","",Y21)</f>
        <v/>
      </c>
      <c r="AA21" s="8" t="str">
        <f t="shared" si="204"/>
        <v/>
      </c>
      <c r="AB21" s="8" t="str">
        <f t="shared" si="205"/>
        <v/>
      </c>
      <c r="AC21" s="8" t="str">
        <f t="shared" si="206"/>
        <v/>
      </c>
      <c r="AD21" s="8" t="str">
        <f>IF(AD$8="","",AC21)</f>
        <v/>
      </c>
      <c r="AE21" s="8" t="str">
        <f>IF(AE$8="","",AD21)</f>
        <v/>
      </c>
      <c r="AF21" s="8" t="str">
        <f t="shared" si="207"/>
        <v/>
      </c>
      <c r="AG21" s="8" t="str">
        <f>IF(AG$8="","",AF21)</f>
        <v/>
      </c>
      <c r="AH21" s="8" t="str">
        <f t="shared" si="208"/>
        <v/>
      </c>
      <c r="AI21" s="8" t="str">
        <f t="shared" si="209"/>
        <v/>
      </c>
      <c r="AJ21" s="8" t="str">
        <f>IF(AJ$8="","",AI21)</f>
        <v/>
      </c>
      <c r="AK21" s="8" t="str">
        <f t="shared" si="210"/>
        <v/>
      </c>
      <c r="AL21" s="8" t="str">
        <f t="shared" si="211"/>
        <v/>
      </c>
      <c r="AM21" s="8" t="str">
        <f t="shared" si="212"/>
        <v/>
      </c>
      <c r="AN21" s="8" t="str">
        <f>IF(AN$8="","",AM21)</f>
        <v/>
      </c>
      <c r="AO21" s="8" t="str">
        <f t="shared" ref="AO21:AS21" si="215">IF(AO$8="","",AN21)</f>
        <v/>
      </c>
      <c r="AP21" s="8" t="str">
        <f t="shared" si="215"/>
        <v/>
      </c>
      <c r="AQ21" s="8" t="str">
        <f t="shared" si="215"/>
        <v/>
      </c>
      <c r="AR21" s="8" t="str">
        <f t="shared" si="215"/>
        <v/>
      </c>
      <c r="AS21" s="8" t="str">
        <f t="shared" si="215"/>
        <v/>
      </c>
    </row>
    <row r="22" spans="1:45" s="84" customFormat="1" ht="11.25" x14ac:dyDescent="0.15">
      <c r="A22" s="15">
        <v>2</v>
      </c>
      <c r="B22" s="9" t="s">
        <v>5</v>
      </c>
      <c r="C22" s="8">
        <v>26</v>
      </c>
      <c r="D22" s="8">
        <v>26</v>
      </c>
      <c r="E22" s="8">
        <v>26</v>
      </c>
      <c r="F22" s="8">
        <v>26</v>
      </c>
      <c r="G22" s="8">
        <v>23</v>
      </c>
      <c r="H22" s="8">
        <v>23</v>
      </c>
      <c r="I22" s="8">
        <v>23</v>
      </c>
      <c r="J22" s="8">
        <v>23</v>
      </c>
      <c r="K22" s="8">
        <v>22</v>
      </c>
      <c r="L22" s="8">
        <f>IF(L20="","",(K22+K23))</f>
        <v>22</v>
      </c>
      <c r="M22" s="8">
        <f t="shared" ref="M22" si="216">IF(M20="","",(L22+L23))</f>
        <v>22</v>
      </c>
      <c r="N22" s="8">
        <f t="shared" ref="N22" si="217">IF(N20="","",(M22+M23))</f>
        <v>22</v>
      </c>
      <c r="O22" s="8" t="str">
        <f t="shared" ref="O22" si="218">IF(O20="","",(N22+N23))</f>
        <v/>
      </c>
      <c r="P22" s="8" t="str">
        <f t="shared" ref="P22" si="219">IF(P20="","",(O22+O23))</f>
        <v/>
      </c>
      <c r="Q22" s="8" t="str">
        <f t="shared" ref="Q22" si="220">IF(Q20="","",(P22+P23))</f>
        <v/>
      </c>
      <c r="R22" s="8" t="str">
        <f t="shared" ref="R22" si="221">IF(R20="","",(Q22+Q23))</f>
        <v/>
      </c>
      <c r="S22" s="8" t="str">
        <f>IF(S20="","",(R22+R23))</f>
        <v/>
      </c>
      <c r="T22" s="8" t="str">
        <f t="shared" ref="T22" si="222">IF(T20="","",(S22+S23))</f>
        <v/>
      </c>
      <c r="U22" s="8" t="str">
        <f t="shared" ref="U22" si="223">IF(U20="","",(T22+T23))</f>
        <v/>
      </c>
      <c r="V22" s="8" t="str">
        <f>IF(V20="","",(U22+U23))</f>
        <v/>
      </c>
      <c r="W22" s="8" t="str">
        <f t="shared" ref="W22" si="224">IF(W20="","",(V22+V23))</f>
        <v/>
      </c>
      <c r="X22" s="8" t="str">
        <f t="shared" ref="X22" si="225">IF(X20="","",(W22+W23))</f>
        <v/>
      </c>
      <c r="Y22" s="8" t="str">
        <f t="shared" ref="Y22" si="226">IF(Y20="","",(X22+X23))</f>
        <v/>
      </c>
      <c r="Z22" s="8" t="str">
        <f>IF(Z20="","",(Y22+Y23))</f>
        <v/>
      </c>
      <c r="AA22" s="8" t="str">
        <f t="shared" ref="AA22" si="227">IF(AA20="","",(Z22+Z23))</f>
        <v/>
      </c>
      <c r="AB22" s="8" t="str">
        <f t="shared" ref="AB22" si="228">IF(AB20="","",(AA22+AA23))</f>
        <v/>
      </c>
      <c r="AC22" s="8" t="str">
        <f t="shared" ref="AC22" si="229">IF(AC20="","",(AB22+AB23))</f>
        <v/>
      </c>
      <c r="AD22" s="8" t="str">
        <f>IF(AD20="","",(AC22+AC23))</f>
        <v/>
      </c>
      <c r="AE22" s="8" t="str">
        <f>IF(AE20="","",(AD22+AD23))</f>
        <v/>
      </c>
      <c r="AF22" s="8" t="str">
        <f t="shared" ref="AF22" si="230">IF(AF20="","",(AE22+AE23))</f>
        <v/>
      </c>
      <c r="AG22" s="8" t="str">
        <f>IF(AG20="","",(AF22+AF23))</f>
        <v/>
      </c>
      <c r="AH22" s="8" t="str">
        <f t="shared" ref="AH22" si="231">IF(AH20="","",(AG22+AG23))</f>
        <v/>
      </c>
      <c r="AI22" s="8" t="str">
        <f t="shared" ref="AI22" si="232">IF(AI20="","",(AH22+AH23))</f>
        <v/>
      </c>
      <c r="AJ22" s="8" t="str">
        <f>IF(AJ20="","",(AI22+AI23))</f>
        <v/>
      </c>
      <c r="AK22" s="8" t="str">
        <f t="shared" ref="AK22" si="233">IF(AK20="","",(AJ22+AJ23))</f>
        <v/>
      </c>
      <c r="AL22" s="8" t="str">
        <f t="shared" ref="AL22" si="234">IF(AL20="","",(AK22+AK23))</f>
        <v/>
      </c>
      <c r="AM22" s="8" t="str">
        <f t="shared" ref="AM22" si="235">IF(AM20="","",(AL22+AL23))</f>
        <v/>
      </c>
      <c r="AN22" s="8" t="str">
        <f>IF(AN20="","",(AM22+AM23))</f>
        <v/>
      </c>
      <c r="AO22" s="8" t="str">
        <f t="shared" ref="AO22:AS22" si="236">IF(AO20="","",(AN22+AN23))</f>
        <v/>
      </c>
      <c r="AP22" s="8" t="str">
        <f t="shared" si="236"/>
        <v/>
      </c>
      <c r="AQ22" s="8" t="str">
        <f t="shared" si="236"/>
        <v/>
      </c>
      <c r="AR22" s="8" t="str">
        <f t="shared" si="236"/>
        <v/>
      </c>
      <c r="AS22" s="8" t="str">
        <f t="shared" si="236"/>
        <v/>
      </c>
    </row>
    <row r="23" spans="1:45" s="84" customFormat="1" ht="11.25" x14ac:dyDescent="0.15">
      <c r="A23" s="14"/>
      <c r="B23" s="9" t="s">
        <v>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</row>
    <row r="24" spans="1:45" s="84" customFormat="1" ht="11.25" x14ac:dyDescent="0.15">
      <c r="A24" s="7"/>
      <c r="B24" s="9" t="s">
        <v>8</v>
      </c>
      <c r="C24" s="8">
        <v>240</v>
      </c>
      <c r="D24" s="8">
        <v>240</v>
      </c>
      <c r="E24" s="8">
        <v>240</v>
      </c>
      <c r="F24" s="8">
        <v>240</v>
      </c>
      <c r="G24" s="8">
        <v>240</v>
      </c>
      <c r="H24" s="8">
        <v>240</v>
      </c>
      <c r="I24" s="8">
        <v>240</v>
      </c>
      <c r="J24" s="8">
        <v>240</v>
      </c>
      <c r="K24" s="8">
        <v>240</v>
      </c>
      <c r="L24" s="8">
        <f t="shared" ref="L24" si="237">IF(L20="","",K24)</f>
        <v>240</v>
      </c>
      <c r="M24" s="8">
        <f t="shared" ref="M24" si="238">IF(M20="","",L24)</f>
        <v>240</v>
      </c>
      <c r="N24" s="8">
        <f t="shared" ref="N24" si="239">IF(N20="","",M24)</f>
        <v>240</v>
      </c>
      <c r="O24" s="8" t="str">
        <f t="shared" ref="O24" si="240">IF(O20="","",N24)</f>
        <v/>
      </c>
      <c r="P24" s="8" t="str">
        <f t="shared" ref="P24" si="241">IF(P20="","",O24)</f>
        <v/>
      </c>
      <c r="Q24" s="8" t="str">
        <f t="shared" ref="Q24" si="242">IF(Q20="","",P24)</f>
        <v/>
      </c>
      <c r="R24" s="8" t="str">
        <f t="shared" ref="R24" si="243">IF(R20="","",Q24)</f>
        <v/>
      </c>
      <c r="S24" s="8" t="str">
        <f t="shared" ref="S24" si="244">IF(S20="","",R24)</f>
        <v/>
      </c>
      <c r="T24" s="8" t="str">
        <f t="shared" ref="T24" si="245">IF(T20="","",S24)</f>
        <v/>
      </c>
      <c r="U24" s="8" t="str">
        <f t="shared" ref="U24" si="246">IF(U20="","",T24)</f>
        <v/>
      </c>
      <c r="V24" s="8" t="str">
        <f t="shared" ref="V24" si="247">IF(V20="","",U24)</f>
        <v/>
      </c>
      <c r="W24" s="8" t="str">
        <f t="shared" ref="W24" si="248">IF(W20="","",V24)</f>
        <v/>
      </c>
      <c r="X24" s="8" t="str">
        <f t="shared" ref="X24" si="249">IF(X20="","",W24)</f>
        <v/>
      </c>
      <c r="Y24" s="8" t="str">
        <f t="shared" ref="Y24" si="250">IF(Y20="","",X24)</f>
        <v/>
      </c>
      <c r="Z24" s="8" t="str">
        <f t="shared" ref="Z24" si="251">IF(Z20="","",Y24)</f>
        <v/>
      </c>
      <c r="AA24" s="8" t="str">
        <f t="shared" ref="AA24" si="252">IF(AA20="","",Z24)</f>
        <v/>
      </c>
      <c r="AB24" s="8" t="str">
        <f t="shared" ref="AB24" si="253">IF(AB20="","",AA24)</f>
        <v/>
      </c>
      <c r="AC24" s="8" t="str">
        <f t="shared" ref="AC24" si="254">IF(AC20="","",AB24)</f>
        <v/>
      </c>
      <c r="AD24" s="8" t="str">
        <f t="shared" ref="AD24" si="255">IF(AD20="","",AC24)</f>
        <v/>
      </c>
      <c r="AE24" s="8" t="str">
        <f t="shared" ref="AE24" si="256">IF(AE20="","",AD24)</f>
        <v/>
      </c>
      <c r="AF24" s="8" t="str">
        <f t="shared" ref="AF24" si="257">IF(AF20="","",AE24)</f>
        <v/>
      </c>
      <c r="AG24" s="8" t="str">
        <f t="shared" ref="AG24" si="258">IF(AG20="","",AF24)</f>
        <v/>
      </c>
      <c r="AH24" s="8" t="str">
        <f t="shared" ref="AH24" si="259">IF(AH20="","",AG24)</f>
        <v/>
      </c>
      <c r="AI24" s="8" t="str">
        <f t="shared" ref="AI24" si="260">IF(AI20="","",AH24)</f>
        <v/>
      </c>
      <c r="AJ24" s="8" t="str">
        <f t="shared" ref="AJ24" si="261">IF(AJ20="","",AI24)</f>
        <v/>
      </c>
      <c r="AK24" s="8" t="str">
        <f t="shared" ref="AK24" si="262">IF(AK20="","",AJ24)</f>
        <v/>
      </c>
      <c r="AL24" s="8" t="str">
        <f t="shared" ref="AL24" si="263">IF(AL20="","",AK24)</f>
        <v/>
      </c>
      <c r="AM24" s="8" t="str">
        <f t="shared" ref="AM24" si="264">IF(AM20="","",AL24)</f>
        <v/>
      </c>
      <c r="AN24" s="8" t="str">
        <f t="shared" ref="AN24" si="265">IF(AN20="","",AM24)</f>
        <v/>
      </c>
      <c r="AO24" s="8" t="str">
        <f t="shared" ref="AO24:AS24" si="266">IF(AO20="","",AN24)</f>
        <v/>
      </c>
      <c r="AP24" s="8" t="str">
        <f t="shared" si="266"/>
        <v/>
      </c>
      <c r="AQ24" s="8" t="str">
        <f t="shared" si="266"/>
        <v/>
      </c>
      <c r="AR24" s="8" t="str">
        <f t="shared" si="266"/>
        <v/>
      </c>
      <c r="AS24" s="8" t="str">
        <f t="shared" si="266"/>
        <v/>
      </c>
    </row>
    <row r="25" spans="1:45" s="85" customFormat="1" ht="11.25" x14ac:dyDescent="0.15">
      <c r="A25" s="14" t="s">
        <v>9</v>
      </c>
      <c r="B25" s="13" t="s">
        <v>10</v>
      </c>
      <c r="C25" s="12" t="s">
        <v>97</v>
      </c>
      <c r="D25" s="12" t="s">
        <v>97</v>
      </c>
      <c r="E25" s="12" t="s">
        <v>97</v>
      </c>
      <c r="F25" s="12" t="s">
        <v>97</v>
      </c>
      <c r="G25" s="12" t="s">
        <v>97</v>
      </c>
      <c r="H25" s="12" t="s">
        <v>97</v>
      </c>
      <c r="I25" s="12" t="s">
        <v>97</v>
      </c>
      <c r="J25" s="12" t="s">
        <v>97</v>
      </c>
      <c r="K25" s="12" t="s">
        <v>97</v>
      </c>
      <c r="L25" s="12" t="str">
        <f t="shared" ref="L25" si="267">IF(L20="","",K25)</f>
        <v>電ブルキュート</v>
      </c>
      <c r="M25" s="12" t="str">
        <f t="shared" ref="M25" si="268">IF(M20="","",L25)</f>
        <v>電ブルキュート</v>
      </c>
      <c r="N25" s="12" t="str">
        <f t="shared" ref="N25" si="269">IF(N20="","",M25)</f>
        <v>電ブルキュート</v>
      </c>
      <c r="O25" s="12" t="str">
        <f t="shared" ref="O25" si="270">IF(O20="","",N25)</f>
        <v/>
      </c>
      <c r="P25" s="12" t="str">
        <f t="shared" ref="P25" si="271">IF(P20="","",O25)</f>
        <v/>
      </c>
      <c r="Q25" s="12" t="str">
        <f t="shared" ref="Q25" si="272">IF(Q20="","",P25)</f>
        <v/>
      </c>
      <c r="R25" s="12" t="str">
        <f t="shared" ref="R25" si="273">IF(R20="","",Q25)</f>
        <v/>
      </c>
      <c r="S25" s="12" t="str">
        <f t="shared" ref="S25" si="274">IF(S20="","",R25)</f>
        <v/>
      </c>
      <c r="T25" s="12" t="str">
        <f t="shared" ref="T25" si="275">IF(T20="","",S25)</f>
        <v/>
      </c>
      <c r="U25" s="12" t="str">
        <f t="shared" ref="U25" si="276">IF(U20="","",T25)</f>
        <v/>
      </c>
      <c r="V25" s="12" t="str">
        <f t="shared" ref="V25" si="277">IF(V20="","",U25)</f>
        <v/>
      </c>
      <c r="W25" s="12" t="str">
        <f t="shared" ref="W25" si="278">IF(W20="","",V25)</f>
        <v/>
      </c>
      <c r="X25" s="12" t="str">
        <f t="shared" ref="X25" si="279">IF(X20="","",W25)</f>
        <v/>
      </c>
      <c r="Y25" s="12" t="str">
        <f t="shared" ref="Y25" si="280">IF(Y20="","",X25)</f>
        <v/>
      </c>
      <c r="Z25" s="12" t="str">
        <f t="shared" ref="Z25" si="281">IF(Z20="","",Y25)</f>
        <v/>
      </c>
      <c r="AA25" s="12" t="str">
        <f t="shared" ref="AA25" si="282">IF(AA20="","",Z25)</f>
        <v/>
      </c>
      <c r="AB25" s="12" t="str">
        <f t="shared" ref="AB25" si="283">IF(AB20="","",AA25)</f>
        <v/>
      </c>
      <c r="AC25" s="12" t="str">
        <f t="shared" ref="AC25" si="284">IF(AC20="","",AB25)</f>
        <v/>
      </c>
      <c r="AD25" s="12" t="str">
        <f t="shared" ref="AD25" si="285">IF(AD20="","",AC25)</f>
        <v/>
      </c>
      <c r="AE25" s="12" t="str">
        <f t="shared" ref="AE25" si="286">IF(AE20="","",AD25)</f>
        <v/>
      </c>
      <c r="AF25" s="12" t="str">
        <f t="shared" ref="AF25" si="287">IF(AF20="","",AE25)</f>
        <v/>
      </c>
      <c r="AG25" s="12" t="str">
        <f t="shared" ref="AG25" si="288">IF(AG20="","",AF25)</f>
        <v/>
      </c>
      <c r="AH25" s="12" t="str">
        <f t="shared" ref="AH25" si="289">IF(AH20="","",AG25)</f>
        <v/>
      </c>
      <c r="AI25" s="12" t="str">
        <f t="shared" ref="AI25" si="290">IF(AI20="","",AH25)</f>
        <v/>
      </c>
      <c r="AJ25" s="12" t="str">
        <f t="shared" ref="AJ25" si="291">IF(AJ20="","",AI25)</f>
        <v/>
      </c>
      <c r="AK25" s="12" t="str">
        <f t="shared" ref="AK25" si="292">IF(AK20="","",AJ25)</f>
        <v/>
      </c>
      <c r="AL25" s="12" t="str">
        <f t="shared" ref="AL25" si="293">IF(AL20="","",AK25)</f>
        <v/>
      </c>
      <c r="AM25" s="12" t="str">
        <f t="shared" ref="AM25" si="294">IF(AM20="","",AL25)</f>
        <v/>
      </c>
      <c r="AN25" s="12" t="str">
        <f t="shared" ref="AN25" si="295">IF(AN20="","",AM25)</f>
        <v/>
      </c>
      <c r="AO25" s="12" t="str">
        <f t="shared" ref="AO25:AS25" si="296">IF(AO20="","",AN25)</f>
        <v/>
      </c>
      <c r="AP25" s="12" t="str">
        <f t="shared" si="296"/>
        <v/>
      </c>
      <c r="AQ25" s="12" t="str">
        <f t="shared" si="296"/>
        <v/>
      </c>
      <c r="AR25" s="12" t="str">
        <f t="shared" si="296"/>
        <v/>
      </c>
      <c r="AS25" s="12" t="str">
        <f t="shared" si="296"/>
        <v/>
      </c>
    </row>
    <row r="26" spans="1:45" s="84" customFormat="1" ht="11.25" x14ac:dyDescent="0.15">
      <c r="A26" s="7">
        <f>AVERAGE(C27:AS27)*30*100</f>
        <v>43750</v>
      </c>
      <c r="B26" s="9" t="s">
        <v>12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</row>
    <row r="27" spans="1:45" s="84" customFormat="1" ht="11.25" x14ac:dyDescent="0.15">
      <c r="A27" s="7">
        <f>SUM(C27:AS27)</f>
        <v>175</v>
      </c>
      <c r="B27" s="6" t="s">
        <v>13</v>
      </c>
      <c r="C27" s="5">
        <v>0</v>
      </c>
      <c r="D27" s="5">
        <v>0</v>
      </c>
      <c r="E27" s="5">
        <v>0</v>
      </c>
      <c r="F27" s="5">
        <v>0</v>
      </c>
      <c r="G27" s="5">
        <v>105</v>
      </c>
      <c r="H27" s="5">
        <v>0</v>
      </c>
      <c r="I27" s="5">
        <v>0</v>
      </c>
      <c r="J27" s="5">
        <v>0</v>
      </c>
      <c r="K27" s="5">
        <v>48</v>
      </c>
      <c r="L27" s="5">
        <f t="shared" ref="L27:L28" si="297">IF(L20="","",L20-K20)</f>
        <v>0</v>
      </c>
      <c r="M27" s="5">
        <f t="shared" ref="M27:M28" si="298">IF(M20="","",M20-L20)</f>
        <v>0</v>
      </c>
      <c r="N27" s="5">
        <f t="shared" ref="N27:N28" si="299">IF(N20="","",N20-M20)</f>
        <v>22</v>
      </c>
      <c r="O27" s="5" t="str">
        <f t="shared" ref="O27:O28" si="300">IF(O20="","",O20-N20)</f>
        <v/>
      </c>
      <c r="P27" s="5" t="str">
        <f t="shared" ref="P27:P28" si="301">IF(P20="","",P20-O20)</f>
        <v/>
      </c>
      <c r="Q27" s="5" t="str">
        <f t="shared" ref="Q27:Q28" si="302">IF(Q20="","",Q20-P20)</f>
        <v/>
      </c>
      <c r="R27" s="5" t="str">
        <f t="shared" ref="R27:R28" si="303">IF(R20="","",R20-Q20)</f>
        <v/>
      </c>
      <c r="S27" s="5" t="str">
        <f t="shared" ref="S27:S28" si="304">IF(S20="","",S20-R20)</f>
        <v/>
      </c>
      <c r="T27" s="5" t="str">
        <f t="shared" ref="T27:T28" si="305">IF(T20="","",T20-S20)</f>
        <v/>
      </c>
      <c r="U27" s="5" t="str">
        <f t="shared" ref="U27:U28" si="306">IF(U20="","",U20-T20)</f>
        <v/>
      </c>
      <c r="V27" s="5" t="str">
        <f t="shared" ref="V27:V28" si="307">IF(V20="","",V20-U20)</f>
        <v/>
      </c>
      <c r="W27" s="5" t="str">
        <f t="shared" ref="W27:W28" si="308">IF(W20="","",W20-V20)</f>
        <v/>
      </c>
      <c r="X27" s="5" t="str">
        <f t="shared" ref="X27:X28" si="309">IF(X20="","",X20-W20)</f>
        <v/>
      </c>
      <c r="Y27" s="5" t="str">
        <f t="shared" ref="Y27:Y28" si="310">IF(Y20="","",Y20-X20)</f>
        <v/>
      </c>
      <c r="Z27" s="5" t="str">
        <f t="shared" ref="Z27:Z28" si="311">IF(Z20="","",Z20-Y20)</f>
        <v/>
      </c>
      <c r="AA27" s="5" t="str">
        <f t="shared" ref="AA27:AA28" si="312">IF(AA20="","",AA20-Z20)</f>
        <v/>
      </c>
      <c r="AB27" s="5" t="str">
        <f t="shared" ref="AB27:AB28" si="313">IF(AB20="","",AB20-AA20)</f>
        <v/>
      </c>
      <c r="AC27" s="5" t="str">
        <f t="shared" ref="AC27:AC28" si="314">IF(AC20="","",AC20-AB20)</f>
        <v/>
      </c>
      <c r="AD27" s="5" t="str">
        <f t="shared" ref="AD27:AD28" si="315">IF(AD20="","",AD20-AC20)</f>
        <v/>
      </c>
      <c r="AE27" s="5" t="str">
        <f t="shared" ref="AE27:AE28" si="316">IF(AE20="","",AE20-AD20)</f>
        <v/>
      </c>
      <c r="AF27" s="5" t="str">
        <f t="shared" ref="AF27:AF28" si="317">IF(AF20="","",AF20-AE20)</f>
        <v/>
      </c>
      <c r="AG27" s="5" t="str">
        <f t="shared" ref="AG27:AG28" si="318">IF(AG20="","",AG20-AF20)</f>
        <v/>
      </c>
      <c r="AH27" s="5" t="str">
        <f t="shared" ref="AH27:AH28" si="319">IF(AH20="","",AH20-AG20)</f>
        <v/>
      </c>
      <c r="AI27" s="5" t="str">
        <f t="shared" ref="AI27:AI28" si="320">IF(AI20="","",AI20-AH20)</f>
        <v/>
      </c>
      <c r="AJ27" s="5" t="str">
        <f t="shared" ref="AJ27:AJ28" si="321">IF(AJ20="","",AJ20-AI20)</f>
        <v/>
      </c>
      <c r="AK27" s="5" t="str">
        <f t="shared" ref="AK27:AK28" si="322">IF(AK20="","",AK20-AJ20)</f>
        <v/>
      </c>
      <c r="AL27" s="5" t="str">
        <f t="shared" ref="AL27:AL28" si="323">IF(AL20="","",AL20-AK20)</f>
        <v/>
      </c>
      <c r="AM27" s="5" t="str">
        <f t="shared" ref="AM27:AM28" si="324">IF(AM20="","",AM20-AL20)</f>
        <v/>
      </c>
      <c r="AN27" s="5" t="str">
        <f t="shared" ref="AN27:AN28" si="325">IF(AN20="","",AN20-AM20)</f>
        <v/>
      </c>
      <c r="AO27" s="5" t="str">
        <f t="shared" ref="AO27:AS27" si="326">IF(AO20="","",AO20-AN20)</f>
        <v/>
      </c>
      <c r="AP27" s="5" t="str">
        <f t="shared" si="326"/>
        <v/>
      </c>
      <c r="AQ27" s="5" t="str">
        <f t="shared" si="326"/>
        <v/>
      </c>
      <c r="AR27" s="5" t="str">
        <f t="shared" si="326"/>
        <v/>
      </c>
      <c r="AS27" s="5" t="str">
        <f t="shared" si="326"/>
        <v/>
      </c>
    </row>
    <row r="28" spans="1:45" s="84" customFormat="1" ht="11.25" x14ac:dyDescent="0.15">
      <c r="A28" s="7">
        <f>SUM(C28:AS28)</f>
        <v>4</v>
      </c>
      <c r="B28" s="6" t="s">
        <v>14</v>
      </c>
      <c r="C28" s="5">
        <v>0</v>
      </c>
      <c r="D28" s="5">
        <v>0</v>
      </c>
      <c r="E28" s="5">
        <v>0</v>
      </c>
      <c r="F28" s="5">
        <v>0</v>
      </c>
      <c r="G28" s="5">
        <v>3</v>
      </c>
      <c r="H28" s="5">
        <v>0</v>
      </c>
      <c r="I28" s="5">
        <v>0</v>
      </c>
      <c r="J28" s="5">
        <v>0</v>
      </c>
      <c r="K28" s="5">
        <v>1</v>
      </c>
      <c r="L28" s="5">
        <f t="shared" si="297"/>
        <v>0</v>
      </c>
      <c r="M28" s="5">
        <f t="shared" si="298"/>
        <v>0</v>
      </c>
      <c r="N28" s="5">
        <f t="shared" si="299"/>
        <v>0</v>
      </c>
      <c r="O28" s="5" t="str">
        <f t="shared" si="300"/>
        <v/>
      </c>
      <c r="P28" s="5" t="str">
        <f t="shared" si="301"/>
        <v/>
      </c>
      <c r="Q28" s="5" t="str">
        <f t="shared" si="302"/>
        <v/>
      </c>
      <c r="R28" s="5" t="str">
        <f t="shared" si="303"/>
        <v/>
      </c>
      <c r="S28" s="5" t="str">
        <f t="shared" si="304"/>
        <v/>
      </c>
      <c r="T28" s="5" t="str">
        <f t="shared" si="305"/>
        <v/>
      </c>
      <c r="U28" s="5" t="str">
        <f t="shared" si="306"/>
        <v/>
      </c>
      <c r="V28" s="5" t="str">
        <f t="shared" si="307"/>
        <v/>
      </c>
      <c r="W28" s="5" t="str">
        <f t="shared" si="308"/>
        <v/>
      </c>
      <c r="X28" s="5" t="str">
        <f t="shared" si="309"/>
        <v/>
      </c>
      <c r="Y28" s="5" t="str">
        <f t="shared" si="310"/>
        <v/>
      </c>
      <c r="Z28" s="5" t="str">
        <f t="shared" si="311"/>
        <v/>
      </c>
      <c r="AA28" s="5" t="str">
        <f t="shared" si="312"/>
        <v/>
      </c>
      <c r="AB28" s="5" t="str">
        <f t="shared" si="313"/>
        <v/>
      </c>
      <c r="AC28" s="5" t="str">
        <f t="shared" si="314"/>
        <v/>
      </c>
      <c r="AD28" s="5" t="str">
        <f t="shared" si="315"/>
        <v/>
      </c>
      <c r="AE28" s="5" t="str">
        <f t="shared" si="316"/>
        <v/>
      </c>
      <c r="AF28" s="5" t="str">
        <f t="shared" si="317"/>
        <v/>
      </c>
      <c r="AG28" s="5" t="str">
        <f t="shared" si="318"/>
        <v/>
      </c>
      <c r="AH28" s="5" t="str">
        <f t="shared" si="319"/>
        <v/>
      </c>
      <c r="AI28" s="5" t="str">
        <f t="shared" si="320"/>
        <v/>
      </c>
      <c r="AJ28" s="5" t="str">
        <f t="shared" si="321"/>
        <v/>
      </c>
      <c r="AK28" s="5" t="str">
        <f t="shared" si="322"/>
        <v/>
      </c>
      <c r="AL28" s="5" t="str">
        <f t="shared" si="323"/>
        <v/>
      </c>
      <c r="AM28" s="5" t="str">
        <f t="shared" si="324"/>
        <v/>
      </c>
      <c r="AN28" s="5" t="str">
        <f t="shared" si="325"/>
        <v/>
      </c>
      <c r="AO28" s="5" t="str">
        <f t="shared" ref="AO28:AS28" si="327">IF(AO21="","",AO21-AN21)</f>
        <v/>
      </c>
      <c r="AP28" s="5" t="str">
        <f t="shared" si="327"/>
        <v/>
      </c>
      <c r="AQ28" s="5" t="str">
        <f t="shared" si="327"/>
        <v/>
      </c>
      <c r="AR28" s="5" t="str">
        <f t="shared" si="327"/>
        <v/>
      </c>
      <c r="AS28" s="5" t="str">
        <f t="shared" si="327"/>
        <v/>
      </c>
    </row>
    <row r="29" spans="1:45" s="84" customFormat="1" ht="11.25" x14ac:dyDescent="0.15">
      <c r="A29" s="7">
        <f>SUM(C29:AS29)</f>
        <v>4</v>
      </c>
      <c r="B29" s="6" t="s">
        <v>15</v>
      </c>
      <c r="C29" s="5">
        <v>0</v>
      </c>
      <c r="D29" s="5">
        <v>0</v>
      </c>
      <c r="E29" s="5">
        <v>0</v>
      </c>
      <c r="F29" s="5">
        <v>0</v>
      </c>
      <c r="G29" s="5">
        <v>3</v>
      </c>
      <c r="H29" s="5">
        <v>0</v>
      </c>
      <c r="I29" s="5">
        <v>0</v>
      </c>
      <c r="J29" s="5">
        <v>0</v>
      </c>
      <c r="K29" s="5">
        <v>1</v>
      </c>
      <c r="L29" s="5">
        <f t="shared" ref="L29" si="328">IF(L22="","",K22+K23-L22)</f>
        <v>0</v>
      </c>
      <c r="M29" s="5">
        <f t="shared" ref="M29" si="329">IF(M22="","",L22+L23-M22)</f>
        <v>0</v>
      </c>
      <c r="N29" s="5">
        <f t="shared" ref="N29" si="330">IF(N22="","",M22+M23-N22)</f>
        <v>0</v>
      </c>
      <c r="O29" s="5" t="str">
        <f t="shared" ref="O29" si="331">IF(O22="","",N22+N23-O22)</f>
        <v/>
      </c>
      <c r="P29" s="5" t="str">
        <f t="shared" ref="P29" si="332">IF(P22="","",O22+O23-P22)</f>
        <v/>
      </c>
      <c r="Q29" s="5" t="str">
        <f t="shared" ref="Q29" si="333">IF(Q22="","",P22+P23-Q22)</f>
        <v/>
      </c>
      <c r="R29" s="5" t="str">
        <f t="shared" ref="R29" si="334">IF(R22="","",Q22+Q23-R22)</f>
        <v/>
      </c>
      <c r="S29" s="5" t="str">
        <f t="shared" ref="S29" si="335">IF(S22="","",R22+R23-S22)</f>
        <v/>
      </c>
      <c r="T29" s="5" t="str">
        <f t="shared" ref="T29" si="336">IF(T22="","",S22+S23-T22)</f>
        <v/>
      </c>
      <c r="U29" s="5" t="str">
        <f t="shared" ref="U29" si="337">IF(U22="","",T22+T23-U22)</f>
        <v/>
      </c>
      <c r="V29" s="5" t="str">
        <f t="shared" ref="V29" si="338">IF(V22="","",U22+U23-V22)</f>
        <v/>
      </c>
      <c r="W29" s="5" t="str">
        <f t="shared" ref="W29" si="339">IF(W22="","",V22+V23-W22)</f>
        <v/>
      </c>
      <c r="X29" s="5" t="str">
        <f t="shared" ref="X29" si="340">IF(X22="","",W22+W23-X22)</f>
        <v/>
      </c>
      <c r="Y29" s="5" t="str">
        <f t="shared" ref="Y29" si="341">IF(Y22="","",X22+X23-Y22)</f>
        <v/>
      </c>
      <c r="Z29" s="5" t="str">
        <f t="shared" ref="Z29" si="342">IF(Z22="","",Y22+Y23-Z22)</f>
        <v/>
      </c>
      <c r="AA29" s="5" t="str">
        <f t="shared" ref="AA29" si="343">IF(AA22="","",Z22+Z23-AA22)</f>
        <v/>
      </c>
      <c r="AB29" s="5" t="str">
        <f t="shared" ref="AB29" si="344">IF(AB22="","",AA22+AA23-AB22)</f>
        <v/>
      </c>
      <c r="AC29" s="5" t="str">
        <f t="shared" ref="AC29" si="345">IF(AC22="","",AB22+AB23-AC22)</f>
        <v/>
      </c>
      <c r="AD29" s="5" t="str">
        <f t="shared" ref="AD29" si="346">IF(AD22="","",AC22+AC23-AD22)</f>
        <v/>
      </c>
      <c r="AE29" s="5" t="str">
        <f t="shared" ref="AE29" si="347">IF(AE22="","",AD22+AD23-AE22)</f>
        <v/>
      </c>
      <c r="AF29" s="5" t="str">
        <f t="shared" ref="AF29" si="348">IF(AF22="","",AE22+AE23-AF22)</f>
        <v/>
      </c>
      <c r="AG29" s="5" t="str">
        <f t="shared" ref="AG29" si="349">IF(AG22="","",AF22+AF23-AG22)</f>
        <v/>
      </c>
      <c r="AH29" s="5" t="str">
        <f t="shared" ref="AH29" si="350">IF(AH22="","",AG22+AG23-AH22)</f>
        <v/>
      </c>
      <c r="AI29" s="5" t="str">
        <f t="shared" ref="AI29" si="351">IF(AI22="","",AH22+AH23-AI22)</f>
        <v/>
      </c>
      <c r="AJ29" s="5" t="str">
        <f t="shared" ref="AJ29" si="352">IF(AJ22="","",AI22+AI23-AJ22)</f>
        <v/>
      </c>
      <c r="AK29" s="5" t="str">
        <f t="shared" ref="AK29" si="353">IF(AK22="","",AJ22+AJ23-AK22)</f>
        <v/>
      </c>
      <c r="AL29" s="5" t="str">
        <f t="shared" ref="AL29" si="354">IF(AL22="","",AK22+AK23-AL22)</f>
        <v/>
      </c>
      <c r="AM29" s="5" t="str">
        <f t="shared" ref="AM29" si="355">IF(AM22="","",AL22+AL23-AM22)</f>
        <v/>
      </c>
      <c r="AN29" s="5" t="str">
        <f t="shared" ref="AN29" si="356">IF(AN22="","",AM22+AM23-AN22)</f>
        <v/>
      </c>
      <c r="AO29" s="5" t="str">
        <f t="shared" ref="AO29:AS29" si="357">IF(AO22="","",AN22+AN23-AO22)</f>
        <v/>
      </c>
      <c r="AP29" s="5" t="str">
        <f t="shared" si="357"/>
        <v/>
      </c>
      <c r="AQ29" s="5" t="str">
        <f t="shared" si="357"/>
        <v/>
      </c>
      <c r="AR29" s="5" t="str">
        <f t="shared" si="357"/>
        <v/>
      </c>
      <c r="AS29" s="5" t="str">
        <f t="shared" si="357"/>
        <v/>
      </c>
    </row>
    <row r="30" spans="1:45" s="84" customFormat="1" ht="11.25" x14ac:dyDescent="0.15">
      <c r="A30" s="7">
        <f>SUM(C30:AS30)</f>
        <v>960</v>
      </c>
      <c r="B30" s="6" t="s">
        <v>16</v>
      </c>
      <c r="C30" s="5">
        <v>0</v>
      </c>
      <c r="D30" s="5">
        <v>0</v>
      </c>
      <c r="E30" s="5">
        <v>0</v>
      </c>
      <c r="F30" s="5">
        <v>0</v>
      </c>
      <c r="G30" s="5">
        <v>720</v>
      </c>
      <c r="H30" s="5">
        <v>0</v>
      </c>
      <c r="I30" s="5">
        <v>0</v>
      </c>
      <c r="J30" s="5">
        <v>0</v>
      </c>
      <c r="K30" s="5">
        <v>240</v>
      </c>
      <c r="L30" s="5">
        <f t="shared" ref="J30:AN30" si="358">IF(L20="","",L29*L24)</f>
        <v>0</v>
      </c>
      <c r="M30" s="5">
        <f t="shared" si="358"/>
        <v>0</v>
      </c>
      <c r="N30" s="5">
        <f t="shared" si="358"/>
        <v>0</v>
      </c>
      <c r="O30" s="5" t="str">
        <f t="shared" si="358"/>
        <v/>
      </c>
      <c r="P30" s="5" t="str">
        <f t="shared" si="358"/>
        <v/>
      </c>
      <c r="Q30" s="5" t="str">
        <f t="shared" si="358"/>
        <v/>
      </c>
      <c r="R30" s="5" t="str">
        <f t="shared" si="358"/>
        <v/>
      </c>
      <c r="S30" s="5" t="str">
        <f t="shared" si="358"/>
        <v/>
      </c>
      <c r="T30" s="5" t="str">
        <f t="shared" si="358"/>
        <v/>
      </c>
      <c r="U30" s="5" t="str">
        <f t="shared" si="358"/>
        <v/>
      </c>
      <c r="V30" s="5" t="str">
        <f t="shared" si="358"/>
        <v/>
      </c>
      <c r="W30" s="5" t="str">
        <f t="shared" si="358"/>
        <v/>
      </c>
      <c r="X30" s="5" t="str">
        <f t="shared" si="358"/>
        <v/>
      </c>
      <c r="Y30" s="5" t="str">
        <f t="shared" si="358"/>
        <v/>
      </c>
      <c r="Z30" s="5" t="str">
        <f t="shared" si="358"/>
        <v/>
      </c>
      <c r="AA30" s="5" t="str">
        <f t="shared" si="358"/>
        <v/>
      </c>
      <c r="AB30" s="5" t="str">
        <f t="shared" si="358"/>
        <v/>
      </c>
      <c r="AC30" s="5" t="str">
        <f t="shared" si="358"/>
        <v/>
      </c>
      <c r="AD30" s="5" t="str">
        <f t="shared" si="358"/>
        <v/>
      </c>
      <c r="AE30" s="5" t="str">
        <f t="shared" si="358"/>
        <v/>
      </c>
      <c r="AF30" s="5" t="str">
        <f t="shared" si="358"/>
        <v/>
      </c>
      <c r="AG30" s="5" t="str">
        <f t="shared" si="358"/>
        <v/>
      </c>
      <c r="AH30" s="5" t="str">
        <f t="shared" si="358"/>
        <v/>
      </c>
      <c r="AI30" s="5" t="str">
        <f t="shared" si="358"/>
        <v/>
      </c>
      <c r="AJ30" s="5" t="str">
        <f t="shared" si="358"/>
        <v/>
      </c>
      <c r="AK30" s="5" t="str">
        <f t="shared" si="358"/>
        <v/>
      </c>
      <c r="AL30" s="5" t="str">
        <f t="shared" si="358"/>
        <v/>
      </c>
      <c r="AM30" s="5" t="str">
        <f t="shared" si="358"/>
        <v/>
      </c>
      <c r="AN30" s="5" t="str">
        <f t="shared" si="358"/>
        <v/>
      </c>
      <c r="AO30" s="5" t="str">
        <f t="shared" ref="AO30:AS30" si="359">IF(AO20="","",AO29*AO24)</f>
        <v/>
      </c>
      <c r="AP30" s="5" t="str">
        <f t="shared" si="359"/>
        <v/>
      </c>
      <c r="AQ30" s="5" t="str">
        <f t="shared" si="359"/>
        <v/>
      </c>
      <c r="AR30" s="5" t="str">
        <f t="shared" si="359"/>
        <v/>
      </c>
      <c r="AS30" s="5" t="str">
        <f t="shared" si="359"/>
        <v/>
      </c>
    </row>
    <row r="31" spans="1:45" s="84" customFormat="1" ht="12" thickBot="1" x14ac:dyDescent="0.2">
      <c r="A31" s="4">
        <f>IF(A30="","",A30/(A27*100))</f>
        <v>5.4857142857142854E-2</v>
      </c>
      <c r="B31" s="6" t="s">
        <v>18</v>
      </c>
      <c r="C31" s="18" t="s">
        <v>19</v>
      </c>
      <c r="D31" s="18" t="s">
        <v>19</v>
      </c>
      <c r="E31" s="18" t="s">
        <v>19</v>
      </c>
      <c r="F31" s="18" t="s">
        <v>19</v>
      </c>
      <c r="G31" s="18">
        <v>6.8571428571428575E-2</v>
      </c>
      <c r="H31" s="18" t="s">
        <v>19</v>
      </c>
      <c r="I31" s="18" t="s">
        <v>19</v>
      </c>
      <c r="J31" s="18" t="s">
        <v>19</v>
      </c>
      <c r="K31" s="18">
        <v>0.05</v>
      </c>
      <c r="L31" s="18" t="str">
        <f t="shared" ref="J31:AN31" si="360">IF(L30="","",IF(L30=0,"",L30/(L27*100)))</f>
        <v/>
      </c>
      <c r="M31" s="18" t="str">
        <f t="shared" si="360"/>
        <v/>
      </c>
      <c r="N31" s="18" t="str">
        <f t="shared" si="360"/>
        <v/>
      </c>
      <c r="O31" s="18" t="str">
        <f t="shared" si="360"/>
        <v/>
      </c>
      <c r="P31" s="18" t="str">
        <f t="shared" si="360"/>
        <v/>
      </c>
      <c r="Q31" s="18" t="str">
        <f t="shared" si="360"/>
        <v/>
      </c>
      <c r="R31" s="18" t="str">
        <f t="shared" si="360"/>
        <v/>
      </c>
      <c r="S31" s="18" t="str">
        <f t="shared" si="360"/>
        <v/>
      </c>
      <c r="T31" s="18" t="str">
        <f t="shared" si="360"/>
        <v/>
      </c>
      <c r="U31" s="18" t="str">
        <f t="shared" si="360"/>
        <v/>
      </c>
      <c r="V31" s="18" t="str">
        <f t="shared" si="360"/>
        <v/>
      </c>
      <c r="W31" s="18" t="str">
        <f t="shared" si="360"/>
        <v/>
      </c>
      <c r="X31" s="18" t="str">
        <f t="shared" si="360"/>
        <v/>
      </c>
      <c r="Y31" s="18" t="str">
        <f t="shared" si="360"/>
        <v/>
      </c>
      <c r="Z31" s="18" t="str">
        <f t="shared" si="360"/>
        <v/>
      </c>
      <c r="AA31" s="18" t="str">
        <f t="shared" si="360"/>
        <v/>
      </c>
      <c r="AB31" s="18" t="str">
        <f t="shared" si="360"/>
        <v/>
      </c>
      <c r="AC31" s="18" t="str">
        <f t="shared" si="360"/>
        <v/>
      </c>
      <c r="AD31" s="18" t="str">
        <f t="shared" si="360"/>
        <v/>
      </c>
      <c r="AE31" s="18" t="str">
        <f t="shared" si="360"/>
        <v/>
      </c>
      <c r="AF31" s="18" t="str">
        <f t="shared" si="360"/>
        <v/>
      </c>
      <c r="AG31" s="18" t="str">
        <f t="shared" si="360"/>
        <v/>
      </c>
      <c r="AH31" s="18" t="str">
        <f t="shared" si="360"/>
        <v/>
      </c>
      <c r="AI31" s="18" t="str">
        <f t="shared" si="360"/>
        <v/>
      </c>
      <c r="AJ31" s="18" t="str">
        <f t="shared" si="360"/>
        <v/>
      </c>
      <c r="AK31" s="18" t="str">
        <f t="shared" si="360"/>
        <v/>
      </c>
      <c r="AL31" s="18" t="str">
        <f t="shared" si="360"/>
        <v/>
      </c>
      <c r="AM31" s="18" t="str">
        <f t="shared" si="360"/>
        <v/>
      </c>
      <c r="AN31" s="18" t="str">
        <f t="shared" si="360"/>
        <v/>
      </c>
      <c r="AO31" s="18" t="str">
        <f t="shared" ref="AO31:AS31" si="361">IF(AO30="","",IF(AO30=0,"",AO30/(AO27*100)))</f>
        <v/>
      </c>
      <c r="AP31" s="18" t="str">
        <f t="shared" si="361"/>
        <v/>
      </c>
      <c r="AQ31" s="18" t="str">
        <f t="shared" si="361"/>
        <v/>
      </c>
      <c r="AR31" s="18" t="str">
        <f t="shared" si="361"/>
        <v/>
      </c>
      <c r="AS31" s="18" t="str">
        <f t="shared" si="361"/>
        <v/>
      </c>
    </row>
    <row r="32" spans="1:45" s="84" customFormat="1" ht="11.25" x14ac:dyDescent="0.15">
      <c r="A32" s="17" t="s">
        <v>96</v>
      </c>
      <c r="B32" s="9" t="s">
        <v>2</v>
      </c>
      <c r="C32" s="8">
        <v>25142</v>
      </c>
      <c r="D32" s="8">
        <v>25142</v>
      </c>
      <c r="E32" s="8">
        <v>25142</v>
      </c>
      <c r="F32" s="8">
        <v>25142</v>
      </c>
      <c r="G32" s="8">
        <v>25156</v>
      </c>
      <c r="H32" s="8">
        <v>25156</v>
      </c>
      <c r="I32" s="8">
        <v>25156</v>
      </c>
      <c r="J32" s="8">
        <v>25156</v>
      </c>
      <c r="K32" s="8">
        <v>25173</v>
      </c>
      <c r="L32" s="8">
        <f>IF(L$8="","",K32)</f>
        <v>25173</v>
      </c>
      <c r="M32" s="8">
        <f t="shared" ref="M32:M33" si="362">IF(M$8="","",L32)</f>
        <v>25173</v>
      </c>
      <c r="N32" s="8">
        <v>25194</v>
      </c>
      <c r="O32" s="8" t="str">
        <f>IF(O$8="","",N32)</f>
        <v/>
      </c>
      <c r="P32" s="8" t="str">
        <f t="shared" ref="P32:P33" si="363">IF(P$8="","",O32)</f>
        <v/>
      </c>
      <c r="Q32" s="8" t="str">
        <f t="shared" ref="Q32:Q33" si="364">IF(Q$8="","",P32)</f>
        <v/>
      </c>
      <c r="R32" s="8" t="str">
        <f t="shared" ref="R32:R33" si="365">IF(R$8="","",Q32)</f>
        <v/>
      </c>
      <c r="S32" s="8" t="str">
        <f>IF(S$8="","",R32)</f>
        <v/>
      </c>
      <c r="T32" s="8" t="str">
        <f t="shared" ref="T32:T33" si="366">IF(T$8="","",S32)</f>
        <v/>
      </c>
      <c r="U32" s="8" t="str">
        <f t="shared" ref="U32:U33" si="367">IF(U$8="","",T32)</f>
        <v/>
      </c>
      <c r="V32" s="8" t="str">
        <f>IF(V$8="","",U32)</f>
        <v/>
      </c>
      <c r="W32" s="8" t="str">
        <f t="shared" ref="W32:W33" si="368">IF(W$8="","",V32)</f>
        <v/>
      </c>
      <c r="X32" s="8" t="str">
        <f t="shared" ref="X32:X33" si="369">IF(X$8="","",W32)</f>
        <v/>
      </c>
      <c r="Y32" s="8" t="str">
        <f t="shared" ref="Y32:Y33" si="370">IF(Y$8="","",X32)</f>
        <v/>
      </c>
      <c r="Z32" s="8" t="str">
        <f>IF(Z$8="","",Y32)</f>
        <v/>
      </c>
      <c r="AA32" s="8" t="str">
        <f t="shared" ref="AA32:AA33" si="371">IF(AA$8="","",Z32)</f>
        <v/>
      </c>
      <c r="AB32" s="8" t="str">
        <f t="shared" ref="AB32:AB33" si="372">IF(AB$8="","",AA32)</f>
        <v/>
      </c>
      <c r="AC32" s="8" t="str">
        <f t="shared" ref="AC32:AC33" si="373">IF(AC$8="","",AB32)</f>
        <v/>
      </c>
      <c r="AD32" s="8" t="str">
        <f>IF(AD$8="","",AC32)</f>
        <v/>
      </c>
      <c r="AE32" s="8" t="str">
        <f>IF(AE$8="","",AD32)</f>
        <v/>
      </c>
      <c r="AF32" s="8" t="str">
        <f t="shared" ref="AF32:AF33" si="374">IF(AF$8="","",AE32)</f>
        <v/>
      </c>
      <c r="AG32" s="8" t="str">
        <f>IF(AG$8="","",AF32)</f>
        <v/>
      </c>
      <c r="AH32" s="8" t="str">
        <f t="shared" ref="AH32:AH33" si="375">IF(AH$8="","",AG32)</f>
        <v/>
      </c>
      <c r="AI32" s="8" t="str">
        <f t="shared" ref="AI32:AI33" si="376">IF(AI$8="","",AH32)</f>
        <v/>
      </c>
      <c r="AJ32" s="8" t="str">
        <f>IF(AJ$8="","",AI32)</f>
        <v/>
      </c>
      <c r="AK32" s="8" t="str">
        <f t="shared" ref="AK32:AK33" si="377">IF(AK$8="","",AJ32)</f>
        <v/>
      </c>
      <c r="AL32" s="8" t="str">
        <f t="shared" ref="AL32:AL33" si="378">IF(AL$8="","",AK32)</f>
        <v/>
      </c>
      <c r="AM32" s="8" t="str">
        <f t="shared" ref="AM32:AM33" si="379">IF(AM$8="","",AL32)</f>
        <v/>
      </c>
      <c r="AN32" s="8" t="str">
        <f>IF(AN$8="","",AM32)</f>
        <v/>
      </c>
      <c r="AO32" s="8" t="str">
        <f t="shared" ref="AO32:AS32" si="380">IF(AO$8="","",AN32)</f>
        <v/>
      </c>
      <c r="AP32" s="8" t="str">
        <f t="shared" si="380"/>
        <v/>
      </c>
      <c r="AQ32" s="8" t="str">
        <f t="shared" si="380"/>
        <v/>
      </c>
      <c r="AR32" s="8" t="str">
        <f t="shared" si="380"/>
        <v/>
      </c>
      <c r="AS32" s="8" t="str">
        <f t="shared" si="380"/>
        <v/>
      </c>
    </row>
    <row r="33" spans="1:45" s="84" customFormat="1" ht="11.25" x14ac:dyDescent="0.15">
      <c r="A33" s="16" t="str">
        <f>A21</f>
        <v>BUZZ＃1</v>
      </c>
      <c r="B33" s="9" t="s">
        <v>4</v>
      </c>
      <c r="C33" s="8">
        <v>2838</v>
      </c>
      <c r="D33" s="8">
        <v>2838</v>
      </c>
      <c r="E33" s="8">
        <v>2838</v>
      </c>
      <c r="F33" s="8">
        <v>2838</v>
      </c>
      <c r="G33" s="8">
        <v>2838</v>
      </c>
      <c r="H33" s="8">
        <v>2838</v>
      </c>
      <c r="I33" s="8">
        <v>2838</v>
      </c>
      <c r="J33" s="8">
        <v>2838</v>
      </c>
      <c r="K33" s="8">
        <v>2838</v>
      </c>
      <c r="L33" s="8">
        <f>IF(L$8="","",K33)</f>
        <v>2838</v>
      </c>
      <c r="M33" s="8">
        <f t="shared" si="362"/>
        <v>2838</v>
      </c>
      <c r="N33" s="8">
        <v>2838</v>
      </c>
      <c r="O33" s="8" t="str">
        <f>IF(O$8="","",N33)</f>
        <v/>
      </c>
      <c r="P33" s="8" t="str">
        <f t="shared" si="363"/>
        <v/>
      </c>
      <c r="Q33" s="8" t="str">
        <f t="shared" si="364"/>
        <v/>
      </c>
      <c r="R33" s="8" t="str">
        <f t="shared" si="365"/>
        <v/>
      </c>
      <c r="S33" s="8" t="str">
        <f>IF(S$8="","",R33)</f>
        <v/>
      </c>
      <c r="T33" s="8" t="str">
        <f t="shared" si="366"/>
        <v/>
      </c>
      <c r="U33" s="8" t="str">
        <f t="shared" si="367"/>
        <v/>
      </c>
      <c r="V33" s="8" t="str">
        <f>IF(V$8="","",U33)</f>
        <v/>
      </c>
      <c r="W33" s="8" t="str">
        <f t="shared" si="368"/>
        <v/>
      </c>
      <c r="X33" s="8" t="str">
        <f t="shared" si="369"/>
        <v/>
      </c>
      <c r="Y33" s="8" t="str">
        <f t="shared" si="370"/>
        <v/>
      </c>
      <c r="Z33" s="8" t="str">
        <f>IF(Z$8="","",Y33)</f>
        <v/>
      </c>
      <c r="AA33" s="8" t="str">
        <f t="shared" si="371"/>
        <v/>
      </c>
      <c r="AB33" s="8" t="str">
        <f t="shared" si="372"/>
        <v/>
      </c>
      <c r="AC33" s="8" t="str">
        <f t="shared" si="373"/>
        <v/>
      </c>
      <c r="AD33" s="8" t="str">
        <f t="shared" ref="AD33" si="381">IF(AD$8="","",AC33)</f>
        <v/>
      </c>
      <c r="AE33" s="8" t="str">
        <f t="shared" ref="AE32:AE33" si="382">IF(AE$8="","",AD33)</f>
        <v/>
      </c>
      <c r="AF33" s="8" t="str">
        <f t="shared" si="374"/>
        <v/>
      </c>
      <c r="AG33" s="8" t="str">
        <f>IF(AG$8="","",AF33)</f>
        <v/>
      </c>
      <c r="AH33" s="8" t="str">
        <f t="shared" si="375"/>
        <v/>
      </c>
      <c r="AI33" s="8" t="str">
        <f t="shared" si="376"/>
        <v/>
      </c>
      <c r="AJ33" s="8" t="str">
        <f>IF(AJ$8="","",AI33)</f>
        <v/>
      </c>
      <c r="AK33" s="8" t="str">
        <f t="shared" si="377"/>
        <v/>
      </c>
      <c r="AL33" s="8" t="str">
        <f t="shared" si="378"/>
        <v/>
      </c>
      <c r="AM33" s="8" t="str">
        <f t="shared" si="379"/>
        <v/>
      </c>
      <c r="AN33" s="8" t="str">
        <f t="shared" ref="AN32:AN33" si="383">IF(AN$8="","",AM33)</f>
        <v/>
      </c>
      <c r="AO33" s="8" t="str">
        <f t="shared" ref="AO33:AS33" si="384">IF(AO$8="","",AN33)</f>
        <v/>
      </c>
      <c r="AP33" s="8" t="str">
        <f t="shared" si="384"/>
        <v/>
      </c>
      <c r="AQ33" s="8" t="str">
        <f t="shared" si="384"/>
        <v/>
      </c>
      <c r="AR33" s="8" t="str">
        <f t="shared" si="384"/>
        <v/>
      </c>
      <c r="AS33" s="8" t="str">
        <f t="shared" si="384"/>
        <v/>
      </c>
    </row>
    <row r="34" spans="1:45" s="84" customFormat="1" ht="11.25" x14ac:dyDescent="0.15">
      <c r="A34" s="15">
        <v>3</v>
      </c>
      <c r="B34" s="9" t="s">
        <v>5</v>
      </c>
      <c r="C34" s="8">
        <v>7</v>
      </c>
      <c r="D34" s="8">
        <v>7</v>
      </c>
      <c r="E34" s="8">
        <v>7</v>
      </c>
      <c r="F34" s="8">
        <v>7</v>
      </c>
      <c r="G34" s="8">
        <v>7</v>
      </c>
      <c r="H34" s="8">
        <v>7</v>
      </c>
      <c r="I34" s="8">
        <v>7</v>
      </c>
      <c r="J34" s="8">
        <v>7</v>
      </c>
      <c r="K34" s="8">
        <v>7</v>
      </c>
      <c r="L34" s="8">
        <f>IF(L32="","",(K34+K35))</f>
        <v>7</v>
      </c>
      <c r="M34" s="8">
        <f t="shared" ref="M34" si="385">IF(M32="","",(L34+L35))</f>
        <v>7</v>
      </c>
      <c r="N34" s="8">
        <v>10</v>
      </c>
      <c r="O34" s="8" t="str">
        <f>IF(O32="","",(N34+N35))</f>
        <v/>
      </c>
      <c r="P34" s="8" t="str">
        <f t="shared" ref="P34" si="386">IF(P32="","",(O34+O35))</f>
        <v/>
      </c>
      <c r="Q34" s="8" t="str">
        <f t="shared" ref="Q34" si="387">IF(Q32="","",(P34+P35))</f>
        <v/>
      </c>
      <c r="R34" s="8" t="str">
        <f t="shared" ref="R34" si="388">IF(R32="","",(Q34+Q35))</f>
        <v/>
      </c>
      <c r="S34" s="8" t="str">
        <f>IF(S32="","",(R34+R35))</f>
        <v/>
      </c>
      <c r="T34" s="8" t="str">
        <f t="shared" ref="T34" si="389">IF(T32="","",(S34+S35))</f>
        <v/>
      </c>
      <c r="U34" s="8" t="str">
        <f t="shared" ref="U34" si="390">IF(U32="","",(T34+T35))</f>
        <v/>
      </c>
      <c r="V34" s="8" t="str">
        <f>IF(V32="","",(U34+U35))</f>
        <v/>
      </c>
      <c r="W34" s="8" t="str">
        <f t="shared" ref="W34" si="391">IF(W32="","",(V34+V35))</f>
        <v/>
      </c>
      <c r="X34" s="8" t="str">
        <f t="shared" ref="X34" si="392">IF(X32="","",(W34+W35))</f>
        <v/>
      </c>
      <c r="Y34" s="8" t="str">
        <f t="shared" ref="Y34" si="393">IF(Y32="","",(X34+X35))</f>
        <v/>
      </c>
      <c r="Z34" s="8" t="str">
        <f>IF(Z32="","",(Y34+Y35))</f>
        <v/>
      </c>
      <c r="AA34" s="8" t="str">
        <f t="shared" ref="AA34" si="394">IF(AA32="","",(Z34+Z35))</f>
        <v/>
      </c>
      <c r="AB34" s="8" t="str">
        <f t="shared" ref="AB34" si="395">IF(AB32="","",(AA34+AA35))</f>
        <v/>
      </c>
      <c r="AC34" s="8" t="str">
        <f t="shared" ref="AC34" si="396">IF(AC32="","",(AB34+AB35))</f>
        <v/>
      </c>
      <c r="AD34" s="8" t="str">
        <f>IF(AD32="","",(AC34+AC35))</f>
        <v/>
      </c>
      <c r="AE34" s="8" t="str">
        <f t="shared" ref="AE34" si="397">IF(AE32="","",(AD34+AD35))</f>
        <v/>
      </c>
      <c r="AF34" s="8" t="str">
        <f t="shared" ref="AF34" si="398">IF(AF32="","",(AE34+AE35))</f>
        <v/>
      </c>
      <c r="AG34" s="8" t="str">
        <f>IF(AG32="","",(AF34+AF35))</f>
        <v/>
      </c>
      <c r="AH34" s="8" t="str">
        <f t="shared" ref="AH34" si="399">IF(AH32="","",(AG34+AG35))</f>
        <v/>
      </c>
      <c r="AI34" s="8" t="str">
        <f t="shared" ref="AI34" si="400">IF(AI32="","",(AH34+AH35))</f>
        <v/>
      </c>
      <c r="AJ34" s="8" t="str">
        <f t="shared" ref="AJ34" si="401">IF(AJ32="","",(AI34+AI35))</f>
        <v/>
      </c>
      <c r="AK34" s="8" t="str">
        <f t="shared" ref="AK34" si="402">IF(AK32="","",(AJ34+AJ35))</f>
        <v/>
      </c>
      <c r="AL34" s="8" t="str">
        <f t="shared" ref="AL34" si="403">IF(AL32="","",(AK34+AK35))</f>
        <v/>
      </c>
      <c r="AM34" s="8" t="str">
        <f t="shared" ref="AM34" si="404">IF(AM32="","",(AL34+AL35))</f>
        <v/>
      </c>
      <c r="AN34" s="8" t="str">
        <f t="shared" ref="AN34" si="405">IF(AN32="","",(AM34+AM35))</f>
        <v/>
      </c>
      <c r="AO34" s="8" t="str">
        <f t="shared" ref="AO34:AS34" si="406">IF(AO32="","",(AN34+AN35))</f>
        <v/>
      </c>
      <c r="AP34" s="8" t="str">
        <f t="shared" si="406"/>
        <v/>
      </c>
      <c r="AQ34" s="8" t="str">
        <f t="shared" si="406"/>
        <v/>
      </c>
      <c r="AR34" s="8" t="str">
        <f t="shared" si="406"/>
        <v/>
      </c>
      <c r="AS34" s="8" t="str">
        <f t="shared" si="406"/>
        <v/>
      </c>
    </row>
    <row r="35" spans="1:45" s="84" customFormat="1" ht="11.25" x14ac:dyDescent="0.15">
      <c r="A35" s="14"/>
      <c r="B35" s="9" t="s">
        <v>7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>
        <v>3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</row>
    <row r="36" spans="1:45" s="84" customFormat="1" ht="11.25" x14ac:dyDescent="0.15">
      <c r="A36" s="7"/>
      <c r="B36" s="9" t="s">
        <v>8</v>
      </c>
      <c r="C36" s="8">
        <v>600</v>
      </c>
      <c r="D36" s="8">
        <v>600</v>
      </c>
      <c r="E36" s="8">
        <v>600</v>
      </c>
      <c r="F36" s="8">
        <v>600</v>
      </c>
      <c r="G36" s="8">
        <v>600</v>
      </c>
      <c r="H36" s="8">
        <v>600</v>
      </c>
      <c r="I36" s="8">
        <v>600</v>
      </c>
      <c r="J36" s="8">
        <v>600</v>
      </c>
      <c r="K36" s="8">
        <v>600</v>
      </c>
      <c r="L36" s="8">
        <f t="shared" ref="L36" si="407">IF(L32="","",K36)</f>
        <v>600</v>
      </c>
      <c r="M36" s="8">
        <f t="shared" ref="M36" si="408">IF(M32="","",L36)</f>
        <v>600</v>
      </c>
      <c r="N36" s="8">
        <f t="shared" ref="N36" si="409">IF(N32="","",M36)</f>
        <v>600</v>
      </c>
      <c r="O36" s="8" t="str">
        <f t="shared" ref="O36" si="410">IF(O32="","",N36)</f>
        <v/>
      </c>
      <c r="P36" s="8" t="str">
        <f t="shared" ref="P36" si="411">IF(P32="","",O36)</f>
        <v/>
      </c>
      <c r="Q36" s="8" t="str">
        <f t="shared" ref="Q36" si="412">IF(Q32="","",P36)</f>
        <v/>
      </c>
      <c r="R36" s="8" t="str">
        <f t="shared" ref="R36" si="413">IF(R32="","",Q36)</f>
        <v/>
      </c>
      <c r="S36" s="8" t="str">
        <f t="shared" ref="S36" si="414">IF(S32="","",R36)</f>
        <v/>
      </c>
      <c r="T36" s="8" t="str">
        <f t="shared" ref="T36" si="415">IF(T32="","",S36)</f>
        <v/>
      </c>
      <c r="U36" s="8" t="str">
        <f t="shared" ref="U36" si="416">IF(U32="","",T36)</f>
        <v/>
      </c>
      <c r="V36" s="8" t="str">
        <f t="shared" ref="V36" si="417">IF(V32="","",U36)</f>
        <v/>
      </c>
      <c r="W36" s="8" t="str">
        <f t="shared" ref="W36" si="418">IF(W32="","",V36)</f>
        <v/>
      </c>
      <c r="X36" s="8" t="str">
        <f t="shared" ref="X36" si="419">IF(X32="","",W36)</f>
        <v/>
      </c>
      <c r="Y36" s="8" t="str">
        <f t="shared" ref="Y36" si="420">IF(Y32="","",X36)</f>
        <v/>
      </c>
      <c r="Z36" s="8" t="str">
        <f t="shared" ref="Z36" si="421">IF(Z32="","",Y36)</f>
        <v/>
      </c>
      <c r="AA36" s="8" t="str">
        <f t="shared" ref="AA36" si="422">IF(AA32="","",Z36)</f>
        <v/>
      </c>
      <c r="AB36" s="8" t="str">
        <f t="shared" ref="AB36" si="423">IF(AB32="","",AA36)</f>
        <v/>
      </c>
      <c r="AC36" s="8" t="str">
        <f t="shared" ref="AC36" si="424">IF(AC32="","",AB36)</f>
        <v/>
      </c>
      <c r="AD36" s="8" t="str">
        <f t="shared" ref="AD36" si="425">IF(AD32="","",AC36)</f>
        <v/>
      </c>
      <c r="AE36" s="8" t="str">
        <f t="shared" ref="AE36" si="426">IF(AE32="","",AD36)</f>
        <v/>
      </c>
      <c r="AF36" s="8" t="str">
        <f t="shared" ref="AF36" si="427">IF(AF32="","",AE36)</f>
        <v/>
      </c>
      <c r="AG36" s="8" t="str">
        <f t="shared" ref="AG36" si="428">IF(AG32="","",AF36)</f>
        <v/>
      </c>
      <c r="AH36" s="8" t="str">
        <f t="shared" ref="AH36" si="429">IF(AH32="","",AG36)</f>
        <v/>
      </c>
      <c r="AI36" s="8" t="str">
        <f t="shared" ref="AI36" si="430">IF(AI32="","",AH36)</f>
        <v/>
      </c>
      <c r="AJ36" s="8" t="str">
        <f t="shared" ref="AJ36" si="431">IF(AJ32="","",AI36)</f>
        <v/>
      </c>
      <c r="AK36" s="8" t="str">
        <f t="shared" ref="AK36" si="432">IF(AK32="","",AJ36)</f>
        <v/>
      </c>
      <c r="AL36" s="8" t="str">
        <f t="shared" ref="AL36" si="433">IF(AL32="","",AK36)</f>
        <v/>
      </c>
      <c r="AM36" s="8" t="str">
        <f t="shared" ref="AM36" si="434">IF(AM32="","",AL36)</f>
        <v/>
      </c>
      <c r="AN36" s="8" t="str">
        <f t="shared" ref="AN36" si="435">IF(AN32="","",AM36)</f>
        <v/>
      </c>
      <c r="AO36" s="8" t="str">
        <f t="shared" ref="AO36:AS36" si="436">IF(AO32="","",AN36)</f>
        <v/>
      </c>
      <c r="AP36" s="8" t="str">
        <f t="shared" si="436"/>
        <v/>
      </c>
      <c r="AQ36" s="8" t="str">
        <f t="shared" si="436"/>
        <v/>
      </c>
      <c r="AR36" s="8" t="str">
        <f t="shared" si="436"/>
        <v/>
      </c>
      <c r="AS36" s="8" t="str">
        <f t="shared" si="436"/>
        <v/>
      </c>
    </row>
    <row r="37" spans="1:45" s="85" customFormat="1" ht="11.25" x14ac:dyDescent="0.15">
      <c r="A37" s="14" t="s">
        <v>9</v>
      </c>
      <c r="B37" s="13" t="s">
        <v>10</v>
      </c>
      <c r="C37" s="12" t="s">
        <v>349</v>
      </c>
      <c r="D37" s="12" t="s">
        <v>349</v>
      </c>
      <c r="E37" s="12" t="s">
        <v>349</v>
      </c>
      <c r="F37" s="12" t="s">
        <v>349</v>
      </c>
      <c r="G37" s="12" t="s">
        <v>349</v>
      </c>
      <c r="H37" s="12" t="s">
        <v>349</v>
      </c>
      <c r="I37" s="12" t="s">
        <v>349</v>
      </c>
      <c r="J37" s="12" t="s">
        <v>349</v>
      </c>
      <c r="K37" s="12" t="s">
        <v>349</v>
      </c>
      <c r="L37" s="12" t="str">
        <f t="shared" ref="L37" si="437">IF(L32="","",K37)</f>
        <v>ファン</v>
      </c>
      <c r="M37" s="12" t="str">
        <f t="shared" ref="M37" si="438">IF(M32="","",L37)</f>
        <v>ファン</v>
      </c>
      <c r="N37" s="12" t="s">
        <v>367</v>
      </c>
      <c r="O37" s="12" t="str">
        <f t="shared" ref="O37" si="439">IF(O32="","",N37)</f>
        <v/>
      </c>
      <c r="P37" s="12" t="str">
        <f t="shared" ref="P37" si="440">IF(P32="","",O37)</f>
        <v/>
      </c>
      <c r="Q37" s="12" t="str">
        <f t="shared" ref="Q37" si="441">IF(Q32="","",P37)</f>
        <v/>
      </c>
      <c r="R37" s="12" t="str">
        <f t="shared" ref="R37" si="442">IF(R32="","",Q37)</f>
        <v/>
      </c>
      <c r="S37" s="12" t="str">
        <f>IF(S32="","",R37)</f>
        <v/>
      </c>
      <c r="T37" s="12" t="str">
        <f t="shared" ref="T37" si="443">IF(T32="","",S37)</f>
        <v/>
      </c>
      <c r="U37" s="12" t="str">
        <f t="shared" ref="U37" si="444">IF(U32="","",T37)</f>
        <v/>
      </c>
      <c r="V37" s="12" t="str">
        <f t="shared" ref="V37" si="445">IF(V32="","",U37)</f>
        <v/>
      </c>
      <c r="W37" s="12" t="str">
        <f t="shared" ref="W37" si="446">IF(W32="","",V37)</f>
        <v/>
      </c>
      <c r="X37" s="12" t="str">
        <f t="shared" ref="X37" si="447">IF(X32="","",W37)</f>
        <v/>
      </c>
      <c r="Y37" s="12" t="str">
        <f t="shared" ref="Y37" si="448">IF(Y32="","",X37)</f>
        <v/>
      </c>
      <c r="Z37" s="12" t="str">
        <f t="shared" ref="Z37" si="449">IF(Z32="","",Y37)</f>
        <v/>
      </c>
      <c r="AA37" s="12" t="str">
        <f t="shared" ref="AA37" si="450">IF(AA32="","",Z37)</f>
        <v/>
      </c>
      <c r="AB37" s="12" t="str">
        <f t="shared" ref="AB37" si="451">IF(AB32="","",AA37)</f>
        <v/>
      </c>
      <c r="AC37" s="12" t="str">
        <f t="shared" ref="AC37" si="452">IF(AC32="","",AB37)</f>
        <v/>
      </c>
      <c r="AD37" s="12" t="str">
        <f t="shared" ref="AD37" si="453">IF(AD32="","",AC37)</f>
        <v/>
      </c>
      <c r="AE37" s="12" t="str">
        <f t="shared" ref="AE37" si="454">IF(AE32="","",AD37)</f>
        <v/>
      </c>
      <c r="AF37" s="12" t="str">
        <f t="shared" ref="AF37" si="455">IF(AF32="","",AE37)</f>
        <v/>
      </c>
      <c r="AG37" s="12" t="str">
        <f>IF(AG32="","",AF37)</f>
        <v/>
      </c>
      <c r="AH37" s="12" t="str">
        <f t="shared" ref="AH37" si="456">IF(AH32="","",AG37)</f>
        <v/>
      </c>
      <c r="AI37" s="12" t="str">
        <f t="shared" ref="AI37" si="457">IF(AI32="","",AH37)</f>
        <v/>
      </c>
      <c r="AJ37" s="12" t="str">
        <f t="shared" ref="AJ37" si="458">IF(AJ32="","",AI37)</f>
        <v/>
      </c>
      <c r="AK37" s="12" t="str">
        <f t="shared" ref="AK37" si="459">IF(AK32="","",AJ37)</f>
        <v/>
      </c>
      <c r="AL37" s="12" t="str">
        <f t="shared" ref="AL37" si="460">IF(AL32="","",AK37)</f>
        <v/>
      </c>
      <c r="AM37" s="12" t="str">
        <f t="shared" ref="AM37" si="461">IF(AM32="","",AL37)</f>
        <v/>
      </c>
      <c r="AN37" s="12" t="str">
        <f t="shared" ref="AN37" si="462">IF(AN32="","",AM37)</f>
        <v/>
      </c>
      <c r="AO37" s="12" t="str">
        <f t="shared" ref="AO37:AS37" si="463">IF(AO32="","",AN37)</f>
        <v/>
      </c>
      <c r="AP37" s="12" t="str">
        <f t="shared" si="463"/>
        <v/>
      </c>
      <c r="AQ37" s="12" t="str">
        <f t="shared" si="463"/>
        <v/>
      </c>
      <c r="AR37" s="12" t="str">
        <f t="shared" si="463"/>
        <v/>
      </c>
      <c r="AS37" s="12" t="str">
        <f t="shared" si="463"/>
        <v/>
      </c>
    </row>
    <row r="38" spans="1:45" s="84" customFormat="1" ht="11.25" x14ac:dyDescent="0.15">
      <c r="A38" s="7">
        <f>AVERAGE(C39:AS39)*30*100</f>
        <v>13000</v>
      </c>
      <c r="B38" s="9" t="s">
        <v>12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1:45" s="84" customFormat="1" ht="11.25" x14ac:dyDescent="0.15">
      <c r="A39" s="7">
        <f>SUM(C39:AS39)</f>
        <v>52</v>
      </c>
      <c r="B39" s="6" t="s">
        <v>13</v>
      </c>
      <c r="C39" s="5">
        <v>0</v>
      </c>
      <c r="D39" s="5">
        <v>0</v>
      </c>
      <c r="E39" s="5">
        <v>0</v>
      </c>
      <c r="F39" s="5">
        <v>0</v>
      </c>
      <c r="G39" s="5">
        <v>14</v>
      </c>
      <c r="H39" s="5">
        <v>0</v>
      </c>
      <c r="I39" s="5">
        <v>0</v>
      </c>
      <c r="J39" s="5">
        <v>0</v>
      </c>
      <c r="K39" s="5">
        <v>17</v>
      </c>
      <c r="L39" s="5">
        <f t="shared" ref="L39:L40" si="464">IF(L32="","",L32-K32)</f>
        <v>0</v>
      </c>
      <c r="M39" s="5">
        <f t="shared" ref="M39:M40" si="465">IF(M32="","",M32-L32)</f>
        <v>0</v>
      </c>
      <c r="N39" s="5">
        <f t="shared" ref="N39:N40" si="466">IF(N32="","",N32-M32)</f>
        <v>21</v>
      </c>
      <c r="O39" s="5" t="str">
        <f t="shared" ref="O39:O40" si="467">IF(O32="","",O32-N32)</f>
        <v/>
      </c>
      <c r="P39" s="5" t="str">
        <f t="shared" ref="P39:P40" si="468">IF(P32="","",P32-O32)</f>
        <v/>
      </c>
      <c r="Q39" s="5" t="str">
        <f t="shared" ref="Q39:Q40" si="469">IF(Q32="","",Q32-P32)</f>
        <v/>
      </c>
      <c r="R39" s="5" t="str">
        <f t="shared" ref="R39:R40" si="470">IF(R32="","",R32-Q32)</f>
        <v/>
      </c>
      <c r="S39" s="5" t="str">
        <f t="shared" ref="S39:S40" si="471">IF(S32="","",S32-R32)</f>
        <v/>
      </c>
      <c r="T39" s="5" t="str">
        <f t="shared" ref="T39:T40" si="472">IF(T32="","",T32-S32)</f>
        <v/>
      </c>
      <c r="U39" s="5" t="str">
        <f t="shared" ref="U39:U40" si="473">IF(U32="","",U32-T32)</f>
        <v/>
      </c>
      <c r="V39" s="5" t="str">
        <f t="shared" ref="V39:V40" si="474">IF(V32="","",V32-U32)</f>
        <v/>
      </c>
      <c r="W39" s="5" t="str">
        <f t="shared" ref="W39:W40" si="475">IF(W32="","",W32-V32)</f>
        <v/>
      </c>
      <c r="X39" s="5" t="str">
        <f t="shared" ref="X39:X40" si="476">IF(X32="","",X32-W32)</f>
        <v/>
      </c>
      <c r="Y39" s="5" t="str">
        <f t="shared" ref="Y39:Y40" si="477">IF(Y32="","",Y32-X32)</f>
        <v/>
      </c>
      <c r="Z39" s="5" t="str">
        <f t="shared" ref="Z39:Z40" si="478">IF(Z32="","",Z32-Y32)</f>
        <v/>
      </c>
      <c r="AA39" s="5" t="str">
        <f t="shared" ref="AA39:AA40" si="479">IF(AA32="","",AA32-Z32)</f>
        <v/>
      </c>
      <c r="AB39" s="5" t="str">
        <f t="shared" ref="AB39:AB40" si="480">IF(AB32="","",AB32-AA32)</f>
        <v/>
      </c>
      <c r="AC39" s="5" t="str">
        <f t="shared" ref="AC39:AC40" si="481">IF(AC32="","",AC32-AB32)</f>
        <v/>
      </c>
      <c r="AD39" s="5" t="str">
        <f t="shared" ref="AD39:AD40" si="482">IF(AD32="","",AD32-AC32)</f>
        <v/>
      </c>
      <c r="AE39" s="5" t="str">
        <f t="shared" ref="AE39:AE40" si="483">IF(AE32="","",AE32-AD32)</f>
        <v/>
      </c>
      <c r="AF39" s="5" t="str">
        <f t="shared" ref="AF39:AF40" si="484">IF(AF32="","",AF32-AE32)</f>
        <v/>
      </c>
      <c r="AG39" s="5" t="str">
        <f t="shared" ref="AG39:AG40" si="485">IF(AG32="","",AG32-AF32)</f>
        <v/>
      </c>
      <c r="AH39" s="5" t="str">
        <f t="shared" ref="AH39:AH40" si="486">IF(AH32="","",AH32-AG32)</f>
        <v/>
      </c>
      <c r="AI39" s="5" t="str">
        <f t="shared" ref="AI39:AI40" si="487">IF(AI32="","",AI32-AH32)</f>
        <v/>
      </c>
      <c r="AJ39" s="5" t="str">
        <f t="shared" ref="AJ39:AJ40" si="488">IF(AJ32="","",AJ32-AI32)</f>
        <v/>
      </c>
      <c r="AK39" s="5" t="str">
        <f t="shared" ref="AK39:AK40" si="489">IF(AK32="","",AK32-AJ32)</f>
        <v/>
      </c>
      <c r="AL39" s="5" t="str">
        <f t="shared" ref="AL39:AL40" si="490">IF(AL32="","",AL32-AK32)</f>
        <v/>
      </c>
      <c r="AM39" s="5" t="str">
        <f t="shared" ref="AM39:AM40" si="491">IF(AM32="","",AM32-AL32)</f>
        <v/>
      </c>
      <c r="AN39" s="5" t="str">
        <f t="shared" ref="AN39:AN40" si="492">IF(AN32="","",AN32-AM32)</f>
        <v/>
      </c>
      <c r="AO39" s="5" t="str">
        <f t="shared" ref="AO39:AS39" si="493">IF(AO32="","",AO32-AN32)</f>
        <v/>
      </c>
      <c r="AP39" s="5" t="str">
        <f t="shared" si="493"/>
        <v/>
      </c>
      <c r="AQ39" s="5" t="str">
        <f t="shared" si="493"/>
        <v/>
      </c>
      <c r="AR39" s="5" t="str">
        <f t="shared" si="493"/>
        <v/>
      </c>
      <c r="AS39" s="5" t="str">
        <f t="shared" si="493"/>
        <v/>
      </c>
    </row>
    <row r="40" spans="1:45" s="84" customFormat="1" ht="11.25" x14ac:dyDescent="0.15">
      <c r="A40" s="7">
        <f>SUM(C40:AS40)</f>
        <v>0</v>
      </c>
      <c r="B40" s="6" t="s">
        <v>14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f t="shared" si="464"/>
        <v>0</v>
      </c>
      <c r="M40" s="5">
        <f t="shared" si="465"/>
        <v>0</v>
      </c>
      <c r="N40" s="5">
        <f t="shared" si="466"/>
        <v>0</v>
      </c>
      <c r="O40" s="5" t="str">
        <f t="shared" si="467"/>
        <v/>
      </c>
      <c r="P40" s="5" t="str">
        <f t="shared" si="468"/>
        <v/>
      </c>
      <c r="Q40" s="5" t="str">
        <f t="shared" si="469"/>
        <v/>
      </c>
      <c r="R40" s="5" t="str">
        <f t="shared" si="470"/>
        <v/>
      </c>
      <c r="S40" s="5" t="str">
        <f t="shared" si="471"/>
        <v/>
      </c>
      <c r="T40" s="5" t="str">
        <f t="shared" si="472"/>
        <v/>
      </c>
      <c r="U40" s="5" t="str">
        <f t="shared" si="473"/>
        <v/>
      </c>
      <c r="V40" s="5" t="str">
        <f t="shared" si="474"/>
        <v/>
      </c>
      <c r="W40" s="5" t="str">
        <f t="shared" si="475"/>
        <v/>
      </c>
      <c r="X40" s="5" t="str">
        <f t="shared" si="476"/>
        <v/>
      </c>
      <c r="Y40" s="5" t="str">
        <f t="shared" si="477"/>
        <v/>
      </c>
      <c r="Z40" s="5" t="str">
        <f t="shared" si="478"/>
        <v/>
      </c>
      <c r="AA40" s="5" t="str">
        <f t="shared" si="479"/>
        <v/>
      </c>
      <c r="AB40" s="5" t="str">
        <f t="shared" si="480"/>
        <v/>
      </c>
      <c r="AC40" s="5" t="str">
        <f t="shared" si="481"/>
        <v/>
      </c>
      <c r="AD40" s="5" t="str">
        <f t="shared" si="482"/>
        <v/>
      </c>
      <c r="AE40" s="5" t="str">
        <f t="shared" si="483"/>
        <v/>
      </c>
      <c r="AF40" s="5" t="str">
        <f t="shared" si="484"/>
        <v/>
      </c>
      <c r="AG40" s="5" t="str">
        <f t="shared" si="485"/>
        <v/>
      </c>
      <c r="AH40" s="5" t="str">
        <f t="shared" si="486"/>
        <v/>
      </c>
      <c r="AI40" s="5" t="str">
        <f t="shared" si="487"/>
        <v/>
      </c>
      <c r="AJ40" s="5" t="str">
        <f t="shared" si="488"/>
        <v/>
      </c>
      <c r="AK40" s="5" t="str">
        <f t="shared" si="489"/>
        <v/>
      </c>
      <c r="AL40" s="5" t="str">
        <f t="shared" si="490"/>
        <v/>
      </c>
      <c r="AM40" s="5" t="str">
        <f t="shared" si="491"/>
        <v/>
      </c>
      <c r="AN40" s="5" t="str">
        <f t="shared" si="492"/>
        <v/>
      </c>
      <c r="AO40" s="5" t="str">
        <f t="shared" ref="AO40:AS40" si="494">IF(AO33="","",AO33-AN33)</f>
        <v/>
      </c>
      <c r="AP40" s="5" t="str">
        <f t="shared" si="494"/>
        <v/>
      </c>
      <c r="AQ40" s="5" t="str">
        <f t="shared" si="494"/>
        <v/>
      </c>
      <c r="AR40" s="5" t="str">
        <f t="shared" si="494"/>
        <v/>
      </c>
      <c r="AS40" s="5" t="str">
        <f t="shared" si="494"/>
        <v/>
      </c>
    </row>
    <row r="41" spans="1:45" s="84" customFormat="1" ht="11.25" x14ac:dyDescent="0.15">
      <c r="A41" s="7">
        <f>SUM(C41:AS41)</f>
        <v>0</v>
      </c>
      <c r="B41" s="6" t="s">
        <v>15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f t="shared" ref="L41" si="495">IF(L34="","",K34+K35-L34)</f>
        <v>0</v>
      </c>
      <c r="M41" s="5">
        <f t="shared" ref="M41" si="496">IF(M34="","",L34+L35-M34)</f>
        <v>0</v>
      </c>
      <c r="N41" s="5">
        <f t="shared" ref="N41" si="497">IF(N34="","",M34+M35-N34)</f>
        <v>0</v>
      </c>
      <c r="O41" s="5" t="str">
        <f t="shared" ref="O41" si="498">IF(O34="","",N34+N35-O34)</f>
        <v/>
      </c>
      <c r="P41" s="5" t="str">
        <f t="shared" ref="P41" si="499">IF(P34="","",O34+O35-P34)</f>
        <v/>
      </c>
      <c r="Q41" s="5" t="str">
        <f t="shared" ref="Q41" si="500">IF(Q34="","",P34+P35-Q34)</f>
        <v/>
      </c>
      <c r="R41" s="5" t="str">
        <f t="shared" ref="R41" si="501">IF(R34="","",Q34+Q35-R34)</f>
        <v/>
      </c>
      <c r="S41" s="5" t="str">
        <f t="shared" ref="S41" si="502">IF(S34="","",R34+R35-S34)</f>
        <v/>
      </c>
      <c r="T41" s="5" t="str">
        <f t="shared" ref="T41" si="503">IF(T34="","",S34+S35-T34)</f>
        <v/>
      </c>
      <c r="U41" s="5" t="str">
        <f t="shared" ref="U41" si="504">IF(U34="","",T34+T35-U34)</f>
        <v/>
      </c>
      <c r="V41" s="5" t="str">
        <f t="shared" ref="V41" si="505">IF(V34="","",U34+U35-V34)</f>
        <v/>
      </c>
      <c r="W41" s="5" t="str">
        <f t="shared" ref="W41" si="506">IF(W34="","",V34+V35-W34)</f>
        <v/>
      </c>
      <c r="X41" s="5" t="str">
        <f t="shared" ref="X41" si="507">IF(X34="","",W34+W35-X34)</f>
        <v/>
      </c>
      <c r="Y41" s="5" t="str">
        <f t="shared" ref="Y41" si="508">IF(Y34="","",X34+X35-Y34)</f>
        <v/>
      </c>
      <c r="Z41" s="5" t="str">
        <f t="shared" ref="Z41" si="509">IF(Z34="","",Y34+Y35-Z34)</f>
        <v/>
      </c>
      <c r="AA41" s="5" t="str">
        <f t="shared" ref="AA41" si="510">IF(AA34="","",Z34+Z35-AA34)</f>
        <v/>
      </c>
      <c r="AB41" s="5" t="str">
        <f t="shared" ref="AB41" si="511">IF(AB34="","",AA34+AA35-AB34)</f>
        <v/>
      </c>
      <c r="AC41" s="5" t="str">
        <f t="shared" ref="AC41" si="512">IF(AC34="","",AB34+AB35-AC34)</f>
        <v/>
      </c>
      <c r="AD41" s="5" t="str">
        <f t="shared" ref="AD41" si="513">IF(AD34="","",AC34+AC35-AD34)</f>
        <v/>
      </c>
      <c r="AE41" s="5" t="str">
        <f t="shared" ref="AE41" si="514">IF(AE34="","",AD34+AD35-AE34)</f>
        <v/>
      </c>
      <c r="AF41" s="5" t="str">
        <f t="shared" ref="AF41" si="515">IF(AF34="","",AE34+AE35-AF34)</f>
        <v/>
      </c>
      <c r="AG41" s="5" t="str">
        <f t="shared" ref="AG41" si="516">IF(AG34="","",AF34+AF35-AG34)</f>
        <v/>
      </c>
      <c r="AH41" s="5" t="str">
        <f t="shared" ref="AH41" si="517">IF(AH34="","",AG34+AG35-AH34)</f>
        <v/>
      </c>
      <c r="AI41" s="5" t="str">
        <f t="shared" ref="AI41" si="518">IF(AI34="","",AH34+AH35-AI34)</f>
        <v/>
      </c>
      <c r="AJ41" s="5" t="str">
        <f t="shared" ref="AJ41" si="519">IF(AJ34="","",AI34+AI35-AJ34)</f>
        <v/>
      </c>
      <c r="AK41" s="5" t="str">
        <f t="shared" ref="AK41" si="520">IF(AK34="","",AJ34+AJ35-AK34)</f>
        <v/>
      </c>
      <c r="AL41" s="5" t="str">
        <f t="shared" ref="AL41" si="521">IF(AL34="","",AK34+AK35-AL34)</f>
        <v/>
      </c>
      <c r="AM41" s="5" t="str">
        <f t="shared" ref="AM41" si="522">IF(AM34="","",AL34+AL35-AM34)</f>
        <v/>
      </c>
      <c r="AN41" s="5" t="str">
        <f t="shared" ref="AN41" si="523">IF(AN34="","",AM34+AM35-AN34)</f>
        <v/>
      </c>
      <c r="AO41" s="5" t="str">
        <f t="shared" ref="AO41:AS41" si="524">IF(AO34="","",AN34+AN35-AO34)</f>
        <v/>
      </c>
      <c r="AP41" s="5" t="str">
        <f t="shared" si="524"/>
        <v/>
      </c>
      <c r="AQ41" s="5" t="str">
        <f t="shared" si="524"/>
        <v/>
      </c>
      <c r="AR41" s="5" t="str">
        <f t="shared" si="524"/>
        <v/>
      </c>
      <c r="AS41" s="5" t="str">
        <f t="shared" si="524"/>
        <v/>
      </c>
    </row>
    <row r="42" spans="1:45" s="84" customFormat="1" ht="11.25" x14ac:dyDescent="0.15">
      <c r="A42" s="7">
        <f>SUM(C42:AS42)</f>
        <v>0</v>
      </c>
      <c r="B42" s="6" t="s">
        <v>16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f t="shared" ref="J42:AN42" si="525">IF(L32="","",L41*L36)</f>
        <v>0</v>
      </c>
      <c r="M42" s="5">
        <f t="shared" si="525"/>
        <v>0</v>
      </c>
      <c r="N42" s="5">
        <f t="shared" si="525"/>
        <v>0</v>
      </c>
      <c r="O42" s="5" t="str">
        <f t="shared" si="525"/>
        <v/>
      </c>
      <c r="P42" s="5" t="str">
        <f t="shared" si="525"/>
        <v/>
      </c>
      <c r="Q42" s="5" t="str">
        <f t="shared" si="525"/>
        <v/>
      </c>
      <c r="R42" s="5" t="str">
        <f t="shared" si="525"/>
        <v/>
      </c>
      <c r="S42" s="5" t="str">
        <f t="shared" si="525"/>
        <v/>
      </c>
      <c r="T42" s="5" t="str">
        <f t="shared" si="525"/>
        <v/>
      </c>
      <c r="U42" s="5" t="str">
        <f t="shared" si="525"/>
        <v/>
      </c>
      <c r="V42" s="5" t="str">
        <f t="shared" si="525"/>
        <v/>
      </c>
      <c r="W42" s="5" t="str">
        <f t="shared" si="525"/>
        <v/>
      </c>
      <c r="X42" s="5" t="str">
        <f t="shared" si="525"/>
        <v/>
      </c>
      <c r="Y42" s="5" t="str">
        <f t="shared" si="525"/>
        <v/>
      </c>
      <c r="Z42" s="5" t="str">
        <f t="shared" si="525"/>
        <v/>
      </c>
      <c r="AA42" s="5" t="str">
        <f t="shared" si="525"/>
        <v/>
      </c>
      <c r="AB42" s="5" t="str">
        <f t="shared" si="525"/>
        <v/>
      </c>
      <c r="AC42" s="5" t="str">
        <f t="shared" si="525"/>
        <v/>
      </c>
      <c r="AD42" s="5" t="str">
        <f t="shared" si="525"/>
        <v/>
      </c>
      <c r="AE42" s="5" t="str">
        <f t="shared" si="525"/>
        <v/>
      </c>
      <c r="AF42" s="5" t="str">
        <f t="shared" si="525"/>
        <v/>
      </c>
      <c r="AG42" s="5" t="str">
        <f t="shared" si="525"/>
        <v/>
      </c>
      <c r="AH42" s="5" t="str">
        <f t="shared" si="525"/>
        <v/>
      </c>
      <c r="AI42" s="5" t="str">
        <f t="shared" si="525"/>
        <v/>
      </c>
      <c r="AJ42" s="5" t="str">
        <f t="shared" si="525"/>
        <v/>
      </c>
      <c r="AK42" s="5" t="str">
        <f t="shared" si="525"/>
        <v/>
      </c>
      <c r="AL42" s="5" t="str">
        <f t="shared" si="525"/>
        <v/>
      </c>
      <c r="AM42" s="5" t="str">
        <f t="shared" si="525"/>
        <v/>
      </c>
      <c r="AN42" s="5" t="str">
        <f t="shared" si="525"/>
        <v/>
      </c>
      <c r="AO42" s="5" t="str">
        <f t="shared" ref="AO42:AS42" si="526">IF(AO32="","",AO41*AO36)</f>
        <v/>
      </c>
      <c r="AP42" s="5" t="str">
        <f t="shared" si="526"/>
        <v/>
      </c>
      <c r="AQ42" s="5" t="str">
        <f t="shared" si="526"/>
        <v/>
      </c>
      <c r="AR42" s="5" t="str">
        <f t="shared" si="526"/>
        <v/>
      </c>
      <c r="AS42" s="5" t="str">
        <f t="shared" si="526"/>
        <v/>
      </c>
    </row>
    <row r="43" spans="1:45" s="84" customFormat="1" ht="12" thickBot="1" x14ac:dyDescent="0.2">
      <c r="A43" s="4">
        <f>IF(A42="","",A42/(A39*100))</f>
        <v>0</v>
      </c>
      <c r="B43" s="6" t="s">
        <v>18</v>
      </c>
      <c r="C43" s="18" t="s">
        <v>19</v>
      </c>
      <c r="D43" s="18" t="s">
        <v>19</v>
      </c>
      <c r="E43" s="18" t="s">
        <v>19</v>
      </c>
      <c r="F43" s="18" t="s">
        <v>19</v>
      </c>
      <c r="G43" s="18" t="s">
        <v>19</v>
      </c>
      <c r="H43" s="18" t="s">
        <v>19</v>
      </c>
      <c r="I43" s="18" t="s">
        <v>19</v>
      </c>
      <c r="J43" s="18" t="s">
        <v>19</v>
      </c>
      <c r="K43" s="18" t="s">
        <v>19</v>
      </c>
      <c r="L43" s="18" t="str">
        <f t="shared" ref="J43:AN43" si="527">IF(L42="","",IF(L42=0,"",L42/(L39*100)))</f>
        <v/>
      </c>
      <c r="M43" s="18" t="str">
        <f t="shared" si="527"/>
        <v/>
      </c>
      <c r="N43" s="18" t="str">
        <f t="shared" si="527"/>
        <v/>
      </c>
      <c r="O43" s="18" t="str">
        <f t="shared" si="527"/>
        <v/>
      </c>
      <c r="P43" s="18" t="str">
        <f t="shared" si="527"/>
        <v/>
      </c>
      <c r="Q43" s="18" t="str">
        <f t="shared" si="527"/>
        <v/>
      </c>
      <c r="R43" s="18" t="str">
        <f t="shared" si="527"/>
        <v/>
      </c>
      <c r="S43" s="18" t="str">
        <f t="shared" si="527"/>
        <v/>
      </c>
      <c r="T43" s="18" t="str">
        <f t="shared" si="527"/>
        <v/>
      </c>
      <c r="U43" s="18" t="str">
        <f t="shared" si="527"/>
        <v/>
      </c>
      <c r="V43" s="18" t="str">
        <f t="shared" si="527"/>
        <v/>
      </c>
      <c r="W43" s="18" t="str">
        <f t="shared" si="527"/>
        <v/>
      </c>
      <c r="X43" s="18" t="str">
        <f t="shared" si="527"/>
        <v/>
      </c>
      <c r="Y43" s="18" t="str">
        <f t="shared" si="527"/>
        <v/>
      </c>
      <c r="Z43" s="18" t="str">
        <f t="shared" si="527"/>
        <v/>
      </c>
      <c r="AA43" s="18" t="str">
        <f t="shared" si="527"/>
        <v/>
      </c>
      <c r="AB43" s="18" t="str">
        <f t="shared" si="527"/>
        <v/>
      </c>
      <c r="AC43" s="18" t="str">
        <f t="shared" si="527"/>
        <v/>
      </c>
      <c r="AD43" s="18" t="str">
        <f t="shared" si="527"/>
        <v/>
      </c>
      <c r="AE43" s="18" t="str">
        <f t="shared" si="527"/>
        <v/>
      </c>
      <c r="AF43" s="18" t="str">
        <f t="shared" si="527"/>
        <v/>
      </c>
      <c r="AG43" s="18" t="str">
        <f t="shared" si="527"/>
        <v/>
      </c>
      <c r="AH43" s="18" t="str">
        <f t="shared" si="527"/>
        <v/>
      </c>
      <c r="AI43" s="18" t="str">
        <f t="shared" si="527"/>
        <v/>
      </c>
      <c r="AJ43" s="18" t="str">
        <f t="shared" si="527"/>
        <v/>
      </c>
      <c r="AK43" s="18" t="str">
        <f t="shared" si="527"/>
        <v/>
      </c>
      <c r="AL43" s="18" t="str">
        <f t="shared" si="527"/>
        <v/>
      </c>
      <c r="AM43" s="18" t="str">
        <f t="shared" si="527"/>
        <v/>
      </c>
      <c r="AN43" s="18" t="str">
        <f t="shared" si="527"/>
        <v/>
      </c>
      <c r="AO43" s="18" t="str">
        <f t="shared" ref="AO43:AS43" si="528">IF(AO42="","",IF(AO42=0,"",AO42/(AO39*100)))</f>
        <v/>
      </c>
      <c r="AP43" s="18" t="str">
        <f t="shared" si="528"/>
        <v/>
      </c>
      <c r="AQ43" s="18" t="str">
        <f t="shared" si="528"/>
        <v/>
      </c>
      <c r="AR43" s="18" t="str">
        <f t="shared" si="528"/>
        <v/>
      </c>
      <c r="AS43" s="18" t="str">
        <f t="shared" si="528"/>
        <v/>
      </c>
    </row>
    <row r="44" spans="1:45" s="84" customFormat="1" ht="11.25" x14ac:dyDescent="0.15">
      <c r="A44" s="17" t="s">
        <v>96</v>
      </c>
      <c r="B44" s="9" t="s">
        <v>2</v>
      </c>
      <c r="C44" s="8">
        <v>23557</v>
      </c>
      <c r="D44" s="8">
        <v>23557</v>
      </c>
      <c r="E44" s="8">
        <v>23557</v>
      </c>
      <c r="F44" s="8">
        <v>23557</v>
      </c>
      <c r="G44" s="8">
        <v>23604</v>
      </c>
      <c r="H44" s="8">
        <v>23604</v>
      </c>
      <c r="I44" s="8">
        <v>23604</v>
      </c>
      <c r="J44" s="8">
        <v>23604</v>
      </c>
      <c r="K44" s="8">
        <v>23642</v>
      </c>
      <c r="L44" s="8">
        <f>IF(L$8="","",K44)</f>
        <v>23642</v>
      </c>
      <c r="M44" s="8">
        <f t="shared" ref="M44:M45" si="529">IF(M$8="","",L44)</f>
        <v>23642</v>
      </c>
      <c r="N44" s="8">
        <v>23672</v>
      </c>
      <c r="O44" s="8" t="str">
        <f>IF(O$8="","",N44)</f>
        <v/>
      </c>
      <c r="P44" s="8" t="str">
        <f t="shared" ref="P44:P45" si="530">IF(P$8="","",O44)</f>
        <v/>
      </c>
      <c r="Q44" s="8" t="str">
        <f t="shared" ref="Q44:Q45" si="531">IF(Q$8="","",P44)</f>
        <v/>
      </c>
      <c r="R44" s="8" t="str">
        <f t="shared" ref="R44:R45" si="532">IF(R$8="","",Q44)</f>
        <v/>
      </c>
      <c r="S44" s="8" t="str">
        <f>IF(S$8="","",R44)</f>
        <v/>
      </c>
      <c r="T44" s="8" t="str">
        <f t="shared" ref="T44:T45" si="533">IF(T$8="","",S44)</f>
        <v/>
      </c>
      <c r="U44" s="8" t="str">
        <f t="shared" ref="U44:U45" si="534">IF(U$8="","",T44)</f>
        <v/>
      </c>
      <c r="V44" s="8" t="str">
        <f>IF(V$8="","",U44)</f>
        <v/>
      </c>
      <c r="W44" s="8" t="str">
        <f t="shared" ref="W44:W45" si="535">IF(W$8="","",V44)</f>
        <v/>
      </c>
      <c r="X44" s="8" t="str">
        <f t="shared" ref="X44:X45" si="536">IF(X$8="","",W44)</f>
        <v/>
      </c>
      <c r="Y44" s="8" t="str">
        <f t="shared" ref="Y44:Y45" si="537">IF(Y$8="","",X44)</f>
        <v/>
      </c>
      <c r="Z44" s="8" t="str">
        <f>IF(Z$8="","",Y44)</f>
        <v/>
      </c>
      <c r="AA44" s="8" t="str">
        <f t="shared" ref="AA44:AA45" si="538">IF(AA$8="","",Z44)</f>
        <v/>
      </c>
      <c r="AB44" s="8" t="str">
        <f t="shared" ref="AB44:AB45" si="539">IF(AB$8="","",AA44)</f>
        <v/>
      </c>
      <c r="AC44" s="8" t="str">
        <f t="shared" ref="AC44:AC45" si="540">IF(AC$8="","",AB44)</f>
        <v/>
      </c>
      <c r="AD44" s="8" t="str">
        <f>IF(AD$8="","",AC44)</f>
        <v/>
      </c>
      <c r="AE44" s="8" t="str">
        <f>IF(AE$8="","",AD44)</f>
        <v/>
      </c>
      <c r="AF44" s="8" t="str">
        <f t="shared" ref="AF44:AF45" si="541">IF(AF$8="","",AE44)</f>
        <v/>
      </c>
      <c r="AG44" s="8" t="str">
        <f>IF(AG$8="","",AF44)</f>
        <v/>
      </c>
      <c r="AH44" s="8" t="str">
        <f t="shared" ref="AH44:AH45" si="542">IF(AH$8="","",AG44)</f>
        <v/>
      </c>
      <c r="AI44" s="8" t="str">
        <f t="shared" ref="AI44:AI45" si="543">IF(AI$8="","",AH44)</f>
        <v/>
      </c>
      <c r="AJ44" s="8" t="str">
        <f>IF(AJ$8="","",AI44)</f>
        <v/>
      </c>
      <c r="AK44" s="8" t="str">
        <f t="shared" ref="AK44:AK45" si="544">IF(AK$8="","",AJ44)</f>
        <v/>
      </c>
      <c r="AL44" s="8" t="str">
        <f t="shared" ref="AL44:AL45" si="545">IF(AL$8="","",AK44)</f>
        <v/>
      </c>
      <c r="AM44" s="8" t="str">
        <f t="shared" ref="AM44:AM45" si="546">IF(AM$8="","",AL44)</f>
        <v/>
      </c>
      <c r="AN44" s="8" t="str">
        <f>IF(AN$8="","",AM44)</f>
        <v/>
      </c>
      <c r="AO44" s="8" t="str">
        <f t="shared" ref="AO44:AS44" si="547">IF(AO$8="","",AN44)</f>
        <v/>
      </c>
      <c r="AP44" s="8" t="str">
        <f t="shared" si="547"/>
        <v/>
      </c>
      <c r="AQ44" s="8" t="str">
        <f t="shared" si="547"/>
        <v/>
      </c>
      <c r="AR44" s="8" t="str">
        <f t="shared" si="547"/>
        <v/>
      </c>
      <c r="AS44" s="8" t="str">
        <f t="shared" si="547"/>
        <v/>
      </c>
    </row>
    <row r="45" spans="1:45" s="84" customFormat="1" ht="11.25" x14ac:dyDescent="0.15">
      <c r="A45" s="16" t="str">
        <f>A33</f>
        <v>BUZZ＃1</v>
      </c>
      <c r="B45" s="9" t="s">
        <v>4</v>
      </c>
      <c r="C45" s="8">
        <v>1781</v>
      </c>
      <c r="D45" s="8">
        <v>1781</v>
      </c>
      <c r="E45" s="8">
        <v>1781</v>
      </c>
      <c r="F45" s="8">
        <v>1781</v>
      </c>
      <c r="G45" s="8">
        <v>1781</v>
      </c>
      <c r="H45" s="8">
        <v>1781</v>
      </c>
      <c r="I45" s="8">
        <v>1781</v>
      </c>
      <c r="J45" s="8">
        <v>1781</v>
      </c>
      <c r="K45" s="8">
        <v>1781</v>
      </c>
      <c r="L45" s="8">
        <f t="shared" ref="L45" si="548">IF(L$8="","",K45)</f>
        <v>1781</v>
      </c>
      <c r="M45" s="8">
        <f t="shared" si="529"/>
        <v>1781</v>
      </c>
      <c r="N45" s="8">
        <v>1782</v>
      </c>
      <c r="O45" s="8" t="str">
        <f>IF(O$8="","",N45)</f>
        <v/>
      </c>
      <c r="P45" s="8" t="str">
        <f t="shared" si="530"/>
        <v/>
      </c>
      <c r="Q45" s="8" t="str">
        <f t="shared" si="531"/>
        <v/>
      </c>
      <c r="R45" s="8" t="str">
        <f t="shared" si="532"/>
        <v/>
      </c>
      <c r="S45" s="8" t="str">
        <f>IF(S$8="","",R45)</f>
        <v/>
      </c>
      <c r="T45" s="8" t="str">
        <f t="shared" si="533"/>
        <v/>
      </c>
      <c r="U45" s="8" t="str">
        <f t="shared" si="534"/>
        <v/>
      </c>
      <c r="V45" s="8" t="str">
        <f>IF(V$8="","",U45)</f>
        <v/>
      </c>
      <c r="W45" s="8" t="str">
        <f t="shared" si="535"/>
        <v/>
      </c>
      <c r="X45" s="8" t="str">
        <f t="shared" si="536"/>
        <v/>
      </c>
      <c r="Y45" s="8" t="str">
        <f t="shared" si="537"/>
        <v/>
      </c>
      <c r="Z45" s="8" t="str">
        <f>IF(Z$8="","",Y45)</f>
        <v/>
      </c>
      <c r="AA45" s="8" t="str">
        <f t="shared" si="538"/>
        <v/>
      </c>
      <c r="AB45" s="8" t="str">
        <f t="shared" si="539"/>
        <v/>
      </c>
      <c r="AC45" s="8" t="str">
        <f t="shared" si="540"/>
        <v/>
      </c>
      <c r="AD45" s="8" t="str">
        <f t="shared" ref="AD45" si="549">IF(AD$8="","",AC45)</f>
        <v/>
      </c>
      <c r="AE45" s="8" t="str">
        <f t="shared" ref="AE44:AE45" si="550">IF(AE$8="","",AD45)</f>
        <v/>
      </c>
      <c r="AF45" s="8" t="str">
        <f t="shared" si="541"/>
        <v/>
      </c>
      <c r="AG45" s="8" t="str">
        <f t="shared" ref="AG45" si="551">IF(AG$8="","",AF45)</f>
        <v/>
      </c>
      <c r="AH45" s="8" t="str">
        <f t="shared" si="542"/>
        <v/>
      </c>
      <c r="AI45" s="8" t="str">
        <f t="shared" si="543"/>
        <v/>
      </c>
      <c r="AJ45" s="8" t="str">
        <f t="shared" ref="AJ44:AJ45" si="552">IF(AJ$8="","",AI45)</f>
        <v/>
      </c>
      <c r="AK45" s="8" t="str">
        <f t="shared" si="544"/>
        <v/>
      </c>
      <c r="AL45" s="8" t="str">
        <f t="shared" si="545"/>
        <v/>
      </c>
      <c r="AM45" s="8" t="str">
        <f t="shared" si="546"/>
        <v/>
      </c>
      <c r="AN45" s="8" t="str">
        <f t="shared" ref="AN44:AN45" si="553">IF(AN$8="","",AM45)</f>
        <v/>
      </c>
      <c r="AO45" s="8" t="str">
        <f t="shared" ref="AO45:AS45" si="554">IF(AO$8="","",AN45)</f>
        <v/>
      </c>
      <c r="AP45" s="8" t="str">
        <f t="shared" si="554"/>
        <v/>
      </c>
      <c r="AQ45" s="8" t="str">
        <f t="shared" si="554"/>
        <v/>
      </c>
      <c r="AR45" s="8" t="str">
        <f t="shared" si="554"/>
        <v/>
      </c>
      <c r="AS45" s="8" t="str">
        <f t="shared" si="554"/>
        <v/>
      </c>
    </row>
    <row r="46" spans="1:45" s="84" customFormat="1" ht="11.25" x14ac:dyDescent="0.15">
      <c r="A46" s="15">
        <v>4</v>
      </c>
      <c r="B46" s="9" t="s">
        <v>5</v>
      </c>
      <c r="C46" s="8">
        <v>9</v>
      </c>
      <c r="D46" s="8">
        <v>9</v>
      </c>
      <c r="E46" s="8">
        <v>9</v>
      </c>
      <c r="F46" s="8">
        <v>9</v>
      </c>
      <c r="G46" s="8">
        <v>9</v>
      </c>
      <c r="H46" s="8">
        <v>15</v>
      </c>
      <c r="I46" s="8">
        <v>15</v>
      </c>
      <c r="J46" s="8">
        <v>15</v>
      </c>
      <c r="K46" s="8">
        <v>15</v>
      </c>
      <c r="L46" s="8">
        <f>IF(L44="","",(K46+K47))</f>
        <v>15</v>
      </c>
      <c r="M46" s="8">
        <f t="shared" ref="M46" si="555">IF(M44="","",(L46+L47))</f>
        <v>15</v>
      </c>
      <c r="N46" s="8">
        <v>14</v>
      </c>
      <c r="O46" s="8" t="str">
        <f>IF(O44="","",(N46+N47))</f>
        <v/>
      </c>
      <c r="P46" s="8" t="str">
        <f t="shared" ref="P46" si="556">IF(P44="","",(O46+O47))</f>
        <v/>
      </c>
      <c r="Q46" s="8" t="str">
        <f t="shared" ref="Q46" si="557">IF(Q44="","",(P46+P47))</f>
        <v/>
      </c>
      <c r="R46" s="8" t="str">
        <f t="shared" ref="R46" si="558">IF(R44="","",(Q46+Q47))</f>
        <v/>
      </c>
      <c r="S46" s="8" t="str">
        <f>IF(S44="","",(R46+R47))</f>
        <v/>
      </c>
      <c r="T46" s="8" t="str">
        <f t="shared" ref="T46" si="559">IF(T44="","",(S46+S47))</f>
        <v/>
      </c>
      <c r="U46" s="8" t="str">
        <f t="shared" ref="U46" si="560">IF(U44="","",(T46+T47))</f>
        <v/>
      </c>
      <c r="V46" s="8" t="str">
        <f>IF(V44="","",(U46+U47))</f>
        <v/>
      </c>
      <c r="W46" s="8" t="str">
        <f t="shared" ref="W46" si="561">IF(W44="","",(V46+V47))</f>
        <v/>
      </c>
      <c r="X46" s="8" t="str">
        <f t="shared" ref="X46" si="562">IF(X44="","",(W46+W47))</f>
        <v/>
      </c>
      <c r="Y46" s="8" t="str">
        <f t="shared" ref="Y46" si="563">IF(Y44="","",(X46+X47))</f>
        <v/>
      </c>
      <c r="Z46" s="8" t="str">
        <f>IF(Z44="","",(Y46+Y47))</f>
        <v/>
      </c>
      <c r="AA46" s="8" t="str">
        <f t="shared" ref="AA46" si="564">IF(AA44="","",(Z46+Z47))</f>
        <v/>
      </c>
      <c r="AB46" s="8" t="str">
        <f t="shared" ref="AB46" si="565">IF(AB44="","",(AA46+AA47))</f>
        <v/>
      </c>
      <c r="AC46" s="8" t="str">
        <f t="shared" ref="AC46" si="566">IF(AC44="","",(AB46+AB47))</f>
        <v/>
      </c>
      <c r="AD46" s="8" t="str">
        <f t="shared" ref="AD46" si="567">IF(AD44="","",(AC46+AC47))</f>
        <v/>
      </c>
      <c r="AE46" s="8" t="str">
        <f t="shared" ref="AE46" si="568">IF(AE44="","",(AD46+AD47))</f>
        <v/>
      </c>
      <c r="AF46" s="8" t="str">
        <f t="shared" ref="AF46" si="569">IF(AF44="","",(AE46+AE47))</f>
        <v/>
      </c>
      <c r="AG46" s="8" t="str">
        <f t="shared" ref="AG46" si="570">IF(AG44="","",(AF46+AF47))</f>
        <v/>
      </c>
      <c r="AH46" s="8" t="str">
        <f t="shared" ref="AH46" si="571">IF(AH44="","",(AG46+AG47))</f>
        <v/>
      </c>
      <c r="AI46" s="8" t="str">
        <f t="shared" ref="AI46" si="572">IF(AI44="","",(AH46+AH47))</f>
        <v/>
      </c>
      <c r="AJ46" s="8" t="str">
        <f t="shared" ref="AJ46" si="573">IF(AJ44="","",(AI46+AI47))</f>
        <v/>
      </c>
      <c r="AK46" s="8" t="str">
        <f t="shared" ref="AK46" si="574">IF(AK44="","",(AJ46+AJ47))</f>
        <v/>
      </c>
      <c r="AL46" s="8" t="str">
        <f t="shared" ref="AL46" si="575">IF(AL44="","",(AK46+AK47))</f>
        <v/>
      </c>
      <c r="AM46" s="8" t="str">
        <f t="shared" ref="AM46" si="576">IF(AM44="","",(AL46+AL47))</f>
        <v/>
      </c>
      <c r="AN46" s="8" t="str">
        <f t="shared" ref="AN46" si="577">IF(AN44="","",(AM46+AM47))</f>
        <v/>
      </c>
      <c r="AO46" s="8" t="str">
        <f t="shared" ref="AO46:AS46" si="578">IF(AO44="","",(AN46+AN47))</f>
        <v/>
      </c>
      <c r="AP46" s="8" t="str">
        <f t="shared" si="578"/>
        <v/>
      </c>
      <c r="AQ46" s="8" t="str">
        <f t="shared" si="578"/>
        <v/>
      </c>
      <c r="AR46" s="8" t="str">
        <f t="shared" si="578"/>
        <v/>
      </c>
      <c r="AS46" s="8" t="str">
        <f t="shared" si="578"/>
        <v/>
      </c>
    </row>
    <row r="47" spans="1:45" s="84" customFormat="1" ht="11.25" x14ac:dyDescent="0.15">
      <c r="A47" s="14"/>
      <c r="B47" s="9" t="s">
        <v>7</v>
      </c>
      <c r="C47" s="8"/>
      <c r="D47" s="8"/>
      <c r="E47" s="8"/>
      <c r="F47" s="8"/>
      <c r="G47" s="8">
        <v>6</v>
      </c>
      <c r="H47" s="8"/>
      <c r="I47" s="8"/>
      <c r="J47" s="8"/>
      <c r="K47" s="8"/>
      <c r="L47" s="8"/>
      <c r="M47" s="8"/>
      <c r="N47" s="8">
        <v>4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</row>
    <row r="48" spans="1:45" s="84" customFormat="1" ht="11.25" x14ac:dyDescent="0.15">
      <c r="A48" s="7"/>
      <c r="B48" s="9" t="s">
        <v>8</v>
      </c>
      <c r="C48" s="8">
        <v>300</v>
      </c>
      <c r="D48" s="8">
        <v>300</v>
      </c>
      <c r="E48" s="8">
        <v>300</v>
      </c>
      <c r="F48" s="8">
        <v>300</v>
      </c>
      <c r="G48" s="8">
        <v>300</v>
      </c>
      <c r="H48" s="8">
        <v>300</v>
      </c>
      <c r="I48" s="8">
        <v>300</v>
      </c>
      <c r="J48" s="8">
        <v>300</v>
      </c>
      <c r="K48" s="8">
        <v>300</v>
      </c>
      <c r="L48" s="8">
        <f t="shared" ref="L48" si="579">IF(L44="","",K48)</f>
        <v>300</v>
      </c>
      <c r="M48" s="8">
        <f t="shared" ref="M48" si="580">IF(M44="","",L48)</f>
        <v>300</v>
      </c>
      <c r="N48" s="8">
        <f t="shared" ref="N48" si="581">IF(N44="","",M48)</f>
        <v>300</v>
      </c>
      <c r="O48" s="8" t="str">
        <f t="shared" ref="O48" si="582">IF(O44="","",N48)</f>
        <v/>
      </c>
      <c r="P48" s="8" t="str">
        <f t="shared" ref="P48" si="583">IF(P44="","",O48)</f>
        <v/>
      </c>
      <c r="Q48" s="8" t="str">
        <f t="shared" ref="Q48" si="584">IF(Q44="","",P48)</f>
        <v/>
      </c>
      <c r="R48" s="8" t="str">
        <f t="shared" ref="R48" si="585">IF(R44="","",Q48)</f>
        <v/>
      </c>
      <c r="S48" s="8" t="str">
        <f t="shared" ref="S48" si="586">IF(S44="","",R48)</f>
        <v/>
      </c>
      <c r="T48" s="8" t="str">
        <f t="shared" ref="T48" si="587">IF(T44="","",S48)</f>
        <v/>
      </c>
      <c r="U48" s="8" t="str">
        <f t="shared" ref="U48" si="588">IF(U44="","",T48)</f>
        <v/>
      </c>
      <c r="V48" s="8" t="str">
        <f t="shared" ref="V48" si="589">IF(V44="","",U48)</f>
        <v/>
      </c>
      <c r="W48" s="8" t="str">
        <f t="shared" ref="W48" si="590">IF(W44="","",V48)</f>
        <v/>
      </c>
      <c r="X48" s="8" t="str">
        <f t="shared" ref="X48" si="591">IF(X44="","",W48)</f>
        <v/>
      </c>
      <c r="Y48" s="8" t="str">
        <f t="shared" ref="Y48" si="592">IF(Y44="","",X48)</f>
        <v/>
      </c>
      <c r="Z48" s="8" t="str">
        <f t="shared" ref="Z48" si="593">IF(Z44="","",Y48)</f>
        <v/>
      </c>
      <c r="AA48" s="8" t="str">
        <f t="shared" ref="AA48" si="594">IF(AA44="","",Z48)</f>
        <v/>
      </c>
      <c r="AB48" s="8" t="str">
        <f t="shared" ref="AB48" si="595">IF(AB44="","",AA48)</f>
        <v/>
      </c>
      <c r="AC48" s="8" t="str">
        <f t="shared" ref="AC48" si="596">IF(AC44="","",AB48)</f>
        <v/>
      </c>
      <c r="AD48" s="8" t="str">
        <f t="shared" ref="AD48" si="597">IF(AD44="","",AC48)</f>
        <v/>
      </c>
      <c r="AE48" s="8" t="str">
        <f t="shared" ref="AE48" si="598">IF(AE44="","",AD48)</f>
        <v/>
      </c>
      <c r="AF48" s="8" t="str">
        <f t="shared" ref="AF48" si="599">IF(AF44="","",AE48)</f>
        <v/>
      </c>
      <c r="AG48" s="8" t="str">
        <f t="shared" ref="AG48" si="600">IF(AG44="","",AF48)</f>
        <v/>
      </c>
      <c r="AH48" s="8" t="str">
        <f t="shared" ref="AH48" si="601">IF(AH44="","",AG48)</f>
        <v/>
      </c>
      <c r="AI48" s="8" t="str">
        <f t="shared" ref="AI48" si="602">IF(AI44="","",AH48)</f>
        <v/>
      </c>
      <c r="AJ48" s="8" t="str">
        <f t="shared" ref="AJ48" si="603">IF(AJ44="","",AI48)</f>
        <v/>
      </c>
      <c r="AK48" s="8" t="str">
        <f t="shared" ref="AK48" si="604">IF(AK44="","",AJ48)</f>
        <v/>
      </c>
      <c r="AL48" s="8" t="str">
        <f t="shared" ref="AL48" si="605">IF(AL44="","",AK48)</f>
        <v/>
      </c>
      <c r="AM48" s="8" t="str">
        <f t="shared" ref="AM48" si="606">IF(AM44="","",AL48)</f>
        <v/>
      </c>
      <c r="AN48" s="8" t="str">
        <f t="shared" ref="AN48" si="607">IF(AN44="","",AM48)</f>
        <v/>
      </c>
      <c r="AO48" s="8" t="str">
        <f t="shared" ref="AO48:AS48" si="608">IF(AO44="","",AN48)</f>
        <v/>
      </c>
      <c r="AP48" s="8" t="str">
        <f t="shared" si="608"/>
        <v/>
      </c>
      <c r="AQ48" s="8" t="str">
        <f t="shared" si="608"/>
        <v/>
      </c>
      <c r="AR48" s="8" t="str">
        <f t="shared" si="608"/>
        <v/>
      </c>
      <c r="AS48" s="8" t="str">
        <f t="shared" si="608"/>
        <v/>
      </c>
    </row>
    <row r="49" spans="1:45" s="85" customFormat="1" ht="11.25" x14ac:dyDescent="0.15">
      <c r="A49" s="14" t="s">
        <v>9</v>
      </c>
      <c r="B49" s="13" t="s">
        <v>10</v>
      </c>
      <c r="C49" s="12" t="s">
        <v>69</v>
      </c>
      <c r="D49" s="12" t="s">
        <v>69</v>
      </c>
      <c r="E49" s="12" t="s">
        <v>69</v>
      </c>
      <c r="F49" s="12" t="s">
        <v>69</v>
      </c>
      <c r="G49" s="12" t="s">
        <v>69</v>
      </c>
      <c r="H49" s="12" t="s">
        <v>69</v>
      </c>
      <c r="I49" s="12" t="s">
        <v>69</v>
      </c>
      <c r="J49" s="12" t="s">
        <v>69</v>
      </c>
      <c r="K49" s="12" t="s">
        <v>69</v>
      </c>
      <c r="L49" s="12" t="str">
        <f t="shared" ref="L49" si="609">IF(L44="","",K49)</f>
        <v>バタースクイーズ</v>
      </c>
      <c r="M49" s="12" t="str">
        <f t="shared" ref="M49" si="610">IF(M44="","",L49)</f>
        <v>バタースクイーズ</v>
      </c>
      <c r="N49" s="12" t="str">
        <f t="shared" ref="N49" si="611">IF(N44="","",M49)</f>
        <v>バタースクイーズ</v>
      </c>
      <c r="O49" s="12" t="str">
        <f t="shared" ref="O49" si="612">IF(O44="","",N49)</f>
        <v/>
      </c>
      <c r="P49" s="12" t="str">
        <f t="shared" ref="P49" si="613">IF(P44="","",O49)</f>
        <v/>
      </c>
      <c r="Q49" s="12" t="str">
        <f t="shared" ref="Q49" si="614">IF(Q44="","",P49)</f>
        <v/>
      </c>
      <c r="R49" s="12" t="str">
        <f t="shared" ref="R49" si="615">IF(R44="","",Q49)</f>
        <v/>
      </c>
      <c r="S49" s="12" t="str">
        <f t="shared" ref="S49" si="616">IF(S44="","",R49)</f>
        <v/>
      </c>
      <c r="T49" s="12" t="str">
        <f t="shared" ref="T49" si="617">IF(T44="","",S49)</f>
        <v/>
      </c>
      <c r="U49" s="12" t="str">
        <f t="shared" ref="U49" si="618">IF(U44="","",T49)</f>
        <v/>
      </c>
      <c r="V49" s="12" t="str">
        <f t="shared" ref="V49" si="619">IF(V44="","",U49)</f>
        <v/>
      </c>
      <c r="W49" s="12" t="str">
        <f t="shared" ref="W49" si="620">IF(W44="","",V49)</f>
        <v/>
      </c>
      <c r="X49" s="12" t="str">
        <f t="shared" ref="X49" si="621">IF(X44="","",W49)</f>
        <v/>
      </c>
      <c r="Y49" s="12" t="str">
        <f t="shared" ref="Y49" si="622">IF(Y44="","",X49)</f>
        <v/>
      </c>
      <c r="Z49" s="12" t="str">
        <f t="shared" ref="Z49" si="623">IF(Z44="","",Y49)</f>
        <v/>
      </c>
      <c r="AA49" s="12" t="str">
        <f t="shared" ref="AA49" si="624">IF(AA44="","",Z49)</f>
        <v/>
      </c>
      <c r="AB49" s="12" t="str">
        <f t="shared" ref="AB49" si="625">IF(AB44="","",AA49)</f>
        <v/>
      </c>
      <c r="AC49" s="12" t="str">
        <f t="shared" ref="AC49" si="626">IF(AC44="","",AB49)</f>
        <v/>
      </c>
      <c r="AD49" s="12" t="str">
        <f t="shared" ref="AD49" si="627">IF(AD44="","",AC49)</f>
        <v/>
      </c>
      <c r="AE49" s="12" t="str">
        <f t="shared" ref="AE49" si="628">IF(AE44="","",AD49)</f>
        <v/>
      </c>
      <c r="AF49" s="12" t="str">
        <f t="shared" ref="AF49" si="629">IF(AF44="","",AE49)</f>
        <v/>
      </c>
      <c r="AG49" s="12" t="str">
        <f t="shared" ref="AG49" si="630">IF(AG44="","",AF49)</f>
        <v/>
      </c>
      <c r="AH49" s="12" t="str">
        <f t="shared" ref="AH49" si="631">IF(AH44="","",AG49)</f>
        <v/>
      </c>
      <c r="AI49" s="12" t="str">
        <f t="shared" ref="AI49" si="632">IF(AI44="","",AH49)</f>
        <v/>
      </c>
      <c r="AJ49" s="12" t="str">
        <f t="shared" ref="AJ49" si="633">IF(AJ44="","",AI49)</f>
        <v/>
      </c>
      <c r="AK49" s="12" t="str">
        <f t="shared" ref="AK49" si="634">IF(AK44="","",AJ49)</f>
        <v/>
      </c>
      <c r="AL49" s="12" t="str">
        <f t="shared" ref="AL49" si="635">IF(AL44="","",AK49)</f>
        <v/>
      </c>
      <c r="AM49" s="12" t="str">
        <f t="shared" ref="AM49" si="636">IF(AM44="","",AL49)</f>
        <v/>
      </c>
      <c r="AN49" s="12" t="str">
        <f t="shared" ref="AN49" si="637">IF(AN44="","",AM49)</f>
        <v/>
      </c>
      <c r="AO49" s="12" t="str">
        <f t="shared" ref="AO49:AS49" si="638">IF(AO44="","",AN49)</f>
        <v/>
      </c>
      <c r="AP49" s="12" t="str">
        <f t="shared" si="638"/>
        <v/>
      </c>
      <c r="AQ49" s="12" t="str">
        <f t="shared" si="638"/>
        <v/>
      </c>
      <c r="AR49" s="12" t="str">
        <f t="shared" si="638"/>
        <v/>
      </c>
      <c r="AS49" s="12" t="str">
        <f t="shared" si="638"/>
        <v/>
      </c>
    </row>
    <row r="50" spans="1:45" s="84" customFormat="1" ht="11.25" x14ac:dyDescent="0.15">
      <c r="A50" s="7">
        <f>AVERAGE(C51:AS51)*30*100</f>
        <v>28750</v>
      </c>
      <c r="B50" s="9" t="s">
        <v>12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1:45" s="84" customFormat="1" ht="11.25" x14ac:dyDescent="0.15">
      <c r="A51" s="7">
        <f>SUM(C51:AS51)</f>
        <v>115</v>
      </c>
      <c r="B51" s="6" t="s">
        <v>13</v>
      </c>
      <c r="C51" s="5">
        <v>0</v>
      </c>
      <c r="D51" s="5">
        <v>0</v>
      </c>
      <c r="E51" s="5">
        <v>0</v>
      </c>
      <c r="F51" s="5">
        <v>0</v>
      </c>
      <c r="G51" s="5">
        <v>47</v>
      </c>
      <c r="H51" s="5">
        <v>0</v>
      </c>
      <c r="I51" s="5">
        <v>0</v>
      </c>
      <c r="J51" s="5">
        <v>0</v>
      </c>
      <c r="K51" s="5">
        <v>38</v>
      </c>
      <c r="L51" s="5">
        <f t="shared" ref="L51:L52" si="639">IF(L44="","",L44-K44)</f>
        <v>0</v>
      </c>
      <c r="M51" s="5">
        <f t="shared" ref="M51:M52" si="640">IF(M44="","",M44-L44)</f>
        <v>0</v>
      </c>
      <c r="N51" s="5">
        <f t="shared" ref="N51:N52" si="641">IF(N44="","",N44-M44)</f>
        <v>30</v>
      </c>
      <c r="O51" s="5" t="str">
        <f t="shared" ref="O51:O52" si="642">IF(O44="","",O44-N44)</f>
        <v/>
      </c>
      <c r="P51" s="5" t="str">
        <f t="shared" ref="P51:P52" si="643">IF(P44="","",P44-O44)</f>
        <v/>
      </c>
      <c r="Q51" s="5" t="str">
        <f t="shared" ref="Q51:Q52" si="644">IF(Q44="","",Q44-P44)</f>
        <v/>
      </c>
      <c r="R51" s="5" t="str">
        <f t="shared" ref="R51:R52" si="645">IF(R44="","",R44-Q44)</f>
        <v/>
      </c>
      <c r="S51" s="5" t="str">
        <f t="shared" ref="S51:S52" si="646">IF(S44="","",S44-R44)</f>
        <v/>
      </c>
      <c r="T51" s="5" t="str">
        <f t="shared" ref="T51:T52" si="647">IF(T44="","",T44-S44)</f>
        <v/>
      </c>
      <c r="U51" s="5" t="str">
        <f t="shared" ref="U51:U52" si="648">IF(U44="","",U44-T44)</f>
        <v/>
      </c>
      <c r="V51" s="5" t="str">
        <f t="shared" ref="V51:V52" si="649">IF(V44="","",V44-U44)</f>
        <v/>
      </c>
      <c r="W51" s="5" t="str">
        <f t="shared" ref="W51:W52" si="650">IF(W44="","",W44-V44)</f>
        <v/>
      </c>
      <c r="X51" s="5" t="str">
        <f t="shared" ref="X51:X52" si="651">IF(X44="","",X44-W44)</f>
        <v/>
      </c>
      <c r="Y51" s="5" t="str">
        <f t="shared" ref="Y51:Y52" si="652">IF(Y44="","",Y44-X44)</f>
        <v/>
      </c>
      <c r="Z51" s="5" t="str">
        <f t="shared" ref="Z51:Z52" si="653">IF(Z44="","",Z44-Y44)</f>
        <v/>
      </c>
      <c r="AA51" s="5" t="str">
        <f t="shared" ref="AA51:AA52" si="654">IF(AA44="","",AA44-Z44)</f>
        <v/>
      </c>
      <c r="AB51" s="5" t="str">
        <f t="shared" ref="AB51:AB52" si="655">IF(AB44="","",AB44-AA44)</f>
        <v/>
      </c>
      <c r="AC51" s="5" t="str">
        <f t="shared" ref="AC51:AC52" si="656">IF(AC44="","",AC44-AB44)</f>
        <v/>
      </c>
      <c r="AD51" s="5" t="str">
        <f t="shared" ref="AD51:AD52" si="657">IF(AD44="","",AD44-AC44)</f>
        <v/>
      </c>
      <c r="AE51" s="5" t="str">
        <f t="shared" ref="AE51:AE52" si="658">IF(AE44="","",AE44-AD44)</f>
        <v/>
      </c>
      <c r="AF51" s="5" t="str">
        <f t="shared" ref="AF51:AF52" si="659">IF(AF44="","",AF44-AE44)</f>
        <v/>
      </c>
      <c r="AG51" s="5" t="str">
        <f t="shared" ref="AG51:AG52" si="660">IF(AG44="","",AG44-AF44)</f>
        <v/>
      </c>
      <c r="AH51" s="5" t="str">
        <f t="shared" ref="AH51:AH52" si="661">IF(AH44="","",AH44-AG44)</f>
        <v/>
      </c>
      <c r="AI51" s="5" t="str">
        <f t="shared" ref="AI51:AI52" si="662">IF(AI44="","",AI44-AH44)</f>
        <v/>
      </c>
      <c r="AJ51" s="5" t="str">
        <f t="shared" ref="AJ51:AJ52" si="663">IF(AJ44="","",AJ44-AI44)</f>
        <v/>
      </c>
      <c r="AK51" s="5" t="str">
        <f t="shared" ref="AK51:AK52" si="664">IF(AK44="","",AK44-AJ44)</f>
        <v/>
      </c>
      <c r="AL51" s="5" t="str">
        <f t="shared" ref="AL51:AL52" si="665">IF(AL44="","",AL44-AK44)</f>
        <v/>
      </c>
      <c r="AM51" s="5" t="str">
        <f t="shared" ref="AM51:AM52" si="666">IF(AM44="","",AM44-AL44)</f>
        <v/>
      </c>
      <c r="AN51" s="5" t="str">
        <f t="shared" ref="AN51:AN52" si="667">IF(AN44="","",AN44-AM44)</f>
        <v/>
      </c>
      <c r="AO51" s="5" t="str">
        <f t="shared" ref="AO51:AS51" si="668">IF(AO44="","",AO44-AN44)</f>
        <v/>
      </c>
      <c r="AP51" s="5" t="str">
        <f t="shared" si="668"/>
        <v/>
      </c>
      <c r="AQ51" s="5" t="str">
        <f t="shared" si="668"/>
        <v/>
      </c>
      <c r="AR51" s="5" t="str">
        <f t="shared" si="668"/>
        <v/>
      </c>
      <c r="AS51" s="5" t="str">
        <f t="shared" si="668"/>
        <v/>
      </c>
    </row>
    <row r="52" spans="1:45" s="84" customFormat="1" ht="11.25" x14ac:dyDescent="0.15">
      <c r="A52" s="7">
        <f>SUM(C52:AS52)</f>
        <v>1</v>
      </c>
      <c r="B52" s="6" t="s">
        <v>14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f t="shared" si="639"/>
        <v>0</v>
      </c>
      <c r="M52" s="5">
        <f t="shared" si="640"/>
        <v>0</v>
      </c>
      <c r="N52" s="5">
        <f t="shared" si="641"/>
        <v>1</v>
      </c>
      <c r="O52" s="5" t="str">
        <f t="shared" si="642"/>
        <v/>
      </c>
      <c r="P52" s="5" t="str">
        <f t="shared" si="643"/>
        <v/>
      </c>
      <c r="Q52" s="5" t="str">
        <f t="shared" si="644"/>
        <v/>
      </c>
      <c r="R52" s="5" t="str">
        <f t="shared" si="645"/>
        <v/>
      </c>
      <c r="S52" s="5" t="str">
        <f t="shared" si="646"/>
        <v/>
      </c>
      <c r="T52" s="5" t="str">
        <f t="shared" si="647"/>
        <v/>
      </c>
      <c r="U52" s="5" t="str">
        <f t="shared" si="648"/>
        <v/>
      </c>
      <c r="V52" s="5" t="str">
        <f t="shared" si="649"/>
        <v/>
      </c>
      <c r="W52" s="5" t="str">
        <f t="shared" si="650"/>
        <v/>
      </c>
      <c r="X52" s="5" t="str">
        <f t="shared" si="651"/>
        <v/>
      </c>
      <c r="Y52" s="5" t="str">
        <f t="shared" si="652"/>
        <v/>
      </c>
      <c r="Z52" s="5" t="str">
        <f t="shared" si="653"/>
        <v/>
      </c>
      <c r="AA52" s="5" t="str">
        <f t="shared" si="654"/>
        <v/>
      </c>
      <c r="AB52" s="5" t="str">
        <f t="shared" si="655"/>
        <v/>
      </c>
      <c r="AC52" s="5" t="str">
        <f t="shared" si="656"/>
        <v/>
      </c>
      <c r="AD52" s="5" t="str">
        <f t="shared" si="657"/>
        <v/>
      </c>
      <c r="AE52" s="5" t="str">
        <f t="shared" si="658"/>
        <v/>
      </c>
      <c r="AF52" s="5" t="str">
        <f t="shared" si="659"/>
        <v/>
      </c>
      <c r="AG52" s="5" t="str">
        <f t="shared" si="660"/>
        <v/>
      </c>
      <c r="AH52" s="5" t="str">
        <f t="shared" si="661"/>
        <v/>
      </c>
      <c r="AI52" s="5" t="str">
        <f t="shared" si="662"/>
        <v/>
      </c>
      <c r="AJ52" s="5" t="str">
        <f t="shared" si="663"/>
        <v/>
      </c>
      <c r="AK52" s="5" t="str">
        <f t="shared" si="664"/>
        <v/>
      </c>
      <c r="AL52" s="5" t="str">
        <f t="shared" si="665"/>
        <v/>
      </c>
      <c r="AM52" s="5" t="str">
        <f t="shared" si="666"/>
        <v/>
      </c>
      <c r="AN52" s="5" t="str">
        <f t="shared" si="667"/>
        <v/>
      </c>
      <c r="AO52" s="5" t="str">
        <f t="shared" ref="AO52:AS52" si="669">IF(AO45="","",AO45-AN45)</f>
        <v/>
      </c>
      <c r="AP52" s="5" t="str">
        <f t="shared" si="669"/>
        <v/>
      </c>
      <c r="AQ52" s="5" t="str">
        <f t="shared" si="669"/>
        <v/>
      </c>
      <c r="AR52" s="5" t="str">
        <f t="shared" si="669"/>
        <v/>
      </c>
      <c r="AS52" s="5" t="str">
        <f t="shared" si="669"/>
        <v/>
      </c>
    </row>
    <row r="53" spans="1:45" s="84" customFormat="1" ht="11.25" x14ac:dyDescent="0.15">
      <c r="A53" s="7">
        <f>SUM(C53:AS53)</f>
        <v>1</v>
      </c>
      <c r="B53" s="6" t="s">
        <v>15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f t="shared" ref="L53" si="670">IF(L46="","",K46+K47-L46)</f>
        <v>0</v>
      </c>
      <c r="M53" s="5">
        <f t="shared" ref="M53" si="671">IF(M46="","",L46+L47-M46)</f>
        <v>0</v>
      </c>
      <c r="N53" s="5">
        <f t="shared" ref="N53" si="672">IF(N46="","",M46+M47-N46)</f>
        <v>1</v>
      </c>
      <c r="O53" s="5" t="str">
        <f t="shared" ref="O53" si="673">IF(O46="","",N46+N47-O46)</f>
        <v/>
      </c>
      <c r="P53" s="5" t="str">
        <f t="shared" ref="P53" si="674">IF(P46="","",O46+O47-P46)</f>
        <v/>
      </c>
      <c r="Q53" s="5" t="str">
        <f t="shared" ref="Q53" si="675">IF(Q46="","",P46+P47-Q46)</f>
        <v/>
      </c>
      <c r="R53" s="5" t="str">
        <f t="shared" ref="R53" si="676">IF(R46="","",Q46+Q47-R46)</f>
        <v/>
      </c>
      <c r="S53" s="5" t="str">
        <f t="shared" ref="S53" si="677">IF(S46="","",R46+R47-S46)</f>
        <v/>
      </c>
      <c r="T53" s="5" t="str">
        <f t="shared" ref="T53" si="678">IF(T46="","",S46+S47-T46)</f>
        <v/>
      </c>
      <c r="U53" s="5" t="str">
        <f t="shared" ref="U53" si="679">IF(U46="","",T46+T47-U46)</f>
        <v/>
      </c>
      <c r="V53" s="5" t="str">
        <f t="shared" ref="V53" si="680">IF(V46="","",U46+U47-V46)</f>
        <v/>
      </c>
      <c r="W53" s="5" t="str">
        <f t="shared" ref="W53" si="681">IF(W46="","",V46+V47-W46)</f>
        <v/>
      </c>
      <c r="X53" s="5" t="str">
        <f t="shared" ref="X53" si="682">IF(X46="","",W46+W47-X46)</f>
        <v/>
      </c>
      <c r="Y53" s="5" t="str">
        <f t="shared" ref="Y53" si="683">IF(Y46="","",X46+X47-Y46)</f>
        <v/>
      </c>
      <c r="Z53" s="5" t="str">
        <f t="shared" ref="Z53" si="684">IF(Z46="","",Y46+Y47-Z46)</f>
        <v/>
      </c>
      <c r="AA53" s="5" t="str">
        <f t="shared" ref="AA53" si="685">IF(AA46="","",Z46+Z47-AA46)</f>
        <v/>
      </c>
      <c r="AB53" s="5" t="str">
        <f t="shared" ref="AB53" si="686">IF(AB46="","",AA46+AA47-AB46)</f>
        <v/>
      </c>
      <c r="AC53" s="5" t="str">
        <f t="shared" ref="AC53" si="687">IF(AC46="","",AB46+AB47-AC46)</f>
        <v/>
      </c>
      <c r="AD53" s="5" t="str">
        <f t="shared" ref="AD53" si="688">IF(AD46="","",AC46+AC47-AD46)</f>
        <v/>
      </c>
      <c r="AE53" s="5" t="str">
        <f t="shared" ref="AE53" si="689">IF(AE46="","",AD46+AD47-AE46)</f>
        <v/>
      </c>
      <c r="AF53" s="5" t="str">
        <f t="shared" ref="AF53" si="690">IF(AF46="","",AE46+AE47-AF46)</f>
        <v/>
      </c>
      <c r="AG53" s="5" t="str">
        <f t="shared" ref="AG53" si="691">IF(AG46="","",AF46+AF47-AG46)</f>
        <v/>
      </c>
      <c r="AH53" s="5" t="str">
        <f t="shared" ref="AH53" si="692">IF(AH46="","",AG46+AG47-AH46)</f>
        <v/>
      </c>
      <c r="AI53" s="5" t="str">
        <f t="shared" ref="AI53" si="693">IF(AI46="","",AH46+AH47-AI46)</f>
        <v/>
      </c>
      <c r="AJ53" s="5" t="str">
        <f t="shared" ref="AJ53" si="694">IF(AJ46="","",AI46+AI47-AJ46)</f>
        <v/>
      </c>
      <c r="AK53" s="5" t="str">
        <f t="shared" ref="AK53" si="695">IF(AK46="","",AJ46+AJ47-AK46)</f>
        <v/>
      </c>
      <c r="AL53" s="5" t="str">
        <f t="shared" ref="AL53" si="696">IF(AL46="","",AK46+AK47-AL46)</f>
        <v/>
      </c>
      <c r="AM53" s="5" t="str">
        <f t="shared" ref="AM53" si="697">IF(AM46="","",AL46+AL47-AM46)</f>
        <v/>
      </c>
      <c r="AN53" s="5" t="str">
        <f t="shared" ref="AN53" si="698">IF(AN46="","",AM46+AM47-AN46)</f>
        <v/>
      </c>
      <c r="AO53" s="5" t="str">
        <f t="shared" ref="AO53:AS53" si="699">IF(AO46="","",AN46+AN47-AO46)</f>
        <v/>
      </c>
      <c r="AP53" s="5" t="str">
        <f t="shared" si="699"/>
        <v/>
      </c>
      <c r="AQ53" s="5" t="str">
        <f t="shared" si="699"/>
        <v/>
      </c>
      <c r="AR53" s="5" t="str">
        <f t="shared" si="699"/>
        <v/>
      </c>
      <c r="AS53" s="5" t="str">
        <f t="shared" si="699"/>
        <v/>
      </c>
    </row>
    <row r="54" spans="1:45" s="84" customFormat="1" ht="11.25" x14ac:dyDescent="0.15">
      <c r="A54" s="7">
        <f>SUM(C54:AS54)</f>
        <v>300</v>
      </c>
      <c r="B54" s="6" t="s">
        <v>16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f t="shared" ref="J54:AN54" si="700">IF(L44="","",L53*L48)</f>
        <v>0</v>
      </c>
      <c r="M54" s="5">
        <f t="shared" si="700"/>
        <v>0</v>
      </c>
      <c r="N54" s="5">
        <f t="shared" si="700"/>
        <v>300</v>
      </c>
      <c r="O54" s="5" t="str">
        <f t="shared" si="700"/>
        <v/>
      </c>
      <c r="P54" s="5" t="str">
        <f t="shared" si="700"/>
        <v/>
      </c>
      <c r="Q54" s="5" t="str">
        <f t="shared" si="700"/>
        <v/>
      </c>
      <c r="R54" s="5" t="str">
        <f t="shared" si="700"/>
        <v/>
      </c>
      <c r="S54" s="5" t="str">
        <f t="shared" si="700"/>
        <v/>
      </c>
      <c r="T54" s="5" t="str">
        <f t="shared" si="700"/>
        <v/>
      </c>
      <c r="U54" s="5" t="str">
        <f t="shared" si="700"/>
        <v/>
      </c>
      <c r="V54" s="5" t="str">
        <f t="shared" si="700"/>
        <v/>
      </c>
      <c r="W54" s="5" t="str">
        <f t="shared" si="700"/>
        <v/>
      </c>
      <c r="X54" s="5" t="str">
        <f t="shared" si="700"/>
        <v/>
      </c>
      <c r="Y54" s="5" t="str">
        <f t="shared" si="700"/>
        <v/>
      </c>
      <c r="Z54" s="5" t="str">
        <f t="shared" si="700"/>
        <v/>
      </c>
      <c r="AA54" s="5" t="str">
        <f t="shared" si="700"/>
        <v/>
      </c>
      <c r="AB54" s="5" t="str">
        <f t="shared" si="700"/>
        <v/>
      </c>
      <c r="AC54" s="5" t="str">
        <f t="shared" si="700"/>
        <v/>
      </c>
      <c r="AD54" s="5" t="str">
        <f t="shared" si="700"/>
        <v/>
      </c>
      <c r="AE54" s="5" t="str">
        <f t="shared" si="700"/>
        <v/>
      </c>
      <c r="AF54" s="5" t="str">
        <f t="shared" si="700"/>
        <v/>
      </c>
      <c r="AG54" s="5" t="str">
        <f t="shared" si="700"/>
        <v/>
      </c>
      <c r="AH54" s="5" t="str">
        <f t="shared" si="700"/>
        <v/>
      </c>
      <c r="AI54" s="5" t="str">
        <f t="shared" si="700"/>
        <v/>
      </c>
      <c r="AJ54" s="5" t="str">
        <f t="shared" si="700"/>
        <v/>
      </c>
      <c r="AK54" s="5" t="str">
        <f t="shared" si="700"/>
        <v/>
      </c>
      <c r="AL54" s="5" t="str">
        <f t="shared" si="700"/>
        <v/>
      </c>
      <c r="AM54" s="5" t="str">
        <f t="shared" si="700"/>
        <v/>
      </c>
      <c r="AN54" s="5" t="str">
        <f t="shared" si="700"/>
        <v/>
      </c>
      <c r="AO54" s="5" t="str">
        <f t="shared" ref="AO54:AS54" si="701">IF(AO44="","",AO53*AO48)</f>
        <v/>
      </c>
      <c r="AP54" s="5" t="str">
        <f t="shared" si="701"/>
        <v/>
      </c>
      <c r="AQ54" s="5" t="str">
        <f t="shared" si="701"/>
        <v/>
      </c>
      <c r="AR54" s="5" t="str">
        <f t="shared" si="701"/>
        <v/>
      </c>
      <c r="AS54" s="5" t="str">
        <f t="shared" si="701"/>
        <v/>
      </c>
    </row>
    <row r="55" spans="1:45" s="84" customFormat="1" ht="12" thickBot="1" x14ac:dyDescent="0.2">
      <c r="A55" s="4">
        <f>IF(A54="","",A54/(A51*100))</f>
        <v>2.6086956521739129E-2</v>
      </c>
      <c r="B55" s="3" t="s">
        <v>18</v>
      </c>
      <c r="C55" s="2" t="s">
        <v>19</v>
      </c>
      <c r="D55" s="2" t="s">
        <v>19</v>
      </c>
      <c r="E55" s="2" t="s">
        <v>19</v>
      </c>
      <c r="F55" s="2" t="s">
        <v>19</v>
      </c>
      <c r="G55" s="2" t="s">
        <v>19</v>
      </c>
      <c r="H55" s="2" t="s">
        <v>19</v>
      </c>
      <c r="I55" s="2" t="s">
        <v>19</v>
      </c>
      <c r="J55" s="2" t="s">
        <v>19</v>
      </c>
      <c r="K55" s="2" t="s">
        <v>19</v>
      </c>
      <c r="L55" s="2" t="str">
        <f t="shared" ref="J55:AN55" si="702">IF(L54="","",IF(L54=0,"",L54/(L51*100)))</f>
        <v/>
      </c>
      <c r="M55" s="2" t="str">
        <f t="shared" si="702"/>
        <v/>
      </c>
      <c r="N55" s="2">
        <f t="shared" si="702"/>
        <v>0.1</v>
      </c>
      <c r="O55" s="2" t="str">
        <f t="shared" si="702"/>
        <v/>
      </c>
      <c r="P55" s="2" t="str">
        <f t="shared" si="702"/>
        <v/>
      </c>
      <c r="Q55" s="2" t="str">
        <f t="shared" si="702"/>
        <v/>
      </c>
      <c r="R55" s="2" t="str">
        <f t="shared" si="702"/>
        <v/>
      </c>
      <c r="S55" s="2" t="str">
        <f t="shared" si="702"/>
        <v/>
      </c>
      <c r="T55" s="2" t="str">
        <f t="shared" si="702"/>
        <v/>
      </c>
      <c r="U55" s="2" t="str">
        <f t="shared" si="702"/>
        <v/>
      </c>
      <c r="V55" s="2" t="str">
        <f t="shared" si="702"/>
        <v/>
      </c>
      <c r="W55" s="2" t="str">
        <f t="shared" si="702"/>
        <v/>
      </c>
      <c r="X55" s="2" t="str">
        <f t="shared" si="702"/>
        <v/>
      </c>
      <c r="Y55" s="2" t="str">
        <f t="shared" si="702"/>
        <v/>
      </c>
      <c r="Z55" s="2" t="str">
        <f t="shared" si="702"/>
        <v/>
      </c>
      <c r="AA55" s="2" t="str">
        <f t="shared" si="702"/>
        <v/>
      </c>
      <c r="AB55" s="2" t="str">
        <f t="shared" si="702"/>
        <v/>
      </c>
      <c r="AC55" s="2" t="str">
        <f t="shared" si="702"/>
        <v/>
      </c>
      <c r="AD55" s="2" t="str">
        <f t="shared" si="702"/>
        <v/>
      </c>
      <c r="AE55" s="2" t="str">
        <f t="shared" si="702"/>
        <v/>
      </c>
      <c r="AF55" s="2" t="str">
        <f t="shared" si="702"/>
        <v/>
      </c>
      <c r="AG55" s="2" t="str">
        <f t="shared" si="702"/>
        <v/>
      </c>
      <c r="AH55" s="2" t="str">
        <f t="shared" si="702"/>
        <v/>
      </c>
      <c r="AI55" s="2" t="str">
        <f t="shared" si="702"/>
        <v/>
      </c>
      <c r="AJ55" s="2" t="str">
        <f t="shared" si="702"/>
        <v/>
      </c>
      <c r="AK55" s="2" t="str">
        <f t="shared" si="702"/>
        <v/>
      </c>
      <c r="AL55" s="2" t="str">
        <f t="shared" si="702"/>
        <v/>
      </c>
      <c r="AM55" s="2" t="str">
        <f t="shared" si="702"/>
        <v/>
      </c>
      <c r="AN55" s="2" t="str">
        <f t="shared" si="702"/>
        <v/>
      </c>
      <c r="AO55" s="2" t="str">
        <f t="shared" ref="AO55:AS55" si="703">IF(AO54="","",IF(AO54=0,"",AO54/(AO51*100)))</f>
        <v/>
      </c>
      <c r="AP55" s="2" t="str">
        <f t="shared" si="703"/>
        <v/>
      </c>
      <c r="AQ55" s="2" t="str">
        <f t="shared" si="703"/>
        <v/>
      </c>
      <c r="AR55" s="2" t="str">
        <f t="shared" si="703"/>
        <v/>
      </c>
      <c r="AS55" s="2" t="str">
        <f t="shared" si="703"/>
        <v/>
      </c>
    </row>
    <row r="56" spans="1:45" s="84" customFormat="1" ht="11.25" x14ac:dyDescent="0.15">
      <c r="A56" s="22" t="s">
        <v>96</v>
      </c>
      <c r="B56" s="21" t="s">
        <v>2</v>
      </c>
      <c r="C56" s="20">
        <v>10454</v>
      </c>
      <c r="D56" s="20">
        <v>10454</v>
      </c>
      <c r="E56" s="20">
        <v>10454</v>
      </c>
      <c r="F56" s="20">
        <v>10454</v>
      </c>
      <c r="G56" s="20">
        <v>10525</v>
      </c>
      <c r="H56" s="20">
        <v>10525</v>
      </c>
      <c r="I56" s="20">
        <v>10525</v>
      </c>
      <c r="J56" s="20">
        <v>10525</v>
      </c>
      <c r="K56" s="20">
        <v>10557</v>
      </c>
      <c r="L56" s="20">
        <f>IF(L$8="","",K56)</f>
        <v>10557</v>
      </c>
      <c r="M56" s="20">
        <f t="shared" ref="M56:M57" si="704">IF(M$8="","",L56)</f>
        <v>10557</v>
      </c>
      <c r="N56" s="20">
        <v>10571</v>
      </c>
      <c r="O56" s="20" t="str">
        <f>IF(O$8="","",N56)</f>
        <v/>
      </c>
      <c r="P56" s="20" t="str">
        <f t="shared" ref="P56:P57" si="705">IF(P$8="","",O56)</f>
        <v/>
      </c>
      <c r="Q56" s="20" t="str">
        <f t="shared" ref="Q56:Q57" si="706">IF(Q$8="","",P56)</f>
        <v/>
      </c>
      <c r="R56" s="20" t="str">
        <f t="shared" ref="R56:R57" si="707">IF(R$8="","",Q56)</f>
        <v/>
      </c>
      <c r="S56" s="20" t="str">
        <f>IF(S$8="","",R56)</f>
        <v/>
      </c>
      <c r="T56" s="20" t="str">
        <f t="shared" ref="T56:T57" si="708">IF(T$8="","",S56)</f>
        <v/>
      </c>
      <c r="U56" s="20" t="str">
        <f t="shared" ref="U56:U57" si="709">IF(U$8="","",T56)</f>
        <v/>
      </c>
      <c r="V56" s="20" t="str">
        <f>IF(V$8="","",U56)</f>
        <v/>
      </c>
      <c r="W56" s="20" t="str">
        <f t="shared" ref="W56:W57" si="710">IF(W$8="","",V56)</f>
        <v/>
      </c>
      <c r="X56" s="20" t="str">
        <f t="shared" ref="X56:X57" si="711">IF(X$8="","",W56)</f>
        <v/>
      </c>
      <c r="Y56" s="20" t="str">
        <f t="shared" ref="Y56:Y57" si="712">IF(Y$8="","",X56)</f>
        <v/>
      </c>
      <c r="Z56" s="20" t="str">
        <f>IF(Z$8="","",Y56)</f>
        <v/>
      </c>
      <c r="AA56" s="20" t="str">
        <f t="shared" ref="AA56:AA57" si="713">IF(AA$8="","",Z56)</f>
        <v/>
      </c>
      <c r="AB56" s="20" t="str">
        <f t="shared" ref="AB56:AB57" si="714">IF(AB$8="","",AA56)</f>
        <v/>
      </c>
      <c r="AC56" s="20" t="str">
        <f t="shared" ref="AC56:AC57" si="715">IF(AC$8="","",AB56)</f>
        <v/>
      </c>
      <c r="AD56" s="20" t="str">
        <f>IF(AD$8="","",AC56)</f>
        <v/>
      </c>
      <c r="AE56" s="20" t="str">
        <f>IF(AE$8="","",AD56)</f>
        <v/>
      </c>
      <c r="AF56" s="20" t="str">
        <f t="shared" ref="AF56:AF57" si="716">IF(AF$8="","",AE56)</f>
        <v/>
      </c>
      <c r="AG56" s="20" t="str">
        <f>IF(AG$8="","",AF56)</f>
        <v/>
      </c>
      <c r="AH56" s="20" t="str">
        <f t="shared" ref="AH56:AH57" si="717">IF(AH$8="","",AG56)</f>
        <v/>
      </c>
      <c r="AI56" s="20" t="str">
        <f t="shared" ref="AI56:AI57" si="718">IF(AI$8="","",AH56)</f>
        <v/>
      </c>
      <c r="AJ56" s="20" t="str">
        <f>IF(AJ$8="","",AI56)</f>
        <v/>
      </c>
      <c r="AK56" s="20" t="str">
        <f t="shared" ref="AK56:AK57" si="719">IF(AK$8="","",AJ56)</f>
        <v/>
      </c>
      <c r="AL56" s="20" t="str">
        <f t="shared" ref="AL56:AL57" si="720">IF(AL$8="","",AK56)</f>
        <v/>
      </c>
      <c r="AM56" s="20" t="str">
        <f t="shared" ref="AM56:AM57" si="721">IF(AM$8="","",AL56)</f>
        <v/>
      </c>
      <c r="AN56" s="20" t="str">
        <f>IF(AN$8="","",AM56)</f>
        <v/>
      </c>
      <c r="AO56" s="20" t="str">
        <f t="shared" ref="AO56:AS56" si="722">IF(AO$8="","",AN56)</f>
        <v/>
      </c>
      <c r="AP56" s="20" t="str">
        <f t="shared" si="722"/>
        <v/>
      </c>
      <c r="AQ56" s="20" t="str">
        <f t="shared" si="722"/>
        <v/>
      </c>
      <c r="AR56" s="20" t="str">
        <f t="shared" si="722"/>
        <v/>
      </c>
      <c r="AS56" s="20" t="str">
        <f t="shared" si="722"/>
        <v/>
      </c>
    </row>
    <row r="57" spans="1:45" s="84" customFormat="1" ht="11.25" x14ac:dyDescent="0.15">
      <c r="A57" s="16" t="s">
        <v>22</v>
      </c>
      <c r="B57" s="9" t="s">
        <v>4</v>
      </c>
      <c r="C57" s="8">
        <v>501</v>
      </c>
      <c r="D57" s="8">
        <v>501</v>
      </c>
      <c r="E57" s="8">
        <v>501</v>
      </c>
      <c r="F57" s="8">
        <v>501</v>
      </c>
      <c r="G57" s="8">
        <v>503</v>
      </c>
      <c r="H57" s="8">
        <v>503</v>
      </c>
      <c r="I57" s="8">
        <v>503</v>
      </c>
      <c r="J57" s="8">
        <v>503</v>
      </c>
      <c r="K57" s="8">
        <v>504</v>
      </c>
      <c r="L57" s="8">
        <f t="shared" ref="L57" si="723">IF(L$8="","",K57)</f>
        <v>504</v>
      </c>
      <c r="M57" s="8">
        <f t="shared" si="704"/>
        <v>504</v>
      </c>
      <c r="N57" s="8">
        <f>IF(N$8="","",M57)</f>
        <v>504</v>
      </c>
      <c r="O57" s="8" t="str">
        <f>IF(O$8="","",N57)</f>
        <v/>
      </c>
      <c r="P57" s="8" t="str">
        <f t="shared" si="705"/>
        <v/>
      </c>
      <c r="Q57" s="8" t="str">
        <f t="shared" si="706"/>
        <v/>
      </c>
      <c r="R57" s="8" t="str">
        <f t="shared" si="707"/>
        <v/>
      </c>
      <c r="S57" s="8" t="str">
        <f>IF(S$8="","",R57)</f>
        <v/>
      </c>
      <c r="T57" s="8" t="str">
        <f t="shared" si="708"/>
        <v/>
      </c>
      <c r="U57" s="8" t="str">
        <f t="shared" si="709"/>
        <v/>
      </c>
      <c r="V57" s="8" t="str">
        <f>IF(V$8="","",U57)</f>
        <v/>
      </c>
      <c r="W57" s="8" t="str">
        <f t="shared" si="710"/>
        <v/>
      </c>
      <c r="X57" s="8" t="str">
        <f t="shared" si="711"/>
        <v/>
      </c>
      <c r="Y57" s="8" t="str">
        <f t="shared" si="712"/>
        <v/>
      </c>
      <c r="Z57" s="8" t="str">
        <f t="shared" ref="Z57" si="724">IF(Z$8="","",Y57)</f>
        <v/>
      </c>
      <c r="AA57" s="8" t="str">
        <f t="shared" si="713"/>
        <v/>
      </c>
      <c r="AB57" s="8" t="str">
        <f t="shared" si="714"/>
        <v/>
      </c>
      <c r="AC57" s="8" t="str">
        <f t="shared" si="715"/>
        <v/>
      </c>
      <c r="AD57" s="8" t="str">
        <f t="shared" ref="AD57" si="725">IF(AD$8="","",AC57)</f>
        <v/>
      </c>
      <c r="AE57" s="8" t="str">
        <f>IF(AE$8="","",AD57)</f>
        <v/>
      </c>
      <c r="AF57" s="8" t="str">
        <f t="shared" si="716"/>
        <v/>
      </c>
      <c r="AG57" s="8" t="str">
        <f>IF(AG$8="","",AF57)</f>
        <v/>
      </c>
      <c r="AH57" s="8" t="str">
        <f t="shared" si="717"/>
        <v/>
      </c>
      <c r="AI57" s="8" t="str">
        <f t="shared" si="718"/>
        <v/>
      </c>
      <c r="AJ57" s="8" t="str">
        <f>IF(AJ$8="","",AI57)</f>
        <v/>
      </c>
      <c r="AK57" s="8" t="str">
        <f t="shared" si="719"/>
        <v/>
      </c>
      <c r="AL57" s="8" t="str">
        <f t="shared" si="720"/>
        <v/>
      </c>
      <c r="AM57" s="8" t="str">
        <f t="shared" si="721"/>
        <v/>
      </c>
      <c r="AN57" s="8" t="str">
        <f>IF(AN$8="","",AM57)</f>
        <v/>
      </c>
      <c r="AO57" s="8" t="str">
        <f t="shared" ref="AO57:AS57" si="726">IF(AO$8="","",AN57)</f>
        <v/>
      </c>
      <c r="AP57" s="8" t="str">
        <f t="shared" si="726"/>
        <v/>
      </c>
      <c r="AQ57" s="8" t="str">
        <f t="shared" si="726"/>
        <v/>
      </c>
      <c r="AR57" s="8" t="str">
        <f t="shared" si="726"/>
        <v/>
      </c>
      <c r="AS57" s="8" t="str">
        <f t="shared" si="726"/>
        <v/>
      </c>
    </row>
    <row r="58" spans="1:45" s="84" customFormat="1" ht="11.25" x14ac:dyDescent="0.15">
      <c r="A58" s="15">
        <v>1</v>
      </c>
      <c r="B58" s="9" t="s">
        <v>5</v>
      </c>
      <c r="C58" s="8">
        <v>11</v>
      </c>
      <c r="D58" s="8">
        <v>11</v>
      </c>
      <c r="E58" s="8">
        <v>11</v>
      </c>
      <c r="F58" s="8">
        <v>11</v>
      </c>
      <c r="G58" s="8">
        <v>9</v>
      </c>
      <c r="H58" s="8">
        <v>13</v>
      </c>
      <c r="I58" s="8">
        <v>13</v>
      </c>
      <c r="J58" s="8">
        <v>13</v>
      </c>
      <c r="K58" s="8">
        <v>13</v>
      </c>
      <c r="L58" s="8">
        <f t="shared" ref="L58" si="727">IF(L56="","",(K58+K59))</f>
        <v>13</v>
      </c>
      <c r="M58" s="8">
        <f t="shared" ref="M58" si="728">IF(M56="","",(L58+L59))</f>
        <v>13</v>
      </c>
      <c r="N58" s="8">
        <f>IF(N56="","",(M58+M59))</f>
        <v>13</v>
      </c>
      <c r="O58" s="8" t="str">
        <f>IF(O56="","",(N58+N59))</f>
        <v/>
      </c>
      <c r="P58" s="8" t="str">
        <f t="shared" ref="P58" si="729">IF(P56="","",(O58+O59))</f>
        <v/>
      </c>
      <c r="Q58" s="8" t="str">
        <f t="shared" ref="Q58" si="730">IF(Q56="","",(P58+P59))</f>
        <v/>
      </c>
      <c r="R58" s="8" t="str">
        <f t="shared" ref="R58" si="731">IF(R56="","",(Q58+Q59))</f>
        <v/>
      </c>
      <c r="S58" s="8" t="str">
        <f>IF(S56="","",(R58+R59))</f>
        <v/>
      </c>
      <c r="T58" s="8" t="str">
        <f t="shared" ref="T58" si="732">IF(T56="","",(S58+S59))</f>
        <v/>
      </c>
      <c r="U58" s="8" t="str">
        <f t="shared" ref="U58" si="733">IF(U56="","",(T58+T59))</f>
        <v/>
      </c>
      <c r="V58" s="8" t="str">
        <f>IF(V56="","",(U58+U59))</f>
        <v/>
      </c>
      <c r="W58" s="8" t="str">
        <f t="shared" ref="W58" si="734">IF(W56="","",(V58+V59))</f>
        <v/>
      </c>
      <c r="X58" s="8" t="str">
        <f t="shared" ref="X58" si="735">IF(X56="","",(W58+W59))</f>
        <v/>
      </c>
      <c r="Y58" s="8" t="str">
        <f t="shared" ref="Y58" si="736">IF(Y56="","",(X58+X59))</f>
        <v/>
      </c>
      <c r="Z58" s="8" t="str">
        <f t="shared" ref="Z58" si="737">IF(Z56="","",(Y58+Y59))</f>
        <v/>
      </c>
      <c r="AA58" s="8" t="str">
        <f t="shared" ref="AA58" si="738">IF(AA56="","",(Z58+Z59))</f>
        <v/>
      </c>
      <c r="AB58" s="8" t="str">
        <f t="shared" ref="AB58" si="739">IF(AB56="","",(AA58+AA59))</f>
        <v/>
      </c>
      <c r="AC58" s="8" t="str">
        <f t="shared" ref="AC58" si="740">IF(AC56="","",(AB58+AB59))</f>
        <v/>
      </c>
      <c r="AD58" s="8" t="str">
        <f t="shared" ref="AD58" si="741">IF(AD56="","",(AC58+AC59))</f>
        <v/>
      </c>
      <c r="AE58" s="8" t="str">
        <f>IF(AE56="","",(AD58+AD59))</f>
        <v/>
      </c>
      <c r="AF58" s="8" t="str">
        <f t="shared" ref="AF58" si="742">IF(AF56="","",(AE58+AE59))</f>
        <v/>
      </c>
      <c r="AG58" s="8" t="str">
        <f t="shared" ref="AG58" si="743">IF(AG56="","",(AF58+AF59))</f>
        <v/>
      </c>
      <c r="AH58" s="8" t="str">
        <f t="shared" ref="AH58" si="744">IF(AH56="","",(AG58+AG59))</f>
        <v/>
      </c>
      <c r="AI58" s="8" t="str">
        <f t="shared" ref="AI58" si="745">IF(AI56="","",(AH58+AH59))</f>
        <v/>
      </c>
      <c r="AJ58" s="8" t="str">
        <f>IF(AJ56="","",(AI58+AI59))</f>
        <v/>
      </c>
      <c r="AK58" s="8" t="str">
        <f t="shared" ref="AK58" si="746">IF(AK56="","",(AJ58+AJ59))</f>
        <v/>
      </c>
      <c r="AL58" s="8" t="str">
        <f t="shared" ref="AL58" si="747">IF(AL56="","",(AK58+AK59))</f>
        <v/>
      </c>
      <c r="AM58" s="8" t="str">
        <f t="shared" ref="AM58" si="748">IF(AM56="","",(AL58+AL59))</f>
        <v/>
      </c>
      <c r="AN58" s="8" t="str">
        <f>IF(AN56="","",(AM58+AM59))</f>
        <v/>
      </c>
      <c r="AO58" s="8" t="str">
        <f t="shared" ref="AO58:AS58" si="749">IF(AO56="","",(AN58+AN59))</f>
        <v/>
      </c>
      <c r="AP58" s="8" t="str">
        <f t="shared" si="749"/>
        <v/>
      </c>
      <c r="AQ58" s="8" t="str">
        <f t="shared" si="749"/>
        <v/>
      </c>
      <c r="AR58" s="8" t="str">
        <f t="shared" si="749"/>
        <v/>
      </c>
      <c r="AS58" s="8" t="str">
        <f t="shared" si="749"/>
        <v/>
      </c>
    </row>
    <row r="59" spans="1:45" s="84" customFormat="1" ht="11.25" x14ac:dyDescent="0.15">
      <c r="A59" s="92" t="s">
        <v>6</v>
      </c>
      <c r="B59" s="9" t="s">
        <v>7</v>
      </c>
      <c r="C59" s="8"/>
      <c r="D59" s="8"/>
      <c r="E59" s="8"/>
      <c r="F59" s="8"/>
      <c r="G59" s="8">
        <v>4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1:45" s="84" customFormat="1" ht="11.25" x14ac:dyDescent="0.15">
      <c r="A60" s="93">
        <f>+(A63+A75+A87+A99)*100</f>
        <v>43400</v>
      </c>
      <c r="B60" s="9" t="s">
        <v>8</v>
      </c>
      <c r="C60" s="8">
        <v>800</v>
      </c>
      <c r="D60" s="8">
        <v>800</v>
      </c>
      <c r="E60" s="8">
        <v>800</v>
      </c>
      <c r="F60" s="8">
        <v>800</v>
      </c>
      <c r="G60" s="8">
        <v>800</v>
      </c>
      <c r="H60" s="8">
        <v>800</v>
      </c>
      <c r="I60" s="8">
        <v>800</v>
      </c>
      <c r="J60" s="8">
        <v>800</v>
      </c>
      <c r="K60" s="8">
        <v>800</v>
      </c>
      <c r="L60" s="8">
        <f t="shared" ref="L60" si="750">IF(L56="","",K60)</f>
        <v>800</v>
      </c>
      <c r="M60" s="8">
        <f t="shared" ref="M60" si="751">IF(M56="","",L60)</f>
        <v>800</v>
      </c>
      <c r="N60" s="8">
        <f t="shared" ref="N60" si="752">IF(N56="","",M60)</f>
        <v>800</v>
      </c>
      <c r="O60" s="8" t="str">
        <f t="shared" ref="O60" si="753">IF(O56="","",N60)</f>
        <v/>
      </c>
      <c r="P60" s="8" t="str">
        <f t="shared" ref="P60" si="754">IF(P56="","",O60)</f>
        <v/>
      </c>
      <c r="Q60" s="8" t="str">
        <f t="shared" ref="Q60" si="755">IF(Q56="","",P60)</f>
        <v/>
      </c>
      <c r="R60" s="8" t="str">
        <f t="shared" ref="R60" si="756">IF(R56="","",Q60)</f>
        <v/>
      </c>
      <c r="S60" s="8" t="str">
        <f t="shared" ref="S60" si="757">IF(S56="","",R60)</f>
        <v/>
      </c>
      <c r="T60" s="8" t="str">
        <f t="shared" ref="T60" si="758">IF(T56="","",S60)</f>
        <v/>
      </c>
      <c r="U60" s="8" t="str">
        <f t="shared" ref="U60" si="759">IF(U56="","",T60)</f>
        <v/>
      </c>
      <c r="V60" s="8" t="str">
        <f t="shared" ref="V60" si="760">IF(V56="","",U60)</f>
        <v/>
      </c>
      <c r="W60" s="8" t="str">
        <f t="shared" ref="W60" si="761">IF(W56="","",V60)</f>
        <v/>
      </c>
      <c r="X60" s="8" t="str">
        <f t="shared" ref="X60" si="762">IF(X56="","",W60)</f>
        <v/>
      </c>
      <c r="Y60" s="8" t="str">
        <f t="shared" ref="Y60" si="763">IF(Y56="","",X60)</f>
        <v/>
      </c>
      <c r="Z60" s="8" t="str">
        <f t="shared" ref="Z60" si="764">IF(Z56="","",Y60)</f>
        <v/>
      </c>
      <c r="AA60" s="8" t="str">
        <f t="shared" ref="AA60" si="765">IF(AA56="","",Z60)</f>
        <v/>
      </c>
      <c r="AB60" s="8" t="str">
        <f t="shared" ref="AB60" si="766">IF(AB56="","",AA60)</f>
        <v/>
      </c>
      <c r="AC60" s="8" t="str">
        <f t="shared" ref="AC60" si="767">IF(AC56="","",AB60)</f>
        <v/>
      </c>
      <c r="AD60" s="8" t="str">
        <f t="shared" ref="AD60" si="768">IF(AD56="","",AC60)</f>
        <v/>
      </c>
      <c r="AE60" s="8" t="str">
        <f t="shared" ref="AE60" si="769">IF(AE56="","",AD60)</f>
        <v/>
      </c>
      <c r="AF60" s="8" t="str">
        <f t="shared" ref="AF60" si="770">IF(AF56="","",AE60)</f>
        <v/>
      </c>
      <c r="AG60" s="8" t="str">
        <f t="shared" ref="AG60" si="771">IF(AG56="","",AF60)</f>
        <v/>
      </c>
      <c r="AH60" s="8" t="str">
        <f t="shared" ref="AH60" si="772">IF(AH56="","",AG60)</f>
        <v/>
      </c>
      <c r="AI60" s="8" t="str">
        <f t="shared" ref="AI60" si="773">IF(AI56="","",AH60)</f>
        <v/>
      </c>
      <c r="AJ60" s="8" t="str">
        <f t="shared" ref="AJ60" si="774">IF(AJ56="","",AI60)</f>
        <v/>
      </c>
      <c r="AK60" s="8" t="str">
        <f t="shared" ref="AK60" si="775">IF(AK56="","",AJ60)</f>
        <v/>
      </c>
      <c r="AL60" s="8" t="str">
        <f t="shared" ref="AL60" si="776">IF(AL56="","",AK60)</f>
        <v/>
      </c>
      <c r="AM60" s="8" t="str">
        <f t="shared" ref="AM60" si="777">IF(AM56="","",AL60)</f>
        <v/>
      </c>
      <c r="AN60" s="8" t="str">
        <f t="shared" ref="AN60" si="778">IF(AN56="","",AM60)</f>
        <v/>
      </c>
      <c r="AO60" s="8" t="str">
        <f t="shared" ref="AO60:AS60" si="779">IF(AO56="","",AN60)</f>
        <v/>
      </c>
      <c r="AP60" s="8" t="str">
        <f t="shared" si="779"/>
        <v/>
      </c>
      <c r="AQ60" s="8" t="str">
        <f t="shared" si="779"/>
        <v/>
      </c>
      <c r="AR60" s="8" t="str">
        <f t="shared" si="779"/>
        <v/>
      </c>
      <c r="AS60" s="8" t="str">
        <f t="shared" si="779"/>
        <v/>
      </c>
    </row>
    <row r="61" spans="1:45" s="85" customFormat="1" ht="11.25" x14ac:dyDescent="0.15">
      <c r="A61" s="14" t="s">
        <v>9</v>
      </c>
      <c r="B61" s="13" t="s">
        <v>10</v>
      </c>
      <c r="C61" s="12" t="s">
        <v>352</v>
      </c>
      <c r="D61" s="12" t="s">
        <v>352</v>
      </c>
      <c r="E61" s="12" t="s">
        <v>352</v>
      </c>
      <c r="F61" s="12" t="s">
        <v>352</v>
      </c>
      <c r="G61" s="12" t="s">
        <v>352</v>
      </c>
      <c r="H61" s="12" t="s">
        <v>352</v>
      </c>
      <c r="I61" s="12" t="s">
        <v>352</v>
      </c>
      <c r="J61" s="12" t="s">
        <v>352</v>
      </c>
      <c r="K61" s="12" t="s">
        <v>352</v>
      </c>
      <c r="L61" s="12" t="str">
        <f t="shared" ref="L61" si="780">IF(L56="","",K61)</f>
        <v>ベアブリック</v>
      </c>
      <c r="M61" s="12" t="str">
        <f t="shared" ref="M61" si="781">IF(M56="","",L61)</f>
        <v>ベアブリック</v>
      </c>
      <c r="N61" s="12" t="str">
        <f t="shared" ref="N61" si="782">IF(N56="","",M61)</f>
        <v>ベアブリック</v>
      </c>
      <c r="O61" s="12" t="str">
        <f t="shared" ref="O61" si="783">IF(O56="","",N61)</f>
        <v/>
      </c>
      <c r="P61" s="12" t="str">
        <f t="shared" ref="P61" si="784">IF(P56="","",O61)</f>
        <v/>
      </c>
      <c r="Q61" s="12" t="str">
        <f t="shared" ref="Q61" si="785">IF(Q56="","",P61)</f>
        <v/>
      </c>
      <c r="R61" s="12" t="str">
        <f t="shared" ref="R61" si="786">IF(R56="","",Q61)</f>
        <v/>
      </c>
      <c r="S61" s="12" t="str">
        <f t="shared" ref="S61" si="787">IF(S56="","",R61)</f>
        <v/>
      </c>
      <c r="T61" s="12" t="str">
        <f t="shared" ref="T61" si="788">IF(T56="","",S61)</f>
        <v/>
      </c>
      <c r="U61" s="12" t="str">
        <f t="shared" ref="U61" si="789">IF(U56="","",T61)</f>
        <v/>
      </c>
      <c r="V61" s="12" t="str">
        <f t="shared" ref="V61" si="790">IF(V56="","",U61)</f>
        <v/>
      </c>
      <c r="W61" s="12" t="str">
        <f t="shared" ref="W61" si="791">IF(W56="","",V61)</f>
        <v/>
      </c>
      <c r="X61" s="12" t="str">
        <f t="shared" ref="X61" si="792">IF(X56="","",W61)</f>
        <v/>
      </c>
      <c r="Y61" s="12" t="str">
        <f t="shared" ref="Y61" si="793">IF(Y56="","",X61)</f>
        <v/>
      </c>
      <c r="Z61" s="12" t="str">
        <f t="shared" ref="Z61" si="794">IF(Z56="","",Y61)</f>
        <v/>
      </c>
      <c r="AA61" s="12" t="str">
        <f t="shared" ref="AA61" si="795">IF(AA56="","",Z61)</f>
        <v/>
      </c>
      <c r="AB61" s="12" t="str">
        <f t="shared" ref="AB61" si="796">IF(AB56="","",AA61)</f>
        <v/>
      </c>
      <c r="AC61" s="12" t="str">
        <f t="shared" ref="AC61" si="797">IF(AC56="","",AB61)</f>
        <v/>
      </c>
      <c r="AD61" s="12" t="str">
        <f t="shared" ref="AD61" si="798">IF(AD56="","",AC61)</f>
        <v/>
      </c>
      <c r="AE61" s="12" t="str">
        <f t="shared" ref="AE61" si="799">IF(AE56="","",AD61)</f>
        <v/>
      </c>
      <c r="AF61" s="12" t="str">
        <f t="shared" ref="AF61" si="800">IF(AF56="","",AE61)</f>
        <v/>
      </c>
      <c r="AG61" s="12" t="str">
        <f>IF(AG56="","",AF61)</f>
        <v/>
      </c>
      <c r="AH61" s="12" t="str">
        <f t="shared" ref="AH61" si="801">IF(AH56="","",AG61)</f>
        <v/>
      </c>
      <c r="AI61" s="12" t="str">
        <f t="shared" ref="AI61" si="802">IF(AI56="","",AH61)</f>
        <v/>
      </c>
      <c r="AJ61" s="12" t="str">
        <f t="shared" ref="AJ61" si="803">IF(AJ56="","",AI61)</f>
        <v/>
      </c>
      <c r="AK61" s="12" t="str">
        <f t="shared" ref="AK61" si="804">IF(AK56="","",AJ61)</f>
        <v/>
      </c>
      <c r="AL61" s="12" t="str">
        <f t="shared" ref="AL61" si="805">IF(AL56="","",AK61)</f>
        <v/>
      </c>
      <c r="AM61" s="12" t="str">
        <f t="shared" ref="AM61" si="806">IF(AM56="","",AL61)</f>
        <v/>
      </c>
      <c r="AN61" s="12" t="str">
        <f t="shared" ref="AN61" si="807">IF(AN56="","",AM61)</f>
        <v/>
      </c>
      <c r="AO61" s="12" t="str">
        <f t="shared" ref="AO61:AS61" si="808">IF(AO56="","",AN61)</f>
        <v/>
      </c>
      <c r="AP61" s="12" t="str">
        <f t="shared" si="808"/>
        <v/>
      </c>
      <c r="AQ61" s="12" t="str">
        <f t="shared" si="808"/>
        <v/>
      </c>
      <c r="AR61" s="12" t="str">
        <f t="shared" si="808"/>
        <v/>
      </c>
      <c r="AS61" s="12" t="str">
        <f t="shared" si="808"/>
        <v/>
      </c>
    </row>
    <row r="62" spans="1:45" s="84" customFormat="1" ht="11.25" x14ac:dyDescent="0.15">
      <c r="A62" s="7">
        <f>AVERAGE(C63:AS63)*30*100</f>
        <v>29250</v>
      </c>
      <c r="B62" s="9" t="s">
        <v>12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</row>
    <row r="63" spans="1:45" s="84" customFormat="1" ht="11.25" x14ac:dyDescent="0.15">
      <c r="A63" s="7">
        <f>SUM(C63:AS63)</f>
        <v>117</v>
      </c>
      <c r="B63" s="6" t="s">
        <v>13</v>
      </c>
      <c r="C63" s="5">
        <v>0</v>
      </c>
      <c r="D63" s="5">
        <v>0</v>
      </c>
      <c r="E63" s="5">
        <v>0</v>
      </c>
      <c r="F63" s="5">
        <v>0</v>
      </c>
      <c r="G63" s="5">
        <v>71</v>
      </c>
      <c r="H63" s="5">
        <v>0</v>
      </c>
      <c r="I63" s="5">
        <v>0</v>
      </c>
      <c r="J63" s="5">
        <v>0</v>
      </c>
      <c r="K63" s="5">
        <v>32</v>
      </c>
      <c r="L63" s="5">
        <f t="shared" ref="L63:L64" si="809">IF(L56="","",L56-K56)</f>
        <v>0</v>
      </c>
      <c r="M63" s="5">
        <f t="shared" ref="M63:M64" si="810">IF(M56="","",M56-L56)</f>
        <v>0</v>
      </c>
      <c r="N63" s="5">
        <f t="shared" ref="N63:N64" si="811">IF(N56="","",N56-M56)</f>
        <v>14</v>
      </c>
      <c r="O63" s="5" t="str">
        <f t="shared" ref="O63:O64" si="812">IF(O56="","",O56-N56)</f>
        <v/>
      </c>
      <c r="P63" s="5" t="str">
        <f t="shared" ref="P63:P64" si="813">IF(P56="","",P56-O56)</f>
        <v/>
      </c>
      <c r="Q63" s="5" t="str">
        <f t="shared" ref="Q63:Q64" si="814">IF(Q56="","",Q56-P56)</f>
        <v/>
      </c>
      <c r="R63" s="5" t="str">
        <f t="shared" ref="R63:R64" si="815">IF(R56="","",R56-Q56)</f>
        <v/>
      </c>
      <c r="S63" s="5" t="str">
        <f t="shared" ref="S63:S64" si="816">IF(S56="","",S56-R56)</f>
        <v/>
      </c>
      <c r="T63" s="5" t="str">
        <f t="shared" ref="T63:T64" si="817">IF(T56="","",T56-S56)</f>
        <v/>
      </c>
      <c r="U63" s="5" t="str">
        <f t="shared" ref="U63:U64" si="818">IF(U56="","",U56-T56)</f>
        <v/>
      </c>
      <c r="V63" s="5" t="str">
        <f t="shared" ref="V63:V64" si="819">IF(V56="","",V56-U56)</f>
        <v/>
      </c>
      <c r="W63" s="5" t="str">
        <f t="shared" ref="W63:W64" si="820">IF(W56="","",W56-V56)</f>
        <v/>
      </c>
      <c r="X63" s="5" t="str">
        <f t="shared" ref="X63:X64" si="821">IF(X56="","",X56-W56)</f>
        <v/>
      </c>
      <c r="Y63" s="5" t="str">
        <f t="shared" ref="Y63:Y64" si="822">IF(Y56="","",Y56-X56)</f>
        <v/>
      </c>
      <c r="Z63" s="5" t="str">
        <f t="shared" ref="Z63:Z64" si="823">IF(Z56="","",Z56-Y56)</f>
        <v/>
      </c>
      <c r="AA63" s="5" t="str">
        <f t="shared" ref="AA63:AA64" si="824">IF(AA56="","",AA56-Z56)</f>
        <v/>
      </c>
      <c r="AB63" s="5" t="str">
        <f t="shared" ref="AB63:AB64" si="825">IF(AB56="","",AB56-AA56)</f>
        <v/>
      </c>
      <c r="AC63" s="5" t="str">
        <f t="shared" ref="AC63:AC64" si="826">IF(AC56="","",AC56-AB56)</f>
        <v/>
      </c>
      <c r="AD63" s="5" t="str">
        <f t="shared" ref="AD63:AD64" si="827">IF(AD56="","",AD56-AC56)</f>
        <v/>
      </c>
      <c r="AE63" s="5" t="str">
        <f t="shared" ref="AE63:AE64" si="828">IF(AE56="","",AE56-AD56)</f>
        <v/>
      </c>
      <c r="AF63" s="5" t="str">
        <f t="shared" ref="AF63:AF64" si="829">IF(AF56="","",AF56-AE56)</f>
        <v/>
      </c>
      <c r="AG63" s="5" t="str">
        <f t="shared" ref="AG63:AG64" si="830">IF(AG56="","",AG56-AF56)</f>
        <v/>
      </c>
      <c r="AH63" s="5" t="str">
        <f t="shared" ref="AH63:AH64" si="831">IF(AH56="","",AH56-AG56)</f>
        <v/>
      </c>
      <c r="AI63" s="5" t="str">
        <f t="shared" ref="AI63:AI64" si="832">IF(AI56="","",AI56-AH56)</f>
        <v/>
      </c>
      <c r="AJ63" s="5" t="str">
        <f t="shared" ref="AJ63:AJ64" si="833">IF(AJ56="","",AJ56-AI56)</f>
        <v/>
      </c>
      <c r="AK63" s="5" t="str">
        <f t="shared" ref="AK63:AK64" si="834">IF(AK56="","",AK56-AJ56)</f>
        <v/>
      </c>
      <c r="AL63" s="5" t="str">
        <f t="shared" ref="AL63:AL64" si="835">IF(AL56="","",AL56-AK56)</f>
        <v/>
      </c>
      <c r="AM63" s="5" t="str">
        <f t="shared" ref="AM63:AM64" si="836">IF(AM56="","",AM56-AL56)</f>
        <v/>
      </c>
      <c r="AN63" s="5" t="str">
        <f t="shared" ref="AN63:AN64" si="837">IF(AN56="","",AN56-AM56)</f>
        <v/>
      </c>
      <c r="AO63" s="5" t="str">
        <f t="shared" ref="AO63:AS63" si="838">IF(AO56="","",AO56-AN56)</f>
        <v/>
      </c>
      <c r="AP63" s="5" t="str">
        <f t="shared" si="838"/>
        <v/>
      </c>
      <c r="AQ63" s="5" t="str">
        <f t="shared" si="838"/>
        <v/>
      </c>
      <c r="AR63" s="5" t="str">
        <f t="shared" si="838"/>
        <v/>
      </c>
      <c r="AS63" s="5" t="str">
        <f t="shared" si="838"/>
        <v/>
      </c>
    </row>
    <row r="64" spans="1:45" s="84" customFormat="1" ht="11.25" x14ac:dyDescent="0.15">
      <c r="A64" s="7">
        <f>SUM(C64:AS64)</f>
        <v>3</v>
      </c>
      <c r="B64" s="6" t="s">
        <v>14</v>
      </c>
      <c r="C64" s="5">
        <v>0</v>
      </c>
      <c r="D64" s="5">
        <v>0</v>
      </c>
      <c r="E64" s="5">
        <v>0</v>
      </c>
      <c r="F64" s="5">
        <v>0</v>
      </c>
      <c r="G64" s="5">
        <v>2</v>
      </c>
      <c r="H64" s="5">
        <v>0</v>
      </c>
      <c r="I64" s="5">
        <v>0</v>
      </c>
      <c r="J64" s="5">
        <v>0</v>
      </c>
      <c r="K64" s="5">
        <v>1</v>
      </c>
      <c r="L64" s="5">
        <f t="shared" si="809"/>
        <v>0</v>
      </c>
      <c r="M64" s="5">
        <f t="shared" si="810"/>
        <v>0</v>
      </c>
      <c r="N64" s="5">
        <f t="shared" si="811"/>
        <v>0</v>
      </c>
      <c r="O64" s="5" t="str">
        <f t="shared" si="812"/>
        <v/>
      </c>
      <c r="P64" s="5" t="str">
        <f t="shared" si="813"/>
        <v/>
      </c>
      <c r="Q64" s="5" t="str">
        <f t="shared" si="814"/>
        <v/>
      </c>
      <c r="R64" s="5" t="str">
        <f t="shared" si="815"/>
        <v/>
      </c>
      <c r="S64" s="5" t="str">
        <f t="shared" si="816"/>
        <v/>
      </c>
      <c r="T64" s="5" t="str">
        <f t="shared" si="817"/>
        <v/>
      </c>
      <c r="U64" s="5" t="str">
        <f t="shared" si="818"/>
        <v/>
      </c>
      <c r="V64" s="5" t="str">
        <f t="shared" si="819"/>
        <v/>
      </c>
      <c r="W64" s="5" t="str">
        <f t="shared" si="820"/>
        <v/>
      </c>
      <c r="X64" s="5" t="str">
        <f t="shared" si="821"/>
        <v/>
      </c>
      <c r="Y64" s="5" t="str">
        <f t="shared" si="822"/>
        <v/>
      </c>
      <c r="Z64" s="5" t="str">
        <f t="shared" si="823"/>
        <v/>
      </c>
      <c r="AA64" s="5" t="str">
        <f t="shared" si="824"/>
        <v/>
      </c>
      <c r="AB64" s="5" t="str">
        <f t="shared" si="825"/>
        <v/>
      </c>
      <c r="AC64" s="5" t="str">
        <f t="shared" si="826"/>
        <v/>
      </c>
      <c r="AD64" s="5" t="str">
        <f t="shared" si="827"/>
        <v/>
      </c>
      <c r="AE64" s="5" t="str">
        <f t="shared" si="828"/>
        <v/>
      </c>
      <c r="AF64" s="5" t="str">
        <f t="shared" si="829"/>
        <v/>
      </c>
      <c r="AG64" s="5" t="str">
        <f t="shared" si="830"/>
        <v/>
      </c>
      <c r="AH64" s="5" t="str">
        <f t="shared" si="831"/>
        <v/>
      </c>
      <c r="AI64" s="5" t="str">
        <f t="shared" si="832"/>
        <v/>
      </c>
      <c r="AJ64" s="5" t="str">
        <f t="shared" si="833"/>
        <v/>
      </c>
      <c r="AK64" s="5" t="str">
        <f t="shared" si="834"/>
        <v/>
      </c>
      <c r="AL64" s="5" t="str">
        <f t="shared" si="835"/>
        <v/>
      </c>
      <c r="AM64" s="5" t="str">
        <f t="shared" si="836"/>
        <v/>
      </c>
      <c r="AN64" s="5" t="str">
        <f t="shared" si="837"/>
        <v/>
      </c>
      <c r="AO64" s="5" t="str">
        <f t="shared" ref="AO64:AS64" si="839">IF(AO57="","",AO57-AN57)</f>
        <v/>
      </c>
      <c r="AP64" s="5" t="str">
        <f t="shared" si="839"/>
        <v/>
      </c>
      <c r="AQ64" s="5" t="str">
        <f t="shared" si="839"/>
        <v/>
      </c>
      <c r="AR64" s="5" t="str">
        <f t="shared" si="839"/>
        <v/>
      </c>
      <c r="AS64" s="5" t="str">
        <f t="shared" si="839"/>
        <v/>
      </c>
    </row>
    <row r="65" spans="1:45" s="84" customFormat="1" ht="11.25" x14ac:dyDescent="0.15">
      <c r="A65" s="7">
        <f>SUM(C65:AS65)</f>
        <v>2</v>
      </c>
      <c r="B65" s="6" t="s">
        <v>15</v>
      </c>
      <c r="C65" s="5">
        <v>0</v>
      </c>
      <c r="D65" s="5">
        <v>0</v>
      </c>
      <c r="E65" s="5">
        <v>0</v>
      </c>
      <c r="F65" s="5">
        <v>0</v>
      </c>
      <c r="G65" s="5">
        <v>2</v>
      </c>
      <c r="H65" s="5">
        <v>0</v>
      </c>
      <c r="I65" s="5">
        <v>0</v>
      </c>
      <c r="J65" s="5">
        <v>0</v>
      </c>
      <c r="K65" s="5">
        <v>0</v>
      </c>
      <c r="L65" s="5">
        <f t="shared" ref="L65" si="840">IF(L58="","",K58+K59-L58)</f>
        <v>0</v>
      </c>
      <c r="M65" s="5">
        <f t="shared" ref="M65" si="841">IF(M58="","",L58+L59-M58)</f>
        <v>0</v>
      </c>
      <c r="N65" s="5">
        <f t="shared" ref="N65" si="842">IF(N58="","",M58+M59-N58)</f>
        <v>0</v>
      </c>
      <c r="O65" s="5" t="str">
        <f t="shared" ref="O65" si="843">IF(O58="","",N58+N59-O58)</f>
        <v/>
      </c>
      <c r="P65" s="5" t="str">
        <f t="shared" ref="P65" si="844">IF(P58="","",O58+O59-P58)</f>
        <v/>
      </c>
      <c r="Q65" s="5" t="str">
        <f t="shared" ref="Q65" si="845">IF(Q58="","",P58+P59-Q58)</f>
        <v/>
      </c>
      <c r="R65" s="5" t="str">
        <f t="shared" ref="R65" si="846">IF(R58="","",Q58+Q59-R58)</f>
        <v/>
      </c>
      <c r="S65" s="5" t="str">
        <f t="shared" ref="S65" si="847">IF(S58="","",R58+R59-S58)</f>
        <v/>
      </c>
      <c r="T65" s="5" t="str">
        <f t="shared" ref="T65" si="848">IF(T58="","",S58+S59-T58)</f>
        <v/>
      </c>
      <c r="U65" s="5" t="str">
        <f t="shared" ref="U65" si="849">IF(U58="","",T58+T59-U58)</f>
        <v/>
      </c>
      <c r="V65" s="5" t="str">
        <f t="shared" ref="V65" si="850">IF(V58="","",U58+U59-V58)</f>
        <v/>
      </c>
      <c r="W65" s="5" t="str">
        <f t="shared" ref="W65" si="851">IF(W58="","",V58+V59-W58)</f>
        <v/>
      </c>
      <c r="X65" s="5" t="str">
        <f t="shared" ref="X65" si="852">IF(X58="","",W58+W59-X58)</f>
        <v/>
      </c>
      <c r="Y65" s="5" t="str">
        <f t="shared" ref="Y65" si="853">IF(Y58="","",X58+X59-Y58)</f>
        <v/>
      </c>
      <c r="Z65" s="5" t="str">
        <f t="shared" ref="Z65" si="854">IF(Z58="","",Y58+Y59-Z58)</f>
        <v/>
      </c>
      <c r="AA65" s="5" t="str">
        <f t="shared" ref="AA65" si="855">IF(AA58="","",Z58+Z59-AA58)</f>
        <v/>
      </c>
      <c r="AB65" s="5" t="str">
        <f t="shared" ref="AB65" si="856">IF(AB58="","",AA58+AA59-AB58)</f>
        <v/>
      </c>
      <c r="AC65" s="5" t="str">
        <f t="shared" ref="AC65" si="857">IF(AC58="","",AB58+AB59-AC58)</f>
        <v/>
      </c>
      <c r="AD65" s="5" t="str">
        <f t="shared" ref="AD65" si="858">IF(AD58="","",AC58+AC59-AD58)</f>
        <v/>
      </c>
      <c r="AE65" s="5" t="str">
        <f t="shared" ref="AE65" si="859">IF(AE58="","",AD58+AD59-AE58)</f>
        <v/>
      </c>
      <c r="AF65" s="5" t="str">
        <f t="shared" ref="AF65" si="860">IF(AF58="","",AE58+AE59-AF58)</f>
        <v/>
      </c>
      <c r="AG65" s="5" t="str">
        <f t="shared" ref="AG65" si="861">IF(AG58="","",AF58+AF59-AG58)</f>
        <v/>
      </c>
      <c r="AH65" s="5" t="str">
        <f t="shared" ref="AH65" si="862">IF(AH58="","",AG58+AG59-AH58)</f>
        <v/>
      </c>
      <c r="AI65" s="5" t="str">
        <f t="shared" ref="AI65" si="863">IF(AI58="","",AH58+AH59-AI58)</f>
        <v/>
      </c>
      <c r="AJ65" s="5" t="str">
        <f t="shared" ref="AJ65" si="864">IF(AJ58="","",AI58+AI59-AJ58)</f>
        <v/>
      </c>
      <c r="AK65" s="5" t="str">
        <f t="shared" ref="AK65" si="865">IF(AK58="","",AJ58+AJ59-AK58)</f>
        <v/>
      </c>
      <c r="AL65" s="5" t="str">
        <f t="shared" ref="AL65" si="866">IF(AL58="","",AK58+AK59-AL58)</f>
        <v/>
      </c>
      <c r="AM65" s="5" t="str">
        <f t="shared" ref="AM65" si="867">IF(AM58="","",AL58+AL59-AM58)</f>
        <v/>
      </c>
      <c r="AN65" s="5" t="str">
        <f t="shared" ref="AN65" si="868">IF(AN58="","",AM58+AM59-AN58)</f>
        <v/>
      </c>
      <c r="AO65" s="5" t="str">
        <f t="shared" ref="AO65:AS65" si="869">IF(AO58="","",AN58+AN59-AO58)</f>
        <v/>
      </c>
      <c r="AP65" s="5" t="str">
        <f t="shared" si="869"/>
        <v/>
      </c>
      <c r="AQ65" s="5" t="str">
        <f t="shared" si="869"/>
        <v/>
      </c>
      <c r="AR65" s="5" t="str">
        <f t="shared" si="869"/>
        <v/>
      </c>
      <c r="AS65" s="5" t="str">
        <f t="shared" si="869"/>
        <v/>
      </c>
    </row>
    <row r="66" spans="1:45" s="84" customFormat="1" ht="11.25" x14ac:dyDescent="0.15">
      <c r="A66" s="7">
        <f>SUM(C66:AS66)</f>
        <v>1600</v>
      </c>
      <c r="B66" s="6" t="s">
        <v>16</v>
      </c>
      <c r="C66" s="5">
        <v>0</v>
      </c>
      <c r="D66" s="5">
        <v>0</v>
      </c>
      <c r="E66" s="5">
        <v>0</v>
      </c>
      <c r="F66" s="5">
        <v>0</v>
      </c>
      <c r="G66" s="5">
        <v>1600</v>
      </c>
      <c r="H66" s="5">
        <v>0</v>
      </c>
      <c r="I66" s="5">
        <v>0</v>
      </c>
      <c r="J66" s="5">
        <v>0</v>
      </c>
      <c r="K66" s="5">
        <v>0</v>
      </c>
      <c r="L66" s="5">
        <f t="shared" ref="J66:AN66" si="870">IF(L56="","",L65*L60)</f>
        <v>0</v>
      </c>
      <c r="M66" s="5">
        <f t="shared" si="870"/>
        <v>0</v>
      </c>
      <c r="N66" s="5">
        <f t="shared" si="870"/>
        <v>0</v>
      </c>
      <c r="O66" s="5" t="str">
        <f t="shared" si="870"/>
        <v/>
      </c>
      <c r="P66" s="5" t="str">
        <f t="shared" si="870"/>
        <v/>
      </c>
      <c r="Q66" s="5" t="str">
        <f t="shared" si="870"/>
        <v/>
      </c>
      <c r="R66" s="5" t="str">
        <f t="shared" si="870"/>
        <v/>
      </c>
      <c r="S66" s="5" t="str">
        <f t="shared" si="870"/>
        <v/>
      </c>
      <c r="T66" s="5" t="str">
        <f t="shared" si="870"/>
        <v/>
      </c>
      <c r="U66" s="5" t="str">
        <f t="shared" si="870"/>
        <v/>
      </c>
      <c r="V66" s="5" t="str">
        <f t="shared" si="870"/>
        <v/>
      </c>
      <c r="W66" s="5" t="str">
        <f t="shared" si="870"/>
        <v/>
      </c>
      <c r="X66" s="5" t="str">
        <f t="shared" si="870"/>
        <v/>
      </c>
      <c r="Y66" s="5" t="str">
        <f t="shared" si="870"/>
        <v/>
      </c>
      <c r="Z66" s="5" t="str">
        <f t="shared" si="870"/>
        <v/>
      </c>
      <c r="AA66" s="5" t="str">
        <f t="shared" si="870"/>
        <v/>
      </c>
      <c r="AB66" s="5" t="str">
        <f t="shared" si="870"/>
        <v/>
      </c>
      <c r="AC66" s="5" t="str">
        <f t="shared" si="870"/>
        <v/>
      </c>
      <c r="AD66" s="5" t="str">
        <f t="shared" si="870"/>
        <v/>
      </c>
      <c r="AE66" s="5" t="str">
        <f t="shared" si="870"/>
        <v/>
      </c>
      <c r="AF66" s="5" t="str">
        <f t="shared" si="870"/>
        <v/>
      </c>
      <c r="AG66" s="5" t="str">
        <f t="shared" si="870"/>
        <v/>
      </c>
      <c r="AH66" s="5" t="str">
        <f t="shared" si="870"/>
        <v/>
      </c>
      <c r="AI66" s="5" t="str">
        <f t="shared" si="870"/>
        <v/>
      </c>
      <c r="AJ66" s="5" t="str">
        <f t="shared" si="870"/>
        <v/>
      </c>
      <c r="AK66" s="5" t="str">
        <f t="shared" si="870"/>
        <v/>
      </c>
      <c r="AL66" s="5" t="str">
        <f t="shared" si="870"/>
        <v/>
      </c>
      <c r="AM66" s="5" t="str">
        <f t="shared" si="870"/>
        <v/>
      </c>
      <c r="AN66" s="5" t="str">
        <f t="shared" si="870"/>
        <v/>
      </c>
      <c r="AO66" s="5" t="str">
        <f t="shared" ref="AO66:AS66" si="871">IF(AO56="","",AO65*AO60)</f>
        <v/>
      </c>
      <c r="AP66" s="5" t="str">
        <f t="shared" si="871"/>
        <v/>
      </c>
      <c r="AQ66" s="5" t="str">
        <f t="shared" si="871"/>
        <v/>
      </c>
      <c r="AR66" s="5" t="str">
        <f t="shared" si="871"/>
        <v/>
      </c>
      <c r="AS66" s="5" t="str">
        <f t="shared" si="871"/>
        <v/>
      </c>
    </row>
    <row r="67" spans="1:45" s="84" customFormat="1" ht="12" thickBot="1" x14ac:dyDescent="0.2">
      <c r="A67" s="4">
        <f>IF(A66="","",A66/(A63*100))</f>
        <v>0.13675213675213677</v>
      </c>
      <c r="B67" s="6" t="s">
        <v>18</v>
      </c>
      <c r="C67" s="18" t="s">
        <v>19</v>
      </c>
      <c r="D67" s="18" t="s">
        <v>19</v>
      </c>
      <c r="E67" s="18" t="s">
        <v>19</v>
      </c>
      <c r="F67" s="18" t="s">
        <v>19</v>
      </c>
      <c r="G67" s="18">
        <v>0.22535211267605634</v>
      </c>
      <c r="H67" s="18" t="s">
        <v>19</v>
      </c>
      <c r="I67" s="18" t="s">
        <v>19</v>
      </c>
      <c r="J67" s="18" t="s">
        <v>19</v>
      </c>
      <c r="K67" s="18" t="s">
        <v>19</v>
      </c>
      <c r="L67" s="18" t="str">
        <f t="shared" ref="J67:AN67" si="872">IF(L66="","",IF(L66=0,"",L66/(L63*100)))</f>
        <v/>
      </c>
      <c r="M67" s="18" t="str">
        <f t="shared" si="872"/>
        <v/>
      </c>
      <c r="N67" s="18" t="str">
        <f t="shared" si="872"/>
        <v/>
      </c>
      <c r="O67" s="18" t="str">
        <f t="shared" si="872"/>
        <v/>
      </c>
      <c r="P67" s="18" t="str">
        <f t="shared" si="872"/>
        <v/>
      </c>
      <c r="Q67" s="18" t="str">
        <f t="shared" si="872"/>
        <v/>
      </c>
      <c r="R67" s="18" t="str">
        <f t="shared" si="872"/>
        <v/>
      </c>
      <c r="S67" s="18" t="str">
        <f t="shared" si="872"/>
        <v/>
      </c>
      <c r="T67" s="18" t="str">
        <f t="shared" si="872"/>
        <v/>
      </c>
      <c r="U67" s="18" t="str">
        <f t="shared" si="872"/>
        <v/>
      </c>
      <c r="V67" s="18" t="str">
        <f t="shared" si="872"/>
        <v/>
      </c>
      <c r="W67" s="18" t="str">
        <f t="shared" si="872"/>
        <v/>
      </c>
      <c r="X67" s="18" t="str">
        <f t="shared" si="872"/>
        <v/>
      </c>
      <c r="Y67" s="18" t="str">
        <f t="shared" si="872"/>
        <v/>
      </c>
      <c r="Z67" s="18" t="str">
        <f t="shared" si="872"/>
        <v/>
      </c>
      <c r="AA67" s="18" t="str">
        <f t="shared" si="872"/>
        <v/>
      </c>
      <c r="AB67" s="18" t="str">
        <f t="shared" si="872"/>
        <v/>
      </c>
      <c r="AC67" s="18" t="str">
        <f t="shared" si="872"/>
        <v/>
      </c>
      <c r="AD67" s="18" t="str">
        <f t="shared" si="872"/>
        <v/>
      </c>
      <c r="AE67" s="18" t="str">
        <f t="shared" si="872"/>
        <v/>
      </c>
      <c r="AF67" s="18" t="str">
        <f t="shared" si="872"/>
        <v/>
      </c>
      <c r="AG67" s="18" t="str">
        <f t="shared" si="872"/>
        <v/>
      </c>
      <c r="AH67" s="18" t="str">
        <f t="shared" si="872"/>
        <v/>
      </c>
      <c r="AI67" s="18" t="str">
        <f t="shared" si="872"/>
        <v/>
      </c>
      <c r="AJ67" s="18" t="str">
        <f t="shared" si="872"/>
        <v/>
      </c>
      <c r="AK67" s="18" t="str">
        <f t="shared" si="872"/>
        <v/>
      </c>
      <c r="AL67" s="18" t="str">
        <f t="shared" si="872"/>
        <v/>
      </c>
      <c r="AM67" s="18" t="str">
        <f t="shared" si="872"/>
        <v/>
      </c>
      <c r="AN67" s="18" t="str">
        <f t="shared" si="872"/>
        <v/>
      </c>
      <c r="AO67" s="18" t="str">
        <f t="shared" ref="AO67:AS67" si="873">IF(AO66="","",IF(AO66=0,"",AO66/(AO63*100)))</f>
        <v/>
      </c>
      <c r="AP67" s="18" t="str">
        <f t="shared" si="873"/>
        <v/>
      </c>
      <c r="AQ67" s="18" t="str">
        <f t="shared" si="873"/>
        <v/>
      </c>
      <c r="AR67" s="18" t="str">
        <f t="shared" si="873"/>
        <v/>
      </c>
      <c r="AS67" s="18" t="str">
        <f t="shared" si="873"/>
        <v/>
      </c>
    </row>
    <row r="68" spans="1:45" s="84" customFormat="1" ht="11.25" x14ac:dyDescent="0.15">
      <c r="A68" s="17" t="str">
        <f>A56</f>
        <v>天文館</v>
      </c>
      <c r="B68" s="9" t="s">
        <v>2</v>
      </c>
      <c r="C68" s="8">
        <v>9983</v>
      </c>
      <c r="D68" s="8">
        <v>9983</v>
      </c>
      <c r="E68" s="8">
        <v>9983</v>
      </c>
      <c r="F68" s="8">
        <v>9983</v>
      </c>
      <c r="G68" s="8">
        <v>10027</v>
      </c>
      <c r="H68" s="8">
        <v>10027</v>
      </c>
      <c r="I68" s="8">
        <v>10027</v>
      </c>
      <c r="J68" s="8">
        <v>10027</v>
      </c>
      <c r="K68" s="8">
        <v>10081</v>
      </c>
      <c r="L68" s="8">
        <f>IF(L$8="","",K68)</f>
        <v>10081</v>
      </c>
      <c r="M68" s="8">
        <f t="shared" ref="M68:M69" si="874">IF(M$8="","",L68)</f>
        <v>10081</v>
      </c>
      <c r="N68" s="8">
        <v>10092</v>
      </c>
      <c r="O68" s="8" t="str">
        <f>IF(O$8="","",N68)</f>
        <v/>
      </c>
      <c r="P68" s="8" t="str">
        <f t="shared" ref="P68:P69" si="875">IF(P$8="","",O68)</f>
        <v/>
      </c>
      <c r="Q68" s="8" t="str">
        <f t="shared" ref="Q68:Q69" si="876">IF(Q$8="","",P68)</f>
        <v/>
      </c>
      <c r="R68" s="8" t="str">
        <f t="shared" ref="R68:R69" si="877">IF(R$8="","",Q68)</f>
        <v/>
      </c>
      <c r="S68" s="8" t="str">
        <f>IF(S$8="","",R68)</f>
        <v/>
      </c>
      <c r="T68" s="8" t="str">
        <f t="shared" ref="T68:T69" si="878">IF(T$8="","",S68)</f>
        <v/>
      </c>
      <c r="U68" s="8" t="str">
        <f t="shared" ref="U68:U69" si="879">IF(U$8="","",T68)</f>
        <v/>
      </c>
      <c r="V68" s="8" t="str">
        <f>IF(V$8="","",U68)</f>
        <v/>
      </c>
      <c r="W68" s="8" t="str">
        <f t="shared" ref="W68:W69" si="880">IF(W$8="","",V68)</f>
        <v/>
      </c>
      <c r="X68" s="8" t="str">
        <f t="shared" ref="X68:X69" si="881">IF(X$8="","",W68)</f>
        <v/>
      </c>
      <c r="Y68" s="8" t="str">
        <f t="shared" ref="Y68:Y69" si="882">IF(Y$8="","",X68)</f>
        <v/>
      </c>
      <c r="Z68" s="8" t="str">
        <f>IF(Z$8="","",Y68)</f>
        <v/>
      </c>
      <c r="AA68" s="8" t="str">
        <f t="shared" ref="AA68:AA69" si="883">IF(AA$8="","",Z68)</f>
        <v/>
      </c>
      <c r="AB68" s="8" t="str">
        <f t="shared" ref="AB68:AB69" si="884">IF(AB$8="","",AA68)</f>
        <v/>
      </c>
      <c r="AC68" s="8" t="str">
        <f t="shared" ref="AC68:AC69" si="885">IF(AC$8="","",AB68)</f>
        <v/>
      </c>
      <c r="AD68" s="8" t="str">
        <f>IF(AD$8="","",AC68)</f>
        <v/>
      </c>
      <c r="AE68" s="8" t="str">
        <f>IF(AE$8="","",AD68)</f>
        <v/>
      </c>
      <c r="AF68" s="8" t="str">
        <f t="shared" ref="AF68:AF69" si="886">IF(AF$8="","",AE68)</f>
        <v/>
      </c>
      <c r="AG68" s="8" t="str">
        <f>IF(AG$8="","",AF68)</f>
        <v/>
      </c>
      <c r="AH68" s="8" t="str">
        <f t="shared" ref="AH68:AH69" si="887">IF(AH$8="","",AG68)</f>
        <v/>
      </c>
      <c r="AI68" s="8" t="str">
        <f t="shared" ref="AI68:AI69" si="888">IF(AI$8="","",AH68)</f>
        <v/>
      </c>
      <c r="AJ68" s="8" t="str">
        <f>IF(AJ$8="","",AI68)</f>
        <v/>
      </c>
      <c r="AK68" s="8" t="str">
        <f t="shared" ref="AK68:AK69" si="889">IF(AK$8="","",AJ68)</f>
        <v/>
      </c>
      <c r="AL68" s="8" t="str">
        <f t="shared" ref="AL68:AL69" si="890">IF(AL$8="","",AK68)</f>
        <v/>
      </c>
      <c r="AM68" s="8" t="str">
        <f t="shared" ref="AM68:AM69" si="891">IF(AM$8="","",AL68)</f>
        <v/>
      </c>
      <c r="AN68" s="8" t="str">
        <f>IF(AN$8="","",AM68)</f>
        <v/>
      </c>
      <c r="AO68" s="8" t="str">
        <f t="shared" ref="AO68:AS68" si="892">IF(AO$8="","",AN68)</f>
        <v/>
      </c>
      <c r="AP68" s="8" t="str">
        <f t="shared" si="892"/>
        <v/>
      </c>
      <c r="AQ68" s="8" t="str">
        <f t="shared" si="892"/>
        <v/>
      </c>
      <c r="AR68" s="8" t="str">
        <f t="shared" si="892"/>
        <v/>
      </c>
      <c r="AS68" s="8" t="str">
        <f t="shared" si="892"/>
        <v/>
      </c>
    </row>
    <row r="69" spans="1:45" s="84" customFormat="1" ht="11.25" x14ac:dyDescent="0.15">
      <c r="A69" s="16" t="str">
        <f>A57</f>
        <v>BUZZ＃2</v>
      </c>
      <c r="B69" s="9" t="s">
        <v>4</v>
      </c>
      <c r="C69" s="8">
        <v>783</v>
      </c>
      <c r="D69" s="8">
        <v>783</v>
      </c>
      <c r="E69" s="8">
        <v>783</v>
      </c>
      <c r="F69" s="8">
        <v>783</v>
      </c>
      <c r="G69" s="8">
        <v>783</v>
      </c>
      <c r="H69" s="8">
        <v>783</v>
      </c>
      <c r="I69" s="8">
        <v>783</v>
      </c>
      <c r="J69" s="8">
        <v>783</v>
      </c>
      <c r="K69" s="8">
        <v>784</v>
      </c>
      <c r="L69" s="8">
        <f>IF(L$8="","",K69)</f>
        <v>784</v>
      </c>
      <c r="M69" s="8">
        <f t="shared" si="874"/>
        <v>784</v>
      </c>
      <c r="N69" s="8">
        <v>784</v>
      </c>
      <c r="O69" s="8" t="str">
        <f t="shared" ref="O69" si="893">IF(O$8="","",N69)</f>
        <v/>
      </c>
      <c r="P69" s="8" t="str">
        <f t="shared" si="875"/>
        <v/>
      </c>
      <c r="Q69" s="8" t="str">
        <f t="shared" si="876"/>
        <v/>
      </c>
      <c r="R69" s="8" t="str">
        <f t="shared" si="877"/>
        <v/>
      </c>
      <c r="S69" s="8" t="str">
        <f>IF(S$8="","",R69)</f>
        <v/>
      </c>
      <c r="T69" s="8" t="str">
        <f t="shared" si="878"/>
        <v/>
      </c>
      <c r="U69" s="8" t="str">
        <f t="shared" si="879"/>
        <v/>
      </c>
      <c r="V69" s="8" t="str">
        <f t="shared" ref="V69" si="894">IF(V$8="","",U69)</f>
        <v/>
      </c>
      <c r="W69" s="8" t="str">
        <f t="shared" si="880"/>
        <v/>
      </c>
      <c r="X69" s="8" t="str">
        <f t="shared" si="881"/>
        <v/>
      </c>
      <c r="Y69" s="8" t="str">
        <f t="shared" si="882"/>
        <v/>
      </c>
      <c r="Z69" s="8" t="str">
        <f>IF(Z$8="","",Y69)</f>
        <v/>
      </c>
      <c r="AA69" s="8" t="str">
        <f t="shared" si="883"/>
        <v/>
      </c>
      <c r="AB69" s="8" t="str">
        <f t="shared" si="884"/>
        <v/>
      </c>
      <c r="AC69" s="8" t="str">
        <f t="shared" si="885"/>
        <v/>
      </c>
      <c r="AD69" s="8" t="str">
        <f>IF(AD$8="","",AC69)</f>
        <v/>
      </c>
      <c r="AE69" s="8" t="str">
        <f>IF(AE$8="","",AD69)</f>
        <v/>
      </c>
      <c r="AF69" s="8" t="str">
        <f t="shared" si="886"/>
        <v/>
      </c>
      <c r="AG69" s="8" t="str">
        <f>IF(AG$8="","",AF69)</f>
        <v/>
      </c>
      <c r="AH69" s="8" t="str">
        <f t="shared" si="887"/>
        <v/>
      </c>
      <c r="AI69" s="8" t="str">
        <f t="shared" si="888"/>
        <v/>
      </c>
      <c r="AJ69" s="8" t="str">
        <f t="shared" ref="AJ68:AJ69" si="895">IF(AJ$8="","",AI69)</f>
        <v/>
      </c>
      <c r="AK69" s="8" t="str">
        <f t="shared" si="889"/>
        <v/>
      </c>
      <c r="AL69" s="8" t="str">
        <f t="shared" si="890"/>
        <v/>
      </c>
      <c r="AM69" s="8" t="str">
        <f t="shared" si="891"/>
        <v/>
      </c>
      <c r="AN69" s="8" t="str">
        <f>IF(AN$8="","",AM69)</f>
        <v/>
      </c>
      <c r="AO69" s="8" t="str">
        <f t="shared" ref="AO69:AS69" si="896">IF(AO$8="","",AN69)</f>
        <v/>
      </c>
      <c r="AP69" s="8" t="str">
        <f t="shared" si="896"/>
        <v/>
      </c>
      <c r="AQ69" s="8" t="str">
        <f t="shared" si="896"/>
        <v/>
      </c>
      <c r="AR69" s="8" t="str">
        <f t="shared" si="896"/>
        <v/>
      </c>
      <c r="AS69" s="8" t="str">
        <f t="shared" si="896"/>
        <v/>
      </c>
    </row>
    <row r="70" spans="1:45" s="84" customFormat="1" ht="11.25" x14ac:dyDescent="0.15">
      <c r="A70" s="15">
        <v>2</v>
      </c>
      <c r="B70" s="9" t="s">
        <v>5</v>
      </c>
      <c r="C70" s="8">
        <v>7</v>
      </c>
      <c r="D70" s="8">
        <v>7</v>
      </c>
      <c r="E70" s="8">
        <v>7</v>
      </c>
      <c r="F70" s="8">
        <v>7</v>
      </c>
      <c r="G70" s="8">
        <v>7</v>
      </c>
      <c r="H70" s="8">
        <v>7</v>
      </c>
      <c r="I70" s="8">
        <v>7</v>
      </c>
      <c r="J70" s="8">
        <v>7</v>
      </c>
      <c r="K70" s="8">
        <v>7</v>
      </c>
      <c r="L70" s="8">
        <f t="shared" ref="L70" si="897">IF(L68="","",(K70+K71))</f>
        <v>7</v>
      </c>
      <c r="M70" s="8">
        <f t="shared" ref="M70" si="898">IF(M68="","",(L70+L71))</f>
        <v>7</v>
      </c>
      <c r="N70" s="8">
        <f>IF(N68="","",(M70+M71))</f>
        <v>7</v>
      </c>
      <c r="O70" s="8" t="str">
        <f t="shared" ref="O70" si="899">IF(O68="","",(N70+N71))</f>
        <v/>
      </c>
      <c r="P70" s="8" t="str">
        <f t="shared" ref="P70" si="900">IF(P68="","",(O70+O71))</f>
        <v/>
      </c>
      <c r="Q70" s="8" t="str">
        <f t="shared" ref="Q70" si="901">IF(Q68="","",(P70+P71))</f>
        <v/>
      </c>
      <c r="R70" s="8" t="str">
        <f t="shared" ref="R70" si="902">IF(R68="","",(Q70+Q71))</f>
        <v/>
      </c>
      <c r="S70" s="8" t="str">
        <f>IF(S68="","",(R70+R71))</f>
        <v/>
      </c>
      <c r="T70" s="8" t="str">
        <f t="shared" ref="T70" si="903">IF(T68="","",(S70+S71))</f>
        <v/>
      </c>
      <c r="U70" s="8" t="str">
        <f t="shared" ref="U70" si="904">IF(U68="","",(T70+T71))</f>
        <v/>
      </c>
      <c r="V70" s="8" t="str">
        <f t="shared" ref="V70" si="905">IF(V68="","",(U70+U71))</f>
        <v/>
      </c>
      <c r="W70" s="8" t="str">
        <f t="shared" ref="W70" si="906">IF(W68="","",(V70+V71))</f>
        <v/>
      </c>
      <c r="X70" s="8" t="str">
        <f t="shared" ref="X70" si="907">IF(X68="","",(W70+W71))</f>
        <v/>
      </c>
      <c r="Y70" s="8" t="str">
        <f t="shared" ref="Y70" si="908">IF(Y68="","",(X70+X71))</f>
        <v/>
      </c>
      <c r="Z70" s="8" t="str">
        <f t="shared" ref="Z70" si="909">IF(Z68="","",(Y70+Y71))</f>
        <v/>
      </c>
      <c r="AA70" s="8" t="str">
        <f t="shared" ref="AA70" si="910">IF(AA68="","",(Z70+Z71))</f>
        <v/>
      </c>
      <c r="AB70" s="8" t="str">
        <f t="shared" ref="AB70" si="911">IF(AB68="","",(AA70+AA71))</f>
        <v/>
      </c>
      <c r="AC70" s="8" t="str">
        <f t="shared" ref="AC70" si="912">IF(AC68="","",(AB70+AB71))</f>
        <v/>
      </c>
      <c r="AD70" s="8" t="str">
        <f>IF(AD68="","",(AC70+AC71))</f>
        <v/>
      </c>
      <c r="AE70" s="8" t="str">
        <f>IF(AE68="","",(AD70+AD71))</f>
        <v/>
      </c>
      <c r="AF70" s="8" t="str">
        <f t="shared" ref="AF70" si="913">IF(AF68="","",(AE70+AE71))</f>
        <v/>
      </c>
      <c r="AG70" s="8" t="str">
        <f t="shared" ref="AG70" si="914">IF(AG68="","",(AF70+AF71))</f>
        <v/>
      </c>
      <c r="AH70" s="8" t="str">
        <f t="shared" ref="AH70" si="915">IF(AH68="","",(AG70+AG71))</f>
        <v/>
      </c>
      <c r="AI70" s="8" t="str">
        <f t="shared" ref="AI70" si="916">IF(AI68="","",(AH70+AH71))</f>
        <v/>
      </c>
      <c r="AJ70" s="8" t="str">
        <f t="shared" ref="AJ70" si="917">IF(AJ68="","",(AI70+AI71))</f>
        <v/>
      </c>
      <c r="AK70" s="8" t="str">
        <f t="shared" ref="AK70" si="918">IF(AK68="","",(AJ70+AJ71))</f>
        <v/>
      </c>
      <c r="AL70" s="8" t="str">
        <f t="shared" ref="AL70" si="919">IF(AL68="","",(AK70+AK71))</f>
        <v/>
      </c>
      <c r="AM70" s="8" t="str">
        <f t="shared" ref="AM70" si="920">IF(AM68="","",(AL70+AL71))</f>
        <v/>
      </c>
      <c r="AN70" s="8" t="str">
        <f t="shared" ref="AN70" si="921">IF(AN68="","",(AM70+AM71))</f>
        <v/>
      </c>
      <c r="AO70" s="8" t="str">
        <f t="shared" ref="AO70:AS70" si="922">IF(AO68="","",(AN70+AN71))</f>
        <v/>
      </c>
      <c r="AP70" s="8" t="str">
        <f t="shared" si="922"/>
        <v/>
      </c>
      <c r="AQ70" s="8" t="str">
        <f t="shared" si="922"/>
        <v/>
      </c>
      <c r="AR70" s="8" t="str">
        <f t="shared" si="922"/>
        <v/>
      </c>
      <c r="AS70" s="8" t="str">
        <f t="shared" si="922"/>
        <v/>
      </c>
    </row>
    <row r="71" spans="1:45" s="84" customFormat="1" ht="11.25" x14ac:dyDescent="0.15">
      <c r="A71" s="14"/>
      <c r="B71" s="9" t="s">
        <v>7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>
        <v>7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</row>
    <row r="72" spans="1:45" s="84" customFormat="1" ht="11.25" x14ac:dyDescent="0.15">
      <c r="A72" s="7"/>
      <c r="B72" s="9" t="s">
        <v>8</v>
      </c>
      <c r="C72" s="8">
        <v>800</v>
      </c>
      <c r="D72" s="8">
        <v>800</v>
      </c>
      <c r="E72" s="8">
        <v>800</v>
      </c>
      <c r="F72" s="8">
        <v>800</v>
      </c>
      <c r="G72" s="8">
        <v>800</v>
      </c>
      <c r="H72" s="8">
        <v>800</v>
      </c>
      <c r="I72" s="8">
        <v>800</v>
      </c>
      <c r="J72" s="8">
        <v>800</v>
      </c>
      <c r="K72" s="8">
        <v>800</v>
      </c>
      <c r="L72" s="8">
        <f t="shared" ref="L72" si="923">IF(L68="","",K72)</f>
        <v>800</v>
      </c>
      <c r="M72" s="8">
        <f t="shared" ref="M72" si="924">IF(M68="","",L72)</f>
        <v>800</v>
      </c>
      <c r="N72" s="8">
        <f t="shared" ref="N72" si="925">IF(N68="","",M72)</f>
        <v>800</v>
      </c>
      <c r="O72" s="8" t="str">
        <f t="shared" ref="O72" si="926">IF(O68="","",N72)</f>
        <v/>
      </c>
      <c r="P72" s="8" t="str">
        <f t="shared" ref="P72" si="927">IF(P68="","",O72)</f>
        <v/>
      </c>
      <c r="Q72" s="8" t="str">
        <f t="shared" ref="Q72" si="928">IF(Q68="","",P72)</f>
        <v/>
      </c>
      <c r="R72" s="8" t="str">
        <f t="shared" ref="R72" si="929">IF(R68="","",Q72)</f>
        <v/>
      </c>
      <c r="S72" s="8" t="str">
        <f t="shared" ref="S72" si="930">IF(S68="","",R72)</f>
        <v/>
      </c>
      <c r="T72" s="8" t="str">
        <f t="shared" ref="T72" si="931">IF(T68="","",S72)</f>
        <v/>
      </c>
      <c r="U72" s="8" t="str">
        <f t="shared" ref="U72" si="932">IF(U68="","",T72)</f>
        <v/>
      </c>
      <c r="V72" s="8" t="str">
        <f t="shared" ref="V72" si="933">IF(V68="","",U72)</f>
        <v/>
      </c>
      <c r="W72" s="8" t="str">
        <f t="shared" ref="W72" si="934">IF(W68="","",V72)</f>
        <v/>
      </c>
      <c r="X72" s="8" t="str">
        <f t="shared" ref="X72" si="935">IF(X68="","",W72)</f>
        <v/>
      </c>
      <c r="Y72" s="8" t="str">
        <f t="shared" ref="Y72" si="936">IF(Y68="","",X72)</f>
        <v/>
      </c>
      <c r="Z72" s="8" t="str">
        <f t="shared" ref="Z72" si="937">IF(Z68="","",Y72)</f>
        <v/>
      </c>
      <c r="AA72" s="8" t="str">
        <f t="shared" ref="AA72" si="938">IF(AA68="","",Z72)</f>
        <v/>
      </c>
      <c r="AB72" s="8" t="str">
        <f t="shared" ref="AB72" si="939">IF(AB68="","",AA72)</f>
        <v/>
      </c>
      <c r="AC72" s="8" t="str">
        <f t="shared" ref="AC72" si="940">IF(AC68="","",AB72)</f>
        <v/>
      </c>
      <c r="AD72" s="8" t="str">
        <f t="shared" ref="AD72" si="941">IF(AD68="","",AC72)</f>
        <v/>
      </c>
      <c r="AE72" s="8" t="str">
        <f t="shared" ref="AE72" si="942">IF(AE68="","",AD72)</f>
        <v/>
      </c>
      <c r="AF72" s="8" t="str">
        <f t="shared" ref="AF72" si="943">IF(AF68="","",AE72)</f>
        <v/>
      </c>
      <c r="AG72" s="8" t="str">
        <f t="shared" ref="AG72" si="944">IF(AG68="","",AF72)</f>
        <v/>
      </c>
      <c r="AH72" s="8" t="str">
        <f t="shared" ref="AH72" si="945">IF(AH68="","",AG72)</f>
        <v/>
      </c>
      <c r="AI72" s="8" t="str">
        <f t="shared" ref="AI72" si="946">IF(AI68="","",AH72)</f>
        <v/>
      </c>
      <c r="AJ72" s="8" t="str">
        <f t="shared" ref="AJ72" si="947">IF(AJ68="","",AI72)</f>
        <v/>
      </c>
      <c r="AK72" s="8" t="str">
        <f t="shared" ref="AK72" si="948">IF(AK68="","",AJ72)</f>
        <v/>
      </c>
      <c r="AL72" s="8" t="str">
        <f t="shared" ref="AL72" si="949">IF(AL68="","",AK72)</f>
        <v/>
      </c>
      <c r="AM72" s="8" t="str">
        <f t="shared" ref="AM72" si="950">IF(AM68="","",AL72)</f>
        <v/>
      </c>
      <c r="AN72" s="8" t="str">
        <f t="shared" ref="AN72" si="951">IF(AN68="","",AM72)</f>
        <v/>
      </c>
      <c r="AO72" s="8" t="str">
        <f t="shared" ref="AO72:AS72" si="952">IF(AO68="","",AN72)</f>
        <v/>
      </c>
      <c r="AP72" s="8" t="str">
        <f t="shared" si="952"/>
        <v/>
      </c>
      <c r="AQ72" s="8" t="str">
        <f t="shared" si="952"/>
        <v/>
      </c>
      <c r="AR72" s="8" t="str">
        <f t="shared" si="952"/>
        <v/>
      </c>
      <c r="AS72" s="8" t="str">
        <f t="shared" si="952"/>
        <v/>
      </c>
    </row>
    <row r="73" spans="1:45" s="85" customFormat="1" ht="11.25" x14ac:dyDescent="0.15">
      <c r="A73" s="14" t="s">
        <v>9</v>
      </c>
      <c r="B73" s="13" t="s">
        <v>10</v>
      </c>
      <c r="C73" s="12" t="s">
        <v>30</v>
      </c>
      <c r="D73" s="12" t="s">
        <v>30</v>
      </c>
      <c r="E73" s="12" t="s">
        <v>30</v>
      </c>
      <c r="F73" s="12" t="s">
        <v>30</v>
      </c>
      <c r="G73" s="12" t="s">
        <v>30</v>
      </c>
      <c r="H73" s="12" t="s">
        <v>30</v>
      </c>
      <c r="I73" s="12" t="s">
        <v>30</v>
      </c>
      <c r="J73" s="12" t="s">
        <v>30</v>
      </c>
      <c r="K73" s="12" t="s">
        <v>30</v>
      </c>
      <c r="L73" s="12" t="str">
        <f t="shared" ref="L73" si="953">IF(L68="","",K73)</f>
        <v>PRO4</v>
      </c>
      <c r="M73" s="12" t="str">
        <f t="shared" ref="M73" si="954">IF(M68="","",L73)</f>
        <v>PRO4</v>
      </c>
      <c r="N73" s="12" t="str">
        <f t="shared" ref="N73" si="955">IF(N68="","",M73)</f>
        <v>PRO4</v>
      </c>
      <c r="O73" s="12" t="str">
        <f t="shared" ref="O73" si="956">IF(O68="","",N73)</f>
        <v/>
      </c>
      <c r="P73" s="12" t="str">
        <f t="shared" ref="P73" si="957">IF(P68="","",O73)</f>
        <v/>
      </c>
      <c r="Q73" s="12" t="str">
        <f t="shared" ref="Q73" si="958">IF(Q68="","",P73)</f>
        <v/>
      </c>
      <c r="R73" s="12" t="str">
        <f t="shared" ref="R73" si="959">IF(R68="","",Q73)</f>
        <v/>
      </c>
      <c r="S73" s="12" t="str">
        <f t="shared" ref="S73" si="960">IF(S68="","",R73)</f>
        <v/>
      </c>
      <c r="T73" s="12" t="str">
        <f t="shared" ref="T73" si="961">IF(T68="","",S73)</f>
        <v/>
      </c>
      <c r="U73" s="12" t="str">
        <f t="shared" ref="U73" si="962">IF(U68="","",T73)</f>
        <v/>
      </c>
      <c r="V73" s="12" t="str">
        <f t="shared" ref="V73" si="963">IF(V68="","",U73)</f>
        <v/>
      </c>
      <c r="W73" s="12" t="str">
        <f t="shared" ref="W73" si="964">IF(W68="","",V73)</f>
        <v/>
      </c>
      <c r="X73" s="12" t="str">
        <f t="shared" ref="X73" si="965">IF(X68="","",W73)</f>
        <v/>
      </c>
      <c r="Y73" s="12" t="str">
        <f t="shared" ref="Y73" si="966">IF(Y68="","",X73)</f>
        <v/>
      </c>
      <c r="Z73" s="12" t="str">
        <f t="shared" ref="Z73" si="967">IF(Z68="","",Y73)</f>
        <v/>
      </c>
      <c r="AA73" s="12" t="str">
        <f t="shared" ref="AA73" si="968">IF(AA68="","",Z73)</f>
        <v/>
      </c>
      <c r="AB73" s="12" t="str">
        <f t="shared" ref="AB73" si="969">IF(AB68="","",AA73)</f>
        <v/>
      </c>
      <c r="AC73" s="12" t="str">
        <f t="shared" ref="AC73" si="970">IF(AC68="","",AB73)</f>
        <v/>
      </c>
      <c r="AD73" s="12" t="str">
        <f t="shared" ref="AD73" si="971">IF(AD68="","",AC73)</f>
        <v/>
      </c>
      <c r="AE73" s="12" t="str">
        <f t="shared" ref="AE73" si="972">IF(AE68="","",AD73)</f>
        <v/>
      </c>
      <c r="AF73" s="12" t="str">
        <f t="shared" ref="AF73" si="973">IF(AF68="","",AE73)</f>
        <v/>
      </c>
      <c r="AG73" s="12" t="str">
        <f t="shared" ref="AG73" si="974">IF(AG68="","",AF73)</f>
        <v/>
      </c>
      <c r="AH73" s="12" t="str">
        <f t="shared" ref="AH73" si="975">IF(AH68="","",AG73)</f>
        <v/>
      </c>
      <c r="AI73" s="12" t="str">
        <f t="shared" ref="AI73" si="976">IF(AI68="","",AH73)</f>
        <v/>
      </c>
      <c r="AJ73" s="12" t="str">
        <f t="shared" ref="AJ73" si="977">IF(AJ68="","",AI73)</f>
        <v/>
      </c>
      <c r="AK73" s="12" t="str">
        <f t="shared" ref="AK73" si="978">IF(AK68="","",AJ73)</f>
        <v/>
      </c>
      <c r="AL73" s="12" t="str">
        <f t="shared" ref="AL73" si="979">IF(AL68="","",AK73)</f>
        <v/>
      </c>
      <c r="AM73" s="12" t="str">
        <f t="shared" ref="AM73" si="980">IF(AM68="","",AL73)</f>
        <v/>
      </c>
      <c r="AN73" s="12" t="str">
        <f t="shared" ref="AN73" si="981">IF(AN68="","",AM73)</f>
        <v/>
      </c>
      <c r="AO73" s="12" t="str">
        <f t="shared" ref="AO73:AS73" si="982">IF(AO68="","",AN73)</f>
        <v/>
      </c>
      <c r="AP73" s="12" t="str">
        <f t="shared" si="982"/>
        <v/>
      </c>
      <c r="AQ73" s="12" t="str">
        <f t="shared" si="982"/>
        <v/>
      </c>
      <c r="AR73" s="12" t="str">
        <f t="shared" si="982"/>
        <v/>
      </c>
      <c r="AS73" s="12" t="str">
        <f t="shared" si="982"/>
        <v/>
      </c>
    </row>
    <row r="74" spans="1:45" s="84" customFormat="1" ht="11.25" x14ac:dyDescent="0.15">
      <c r="A74" s="7">
        <f>AVERAGE(C75:AS75)*30*100</f>
        <v>27250</v>
      </c>
      <c r="B74" s="9" t="s">
        <v>12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</row>
    <row r="75" spans="1:45" s="84" customFormat="1" ht="11.25" x14ac:dyDescent="0.15">
      <c r="A75" s="7">
        <f>SUM(C75:AS75)</f>
        <v>109</v>
      </c>
      <c r="B75" s="6" t="s">
        <v>13</v>
      </c>
      <c r="C75" s="5">
        <v>0</v>
      </c>
      <c r="D75" s="5">
        <v>0</v>
      </c>
      <c r="E75" s="5">
        <v>0</v>
      </c>
      <c r="F75" s="5">
        <v>0</v>
      </c>
      <c r="G75" s="5">
        <v>44</v>
      </c>
      <c r="H75" s="5">
        <v>0</v>
      </c>
      <c r="I75" s="5">
        <v>0</v>
      </c>
      <c r="J75" s="5">
        <v>0</v>
      </c>
      <c r="K75" s="5">
        <v>54</v>
      </c>
      <c r="L75" s="5">
        <f t="shared" ref="L75:L76" si="983">IF(L68="","",L68-K68)</f>
        <v>0</v>
      </c>
      <c r="M75" s="5">
        <f t="shared" ref="M75:M76" si="984">IF(M68="","",M68-L68)</f>
        <v>0</v>
      </c>
      <c r="N75" s="5">
        <f t="shared" ref="N75:N76" si="985">IF(N68="","",N68-M68)</f>
        <v>11</v>
      </c>
      <c r="O75" s="5" t="str">
        <f t="shared" ref="O75:O76" si="986">IF(O68="","",O68-N68)</f>
        <v/>
      </c>
      <c r="P75" s="5" t="str">
        <f t="shared" ref="P75:P76" si="987">IF(P68="","",P68-O68)</f>
        <v/>
      </c>
      <c r="Q75" s="5" t="str">
        <f t="shared" ref="Q75:Q76" si="988">IF(Q68="","",Q68-P68)</f>
        <v/>
      </c>
      <c r="R75" s="5" t="str">
        <f t="shared" ref="R75:R76" si="989">IF(R68="","",R68-Q68)</f>
        <v/>
      </c>
      <c r="S75" s="5" t="str">
        <f t="shared" ref="S75:S76" si="990">IF(S68="","",S68-R68)</f>
        <v/>
      </c>
      <c r="T75" s="5" t="str">
        <f t="shared" ref="T75:T76" si="991">IF(T68="","",T68-S68)</f>
        <v/>
      </c>
      <c r="U75" s="5" t="str">
        <f t="shared" ref="U75:U76" si="992">IF(U68="","",U68-T68)</f>
        <v/>
      </c>
      <c r="V75" s="5" t="str">
        <f t="shared" ref="V75:V76" si="993">IF(V68="","",V68-U68)</f>
        <v/>
      </c>
      <c r="W75" s="5" t="str">
        <f t="shared" ref="W75:W76" si="994">IF(W68="","",W68-V68)</f>
        <v/>
      </c>
      <c r="X75" s="5" t="str">
        <f t="shared" ref="X75:X76" si="995">IF(X68="","",X68-W68)</f>
        <v/>
      </c>
      <c r="Y75" s="5" t="str">
        <f t="shared" ref="Y75:Y76" si="996">IF(Y68="","",Y68-X68)</f>
        <v/>
      </c>
      <c r="Z75" s="5" t="str">
        <f t="shared" ref="Z75:Z76" si="997">IF(Z68="","",Z68-Y68)</f>
        <v/>
      </c>
      <c r="AA75" s="5" t="str">
        <f t="shared" ref="AA75:AA76" si="998">IF(AA68="","",AA68-Z68)</f>
        <v/>
      </c>
      <c r="AB75" s="5" t="str">
        <f t="shared" ref="AB75:AB76" si="999">IF(AB68="","",AB68-AA68)</f>
        <v/>
      </c>
      <c r="AC75" s="5" t="str">
        <f t="shared" ref="AC75:AC76" si="1000">IF(AC68="","",AC68-AB68)</f>
        <v/>
      </c>
      <c r="AD75" s="5" t="str">
        <f t="shared" ref="AD75:AD76" si="1001">IF(AD68="","",AD68-AC68)</f>
        <v/>
      </c>
      <c r="AE75" s="5" t="str">
        <f t="shared" ref="AE75:AE76" si="1002">IF(AE68="","",AE68-AD68)</f>
        <v/>
      </c>
      <c r="AF75" s="5" t="str">
        <f t="shared" ref="AF75:AF76" si="1003">IF(AF68="","",AF68-AE68)</f>
        <v/>
      </c>
      <c r="AG75" s="5" t="str">
        <f t="shared" ref="AG75:AG76" si="1004">IF(AG68="","",AG68-AF68)</f>
        <v/>
      </c>
      <c r="AH75" s="5" t="str">
        <f t="shared" ref="AH75:AH76" si="1005">IF(AH68="","",AH68-AG68)</f>
        <v/>
      </c>
      <c r="AI75" s="5" t="str">
        <f t="shared" ref="AI75:AI76" si="1006">IF(AI68="","",AI68-AH68)</f>
        <v/>
      </c>
      <c r="AJ75" s="5" t="str">
        <f t="shared" ref="AJ75:AJ76" si="1007">IF(AJ68="","",AJ68-AI68)</f>
        <v/>
      </c>
      <c r="AK75" s="5" t="str">
        <f t="shared" ref="AK75:AK76" si="1008">IF(AK68="","",AK68-AJ68)</f>
        <v/>
      </c>
      <c r="AL75" s="5" t="str">
        <f t="shared" ref="AL75:AL76" si="1009">IF(AL68="","",AL68-AK68)</f>
        <v/>
      </c>
      <c r="AM75" s="5" t="str">
        <f t="shared" ref="AM75:AM76" si="1010">IF(AM68="","",AM68-AL68)</f>
        <v/>
      </c>
      <c r="AN75" s="5" t="str">
        <f t="shared" ref="AN75:AN76" si="1011">IF(AN68="","",AN68-AM68)</f>
        <v/>
      </c>
      <c r="AO75" s="5" t="str">
        <f t="shared" ref="AO75:AS75" si="1012">IF(AO68="","",AO68-AN68)</f>
        <v/>
      </c>
      <c r="AP75" s="5" t="str">
        <f t="shared" si="1012"/>
        <v/>
      </c>
      <c r="AQ75" s="5" t="str">
        <f t="shared" si="1012"/>
        <v/>
      </c>
      <c r="AR75" s="5" t="str">
        <f t="shared" si="1012"/>
        <v/>
      </c>
      <c r="AS75" s="5" t="str">
        <f t="shared" si="1012"/>
        <v/>
      </c>
    </row>
    <row r="76" spans="1:45" s="84" customFormat="1" ht="11.25" x14ac:dyDescent="0.15">
      <c r="A76" s="7">
        <f>SUM(C76:AS76)</f>
        <v>1</v>
      </c>
      <c r="B76" s="6" t="s">
        <v>14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1</v>
      </c>
      <c r="L76" s="5">
        <f t="shared" si="983"/>
        <v>0</v>
      </c>
      <c r="M76" s="5">
        <f t="shared" si="984"/>
        <v>0</v>
      </c>
      <c r="N76" s="5">
        <f t="shared" si="985"/>
        <v>0</v>
      </c>
      <c r="O76" s="5" t="str">
        <f t="shared" si="986"/>
        <v/>
      </c>
      <c r="P76" s="5" t="str">
        <f t="shared" si="987"/>
        <v/>
      </c>
      <c r="Q76" s="5" t="str">
        <f t="shared" si="988"/>
        <v/>
      </c>
      <c r="R76" s="5" t="str">
        <f t="shared" si="989"/>
        <v/>
      </c>
      <c r="S76" s="5" t="str">
        <f t="shared" si="990"/>
        <v/>
      </c>
      <c r="T76" s="5" t="str">
        <f t="shared" si="991"/>
        <v/>
      </c>
      <c r="U76" s="5" t="str">
        <f t="shared" si="992"/>
        <v/>
      </c>
      <c r="V76" s="5" t="str">
        <f t="shared" si="993"/>
        <v/>
      </c>
      <c r="W76" s="5" t="str">
        <f t="shared" si="994"/>
        <v/>
      </c>
      <c r="X76" s="5" t="str">
        <f t="shared" si="995"/>
        <v/>
      </c>
      <c r="Y76" s="5" t="str">
        <f t="shared" si="996"/>
        <v/>
      </c>
      <c r="Z76" s="5" t="str">
        <f t="shared" si="997"/>
        <v/>
      </c>
      <c r="AA76" s="5" t="str">
        <f t="shared" si="998"/>
        <v/>
      </c>
      <c r="AB76" s="5" t="str">
        <f t="shared" si="999"/>
        <v/>
      </c>
      <c r="AC76" s="5" t="str">
        <f t="shared" si="1000"/>
        <v/>
      </c>
      <c r="AD76" s="5" t="str">
        <f t="shared" si="1001"/>
        <v/>
      </c>
      <c r="AE76" s="5" t="str">
        <f t="shared" si="1002"/>
        <v/>
      </c>
      <c r="AF76" s="5" t="str">
        <f t="shared" si="1003"/>
        <v/>
      </c>
      <c r="AG76" s="5" t="str">
        <f t="shared" si="1004"/>
        <v/>
      </c>
      <c r="AH76" s="5" t="str">
        <f t="shared" si="1005"/>
        <v/>
      </c>
      <c r="AI76" s="5" t="str">
        <f t="shared" si="1006"/>
        <v/>
      </c>
      <c r="AJ76" s="5" t="str">
        <f t="shared" si="1007"/>
        <v/>
      </c>
      <c r="AK76" s="5" t="str">
        <f t="shared" si="1008"/>
        <v/>
      </c>
      <c r="AL76" s="5" t="str">
        <f t="shared" si="1009"/>
        <v/>
      </c>
      <c r="AM76" s="5" t="str">
        <f t="shared" si="1010"/>
        <v/>
      </c>
      <c r="AN76" s="5" t="str">
        <f t="shared" si="1011"/>
        <v/>
      </c>
      <c r="AO76" s="5" t="str">
        <f t="shared" ref="AO76:AS76" si="1013">IF(AO69="","",AO69-AN69)</f>
        <v/>
      </c>
      <c r="AP76" s="5" t="str">
        <f t="shared" si="1013"/>
        <v/>
      </c>
      <c r="AQ76" s="5" t="str">
        <f t="shared" si="1013"/>
        <v/>
      </c>
      <c r="AR76" s="5" t="str">
        <f t="shared" si="1013"/>
        <v/>
      </c>
      <c r="AS76" s="5" t="str">
        <f t="shared" si="1013"/>
        <v/>
      </c>
    </row>
    <row r="77" spans="1:45" s="84" customFormat="1" ht="11.25" x14ac:dyDescent="0.15">
      <c r="A77" s="7">
        <f>SUM(C77:AS77)</f>
        <v>0</v>
      </c>
      <c r="B77" s="6" t="s">
        <v>15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f t="shared" ref="L77" si="1014">IF(L70="","",K70+K71-L70)</f>
        <v>0</v>
      </c>
      <c r="M77" s="5">
        <f t="shared" ref="M77" si="1015">IF(M70="","",L70+L71-M70)</f>
        <v>0</v>
      </c>
      <c r="N77" s="5">
        <f t="shared" ref="N77" si="1016">IF(N70="","",M70+M71-N70)</f>
        <v>0</v>
      </c>
      <c r="O77" s="5" t="str">
        <f t="shared" ref="O77" si="1017">IF(O70="","",N70+N71-O70)</f>
        <v/>
      </c>
      <c r="P77" s="5" t="str">
        <f t="shared" ref="P77" si="1018">IF(P70="","",O70+O71-P70)</f>
        <v/>
      </c>
      <c r="Q77" s="5" t="str">
        <f t="shared" ref="Q77" si="1019">IF(Q70="","",P70+P71-Q70)</f>
        <v/>
      </c>
      <c r="R77" s="5" t="str">
        <f t="shared" ref="R77" si="1020">IF(R70="","",Q70+Q71-R70)</f>
        <v/>
      </c>
      <c r="S77" s="5" t="str">
        <f t="shared" ref="S77" si="1021">IF(S70="","",R70+R71-S70)</f>
        <v/>
      </c>
      <c r="T77" s="5" t="str">
        <f t="shared" ref="T77" si="1022">IF(T70="","",S70+S71-T70)</f>
        <v/>
      </c>
      <c r="U77" s="5" t="str">
        <f t="shared" ref="U77" si="1023">IF(U70="","",T70+T71-U70)</f>
        <v/>
      </c>
      <c r="V77" s="5" t="str">
        <f t="shared" ref="V77" si="1024">IF(V70="","",U70+U71-V70)</f>
        <v/>
      </c>
      <c r="W77" s="5" t="str">
        <f t="shared" ref="W77" si="1025">IF(W70="","",V70+V71-W70)</f>
        <v/>
      </c>
      <c r="X77" s="5" t="str">
        <f t="shared" ref="X77" si="1026">IF(X70="","",W70+W71-X70)</f>
        <v/>
      </c>
      <c r="Y77" s="5" t="str">
        <f t="shared" ref="Y77" si="1027">IF(Y70="","",X70+X71-Y70)</f>
        <v/>
      </c>
      <c r="Z77" s="5" t="str">
        <f t="shared" ref="Z77" si="1028">IF(Z70="","",Y70+Y71-Z70)</f>
        <v/>
      </c>
      <c r="AA77" s="5" t="str">
        <f t="shared" ref="AA77" si="1029">IF(AA70="","",Z70+Z71-AA70)</f>
        <v/>
      </c>
      <c r="AB77" s="5" t="str">
        <f t="shared" ref="AB77" si="1030">IF(AB70="","",AA70+AA71-AB70)</f>
        <v/>
      </c>
      <c r="AC77" s="5" t="str">
        <f t="shared" ref="AC77" si="1031">IF(AC70="","",AB70+AB71-AC70)</f>
        <v/>
      </c>
      <c r="AD77" s="5" t="str">
        <f t="shared" ref="AD77" si="1032">IF(AD70="","",AC70+AC71-AD70)</f>
        <v/>
      </c>
      <c r="AE77" s="5" t="str">
        <f t="shared" ref="AE77" si="1033">IF(AE70="","",AD70+AD71-AE70)</f>
        <v/>
      </c>
      <c r="AF77" s="5" t="str">
        <f t="shared" ref="AF77" si="1034">IF(AF70="","",AE70+AE71-AF70)</f>
        <v/>
      </c>
      <c r="AG77" s="5" t="str">
        <f t="shared" ref="AG77" si="1035">IF(AG70="","",AF70+AF71-AG70)</f>
        <v/>
      </c>
      <c r="AH77" s="5" t="str">
        <f t="shared" ref="AH77" si="1036">IF(AH70="","",AG70+AG71-AH70)</f>
        <v/>
      </c>
      <c r="AI77" s="5" t="str">
        <f t="shared" ref="AI77" si="1037">IF(AI70="","",AH70+AH71-AI70)</f>
        <v/>
      </c>
      <c r="AJ77" s="5" t="str">
        <f t="shared" ref="AJ77" si="1038">IF(AJ70="","",AI70+AI71-AJ70)</f>
        <v/>
      </c>
      <c r="AK77" s="5" t="str">
        <f t="shared" ref="AK77" si="1039">IF(AK70="","",AJ70+AJ71-AK70)</f>
        <v/>
      </c>
      <c r="AL77" s="5" t="str">
        <f t="shared" ref="AL77" si="1040">IF(AL70="","",AK70+AK71-AL70)</f>
        <v/>
      </c>
      <c r="AM77" s="5" t="str">
        <f t="shared" ref="AM77" si="1041">IF(AM70="","",AL70+AL71-AM70)</f>
        <v/>
      </c>
      <c r="AN77" s="5" t="str">
        <f t="shared" ref="AN77" si="1042">IF(AN70="","",AM70+AM71-AN70)</f>
        <v/>
      </c>
      <c r="AO77" s="5" t="str">
        <f t="shared" ref="AO77:AS77" si="1043">IF(AO70="","",AN70+AN71-AO70)</f>
        <v/>
      </c>
      <c r="AP77" s="5" t="str">
        <f t="shared" si="1043"/>
        <v/>
      </c>
      <c r="AQ77" s="5" t="str">
        <f t="shared" si="1043"/>
        <v/>
      </c>
      <c r="AR77" s="5" t="str">
        <f t="shared" si="1043"/>
        <v/>
      </c>
      <c r="AS77" s="5" t="str">
        <f t="shared" si="1043"/>
        <v/>
      </c>
    </row>
    <row r="78" spans="1:45" s="84" customFormat="1" ht="11.25" x14ac:dyDescent="0.15">
      <c r="A78" s="7">
        <f>SUM(C78:AS78)</f>
        <v>0</v>
      </c>
      <c r="B78" s="6" t="s">
        <v>16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f t="shared" ref="J78:AN78" si="1044">IF(L68="","",L77*L72)</f>
        <v>0</v>
      </c>
      <c r="M78" s="5">
        <f t="shared" si="1044"/>
        <v>0</v>
      </c>
      <c r="N78" s="5">
        <f t="shared" si="1044"/>
        <v>0</v>
      </c>
      <c r="O78" s="5" t="str">
        <f t="shared" si="1044"/>
        <v/>
      </c>
      <c r="P78" s="5" t="str">
        <f t="shared" si="1044"/>
        <v/>
      </c>
      <c r="Q78" s="5" t="str">
        <f t="shared" si="1044"/>
        <v/>
      </c>
      <c r="R78" s="5" t="str">
        <f t="shared" si="1044"/>
        <v/>
      </c>
      <c r="S78" s="5" t="str">
        <f t="shared" si="1044"/>
        <v/>
      </c>
      <c r="T78" s="5" t="str">
        <f t="shared" si="1044"/>
        <v/>
      </c>
      <c r="U78" s="5" t="str">
        <f t="shared" si="1044"/>
        <v/>
      </c>
      <c r="V78" s="5" t="str">
        <f t="shared" si="1044"/>
        <v/>
      </c>
      <c r="W78" s="5" t="str">
        <f t="shared" si="1044"/>
        <v/>
      </c>
      <c r="X78" s="5" t="str">
        <f t="shared" si="1044"/>
        <v/>
      </c>
      <c r="Y78" s="5" t="str">
        <f t="shared" si="1044"/>
        <v/>
      </c>
      <c r="Z78" s="5" t="str">
        <f t="shared" si="1044"/>
        <v/>
      </c>
      <c r="AA78" s="5" t="str">
        <f t="shared" si="1044"/>
        <v/>
      </c>
      <c r="AB78" s="5" t="str">
        <f t="shared" si="1044"/>
        <v/>
      </c>
      <c r="AC78" s="5" t="str">
        <f t="shared" si="1044"/>
        <v/>
      </c>
      <c r="AD78" s="5" t="str">
        <f t="shared" si="1044"/>
        <v/>
      </c>
      <c r="AE78" s="5" t="str">
        <f t="shared" si="1044"/>
        <v/>
      </c>
      <c r="AF78" s="5" t="str">
        <f t="shared" si="1044"/>
        <v/>
      </c>
      <c r="AG78" s="5" t="str">
        <f t="shared" si="1044"/>
        <v/>
      </c>
      <c r="AH78" s="5" t="str">
        <f t="shared" si="1044"/>
        <v/>
      </c>
      <c r="AI78" s="5" t="str">
        <f t="shared" si="1044"/>
        <v/>
      </c>
      <c r="AJ78" s="5" t="str">
        <f t="shared" si="1044"/>
        <v/>
      </c>
      <c r="AK78" s="5" t="str">
        <f t="shared" si="1044"/>
        <v/>
      </c>
      <c r="AL78" s="5" t="str">
        <f t="shared" si="1044"/>
        <v/>
      </c>
      <c r="AM78" s="5" t="str">
        <f t="shared" si="1044"/>
        <v/>
      </c>
      <c r="AN78" s="5" t="str">
        <f t="shared" si="1044"/>
        <v/>
      </c>
      <c r="AO78" s="5" t="str">
        <f t="shared" ref="AO78:AS78" si="1045">IF(AO68="","",AO77*AO72)</f>
        <v/>
      </c>
      <c r="AP78" s="5" t="str">
        <f t="shared" si="1045"/>
        <v/>
      </c>
      <c r="AQ78" s="5" t="str">
        <f t="shared" si="1045"/>
        <v/>
      </c>
      <c r="AR78" s="5" t="str">
        <f t="shared" si="1045"/>
        <v/>
      </c>
      <c r="AS78" s="5" t="str">
        <f t="shared" si="1045"/>
        <v/>
      </c>
    </row>
    <row r="79" spans="1:45" s="84" customFormat="1" ht="12" thickBot="1" x14ac:dyDescent="0.2">
      <c r="A79" s="4">
        <f>IF(A78="","",A78/(A75*100))</f>
        <v>0</v>
      </c>
      <c r="B79" s="6" t="s">
        <v>18</v>
      </c>
      <c r="C79" s="18" t="s">
        <v>19</v>
      </c>
      <c r="D79" s="18" t="s">
        <v>19</v>
      </c>
      <c r="E79" s="18" t="s">
        <v>19</v>
      </c>
      <c r="F79" s="18" t="s">
        <v>19</v>
      </c>
      <c r="G79" s="18" t="s">
        <v>19</v>
      </c>
      <c r="H79" s="18" t="s">
        <v>19</v>
      </c>
      <c r="I79" s="18" t="s">
        <v>19</v>
      </c>
      <c r="J79" s="18" t="s">
        <v>19</v>
      </c>
      <c r="K79" s="18" t="s">
        <v>19</v>
      </c>
      <c r="L79" s="18" t="str">
        <f t="shared" ref="J79:AN79" si="1046">IF(L78="","",IF(L78=0,"",L78/(L75*100)))</f>
        <v/>
      </c>
      <c r="M79" s="18" t="str">
        <f t="shared" si="1046"/>
        <v/>
      </c>
      <c r="N79" s="18" t="str">
        <f t="shared" si="1046"/>
        <v/>
      </c>
      <c r="O79" s="18" t="str">
        <f t="shared" si="1046"/>
        <v/>
      </c>
      <c r="P79" s="18" t="str">
        <f t="shared" si="1046"/>
        <v/>
      </c>
      <c r="Q79" s="18" t="str">
        <f t="shared" si="1046"/>
        <v/>
      </c>
      <c r="R79" s="18" t="str">
        <f t="shared" si="1046"/>
        <v/>
      </c>
      <c r="S79" s="18" t="str">
        <f t="shared" si="1046"/>
        <v/>
      </c>
      <c r="T79" s="18" t="str">
        <f t="shared" si="1046"/>
        <v/>
      </c>
      <c r="U79" s="18" t="str">
        <f t="shared" si="1046"/>
        <v/>
      </c>
      <c r="V79" s="18" t="str">
        <f t="shared" si="1046"/>
        <v/>
      </c>
      <c r="W79" s="18" t="str">
        <f t="shared" si="1046"/>
        <v/>
      </c>
      <c r="X79" s="18" t="str">
        <f t="shared" si="1046"/>
        <v/>
      </c>
      <c r="Y79" s="18" t="str">
        <f t="shared" si="1046"/>
        <v/>
      </c>
      <c r="Z79" s="18" t="str">
        <f t="shared" si="1046"/>
        <v/>
      </c>
      <c r="AA79" s="18" t="str">
        <f t="shared" si="1046"/>
        <v/>
      </c>
      <c r="AB79" s="18" t="str">
        <f t="shared" si="1046"/>
        <v/>
      </c>
      <c r="AC79" s="18" t="str">
        <f t="shared" si="1046"/>
        <v/>
      </c>
      <c r="AD79" s="18" t="str">
        <f t="shared" si="1046"/>
        <v/>
      </c>
      <c r="AE79" s="18" t="str">
        <f t="shared" si="1046"/>
        <v/>
      </c>
      <c r="AF79" s="18" t="str">
        <f t="shared" si="1046"/>
        <v/>
      </c>
      <c r="AG79" s="18" t="str">
        <f t="shared" si="1046"/>
        <v/>
      </c>
      <c r="AH79" s="18" t="str">
        <f t="shared" si="1046"/>
        <v/>
      </c>
      <c r="AI79" s="18" t="str">
        <f t="shared" si="1046"/>
        <v/>
      </c>
      <c r="AJ79" s="18" t="str">
        <f t="shared" si="1046"/>
        <v/>
      </c>
      <c r="AK79" s="18" t="str">
        <f t="shared" si="1046"/>
        <v/>
      </c>
      <c r="AL79" s="18" t="str">
        <f t="shared" si="1046"/>
        <v/>
      </c>
      <c r="AM79" s="18" t="str">
        <f t="shared" si="1046"/>
        <v/>
      </c>
      <c r="AN79" s="18" t="str">
        <f t="shared" si="1046"/>
        <v/>
      </c>
      <c r="AO79" s="18" t="str">
        <f t="shared" ref="AO79:AS79" si="1047">IF(AO78="","",IF(AO78=0,"",AO78/(AO75*100)))</f>
        <v/>
      </c>
      <c r="AP79" s="18" t="str">
        <f t="shared" si="1047"/>
        <v/>
      </c>
      <c r="AQ79" s="18" t="str">
        <f t="shared" si="1047"/>
        <v/>
      </c>
      <c r="AR79" s="18" t="str">
        <f t="shared" si="1047"/>
        <v/>
      </c>
      <c r="AS79" s="18" t="str">
        <f t="shared" si="1047"/>
        <v/>
      </c>
    </row>
    <row r="80" spans="1:45" s="84" customFormat="1" ht="11.25" x14ac:dyDescent="0.15">
      <c r="A80" s="17" t="str">
        <f>A68</f>
        <v>天文館</v>
      </c>
      <c r="B80" s="9" t="s">
        <v>2</v>
      </c>
      <c r="C80" s="8">
        <v>12903</v>
      </c>
      <c r="D80" s="8">
        <v>12903</v>
      </c>
      <c r="E80" s="8">
        <v>12903</v>
      </c>
      <c r="F80" s="8">
        <v>12903</v>
      </c>
      <c r="G80" s="8">
        <v>12949</v>
      </c>
      <c r="H80" s="8">
        <v>12949</v>
      </c>
      <c r="I80" s="8">
        <v>12949</v>
      </c>
      <c r="J80" s="8">
        <v>12949</v>
      </c>
      <c r="K80" s="8">
        <v>12970</v>
      </c>
      <c r="L80" s="8">
        <f>IF(L$8="","",K80)</f>
        <v>12970</v>
      </c>
      <c r="M80" s="8">
        <f t="shared" ref="M80:M81" si="1048">IF(M$8="","",L80)</f>
        <v>12970</v>
      </c>
      <c r="N80" s="8">
        <v>13008</v>
      </c>
      <c r="O80" s="8" t="str">
        <f>IF(O$8="","",N80)</f>
        <v/>
      </c>
      <c r="P80" s="8" t="str">
        <f t="shared" ref="P80:P81" si="1049">IF(P$8="","",O80)</f>
        <v/>
      </c>
      <c r="Q80" s="8" t="str">
        <f t="shared" ref="Q80:Q81" si="1050">IF(Q$8="","",P80)</f>
        <v/>
      </c>
      <c r="R80" s="8" t="str">
        <f t="shared" ref="R80:R81" si="1051">IF(R$8="","",Q80)</f>
        <v/>
      </c>
      <c r="S80" s="8" t="str">
        <f>IF(S$8="","",R80)</f>
        <v/>
      </c>
      <c r="T80" s="8" t="str">
        <f t="shared" ref="T80:T81" si="1052">IF(T$8="","",S80)</f>
        <v/>
      </c>
      <c r="U80" s="8" t="str">
        <f t="shared" ref="U80:U81" si="1053">IF(U$8="","",T80)</f>
        <v/>
      </c>
      <c r="V80" s="8" t="str">
        <f>IF(V$8="","",U80)</f>
        <v/>
      </c>
      <c r="W80" s="8" t="str">
        <f t="shared" ref="W80:W81" si="1054">IF(W$8="","",V80)</f>
        <v/>
      </c>
      <c r="X80" s="8" t="str">
        <f t="shared" ref="X80:X81" si="1055">IF(X$8="","",W80)</f>
        <v/>
      </c>
      <c r="Y80" s="8" t="str">
        <f t="shared" ref="Y80:Y81" si="1056">IF(Y$8="","",X80)</f>
        <v/>
      </c>
      <c r="Z80" s="8" t="str">
        <f>IF(Z$8="","",Y80)</f>
        <v/>
      </c>
      <c r="AA80" s="8" t="str">
        <f t="shared" ref="AA80:AA81" si="1057">IF(AA$8="","",Z80)</f>
        <v/>
      </c>
      <c r="AB80" s="8" t="str">
        <f t="shared" ref="AB80:AB81" si="1058">IF(AB$8="","",AA80)</f>
        <v/>
      </c>
      <c r="AC80" s="8" t="str">
        <f t="shared" ref="AC80:AC81" si="1059">IF(AC$8="","",AB80)</f>
        <v/>
      </c>
      <c r="AD80" s="8" t="str">
        <f>IF(AD$8="","",AC80)</f>
        <v/>
      </c>
      <c r="AE80" s="8" t="str">
        <f>IF(AE$8="","",AD80)</f>
        <v/>
      </c>
      <c r="AF80" s="8" t="str">
        <f t="shared" ref="AF80:AF81" si="1060">IF(AF$8="","",AE80)</f>
        <v/>
      </c>
      <c r="AG80" s="8" t="str">
        <f>IF(AG$8="","",AF80)</f>
        <v/>
      </c>
      <c r="AH80" s="8" t="str">
        <f t="shared" ref="AH80:AH81" si="1061">IF(AH$8="","",AG80)</f>
        <v/>
      </c>
      <c r="AI80" s="8" t="str">
        <f t="shared" ref="AI80:AI81" si="1062">IF(AI$8="","",AH80)</f>
        <v/>
      </c>
      <c r="AJ80" s="8" t="str">
        <f>IF(AJ$8="","",AI80)</f>
        <v/>
      </c>
      <c r="AK80" s="8" t="str">
        <f t="shared" ref="AK80:AK81" si="1063">IF(AK$8="","",AJ80)</f>
        <v/>
      </c>
      <c r="AL80" s="8" t="str">
        <f t="shared" ref="AL80:AL81" si="1064">IF(AL$8="","",AK80)</f>
        <v/>
      </c>
      <c r="AM80" s="8" t="str">
        <f t="shared" ref="AM80:AM81" si="1065">IF(AM$8="","",AL80)</f>
        <v/>
      </c>
      <c r="AN80" s="8" t="str">
        <f>IF(AN$8="","",AM80)</f>
        <v/>
      </c>
      <c r="AO80" s="8" t="str">
        <f t="shared" ref="AO80:AS80" si="1066">IF(AO$8="","",AN80)</f>
        <v/>
      </c>
      <c r="AP80" s="8" t="str">
        <f t="shared" si="1066"/>
        <v/>
      </c>
      <c r="AQ80" s="8" t="str">
        <f t="shared" si="1066"/>
        <v/>
      </c>
      <c r="AR80" s="8" t="str">
        <f t="shared" si="1066"/>
        <v/>
      </c>
      <c r="AS80" s="8" t="str">
        <f t="shared" si="1066"/>
        <v/>
      </c>
    </row>
    <row r="81" spans="1:45" s="84" customFormat="1" ht="11.25" x14ac:dyDescent="0.15">
      <c r="A81" s="16" t="str">
        <f>A69</f>
        <v>BUZZ＃2</v>
      </c>
      <c r="B81" s="9" t="s">
        <v>4</v>
      </c>
      <c r="C81" s="8">
        <v>701</v>
      </c>
      <c r="D81" s="8">
        <v>701</v>
      </c>
      <c r="E81" s="8">
        <v>701</v>
      </c>
      <c r="F81" s="8">
        <v>701</v>
      </c>
      <c r="G81" s="8">
        <v>703</v>
      </c>
      <c r="H81" s="8">
        <v>703</v>
      </c>
      <c r="I81" s="8">
        <v>703</v>
      </c>
      <c r="J81" s="8">
        <v>703</v>
      </c>
      <c r="K81" s="8">
        <v>703</v>
      </c>
      <c r="L81" s="8">
        <f>IF(L$8="","",K81)</f>
        <v>703</v>
      </c>
      <c r="M81" s="8">
        <f t="shared" si="1048"/>
        <v>703</v>
      </c>
      <c r="N81" s="8">
        <f t="shared" ref="N81" si="1067">IF(N$8="","",M81)</f>
        <v>703</v>
      </c>
      <c r="O81" s="8" t="str">
        <f>IF(O$8="","",N81)</f>
        <v/>
      </c>
      <c r="P81" s="8" t="str">
        <f t="shared" si="1049"/>
        <v/>
      </c>
      <c r="Q81" s="8" t="str">
        <f t="shared" si="1050"/>
        <v/>
      </c>
      <c r="R81" s="8" t="str">
        <f t="shared" si="1051"/>
        <v/>
      </c>
      <c r="S81" s="8" t="str">
        <f>IF(S$8="","",R81)</f>
        <v/>
      </c>
      <c r="T81" s="8" t="str">
        <f t="shared" si="1052"/>
        <v/>
      </c>
      <c r="U81" s="8" t="str">
        <f t="shared" si="1053"/>
        <v/>
      </c>
      <c r="V81" s="8" t="str">
        <f>IF(V$8="","",U81)</f>
        <v/>
      </c>
      <c r="W81" s="8" t="str">
        <f t="shared" si="1054"/>
        <v/>
      </c>
      <c r="X81" s="8" t="str">
        <f t="shared" si="1055"/>
        <v/>
      </c>
      <c r="Y81" s="8" t="str">
        <f t="shared" si="1056"/>
        <v/>
      </c>
      <c r="Z81" s="8" t="str">
        <f>IF(Z$8="","",Y81)</f>
        <v/>
      </c>
      <c r="AA81" s="8" t="str">
        <f t="shared" si="1057"/>
        <v/>
      </c>
      <c r="AB81" s="8" t="str">
        <f t="shared" si="1058"/>
        <v/>
      </c>
      <c r="AC81" s="8" t="str">
        <f t="shared" si="1059"/>
        <v/>
      </c>
      <c r="AD81" s="8" t="str">
        <f t="shared" ref="AD81" si="1068">IF(AD$8="","",AC81)</f>
        <v/>
      </c>
      <c r="AE81" s="8" t="str">
        <f t="shared" ref="AE80:AE81" si="1069">IF(AE$8="","",AD81)</f>
        <v/>
      </c>
      <c r="AF81" s="8" t="str">
        <f t="shared" si="1060"/>
        <v/>
      </c>
      <c r="AG81" s="8" t="str">
        <f>IF(AG$8="","",AF81)</f>
        <v/>
      </c>
      <c r="AH81" s="8" t="str">
        <f t="shared" si="1061"/>
        <v/>
      </c>
      <c r="AI81" s="8" t="str">
        <f t="shared" si="1062"/>
        <v/>
      </c>
      <c r="AJ81" s="8" t="str">
        <f>IF(AJ$8="","",AI81)</f>
        <v/>
      </c>
      <c r="AK81" s="8" t="str">
        <f t="shared" si="1063"/>
        <v/>
      </c>
      <c r="AL81" s="8" t="str">
        <f t="shared" si="1064"/>
        <v/>
      </c>
      <c r="AM81" s="8" t="str">
        <f t="shared" si="1065"/>
        <v/>
      </c>
      <c r="AN81" s="8" t="str">
        <f t="shared" ref="AN80:AN81" si="1070">IF(AN$8="","",AM81)</f>
        <v/>
      </c>
      <c r="AO81" s="8" t="str">
        <f t="shared" ref="AO81:AS81" si="1071">IF(AO$8="","",AN81)</f>
        <v/>
      </c>
      <c r="AP81" s="8" t="str">
        <f t="shared" si="1071"/>
        <v/>
      </c>
      <c r="AQ81" s="8" t="str">
        <f t="shared" si="1071"/>
        <v/>
      </c>
      <c r="AR81" s="8" t="str">
        <f t="shared" si="1071"/>
        <v/>
      </c>
      <c r="AS81" s="8" t="str">
        <f t="shared" si="1071"/>
        <v/>
      </c>
    </row>
    <row r="82" spans="1:45" s="84" customFormat="1" ht="11.25" x14ac:dyDescent="0.15">
      <c r="A82" s="15">
        <v>3</v>
      </c>
      <c r="B82" s="9" t="s">
        <v>5</v>
      </c>
      <c r="C82" s="8">
        <v>3</v>
      </c>
      <c r="D82" s="8">
        <v>3</v>
      </c>
      <c r="E82" s="8">
        <v>3</v>
      </c>
      <c r="F82" s="8">
        <v>3</v>
      </c>
      <c r="G82" s="8">
        <v>2</v>
      </c>
      <c r="H82" s="8">
        <v>6</v>
      </c>
      <c r="I82" s="8">
        <v>6</v>
      </c>
      <c r="J82" s="8">
        <v>6</v>
      </c>
      <c r="K82" s="8">
        <v>6</v>
      </c>
      <c r="L82" s="8">
        <f>IF(L80="","",(K82+K83))</f>
        <v>6</v>
      </c>
      <c r="M82" s="8">
        <f t="shared" ref="M82" si="1072">IF(M80="","",(L82+L83))</f>
        <v>6</v>
      </c>
      <c r="N82" s="8">
        <f t="shared" ref="N82" si="1073">IF(N80="","",(M82+M83))</f>
        <v>6</v>
      </c>
      <c r="O82" s="8" t="str">
        <f>IF(O80="","",(N82+N83))</f>
        <v/>
      </c>
      <c r="P82" s="8" t="str">
        <f t="shared" ref="P82" si="1074">IF(P80="","",(O82+O83))</f>
        <v/>
      </c>
      <c r="Q82" s="8" t="str">
        <f t="shared" ref="Q82" si="1075">IF(Q80="","",(P82+P83))</f>
        <v/>
      </c>
      <c r="R82" s="8" t="str">
        <f t="shared" ref="R82" si="1076">IF(R80="","",(Q82+Q83))</f>
        <v/>
      </c>
      <c r="S82" s="8" t="str">
        <f>IF(S80="","",(R82+R83))</f>
        <v/>
      </c>
      <c r="T82" s="8" t="str">
        <f t="shared" ref="T82" si="1077">IF(T80="","",(S82+S83))</f>
        <v/>
      </c>
      <c r="U82" s="8" t="str">
        <f t="shared" ref="U82" si="1078">IF(U80="","",(T82+T83))</f>
        <v/>
      </c>
      <c r="V82" s="8" t="str">
        <f>IF(V80="","",(U82+U83))</f>
        <v/>
      </c>
      <c r="W82" s="8" t="str">
        <f t="shared" ref="W82" si="1079">IF(W80="","",(V82+V83))</f>
        <v/>
      </c>
      <c r="X82" s="8" t="str">
        <f t="shared" ref="X82" si="1080">IF(X80="","",(W82+W83))</f>
        <v/>
      </c>
      <c r="Y82" s="8" t="str">
        <f t="shared" ref="Y82" si="1081">IF(Y80="","",(X82+X83))</f>
        <v/>
      </c>
      <c r="Z82" s="8" t="str">
        <f>IF(Z80="","",(Y82+Y83))</f>
        <v/>
      </c>
      <c r="AA82" s="8" t="str">
        <f t="shared" ref="AA82" si="1082">IF(AA80="","",(Z82+Z83))</f>
        <v/>
      </c>
      <c r="AB82" s="8" t="str">
        <f t="shared" ref="AB82" si="1083">IF(AB80="","",(AA82+AA83))</f>
        <v/>
      </c>
      <c r="AC82" s="8" t="str">
        <f t="shared" ref="AC82" si="1084">IF(AC80="","",(AB82+AB83))</f>
        <v/>
      </c>
      <c r="AD82" s="8" t="str">
        <f t="shared" ref="AD82" si="1085">IF(AD80="","",(AC82+AC83))</f>
        <v/>
      </c>
      <c r="AE82" s="8" t="str">
        <f t="shared" ref="AE82" si="1086">IF(AE80="","",(AD82+AD83))</f>
        <v/>
      </c>
      <c r="AF82" s="8" t="str">
        <f t="shared" ref="AF82" si="1087">IF(AF80="","",(AE82+AE83))</f>
        <v/>
      </c>
      <c r="AG82" s="8" t="str">
        <f t="shared" ref="AG82" si="1088">IF(AG80="","",(AF82+AF83))</f>
        <v/>
      </c>
      <c r="AH82" s="8" t="str">
        <f t="shared" ref="AH82" si="1089">IF(AH80="","",(AG82+AG83))</f>
        <v/>
      </c>
      <c r="AI82" s="8" t="str">
        <f t="shared" ref="AI82" si="1090">IF(AI80="","",(AH82+AH83))</f>
        <v/>
      </c>
      <c r="AJ82" s="8" t="str">
        <f>IF(AJ80="","",(AI82+AI83))</f>
        <v/>
      </c>
      <c r="AK82" s="8" t="str">
        <f t="shared" ref="AK82" si="1091">IF(AK80="","",(AJ82+AJ83))</f>
        <v/>
      </c>
      <c r="AL82" s="8" t="str">
        <f t="shared" ref="AL82" si="1092">IF(AL80="","",(AK82+AK83))</f>
        <v/>
      </c>
      <c r="AM82" s="8" t="str">
        <f t="shared" ref="AM82" si="1093">IF(AM80="","",(AL82+AL83))</f>
        <v/>
      </c>
      <c r="AN82" s="8" t="str">
        <f t="shared" ref="AN82" si="1094">IF(AN80="","",(AM82+AM83))</f>
        <v/>
      </c>
      <c r="AO82" s="8" t="str">
        <f t="shared" ref="AO82:AS82" si="1095">IF(AO80="","",(AN82+AN83))</f>
        <v/>
      </c>
      <c r="AP82" s="8" t="str">
        <f t="shared" si="1095"/>
        <v/>
      </c>
      <c r="AQ82" s="8" t="str">
        <f t="shared" si="1095"/>
        <v/>
      </c>
      <c r="AR82" s="8" t="str">
        <f t="shared" si="1095"/>
        <v/>
      </c>
      <c r="AS82" s="8" t="str">
        <f t="shared" si="1095"/>
        <v/>
      </c>
    </row>
    <row r="83" spans="1:45" s="84" customFormat="1" ht="11.25" x14ac:dyDescent="0.15">
      <c r="A83" s="14"/>
      <c r="B83" s="9" t="s">
        <v>7</v>
      </c>
      <c r="C83" s="8"/>
      <c r="D83" s="8"/>
      <c r="E83" s="8"/>
      <c r="F83" s="8"/>
      <c r="G83" s="8">
        <v>4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</row>
    <row r="84" spans="1:45" s="84" customFormat="1" ht="11.25" x14ac:dyDescent="0.15">
      <c r="A84" s="7"/>
      <c r="B84" s="9" t="s">
        <v>8</v>
      </c>
      <c r="C84" s="8">
        <v>800</v>
      </c>
      <c r="D84" s="8">
        <v>800</v>
      </c>
      <c r="E84" s="8">
        <v>800</v>
      </c>
      <c r="F84" s="8">
        <v>800</v>
      </c>
      <c r="G84" s="8">
        <v>800</v>
      </c>
      <c r="H84" s="8">
        <v>800</v>
      </c>
      <c r="I84" s="8">
        <v>800</v>
      </c>
      <c r="J84" s="8">
        <v>800</v>
      </c>
      <c r="K84" s="8">
        <v>800</v>
      </c>
      <c r="L84" s="8">
        <f t="shared" ref="L84" si="1096">IF(L80="","",K84)</f>
        <v>800</v>
      </c>
      <c r="M84" s="8">
        <f t="shared" ref="M84" si="1097">IF(M80="","",L84)</f>
        <v>800</v>
      </c>
      <c r="N84" s="8">
        <f t="shared" ref="N84" si="1098">IF(N80="","",M84)</f>
        <v>800</v>
      </c>
      <c r="O84" s="8" t="str">
        <f t="shared" ref="O84" si="1099">IF(O80="","",N84)</f>
        <v/>
      </c>
      <c r="P84" s="8" t="str">
        <f t="shared" ref="P84" si="1100">IF(P80="","",O84)</f>
        <v/>
      </c>
      <c r="Q84" s="8" t="str">
        <f t="shared" ref="Q84" si="1101">IF(Q80="","",P84)</f>
        <v/>
      </c>
      <c r="R84" s="8" t="str">
        <f t="shared" ref="R84" si="1102">IF(R80="","",Q84)</f>
        <v/>
      </c>
      <c r="S84" s="8" t="str">
        <f t="shared" ref="S84" si="1103">IF(S80="","",R84)</f>
        <v/>
      </c>
      <c r="T84" s="8" t="str">
        <f t="shared" ref="T84" si="1104">IF(T80="","",S84)</f>
        <v/>
      </c>
      <c r="U84" s="8" t="str">
        <f t="shared" ref="U84" si="1105">IF(U80="","",T84)</f>
        <v/>
      </c>
      <c r="V84" s="8" t="str">
        <f t="shared" ref="V84" si="1106">IF(V80="","",U84)</f>
        <v/>
      </c>
      <c r="W84" s="8" t="str">
        <f t="shared" ref="W84" si="1107">IF(W80="","",V84)</f>
        <v/>
      </c>
      <c r="X84" s="8" t="str">
        <f t="shared" ref="X84" si="1108">IF(X80="","",W84)</f>
        <v/>
      </c>
      <c r="Y84" s="8" t="str">
        <f t="shared" ref="Y84" si="1109">IF(Y80="","",X84)</f>
        <v/>
      </c>
      <c r="Z84" s="8" t="str">
        <f t="shared" ref="Z84" si="1110">IF(Z80="","",Y84)</f>
        <v/>
      </c>
      <c r="AA84" s="8" t="str">
        <f t="shared" ref="AA84" si="1111">IF(AA80="","",Z84)</f>
        <v/>
      </c>
      <c r="AB84" s="8" t="str">
        <f t="shared" ref="AB84" si="1112">IF(AB80="","",AA84)</f>
        <v/>
      </c>
      <c r="AC84" s="8" t="str">
        <f t="shared" ref="AC84" si="1113">IF(AC80="","",AB84)</f>
        <v/>
      </c>
      <c r="AD84" s="8" t="str">
        <f t="shared" ref="AD84" si="1114">IF(AD80="","",AC84)</f>
        <v/>
      </c>
      <c r="AE84" s="8" t="str">
        <f t="shared" ref="AE84" si="1115">IF(AE80="","",AD84)</f>
        <v/>
      </c>
      <c r="AF84" s="8" t="str">
        <f t="shared" ref="AF84" si="1116">IF(AF80="","",AE84)</f>
        <v/>
      </c>
      <c r="AG84" s="8" t="str">
        <f t="shared" ref="AG84" si="1117">IF(AG80="","",AF84)</f>
        <v/>
      </c>
      <c r="AH84" s="8" t="str">
        <f t="shared" ref="AH84" si="1118">IF(AH80="","",AG84)</f>
        <v/>
      </c>
      <c r="AI84" s="8" t="str">
        <f t="shared" ref="AI84" si="1119">IF(AI80="","",AH84)</f>
        <v/>
      </c>
      <c r="AJ84" s="8" t="str">
        <f t="shared" ref="AJ84" si="1120">IF(AJ80="","",AI84)</f>
        <v/>
      </c>
      <c r="AK84" s="8" t="str">
        <f t="shared" ref="AK84" si="1121">IF(AK80="","",AJ84)</f>
        <v/>
      </c>
      <c r="AL84" s="8" t="str">
        <f t="shared" ref="AL84" si="1122">IF(AL80="","",AK84)</f>
        <v/>
      </c>
      <c r="AM84" s="8" t="str">
        <f t="shared" ref="AM84" si="1123">IF(AM80="","",AL84)</f>
        <v/>
      </c>
      <c r="AN84" s="8" t="str">
        <f t="shared" ref="AN84" si="1124">IF(AN80="","",AM84)</f>
        <v/>
      </c>
      <c r="AO84" s="8" t="str">
        <f t="shared" ref="AO84:AS84" si="1125">IF(AO80="","",AN84)</f>
        <v/>
      </c>
      <c r="AP84" s="8" t="str">
        <f t="shared" si="1125"/>
        <v/>
      </c>
      <c r="AQ84" s="8" t="str">
        <f t="shared" si="1125"/>
        <v/>
      </c>
      <c r="AR84" s="8" t="str">
        <f t="shared" si="1125"/>
        <v/>
      </c>
      <c r="AS84" s="8" t="str">
        <f t="shared" si="1125"/>
        <v/>
      </c>
    </row>
    <row r="85" spans="1:45" s="85" customFormat="1" ht="11.25" x14ac:dyDescent="0.15">
      <c r="A85" s="14" t="s">
        <v>9</v>
      </c>
      <c r="B85" s="13" t="s">
        <v>10</v>
      </c>
      <c r="C85" s="12" t="s">
        <v>52</v>
      </c>
      <c r="D85" s="12" t="s">
        <v>52</v>
      </c>
      <c r="E85" s="12" t="s">
        <v>52</v>
      </c>
      <c r="F85" s="12" t="s">
        <v>52</v>
      </c>
      <c r="G85" s="12" t="s">
        <v>52</v>
      </c>
      <c r="H85" s="12" t="s">
        <v>52</v>
      </c>
      <c r="I85" s="12" t="s">
        <v>52</v>
      </c>
      <c r="J85" s="12" t="s">
        <v>52</v>
      </c>
      <c r="K85" s="12" t="s">
        <v>52</v>
      </c>
      <c r="L85" s="12" t="str">
        <f t="shared" ref="L85" si="1126">IF(L80="","",K85)</f>
        <v>ギャルキティフェイスポーチ</v>
      </c>
      <c r="M85" s="12" t="str">
        <f t="shared" ref="M85" si="1127">IF(M80="","",L85)</f>
        <v>ギャルキティフェイスポーチ</v>
      </c>
      <c r="N85" s="12" t="str">
        <f t="shared" ref="N85" si="1128">IF(N80="","",M85)</f>
        <v>ギャルキティフェイスポーチ</v>
      </c>
      <c r="O85" s="12" t="str">
        <f t="shared" ref="O85" si="1129">IF(O80="","",N85)</f>
        <v/>
      </c>
      <c r="P85" s="12" t="str">
        <f t="shared" ref="P85" si="1130">IF(P80="","",O85)</f>
        <v/>
      </c>
      <c r="Q85" s="12" t="str">
        <f t="shared" ref="Q85" si="1131">IF(Q80="","",P85)</f>
        <v/>
      </c>
      <c r="R85" s="12" t="str">
        <f t="shared" ref="R85" si="1132">IF(R80="","",Q85)</f>
        <v/>
      </c>
      <c r="S85" s="12" t="str">
        <f t="shared" ref="S85" si="1133">IF(S80="","",R85)</f>
        <v/>
      </c>
      <c r="T85" s="12" t="str">
        <f t="shared" ref="T85" si="1134">IF(T80="","",S85)</f>
        <v/>
      </c>
      <c r="U85" s="12" t="str">
        <f t="shared" ref="U85" si="1135">IF(U80="","",T85)</f>
        <v/>
      </c>
      <c r="V85" s="12" t="str">
        <f t="shared" ref="V85" si="1136">IF(V80="","",U85)</f>
        <v/>
      </c>
      <c r="W85" s="12" t="str">
        <f t="shared" ref="W85" si="1137">IF(W80="","",V85)</f>
        <v/>
      </c>
      <c r="X85" s="12" t="str">
        <f t="shared" ref="X85" si="1138">IF(X80="","",W85)</f>
        <v/>
      </c>
      <c r="Y85" s="12" t="str">
        <f t="shared" ref="Y85" si="1139">IF(Y80="","",X85)</f>
        <v/>
      </c>
      <c r="Z85" s="12" t="str">
        <f t="shared" ref="Z85" si="1140">IF(Z80="","",Y85)</f>
        <v/>
      </c>
      <c r="AA85" s="12" t="str">
        <f t="shared" ref="AA85" si="1141">IF(AA80="","",Z85)</f>
        <v/>
      </c>
      <c r="AB85" s="12" t="str">
        <f t="shared" ref="AB85" si="1142">IF(AB80="","",AA85)</f>
        <v/>
      </c>
      <c r="AC85" s="12" t="str">
        <f t="shared" ref="AC85" si="1143">IF(AC80="","",AB85)</f>
        <v/>
      </c>
      <c r="AD85" s="12" t="str">
        <f t="shared" ref="AD85" si="1144">IF(AD80="","",AC85)</f>
        <v/>
      </c>
      <c r="AE85" s="12" t="str">
        <f t="shared" ref="AE85" si="1145">IF(AE80="","",AD85)</f>
        <v/>
      </c>
      <c r="AF85" s="12" t="str">
        <f t="shared" ref="AF85" si="1146">IF(AF80="","",AE85)</f>
        <v/>
      </c>
      <c r="AG85" s="12" t="str">
        <f t="shared" ref="AG85" si="1147">IF(AG80="","",AF85)</f>
        <v/>
      </c>
      <c r="AH85" s="12" t="str">
        <f t="shared" ref="AH85" si="1148">IF(AH80="","",AG85)</f>
        <v/>
      </c>
      <c r="AI85" s="12" t="str">
        <f t="shared" ref="AI85" si="1149">IF(AI80="","",AH85)</f>
        <v/>
      </c>
      <c r="AJ85" s="12" t="str">
        <f t="shared" ref="AJ85" si="1150">IF(AJ80="","",AI85)</f>
        <v/>
      </c>
      <c r="AK85" s="12" t="str">
        <f t="shared" ref="AK85" si="1151">IF(AK80="","",AJ85)</f>
        <v/>
      </c>
      <c r="AL85" s="12" t="str">
        <f t="shared" ref="AL85" si="1152">IF(AL80="","",AK85)</f>
        <v/>
      </c>
      <c r="AM85" s="12" t="str">
        <f t="shared" ref="AM85" si="1153">IF(AM80="","",AL85)</f>
        <v/>
      </c>
      <c r="AN85" s="12" t="str">
        <f t="shared" ref="AN85" si="1154">IF(AN80="","",AM85)</f>
        <v/>
      </c>
      <c r="AO85" s="12" t="str">
        <f t="shared" ref="AO85:AS85" si="1155">IF(AO80="","",AN85)</f>
        <v/>
      </c>
      <c r="AP85" s="12" t="str">
        <f t="shared" si="1155"/>
        <v/>
      </c>
      <c r="AQ85" s="12" t="str">
        <f t="shared" si="1155"/>
        <v/>
      </c>
      <c r="AR85" s="12" t="str">
        <f t="shared" si="1155"/>
        <v/>
      </c>
      <c r="AS85" s="12" t="str">
        <f t="shared" si="1155"/>
        <v/>
      </c>
    </row>
    <row r="86" spans="1:45" s="84" customFormat="1" ht="11.25" x14ac:dyDescent="0.15">
      <c r="A86" s="7">
        <f>AVERAGE(C87:AS87)*30*100</f>
        <v>26250</v>
      </c>
      <c r="B86" s="9" t="s">
        <v>12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</row>
    <row r="87" spans="1:45" s="84" customFormat="1" ht="11.25" x14ac:dyDescent="0.15">
      <c r="A87" s="7">
        <f>SUM(C87:AS87)</f>
        <v>105</v>
      </c>
      <c r="B87" s="6" t="s">
        <v>13</v>
      </c>
      <c r="C87" s="5">
        <v>0</v>
      </c>
      <c r="D87" s="5">
        <v>0</v>
      </c>
      <c r="E87" s="5">
        <v>0</v>
      </c>
      <c r="F87" s="5">
        <v>0</v>
      </c>
      <c r="G87" s="5">
        <v>46</v>
      </c>
      <c r="H87" s="5">
        <v>0</v>
      </c>
      <c r="I87" s="5">
        <v>0</v>
      </c>
      <c r="J87" s="5">
        <v>0</v>
      </c>
      <c r="K87" s="5">
        <v>21</v>
      </c>
      <c r="L87" s="5">
        <f t="shared" ref="L87:L88" si="1156">IF(L80="","",L80-K80)</f>
        <v>0</v>
      </c>
      <c r="M87" s="5">
        <f t="shared" ref="M87:M88" si="1157">IF(M80="","",M80-L80)</f>
        <v>0</v>
      </c>
      <c r="N87" s="5">
        <f t="shared" ref="N87:N88" si="1158">IF(N80="","",N80-M80)</f>
        <v>38</v>
      </c>
      <c r="O87" s="5" t="str">
        <f t="shared" ref="O87:O88" si="1159">IF(O80="","",O80-N80)</f>
        <v/>
      </c>
      <c r="P87" s="5" t="str">
        <f t="shared" ref="P87:P88" si="1160">IF(P80="","",P80-O80)</f>
        <v/>
      </c>
      <c r="Q87" s="5" t="str">
        <f t="shared" ref="Q87:Q88" si="1161">IF(Q80="","",Q80-P80)</f>
        <v/>
      </c>
      <c r="R87" s="5" t="str">
        <f t="shared" ref="R87:R88" si="1162">IF(R80="","",R80-Q80)</f>
        <v/>
      </c>
      <c r="S87" s="5" t="str">
        <f t="shared" ref="S87:S88" si="1163">IF(S80="","",S80-R80)</f>
        <v/>
      </c>
      <c r="T87" s="5" t="str">
        <f t="shared" ref="T87:T88" si="1164">IF(T80="","",T80-S80)</f>
        <v/>
      </c>
      <c r="U87" s="5" t="str">
        <f t="shared" ref="U87:U88" si="1165">IF(U80="","",U80-T80)</f>
        <v/>
      </c>
      <c r="V87" s="5" t="str">
        <f t="shared" ref="V87:V88" si="1166">IF(V80="","",V80-U80)</f>
        <v/>
      </c>
      <c r="W87" s="5" t="str">
        <f t="shared" ref="W87:W88" si="1167">IF(W80="","",W80-V80)</f>
        <v/>
      </c>
      <c r="X87" s="5" t="str">
        <f t="shared" ref="X87:X88" si="1168">IF(X80="","",X80-W80)</f>
        <v/>
      </c>
      <c r="Y87" s="5" t="str">
        <f t="shared" ref="Y87:Y88" si="1169">IF(Y80="","",Y80-X80)</f>
        <v/>
      </c>
      <c r="Z87" s="5" t="str">
        <f t="shared" ref="Z87:Z88" si="1170">IF(Z80="","",Z80-Y80)</f>
        <v/>
      </c>
      <c r="AA87" s="5" t="str">
        <f t="shared" ref="AA87:AA88" si="1171">IF(AA80="","",AA80-Z80)</f>
        <v/>
      </c>
      <c r="AB87" s="5" t="str">
        <f t="shared" ref="AB87:AB88" si="1172">IF(AB80="","",AB80-AA80)</f>
        <v/>
      </c>
      <c r="AC87" s="5" t="str">
        <f t="shared" ref="AC87:AC88" si="1173">IF(AC80="","",AC80-AB80)</f>
        <v/>
      </c>
      <c r="AD87" s="5" t="str">
        <f t="shared" ref="AD87:AD88" si="1174">IF(AD80="","",AD80-AC80)</f>
        <v/>
      </c>
      <c r="AE87" s="5" t="str">
        <f t="shared" ref="AE87:AE88" si="1175">IF(AE80="","",AE80-AD80)</f>
        <v/>
      </c>
      <c r="AF87" s="5" t="str">
        <f t="shared" ref="AF87:AF88" si="1176">IF(AF80="","",AF80-AE80)</f>
        <v/>
      </c>
      <c r="AG87" s="5" t="str">
        <f t="shared" ref="AG87:AG88" si="1177">IF(AG80="","",AG80-AF80)</f>
        <v/>
      </c>
      <c r="AH87" s="5" t="str">
        <f t="shared" ref="AH87:AH88" si="1178">IF(AH80="","",AH80-AG80)</f>
        <v/>
      </c>
      <c r="AI87" s="5" t="str">
        <f t="shared" ref="AI87:AI88" si="1179">IF(AI80="","",AI80-AH80)</f>
        <v/>
      </c>
      <c r="AJ87" s="5" t="str">
        <f t="shared" ref="AJ87:AJ88" si="1180">IF(AJ80="","",AJ80-AI80)</f>
        <v/>
      </c>
      <c r="AK87" s="5" t="str">
        <f t="shared" ref="AK87:AK88" si="1181">IF(AK80="","",AK80-AJ80)</f>
        <v/>
      </c>
      <c r="AL87" s="5" t="str">
        <f t="shared" ref="AL87:AL88" si="1182">IF(AL80="","",AL80-AK80)</f>
        <v/>
      </c>
      <c r="AM87" s="5" t="str">
        <f t="shared" ref="AM87:AM88" si="1183">IF(AM80="","",AM80-AL80)</f>
        <v/>
      </c>
      <c r="AN87" s="5" t="str">
        <f t="shared" ref="AN87:AN88" si="1184">IF(AN80="","",AN80-AM80)</f>
        <v/>
      </c>
      <c r="AO87" s="5" t="str">
        <f t="shared" ref="AO87:AS87" si="1185">IF(AO80="","",AO80-AN80)</f>
        <v/>
      </c>
      <c r="AP87" s="5" t="str">
        <f t="shared" si="1185"/>
        <v/>
      </c>
      <c r="AQ87" s="5" t="str">
        <f t="shared" si="1185"/>
        <v/>
      </c>
      <c r="AR87" s="5" t="str">
        <f t="shared" si="1185"/>
        <v/>
      </c>
      <c r="AS87" s="5" t="str">
        <f t="shared" si="1185"/>
        <v/>
      </c>
    </row>
    <row r="88" spans="1:45" s="84" customFormat="1" ht="11.25" x14ac:dyDescent="0.15">
      <c r="A88" s="7">
        <f>SUM(C88:AS88)</f>
        <v>2</v>
      </c>
      <c r="B88" s="6" t="s">
        <v>14</v>
      </c>
      <c r="C88" s="5">
        <v>0</v>
      </c>
      <c r="D88" s="5">
        <v>0</v>
      </c>
      <c r="E88" s="5">
        <v>0</v>
      </c>
      <c r="F88" s="5">
        <v>0</v>
      </c>
      <c r="G88" s="5">
        <v>2</v>
      </c>
      <c r="H88" s="5">
        <v>0</v>
      </c>
      <c r="I88" s="5">
        <v>0</v>
      </c>
      <c r="J88" s="5">
        <v>0</v>
      </c>
      <c r="K88" s="5">
        <v>0</v>
      </c>
      <c r="L88" s="5">
        <f t="shared" si="1156"/>
        <v>0</v>
      </c>
      <c r="M88" s="5">
        <f t="shared" si="1157"/>
        <v>0</v>
      </c>
      <c r="N88" s="5">
        <f t="shared" si="1158"/>
        <v>0</v>
      </c>
      <c r="O88" s="5" t="str">
        <f t="shared" si="1159"/>
        <v/>
      </c>
      <c r="P88" s="5" t="str">
        <f t="shared" si="1160"/>
        <v/>
      </c>
      <c r="Q88" s="5" t="str">
        <f t="shared" si="1161"/>
        <v/>
      </c>
      <c r="R88" s="5" t="str">
        <f t="shared" si="1162"/>
        <v/>
      </c>
      <c r="S88" s="5" t="str">
        <f t="shared" si="1163"/>
        <v/>
      </c>
      <c r="T88" s="5" t="str">
        <f t="shared" si="1164"/>
        <v/>
      </c>
      <c r="U88" s="5" t="str">
        <f t="shared" si="1165"/>
        <v/>
      </c>
      <c r="V88" s="5" t="str">
        <f t="shared" si="1166"/>
        <v/>
      </c>
      <c r="W88" s="5" t="str">
        <f t="shared" si="1167"/>
        <v/>
      </c>
      <c r="X88" s="5" t="str">
        <f t="shared" si="1168"/>
        <v/>
      </c>
      <c r="Y88" s="5" t="str">
        <f t="shared" si="1169"/>
        <v/>
      </c>
      <c r="Z88" s="5" t="str">
        <f t="shared" si="1170"/>
        <v/>
      </c>
      <c r="AA88" s="5" t="str">
        <f t="shared" si="1171"/>
        <v/>
      </c>
      <c r="AB88" s="5" t="str">
        <f t="shared" si="1172"/>
        <v/>
      </c>
      <c r="AC88" s="5" t="str">
        <f t="shared" si="1173"/>
        <v/>
      </c>
      <c r="AD88" s="5" t="str">
        <f t="shared" si="1174"/>
        <v/>
      </c>
      <c r="AE88" s="5" t="str">
        <f t="shared" si="1175"/>
        <v/>
      </c>
      <c r="AF88" s="5" t="str">
        <f t="shared" si="1176"/>
        <v/>
      </c>
      <c r="AG88" s="5" t="str">
        <f t="shared" si="1177"/>
        <v/>
      </c>
      <c r="AH88" s="5" t="str">
        <f t="shared" si="1178"/>
        <v/>
      </c>
      <c r="AI88" s="5" t="str">
        <f t="shared" si="1179"/>
        <v/>
      </c>
      <c r="AJ88" s="5" t="str">
        <f t="shared" si="1180"/>
        <v/>
      </c>
      <c r="AK88" s="5" t="str">
        <f t="shared" si="1181"/>
        <v/>
      </c>
      <c r="AL88" s="5" t="str">
        <f t="shared" si="1182"/>
        <v/>
      </c>
      <c r="AM88" s="5" t="str">
        <f t="shared" si="1183"/>
        <v/>
      </c>
      <c r="AN88" s="5" t="str">
        <f t="shared" si="1184"/>
        <v/>
      </c>
      <c r="AO88" s="5" t="str">
        <f t="shared" ref="AO88:AS88" si="1186">IF(AO81="","",AO81-AN81)</f>
        <v/>
      </c>
      <c r="AP88" s="5" t="str">
        <f t="shared" si="1186"/>
        <v/>
      </c>
      <c r="AQ88" s="5" t="str">
        <f t="shared" si="1186"/>
        <v/>
      </c>
      <c r="AR88" s="5" t="str">
        <f t="shared" si="1186"/>
        <v/>
      </c>
      <c r="AS88" s="5" t="str">
        <f t="shared" si="1186"/>
        <v/>
      </c>
    </row>
    <row r="89" spans="1:45" s="84" customFormat="1" ht="11.25" x14ac:dyDescent="0.15">
      <c r="A89" s="7">
        <f>SUM(C89:AS89)</f>
        <v>1</v>
      </c>
      <c r="B89" s="6" t="s">
        <v>15</v>
      </c>
      <c r="C89" s="5">
        <v>0</v>
      </c>
      <c r="D89" s="5">
        <v>0</v>
      </c>
      <c r="E89" s="5">
        <v>0</v>
      </c>
      <c r="F89" s="5">
        <v>0</v>
      </c>
      <c r="G89" s="5">
        <v>1</v>
      </c>
      <c r="H89" s="5">
        <v>0</v>
      </c>
      <c r="I89" s="5">
        <v>0</v>
      </c>
      <c r="J89" s="5">
        <v>0</v>
      </c>
      <c r="K89" s="5">
        <v>0</v>
      </c>
      <c r="L89" s="5">
        <f t="shared" ref="L89" si="1187">IF(L82="","",K82+K83-L82)</f>
        <v>0</v>
      </c>
      <c r="M89" s="5">
        <f t="shared" ref="M89" si="1188">IF(M82="","",L82+L83-M82)</f>
        <v>0</v>
      </c>
      <c r="N89" s="5">
        <f t="shared" ref="N89" si="1189">IF(N82="","",M82+M83-N82)</f>
        <v>0</v>
      </c>
      <c r="O89" s="5" t="str">
        <f t="shared" ref="O89" si="1190">IF(O82="","",N82+N83-O82)</f>
        <v/>
      </c>
      <c r="P89" s="5" t="str">
        <f t="shared" ref="P89" si="1191">IF(P82="","",O82+O83-P82)</f>
        <v/>
      </c>
      <c r="Q89" s="5" t="str">
        <f t="shared" ref="Q89" si="1192">IF(Q82="","",P82+P83-Q82)</f>
        <v/>
      </c>
      <c r="R89" s="5" t="str">
        <f t="shared" ref="R89" si="1193">IF(R82="","",Q82+Q83-R82)</f>
        <v/>
      </c>
      <c r="S89" s="5" t="str">
        <f t="shared" ref="S89" si="1194">IF(S82="","",R82+R83-S82)</f>
        <v/>
      </c>
      <c r="T89" s="5" t="str">
        <f t="shared" ref="T89" si="1195">IF(T82="","",S82+S83-T82)</f>
        <v/>
      </c>
      <c r="U89" s="5" t="str">
        <f t="shared" ref="U89" si="1196">IF(U82="","",T82+T83-U82)</f>
        <v/>
      </c>
      <c r="V89" s="5" t="str">
        <f t="shared" ref="V89" si="1197">IF(V82="","",U82+U83-V82)</f>
        <v/>
      </c>
      <c r="W89" s="5" t="str">
        <f t="shared" ref="W89" si="1198">IF(W82="","",V82+V83-W82)</f>
        <v/>
      </c>
      <c r="X89" s="5" t="str">
        <f t="shared" ref="X89" si="1199">IF(X82="","",W82+W83-X82)</f>
        <v/>
      </c>
      <c r="Y89" s="5" t="str">
        <f t="shared" ref="Y89" si="1200">IF(Y82="","",X82+X83-Y82)</f>
        <v/>
      </c>
      <c r="Z89" s="5" t="str">
        <f t="shared" ref="Z89" si="1201">IF(Z82="","",Y82+Y83-Z82)</f>
        <v/>
      </c>
      <c r="AA89" s="5" t="str">
        <f t="shared" ref="AA89" si="1202">IF(AA82="","",Z82+Z83-AA82)</f>
        <v/>
      </c>
      <c r="AB89" s="5" t="str">
        <f t="shared" ref="AB89" si="1203">IF(AB82="","",AA82+AA83-AB82)</f>
        <v/>
      </c>
      <c r="AC89" s="5" t="str">
        <f t="shared" ref="AC89" si="1204">IF(AC82="","",AB82+AB83-AC82)</f>
        <v/>
      </c>
      <c r="AD89" s="5" t="str">
        <f t="shared" ref="AD89" si="1205">IF(AD82="","",AC82+AC83-AD82)</f>
        <v/>
      </c>
      <c r="AE89" s="5" t="str">
        <f t="shared" ref="AE89" si="1206">IF(AE82="","",AD82+AD83-AE82)</f>
        <v/>
      </c>
      <c r="AF89" s="5" t="str">
        <f t="shared" ref="AF89" si="1207">IF(AF82="","",AE82+AE83-AF82)</f>
        <v/>
      </c>
      <c r="AG89" s="5" t="str">
        <f t="shared" ref="AG89" si="1208">IF(AG82="","",AF82+AF83-AG82)</f>
        <v/>
      </c>
      <c r="AH89" s="5" t="str">
        <f t="shared" ref="AH89" si="1209">IF(AH82="","",AG82+AG83-AH82)</f>
        <v/>
      </c>
      <c r="AI89" s="5" t="str">
        <f t="shared" ref="AI89" si="1210">IF(AI82="","",AH82+AH83-AI82)</f>
        <v/>
      </c>
      <c r="AJ89" s="5" t="str">
        <f t="shared" ref="AJ89" si="1211">IF(AJ82="","",AI82+AI83-AJ82)</f>
        <v/>
      </c>
      <c r="AK89" s="5" t="str">
        <f t="shared" ref="AK89" si="1212">IF(AK82="","",AJ82+AJ83-AK82)</f>
        <v/>
      </c>
      <c r="AL89" s="5" t="str">
        <f t="shared" ref="AL89" si="1213">IF(AL82="","",AK82+AK83-AL82)</f>
        <v/>
      </c>
      <c r="AM89" s="5" t="str">
        <f t="shared" ref="AM89" si="1214">IF(AM82="","",AL82+AL83-AM82)</f>
        <v/>
      </c>
      <c r="AN89" s="5" t="str">
        <f t="shared" ref="AN89" si="1215">IF(AN82="","",AM82+AM83-AN82)</f>
        <v/>
      </c>
      <c r="AO89" s="5" t="str">
        <f t="shared" ref="AO89:AS89" si="1216">IF(AO82="","",AN82+AN83-AO82)</f>
        <v/>
      </c>
      <c r="AP89" s="5" t="str">
        <f t="shared" si="1216"/>
        <v/>
      </c>
      <c r="AQ89" s="5" t="str">
        <f t="shared" si="1216"/>
        <v/>
      </c>
      <c r="AR89" s="5" t="str">
        <f t="shared" si="1216"/>
        <v/>
      </c>
      <c r="AS89" s="5" t="str">
        <f t="shared" si="1216"/>
        <v/>
      </c>
    </row>
    <row r="90" spans="1:45" s="84" customFormat="1" ht="11.25" x14ac:dyDescent="0.15">
      <c r="A90" s="7">
        <f>SUM(C90:AS90)</f>
        <v>800</v>
      </c>
      <c r="B90" s="6" t="s">
        <v>16</v>
      </c>
      <c r="C90" s="5">
        <v>0</v>
      </c>
      <c r="D90" s="5">
        <v>0</v>
      </c>
      <c r="E90" s="5">
        <v>0</v>
      </c>
      <c r="F90" s="5">
        <v>0</v>
      </c>
      <c r="G90" s="5">
        <v>800</v>
      </c>
      <c r="H90" s="5">
        <v>0</v>
      </c>
      <c r="I90" s="5">
        <v>0</v>
      </c>
      <c r="J90" s="5">
        <v>0</v>
      </c>
      <c r="K90" s="5">
        <v>0</v>
      </c>
      <c r="L90" s="5">
        <f t="shared" ref="J90:AN90" si="1217">IF(L80="","",L89*L84)</f>
        <v>0</v>
      </c>
      <c r="M90" s="5">
        <f t="shared" si="1217"/>
        <v>0</v>
      </c>
      <c r="N90" s="5">
        <f t="shared" si="1217"/>
        <v>0</v>
      </c>
      <c r="O90" s="5" t="str">
        <f t="shared" si="1217"/>
        <v/>
      </c>
      <c r="P90" s="5" t="str">
        <f t="shared" si="1217"/>
        <v/>
      </c>
      <c r="Q90" s="5" t="str">
        <f t="shared" si="1217"/>
        <v/>
      </c>
      <c r="R90" s="5" t="str">
        <f t="shared" si="1217"/>
        <v/>
      </c>
      <c r="S90" s="5" t="str">
        <f t="shared" si="1217"/>
        <v/>
      </c>
      <c r="T90" s="5" t="str">
        <f t="shared" si="1217"/>
        <v/>
      </c>
      <c r="U90" s="5" t="str">
        <f t="shared" si="1217"/>
        <v/>
      </c>
      <c r="V90" s="5" t="str">
        <f t="shared" si="1217"/>
        <v/>
      </c>
      <c r="W90" s="5" t="str">
        <f t="shared" si="1217"/>
        <v/>
      </c>
      <c r="X90" s="5" t="str">
        <f t="shared" si="1217"/>
        <v/>
      </c>
      <c r="Y90" s="5" t="str">
        <f t="shared" si="1217"/>
        <v/>
      </c>
      <c r="Z90" s="5" t="str">
        <f t="shared" si="1217"/>
        <v/>
      </c>
      <c r="AA90" s="5" t="str">
        <f t="shared" si="1217"/>
        <v/>
      </c>
      <c r="AB90" s="5" t="str">
        <f t="shared" si="1217"/>
        <v/>
      </c>
      <c r="AC90" s="5" t="str">
        <f t="shared" si="1217"/>
        <v/>
      </c>
      <c r="AD90" s="5" t="str">
        <f t="shared" si="1217"/>
        <v/>
      </c>
      <c r="AE90" s="5" t="str">
        <f t="shared" si="1217"/>
        <v/>
      </c>
      <c r="AF90" s="5" t="str">
        <f t="shared" si="1217"/>
        <v/>
      </c>
      <c r="AG90" s="5" t="str">
        <f t="shared" si="1217"/>
        <v/>
      </c>
      <c r="AH90" s="5" t="str">
        <f t="shared" si="1217"/>
        <v/>
      </c>
      <c r="AI90" s="5" t="str">
        <f t="shared" si="1217"/>
        <v/>
      </c>
      <c r="AJ90" s="5" t="str">
        <f t="shared" si="1217"/>
        <v/>
      </c>
      <c r="AK90" s="5" t="str">
        <f t="shared" si="1217"/>
        <v/>
      </c>
      <c r="AL90" s="5" t="str">
        <f t="shared" si="1217"/>
        <v/>
      </c>
      <c r="AM90" s="5" t="str">
        <f t="shared" si="1217"/>
        <v/>
      </c>
      <c r="AN90" s="5" t="str">
        <f t="shared" si="1217"/>
        <v/>
      </c>
      <c r="AO90" s="5" t="str">
        <f t="shared" ref="AO90:AS90" si="1218">IF(AO80="","",AO89*AO84)</f>
        <v/>
      </c>
      <c r="AP90" s="5" t="str">
        <f t="shared" si="1218"/>
        <v/>
      </c>
      <c r="AQ90" s="5" t="str">
        <f t="shared" si="1218"/>
        <v/>
      </c>
      <c r="AR90" s="5" t="str">
        <f t="shared" si="1218"/>
        <v/>
      </c>
      <c r="AS90" s="5" t="str">
        <f t="shared" si="1218"/>
        <v/>
      </c>
    </row>
    <row r="91" spans="1:45" s="84" customFormat="1" ht="12" thickBot="1" x14ac:dyDescent="0.2">
      <c r="A91" s="4">
        <f>IF(A90="","",A90/(A87*100))</f>
        <v>7.6190476190476197E-2</v>
      </c>
      <c r="B91" s="6" t="s">
        <v>18</v>
      </c>
      <c r="C91" s="18" t="s">
        <v>19</v>
      </c>
      <c r="D91" s="18" t="s">
        <v>19</v>
      </c>
      <c r="E91" s="18" t="s">
        <v>19</v>
      </c>
      <c r="F91" s="18" t="s">
        <v>19</v>
      </c>
      <c r="G91" s="18">
        <v>0.17391304347826086</v>
      </c>
      <c r="H91" s="18" t="s">
        <v>19</v>
      </c>
      <c r="I91" s="18" t="s">
        <v>19</v>
      </c>
      <c r="J91" s="18" t="s">
        <v>19</v>
      </c>
      <c r="K91" s="18" t="s">
        <v>19</v>
      </c>
      <c r="L91" s="18" t="str">
        <f t="shared" ref="J91:AN91" si="1219">IF(L90="","",IF(L90=0,"",L90/(L87*100)))</f>
        <v/>
      </c>
      <c r="M91" s="18" t="str">
        <f t="shared" si="1219"/>
        <v/>
      </c>
      <c r="N91" s="18" t="str">
        <f t="shared" si="1219"/>
        <v/>
      </c>
      <c r="O91" s="18" t="str">
        <f t="shared" si="1219"/>
        <v/>
      </c>
      <c r="P91" s="18" t="str">
        <f t="shared" si="1219"/>
        <v/>
      </c>
      <c r="Q91" s="18" t="str">
        <f t="shared" si="1219"/>
        <v/>
      </c>
      <c r="R91" s="18" t="str">
        <f t="shared" si="1219"/>
        <v/>
      </c>
      <c r="S91" s="18" t="str">
        <f t="shared" si="1219"/>
        <v/>
      </c>
      <c r="T91" s="18" t="str">
        <f t="shared" si="1219"/>
        <v/>
      </c>
      <c r="U91" s="18" t="str">
        <f t="shared" si="1219"/>
        <v/>
      </c>
      <c r="V91" s="18" t="str">
        <f t="shared" si="1219"/>
        <v/>
      </c>
      <c r="W91" s="18" t="str">
        <f t="shared" si="1219"/>
        <v/>
      </c>
      <c r="X91" s="18" t="str">
        <f t="shared" si="1219"/>
        <v/>
      </c>
      <c r="Y91" s="18" t="str">
        <f t="shared" si="1219"/>
        <v/>
      </c>
      <c r="Z91" s="18" t="str">
        <f t="shared" si="1219"/>
        <v/>
      </c>
      <c r="AA91" s="18" t="str">
        <f t="shared" si="1219"/>
        <v/>
      </c>
      <c r="AB91" s="18" t="str">
        <f t="shared" si="1219"/>
        <v/>
      </c>
      <c r="AC91" s="18" t="str">
        <f t="shared" si="1219"/>
        <v/>
      </c>
      <c r="AD91" s="18" t="str">
        <f t="shared" si="1219"/>
        <v/>
      </c>
      <c r="AE91" s="18" t="str">
        <f t="shared" si="1219"/>
        <v/>
      </c>
      <c r="AF91" s="18" t="str">
        <f t="shared" si="1219"/>
        <v/>
      </c>
      <c r="AG91" s="18" t="str">
        <f t="shared" si="1219"/>
        <v/>
      </c>
      <c r="AH91" s="18" t="str">
        <f t="shared" si="1219"/>
        <v/>
      </c>
      <c r="AI91" s="18" t="str">
        <f t="shared" si="1219"/>
        <v/>
      </c>
      <c r="AJ91" s="18" t="str">
        <f t="shared" si="1219"/>
        <v/>
      </c>
      <c r="AK91" s="18" t="str">
        <f t="shared" si="1219"/>
        <v/>
      </c>
      <c r="AL91" s="18" t="str">
        <f t="shared" si="1219"/>
        <v/>
      </c>
      <c r="AM91" s="18" t="str">
        <f t="shared" si="1219"/>
        <v/>
      </c>
      <c r="AN91" s="18" t="str">
        <f t="shared" si="1219"/>
        <v/>
      </c>
      <c r="AO91" s="18" t="str">
        <f t="shared" ref="AO91:AS91" si="1220">IF(AO90="","",IF(AO90=0,"",AO90/(AO87*100)))</f>
        <v/>
      </c>
      <c r="AP91" s="18" t="str">
        <f t="shared" si="1220"/>
        <v/>
      </c>
      <c r="AQ91" s="18" t="str">
        <f t="shared" si="1220"/>
        <v/>
      </c>
      <c r="AR91" s="18" t="str">
        <f t="shared" si="1220"/>
        <v/>
      </c>
      <c r="AS91" s="18" t="str">
        <f t="shared" si="1220"/>
        <v/>
      </c>
    </row>
    <row r="92" spans="1:45" s="84" customFormat="1" ht="11.25" x14ac:dyDescent="0.15">
      <c r="A92" s="17" t="str">
        <f>A80</f>
        <v>天文館</v>
      </c>
      <c r="B92" s="9" t="s">
        <v>2</v>
      </c>
      <c r="C92" s="8">
        <v>13160</v>
      </c>
      <c r="D92" s="8">
        <v>13160</v>
      </c>
      <c r="E92" s="8">
        <v>13160</v>
      </c>
      <c r="F92" s="8">
        <v>13160</v>
      </c>
      <c r="G92" s="8">
        <v>13201</v>
      </c>
      <c r="H92" s="8">
        <v>13201</v>
      </c>
      <c r="I92" s="8">
        <v>13201</v>
      </c>
      <c r="J92" s="8">
        <v>13201</v>
      </c>
      <c r="K92" s="8">
        <v>13211</v>
      </c>
      <c r="L92" s="8">
        <f>IF(L$8="","",K92)</f>
        <v>13211</v>
      </c>
      <c r="M92" s="8">
        <f t="shared" ref="M92:M93" si="1221">IF(M$8="","",L92)</f>
        <v>13211</v>
      </c>
      <c r="N92" s="8">
        <v>13263</v>
      </c>
      <c r="O92" s="8" t="str">
        <f>IF(O$8="","",N92)</f>
        <v/>
      </c>
      <c r="P92" s="8" t="str">
        <f t="shared" ref="P92:P93" si="1222">IF(P$8="","",O92)</f>
        <v/>
      </c>
      <c r="Q92" s="8" t="str">
        <f t="shared" ref="Q92:Q93" si="1223">IF(Q$8="","",P92)</f>
        <v/>
      </c>
      <c r="R92" s="8" t="str">
        <f t="shared" ref="R92:R93" si="1224">IF(R$8="","",Q92)</f>
        <v/>
      </c>
      <c r="S92" s="8" t="str">
        <f>IF(S$8="","",R92)</f>
        <v/>
      </c>
      <c r="T92" s="8" t="str">
        <f t="shared" ref="T92:T93" si="1225">IF(T$8="","",S92)</f>
        <v/>
      </c>
      <c r="U92" s="8" t="str">
        <f t="shared" ref="U92:U93" si="1226">IF(U$8="","",T92)</f>
        <v/>
      </c>
      <c r="V92" s="8" t="str">
        <f>IF(V$8="","",U92)</f>
        <v/>
      </c>
      <c r="W92" s="8" t="str">
        <f t="shared" ref="W92:W93" si="1227">IF(W$8="","",V92)</f>
        <v/>
      </c>
      <c r="X92" s="8" t="str">
        <f t="shared" ref="X92:X93" si="1228">IF(X$8="","",W92)</f>
        <v/>
      </c>
      <c r="Y92" s="8" t="str">
        <f t="shared" ref="Y92:Y93" si="1229">IF(Y$8="","",X92)</f>
        <v/>
      </c>
      <c r="Z92" s="8" t="str">
        <f>IF(Z$8="","",Y92)</f>
        <v/>
      </c>
      <c r="AA92" s="8" t="str">
        <f t="shared" ref="AA92:AA93" si="1230">IF(AA$8="","",Z92)</f>
        <v/>
      </c>
      <c r="AB92" s="8" t="str">
        <f t="shared" ref="AB92:AB93" si="1231">IF(AB$8="","",AA92)</f>
        <v/>
      </c>
      <c r="AC92" s="8" t="str">
        <f t="shared" ref="AC92:AC93" si="1232">IF(AC$8="","",AB92)</f>
        <v/>
      </c>
      <c r="AD92" s="8" t="str">
        <f>IF(AD$8="","",AC92)</f>
        <v/>
      </c>
      <c r="AE92" s="8" t="str">
        <f>IF(AE$8="","",AD92)</f>
        <v/>
      </c>
      <c r="AF92" s="8" t="str">
        <f t="shared" ref="AF92:AF93" si="1233">IF(AF$8="","",AE92)</f>
        <v/>
      </c>
      <c r="AG92" s="8" t="str">
        <f>IF(AG$8="","",AF92)</f>
        <v/>
      </c>
      <c r="AH92" s="8" t="str">
        <f t="shared" ref="AH92:AH93" si="1234">IF(AH$8="","",AG92)</f>
        <v/>
      </c>
      <c r="AI92" s="8" t="str">
        <f t="shared" ref="AI92:AI93" si="1235">IF(AI$8="","",AH92)</f>
        <v/>
      </c>
      <c r="AJ92" s="8" t="str">
        <f>IF(AJ$8="","",AI92)</f>
        <v/>
      </c>
      <c r="AK92" s="8" t="str">
        <f t="shared" ref="AK92:AK93" si="1236">IF(AK$8="","",AJ92)</f>
        <v/>
      </c>
      <c r="AL92" s="8" t="str">
        <f t="shared" ref="AL92:AL93" si="1237">IF(AL$8="","",AK92)</f>
        <v/>
      </c>
      <c r="AM92" s="8" t="str">
        <f t="shared" ref="AM92:AM93" si="1238">IF(AM$8="","",AL92)</f>
        <v/>
      </c>
      <c r="AN92" s="8" t="str">
        <f>IF(AN$8="","",AM92)</f>
        <v/>
      </c>
      <c r="AO92" s="8" t="str">
        <f t="shared" ref="AO92:AS92" si="1239">IF(AO$8="","",AN92)</f>
        <v/>
      </c>
      <c r="AP92" s="8" t="str">
        <f t="shared" si="1239"/>
        <v/>
      </c>
      <c r="AQ92" s="8" t="str">
        <f t="shared" si="1239"/>
        <v/>
      </c>
      <c r="AR92" s="8" t="str">
        <f t="shared" si="1239"/>
        <v/>
      </c>
      <c r="AS92" s="8" t="str">
        <f t="shared" si="1239"/>
        <v/>
      </c>
    </row>
    <row r="93" spans="1:45" s="84" customFormat="1" ht="11.25" x14ac:dyDescent="0.15">
      <c r="A93" s="16" t="str">
        <f>A81</f>
        <v>BUZZ＃2</v>
      </c>
      <c r="B93" s="9" t="s">
        <v>4</v>
      </c>
      <c r="C93" s="8">
        <v>546</v>
      </c>
      <c r="D93" s="8">
        <v>546</v>
      </c>
      <c r="E93" s="8">
        <v>546</v>
      </c>
      <c r="F93" s="8">
        <v>546</v>
      </c>
      <c r="G93" s="8">
        <v>548</v>
      </c>
      <c r="H93" s="8">
        <v>548</v>
      </c>
      <c r="I93" s="8">
        <v>548</v>
      </c>
      <c r="J93" s="8">
        <v>548</v>
      </c>
      <c r="K93" s="8">
        <v>548</v>
      </c>
      <c r="L93" s="8">
        <f>IF(L$8="","",K93)</f>
        <v>548</v>
      </c>
      <c r="M93" s="8">
        <f t="shared" si="1221"/>
        <v>548</v>
      </c>
      <c r="N93" s="8">
        <v>549</v>
      </c>
      <c r="O93" s="8" t="str">
        <f>IF(O$8="","",N93)</f>
        <v/>
      </c>
      <c r="P93" s="8" t="str">
        <f t="shared" si="1222"/>
        <v/>
      </c>
      <c r="Q93" s="8" t="str">
        <f t="shared" si="1223"/>
        <v/>
      </c>
      <c r="R93" s="8" t="str">
        <f t="shared" si="1224"/>
        <v/>
      </c>
      <c r="S93" s="8" t="str">
        <f>IF(S$8="","",R93)</f>
        <v/>
      </c>
      <c r="T93" s="8" t="str">
        <f t="shared" si="1225"/>
        <v/>
      </c>
      <c r="U93" s="8" t="str">
        <f t="shared" si="1226"/>
        <v/>
      </c>
      <c r="V93" s="8" t="str">
        <f>IF(V$8="","",U93)</f>
        <v/>
      </c>
      <c r="W93" s="8" t="str">
        <f t="shared" si="1227"/>
        <v/>
      </c>
      <c r="X93" s="8" t="str">
        <f t="shared" si="1228"/>
        <v/>
      </c>
      <c r="Y93" s="8" t="str">
        <f t="shared" si="1229"/>
        <v/>
      </c>
      <c r="Z93" s="8" t="str">
        <f>IF(Z$8="","",Y93)</f>
        <v/>
      </c>
      <c r="AA93" s="8" t="str">
        <f t="shared" si="1230"/>
        <v/>
      </c>
      <c r="AB93" s="8" t="str">
        <f t="shared" si="1231"/>
        <v/>
      </c>
      <c r="AC93" s="8" t="str">
        <f t="shared" si="1232"/>
        <v/>
      </c>
      <c r="AD93" s="8" t="str">
        <f t="shared" ref="AD93" si="1240">IF(AD$8="","",AC93)</f>
        <v/>
      </c>
      <c r="AE93" s="8" t="str">
        <f>IF(AE$8="","",AD93)</f>
        <v/>
      </c>
      <c r="AF93" s="8" t="str">
        <f t="shared" si="1233"/>
        <v/>
      </c>
      <c r="AG93" s="8" t="str">
        <f>IF(AG$8="","",AF93)</f>
        <v/>
      </c>
      <c r="AH93" s="8" t="str">
        <f t="shared" si="1234"/>
        <v/>
      </c>
      <c r="AI93" s="8" t="str">
        <f t="shared" si="1235"/>
        <v/>
      </c>
      <c r="AJ93" s="8" t="str">
        <f>IF(AJ$8="","",AI93)</f>
        <v/>
      </c>
      <c r="AK93" s="8" t="str">
        <f t="shared" si="1236"/>
        <v/>
      </c>
      <c r="AL93" s="8" t="str">
        <f t="shared" si="1237"/>
        <v/>
      </c>
      <c r="AM93" s="8" t="str">
        <f t="shared" si="1238"/>
        <v/>
      </c>
      <c r="AN93" s="8" t="str">
        <f t="shared" ref="AN92:AN93" si="1241">IF(AN$8="","",AM93)</f>
        <v/>
      </c>
      <c r="AO93" s="8" t="str">
        <f t="shared" ref="AO93:AS93" si="1242">IF(AO$8="","",AN93)</f>
        <v/>
      </c>
      <c r="AP93" s="8" t="str">
        <f t="shared" si="1242"/>
        <v/>
      </c>
      <c r="AQ93" s="8" t="str">
        <f t="shared" si="1242"/>
        <v/>
      </c>
      <c r="AR93" s="8" t="str">
        <f t="shared" si="1242"/>
        <v/>
      </c>
      <c r="AS93" s="8" t="str">
        <f t="shared" si="1242"/>
        <v/>
      </c>
    </row>
    <row r="94" spans="1:45" s="84" customFormat="1" ht="11.25" x14ac:dyDescent="0.15">
      <c r="A94" s="15">
        <v>4</v>
      </c>
      <c r="B94" s="9" t="s">
        <v>5</v>
      </c>
      <c r="C94" s="8">
        <v>8</v>
      </c>
      <c r="D94" s="8">
        <v>8</v>
      </c>
      <c r="E94" s="8">
        <v>8</v>
      </c>
      <c r="F94" s="8">
        <v>8</v>
      </c>
      <c r="G94" s="8">
        <v>6</v>
      </c>
      <c r="H94" s="8">
        <v>6</v>
      </c>
      <c r="I94" s="8">
        <v>6</v>
      </c>
      <c r="J94" s="8">
        <v>6</v>
      </c>
      <c r="K94" s="8">
        <v>6</v>
      </c>
      <c r="L94" s="8">
        <f>IF(L92="","",(K94+K95))</f>
        <v>6</v>
      </c>
      <c r="M94" s="8">
        <f t="shared" ref="M94" si="1243">IF(M92="","",(L94+L95))</f>
        <v>6</v>
      </c>
      <c r="N94" s="8">
        <v>5</v>
      </c>
      <c r="O94" s="8" t="str">
        <f>IF(O92="","",(N94+N95))</f>
        <v/>
      </c>
      <c r="P94" s="8" t="str">
        <f t="shared" ref="P94" si="1244">IF(P92="","",(O94+O95))</f>
        <v/>
      </c>
      <c r="Q94" s="8" t="str">
        <f t="shared" ref="Q94" si="1245">IF(Q92="","",(P94+P95))</f>
        <v/>
      </c>
      <c r="R94" s="8" t="str">
        <f t="shared" ref="R94" si="1246">IF(R92="","",(Q94+Q95))</f>
        <v/>
      </c>
      <c r="S94" s="8" t="str">
        <f>IF(S92="","",(R94+R95))</f>
        <v/>
      </c>
      <c r="T94" s="8" t="str">
        <f t="shared" ref="T94" si="1247">IF(T92="","",(S94+S95))</f>
        <v/>
      </c>
      <c r="U94" s="8" t="str">
        <f t="shared" ref="U94" si="1248">IF(U92="","",(T94+T95))</f>
        <v/>
      </c>
      <c r="V94" s="8" t="str">
        <f>IF(V92="","",(U94+U95))</f>
        <v/>
      </c>
      <c r="W94" s="8" t="str">
        <f t="shared" ref="W94" si="1249">IF(W92="","",(V94+V95))</f>
        <v/>
      </c>
      <c r="X94" s="8" t="str">
        <f t="shared" ref="X94" si="1250">IF(X92="","",(W94+W95))</f>
        <v/>
      </c>
      <c r="Y94" s="8" t="str">
        <f t="shared" ref="Y94" si="1251">IF(Y92="","",(X94+X95))</f>
        <v/>
      </c>
      <c r="Z94" s="8" t="str">
        <f>IF(Z92="","",(Y94+Y95))</f>
        <v/>
      </c>
      <c r="AA94" s="8" t="str">
        <f t="shared" ref="AA94" si="1252">IF(AA92="","",(Z94+Z95))</f>
        <v/>
      </c>
      <c r="AB94" s="8" t="str">
        <f t="shared" ref="AB94" si="1253">IF(AB92="","",(AA94+AA95))</f>
        <v/>
      </c>
      <c r="AC94" s="8" t="str">
        <f t="shared" ref="AC94" si="1254">IF(AC92="","",(AB94+AB95))</f>
        <v/>
      </c>
      <c r="AD94" s="8" t="str">
        <f t="shared" ref="AD94" si="1255">IF(AD92="","",(AC94+AC95))</f>
        <v/>
      </c>
      <c r="AE94" s="8" t="str">
        <f>IF(AE92="","",(AD94+AD95))</f>
        <v/>
      </c>
      <c r="AF94" s="8" t="str">
        <f t="shared" ref="AF94" si="1256">IF(AF92="","",(AE94+AE95))</f>
        <v/>
      </c>
      <c r="AG94" s="8" t="str">
        <f>IF(AG92="","",(AF94+AF95))</f>
        <v/>
      </c>
      <c r="AH94" s="8" t="str">
        <f t="shared" ref="AH94" si="1257">IF(AH92="","",(AG94+AG95))</f>
        <v/>
      </c>
      <c r="AI94" s="8" t="str">
        <f t="shared" ref="AI94" si="1258">IF(AI92="","",(AH94+AH95))</f>
        <v/>
      </c>
      <c r="AJ94" s="8" t="str">
        <f>IF(AJ92="","",(AI94+AI95))</f>
        <v/>
      </c>
      <c r="AK94" s="8" t="str">
        <f t="shared" ref="AK94" si="1259">IF(AK92="","",(AJ94+AJ95))</f>
        <v/>
      </c>
      <c r="AL94" s="8" t="str">
        <f t="shared" ref="AL94" si="1260">IF(AL92="","",(AK94+AK95))</f>
        <v/>
      </c>
      <c r="AM94" s="8" t="str">
        <f t="shared" ref="AM94" si="1261">IF(AM92="","",(AL94+AL95))</f>
        <v/>
      </c>
      <c r="AN94" s="8" t="str">
        <f t="shared" ref="AN94" si="1262">IF(AN92="","",(AM94+AM95))</f>
        <v/>
      </c>
      <c r="AO94" s="8" t="str">
        <f t="shared" ref="AO94:AS94" si="1263">IF(AO92="","",(AN94+AN95))</f>
        <v/>
      </c>
      <c r="AP94" s="8" t="str">
        <f t="shared" si="1263"/>
        <v/>
      </c>
      <c r="AQ94" s="8" t="str">
        <f t="shared" si="1263"/>
        <v/>
      </c>
      <c r="AR94" s="8" t="str">
        <f t="shared" si="1263"/>
        <v/>
      </c>
      <c r="AS94" s="8" t="str">
        <f t="shared" si="1263"/>
        <v/>
      </c>
    </row>
    <row r="95" spans="1:45" s="84" customFormat="1" ht="11.25" x14ac:dyDescent="0.15">
      <c r="A95" s="14"/>
      <c r="B95" s="9" t="s">
        <v>7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>
        <v>3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</row>
    <row r="96" spans="1:45" s="84" customFormat="1" ht="11.25" x14ac:dyDescent="0.15">
      <c r="A96" s="7"/>
      <c r="B96" s="9" t="s">
        <v>8</v>
      </c>
      <c r="C96" s="8">
        <v>500</v>
      </c>
      <c r="D96" s="8">
        <v>500</v>
      </c>
      <c r="E96" s="8">
        <v>500</v>
      </c>
      <c r="F96" s="8">
        <v>500</v>
      </c>
      <c r="G96" s="8">
        <v>500</v>
      </c>
      <c r="H96" s="8">
        <v>500</v>
      </c>
      <c r="I96" s="8">
        <v>500</v>
      </c>
      <c r="J96" s="8">
        <v>500</v>
      </c>
      <c r="K96" s="8">
        <v>500</v>
      </c>
      <c r="L96" s="8">
        <f t="shared" ref="L96" si="1264">IF(L92="","",K96)</f>
        <v>500</v>
      </c>
      <c r="M96" s="8">
        <f t="shared" ref="M96" si="1265">IF(M92="","",L96)</f>
        <v>500</v>
      </c>
      <c r="N96" s="8">
        <f t="shared" ref="N96" si="1266">IF(N92="","",M96)</f>
        <v>500</v>
      </c>
      <c r="O96" s="8" t="str">
        <f t="shared" ref="O96" si="1267">IF(O92="","",N96)</f>
        <v/>
      </c>
      <c r="P96" s="8" t="str">
        <f t="shared" ref="P96" si="1268">IF(P92="","",O96)</f>
        <v/>
      </c>
      <c r="Q96" s="8" t="str">
        <f t="shared" ref="Q96" si="1269">IF(Q92="","",P96)</f>
        <v/>
      </c>
      <c r="R96" s="8" t="str">
        <f t="shared" ref="R96" si="1270">IF(R92="","",Q96)</f>
        <v/>
      </c>
      <c r="S96" s="8" t="str">
        <f t="shared" ref="S96" si="1271">IF(S92="","",R96)</f>
        <v/>
      </c>
      <c r="T96" s="8" t="str">
        <f t="shared" ref="T96" si="1272">IF(T92="","",S96)</f>
        <v/>
      </c>
      <c r="U96" s="8" t="str">
        <f t="shared" ref="U96" si="1273">IF(U92="","",T96)</f>
        <v/>
      </c>
      <c r="V96" s="8" t="str">
        <f t="shared" ref="V96" si="1274">IF(V92="","",U96)</f>
        <v/>
      </c>
      <c r="W96" s="8" t="str">
        <f t="shared" ref="W96" si="1275">IF(W92="","",V96)</f>
        <v/>
      </c>
      <c r="X96" s="8" t="str">
        <f t="shared" ref="X96" si="1276">IF(X92="","",W96)</f>
        <v/>
      </c>
      <c r="Y96" s="8" t="str">
        <f t="shared" ref="Y96" si="1277">IF(Y92="","",X96)</f>
        <v/>
      </c>
      <c r="Z96" s="8" t="str">
        <f t="shared" ref="Z96" si="1278">IF(Z92="","",Y96)</f>
        <v/>
      </c>
      <c r="AA96" s="8" t="str">
        <f t="shared" ref="AA96" si="1279">IF(AA92="","",Z96)</f>
        <v/>
      </c>
      <c r="AB96" s="8" t="str">
        <f t="shared" ref="AB96" si="1280">IF(AB92="","",AA96)</f>
        <v/>
      </c>
      <c r="AC96" s="8" t="str">
        <f t="shared" ref="AC96" si="1281">IF(AC92="","",AB96)</f>
        <v/>
      </c>
      <c r="AD96" s="8" t="str">
        <f t="shared" ref="AD96" si="1282">IF(AD92="","",AC96)</f>
        <v/>
      </c>
      <c r="AE96" s="8" t="str">
        <f t="shared" ref="AE96" si="1283">IF(AE92="","",AD96)</f>
        <v/>
      </c>
      <c r="AF96" s="8" t="str">
        <f t="shared" ref="AF96" si="1284">IF(AF92="","",AE96)</f>
        <v/>
      </c>
      <c r="AG96" s="8" t="str">
        <f t="shared" ref="AG96" si="1285">IF(AG92="","",AF96)</f>
        <v/>
      </c>
      <c r="AH96" s="8" t="str">
        <f t="shared" ref="AH96" si="1286">IF(AH92="","",AG96)</f>
        <v/>
      </c>
      <c r="AI96" s="8" t="str">
        <f t="shared" ref="AI96" si="1287">IF(AI92="","",AH96)</f>
        <v/>
      </c>
      <c r="AJ96" s="8" t="str">
        <f t="shared" ref="AJ96" si="1288">IF(AJ92="","",AI96)</f>
        <v/>
      </c>
      <c r="AK96" s="8" t="str">
        <f t="shared" ref="AK96" si="1289">IF(AK92="","",AJ96)</f>
        <v/>
      </c>
      <c r="AL96" s="8" t="str">
        <f t="shared" ref="AL96" si="1290">IF(AL92="","",AK96)</f>
        <v/>
      </c>
      <c r="AM96" s="8" t="str">
        <f t="shared" ref="AM96" si="1291">IF(AM92="","",AL96)</f>
        <v/>
      </c>
      <c r="AN96" s="8" t="str">
        <f t="shared" ref="AN96" si="1292">IF(AN92="","",AM96)</f>
        <v/>
      </c>
      <c r="AO96" s="8" t="str">
        <f t="shared" ref="AO96:AS96" si="1293">IF(AO92="","",AN96)</f>
        <v/>
      </c>
      <c r="AP96" s="8" t="str">
        <f t="shared" si="1293"/>
        <v/>
      </c>
      <c r="AQ96" s="8" t="str">
        <f t="shared" si="1293"/>
        <v/>
      </c>
      <c r="AR96" s="8" t="str">
        <f t="shared" si="1293"/>
        <v/>
      </c>
      <c r="AS96" s="8" t="str">
        <f t="shared" si="1293"/>
        <v/>
      </c>
    </row>
    <row r="97" spans="1:45" s="85" customFormat="1" ht="11.25" x14ac:dyDescent="0.15">
      <c r="A97" s="14" t="s">
        <v>9</v>
      </c>
      <c r="B97" s="13" t="s">
        <v>10</v>
      </c>
      <c r="C97" s="12" t="s">
        <v>21</v>
      </c>
      <c r="D97" s="12" t="s">
        <v>21</v>
      </c>
      <c r="E97" s="12" t="s">
        <v>21</v>
      </c>
      <c r="F97" s="12" t="s">
        <v>21</v>
      </c>
      <c r="G97" s="12" t="s">
        <v>21</v>
      </c>
      <c r="H97" s="12" t="s">
        <v>21</v>
      </c>
      <c r="I97" s="12" t="s">
        <v>21</v>
      </c>
      <c r="J97" s="12" t="s">
        <v>21</v>
      </c>
      <c r="K97" s="12" t="s">
        <v>21</v>
      </c>
      <c r="L97" s="12" t="str">
        <f t="shared" ref="L97" si="1294">IF(L92="","",K97)</f>
        <v>たまごっちマスコット</v>
      </c>
      <c r="M97" s="12" t="str">
        <f t="shared" ref="M97" si="1295">IF(M92="","",L97)</f>
        <v>たまごっちマスコット</v>
      </c>
      <c r="N97" s="12" t="str">
        <f t="shared" ref="N97" si="1296">IF(N92="","",M97)</f>
        <v>たまごっちマスコット</v>
      </c>
      <c r="O97" s="12" t="str">
        <f t="shared" ref="O97" si="1297">IF(O92="","",N97)</f>
        <v/>
      </c>
      <c r="P97" s="12" t="str">
        <f t="shared" ref="P97" si="1298">IF(P92="","",O97)</f>
        <v/>
      </c>
      <c r="Q97" s="12" t="str">
        <f t="shared" ref="Q97" si="1299">IF(Q92="","",P97)</f>
        <v/>
      </c>
      <c r="R97" s="12" t="str">
        <f t="shared" ref="R97" si="1300">IF(R92="","",Q97)</f>
        <v/>
      </c>
      <c r="S97" s="12" t="str">
        <f t="shared" ref="S97" si="1301">IF(S92="","",R97)</f>
        <v/>
      </c>
      <c r="T97" s="12" t="str">
        <f t="shared" ref="T97" si="1302">IF(T92="","",S97)</f>
        <v/>
      </c>
      <c r="U97" s="12" t="str">
        <f t="shared" ref="U97" si="1303">IF(U92="","",T97)</f>
        <v/>
      </c>
      <c r="V97" s="12" t="str">
        <f t="shared" ref="V97" si="1304">IF(V92="","",U97)</f>
        <v/>
      </c>
      <c r="W97" s="12" t="str">
        <f t="shared" ref="W97" si="1305">IF(W92="","",V97)</f>
        <v/>
      </c>
      <c r="X97" s="12" t="str">
        <f t="shared" ref="X97" si="1306">IF(X92="","",W97)</f>
        <v/>
      </c>
      <c r="Y97" s="12" t="str">
        <f t="shared" ref="Y97" si="1307">IF(Y92="","",X97)</f>
        <v/>
      </c>
      <c r="Z97" s="12" t="str">
        <f t="shared" ref="Z97" si="1308">IF(Z92="","",Y97)</f>
        <v/>
      </c>
      <c r="AA97" s="12" t="str">
        <f t="shared" ref="AA97" si="1309">IF(AA92="","",Z97)</f>
        <v/>
      </c>
      <c r="AB97" s="12" t="str">
        <f t="shared" ref="AB97" si="1310">IF(AB92="","",AA97)</f>
        <v/>
      </c>
      <c r="AC97" s="12" t="str">
        <f t="shared" ref="AC97" si="1311">IF(AC92="","",AB97)</f>
        <v/>
      </c>
      <c r="AD97" s="12" t="str">
        <f t="shared" ref="AD97" si="1312">IF(AD92="","",AC97)</f>
        <v/>
      </c>
      <c r="AE97" s="12" t="str">
        <f t="shared" ref="AE97" si="1313">IF(AE92="","",AD97)</f>
        <v/>
      </c>
      <c r="AF97" s="12" t="str">
        <f t="shared" ref="AF97" si="1314">IF(AF92="","",AE97)</f>
        <v/>
      </c>
      <c r="AG97" s="12" t="str">
        <f t="shared" ref="AG97" si="1315">IF(AG92="","",AF97)</f>
        <v/>
      </c>
      <c r="AH97" s="12" t="str">
        <f t="shared" ref="AH97" si="1316">IF(AH92="","",AG97)</f>
        <v/>
      </c>
      <c r="AI97" s="12" t="str">
        <f t="shared" ref="AI97" si="1317">IF(AI92="","",AH97)</f>
        <v/>
      </c>
      <c r="AJ97" s="12" t="str">
        <f t="shared" ref="AJ97" si="1318">IF(AJ92="","",AI97)</f>
        <v/>
      </c>
      <c r="AK97" s="12" t="str">
        <f t="shared" ref="AK97" si="1319">IF(AK92="","",AJ97)</f>
        <v/>
      </c>
      <c r="AL97" s="12" t="str">
        <f t="shared" ref="AL97" si="1320">IF(AL92="","",AK97)</f>
        <v/>
      </c>
      <c r="AM97" s="12" t="str">
        <f t="shared" ref="AM97" si="1321">IF(AM92="","",AL97)</f>
        <v/>
      </c>
      <c r="AN97" s="12" t="str">
        <f t="shared" ref="AN97" si="1322">IF(AN92="","",AM97)</f>
        <v/>
      </c>
      <c r="AO97" s="12" t="str">
        <f t="shared" ref="AO97:AS97" si="1323">IF(AO92="","",AN97)</f>
        <v/>
      </c>
      <c r="AP97" s="12" t="str">
        <f t="shared" si="1323"/>
        <v/>
      </c>
      <c r="AQ97" s="12" t="str">
        <f t="shared" si="1323"/>
        <v/>
      </c>
      <c r="AR97" s="12" t="str">
        <f t="shared" si="1323"/>
        <v/>
      </c>
      <c r="AS97" s="12" t="str">
        <f t="shared" si="1323"/>
        <v/>
      </c>
    </row>
    <row r="98" spans="1:45" s="84" customFormat="1" ht="11.25" x14ac:dyDescent="0.15">
      <c r="A98" s="7">
        <f>AVERAGE(C99:AS99)*30*100</f>
        <v>25750</v>
      </c>
      <c r="B98" s="9" t="s">
        <v>12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</row>
    <row r="99" spans="1:45" s="84" customFormat="1" ht="11.25" x14ac:dyDescent="0.15">
      <c r="A99" s="7">
        <f>SUM(C99:AS99)</f>
        <v>103</v>
      </c>
      <c r="B99" s="6" t="s">
        <v>13</v>
      </c>
      <c r="C99" s="5">
        <v>0</v>
      </c>
      <c r="D99" s="5">
        <v>0</v>
      </c>
      <c r="E99" s="5">
        <v>0</v>
      </c>
      <c r="F99" s="5">
        <v>0</v>
      </c>
      <c r="G99" s="5">
        <v>41</v>
      </c>
      <c r="H99" s="5">
        <v>0</v>
      </c>
      <c r="I99" s="5">
        <v>0</v>
      </c>
      <c r="J99" s="5">
        <v>0</v>
      </c>
      <c r="K99" s="5">
        <v>10</v>
      </c>
      <c r="L99" s="5">
        <f t="shared" ref="L99:L100" si="1324">IF(L92="","",L92-K92)</f>
        <v>0</v>
      </c>
      <c r="M99" s="5">
        <f t="shared" ref="M99:M100" si="1325">IF(M92="","",M92-L92)</f>
        <v>0</v>
      </c>
      <c r="N99" s="5">
        <f t="shared" ref="N99:N100" si="1326">IF(N92="","",N92-M92)</f>
        <v>52</v>
      </c>
      <c r="O99" s="5" t="str">
        <f t="shared" ref="O99:O100" si="1327">IF(O92="","",O92-N92)</f>
        <v/>
      </c>
      <c r="P99" s="5" t="str">
        <f t="shared" ref="P99:P100" si="1328">IF(P92="","",P92-O92)</f>
        <v/>
      </c>
      <c r="Q99" s="5" t="str">
        <f t="shared" ref="Q99:Q100" si="1329">IF(Q92="","",Q92-P92)</f>
        <v/>
      </c>
      <c r="R99" s="5" t="str">
        <f t="shared" ref="R99:R100" si="1330">IF(R92="","",R92-Q92)</f>
        <v/>
      </c>
      <c r="S99" s="5" t="str">
        <f t="shared" ref="S99:S100" si="1331">IF(S92="","",S92-R92)</f>
        <v/>
      </c>
      <c r="T99" s="5" t="str">
        <f t="shared" ref="T99:T100" si="1332">IF(T92="","",T92-S92)</f>
        <v/>
      </c>
      <c r="U99" s="5" t="str">
        <f t="shared" ref="U99:U100" si="1333">IF(U92="","",U92-T92)</f>
        <v/>
      </c>
      <c r="V99" s="5" t="str">
        <f t="shared" ref="V99:V100" si="1334">IF(V92="","",V92-U92)</f>
        <v/>
      </c>
      <c r="W99" s="5" t="str">
        <f t="shared" ref="W99:W100" si="1335">IF(W92="","",W92-V92)</f>
        <v/>
      </c>
      <c r="X99" s="5" t="str">
        <f t="shared" ref="X99:X100" si="1336">IF(X92="","",X92-W92)</f>
        <v/>
      </c>
      <c r="Y99" s="5" t="str">
        <f t="shared" ref="Y99:Y100" si="1337">IF(Y92="","",Y92-X92)</f>
        <v/>
      </c>
      <c r="Z99" s="5" t="str">
        <f t="shared" ref="Z99:Z100" si="1338">IF(Z92="","",Z92-Y92)</f>
        <v/>
      </c>
      <c r="AA99" s="5" t="str">
        <f t="shared" ref="AA99:AA100" si="1339">IF(AA92="","",AA92-Z92)</f>
        <v/>
      </c>
      <c r="AB99" s="5" t="str">
        <f t="shared" ref="AB99:AB100" si="1340">IF(AB92="","",AB92-AA92)</f>
        <v/>
      </c>
      <c r="AC99" s="5" t="str">
        <f t="shared" ref="AC99:AC100" si="1341">IF(AC92="","",AC92-AB92)</f>
        <v/>
      </c>
      <c r="AD99" s="5" t="str">
        <f t="shared" ref="AD99:AD100" si="1342">IF(AD92="","",AD92-AC92)</f>
        <v/>
      </c>
      <c r="AE99" s="5" t="str">
        <f t="shared" ref="AE99:AE100" si="1343">IF(AE92="","",AE92-AD92)</f>
        <v/>
      </c>
      <c r="AF99" s="5" t="str">
        <f t="shared" ref="AF99:AF100" si="1344">IF(AF92="","",AF92-AE92)</f>
        <v/>
      </c>
      <c r="AG99" s="5" t="str">
        <f t="shared" ref="AG99:AG100" si="1345">IF(AG92="","",AG92-AF92)</f>
        <v/>
      </c>
      <c r="AH99" s="5" t="str">
        <f t="shared" ref="AH99:AH100" si="1346">IF(AH92="","",AH92-AG92)</f>
        <v/>
      </c>
      <c r="AI99" s="5" t="str">
        <f t="shared" ref="AI99:AI100" si="1347">IF(AI92="","",AI92-AH92)</f>
        <v/>
      </c>
      <c r="AJ99" s="5" t="str">
        <f t="shared" ref="AJ99:AJ100" si="1348">IF(AJ92="","",AJ92-AI92)</f>
        <v/>
      </c>
      <c r="AK99" s="5" t="str">
        <f t="shared" ref="AK99:AK100" si="1349">IF(AK92="","",AK92-AJ92)</f>
        <v/>
      </c>
      <c r="AL99" s="5" t="str">
        <f t="shared" ref="AL99:AL100" si="1350">IF(AL92="","",AL92-AK92)</f>
        <v/>
      </c>
      <c r="AM99" s="5" t="str">
        <f t="shared" ref="AM99:AM100" si="1351">IF(AM92="","",AM92-AL92)</f>
        <v/>
      </c>
      <c r="AN99" s="5" t="str">
        <f t="shared" ref="AN99:AN100" si="1352">IF(AN92="","",AN92-AM92)</f>
        <v/>
      </c>
      <c r="AO99" s="5" t="str">
        <f t="shared" ref="AO99:AS99" si="1353">IF(AO92="","",AO92-AN92)</f>
        <v/>
      </c>
      <c r="AP99" s="5" t="str">
        <f t="shared" si="1353"/>
        <v/>
      </c>
      <c r="AQ99" s="5" t="str">
        <f t="shared" si="1353"/>
        <v/>
      </c>
      <c r="AR99" s="5" t="str">
        <f t="shared" si="1353"/>
        <v/>
      </c>
      <c r="AS99" s="5" t="str">
        <f t="shared" si="1353"/>
        <v/>
      </c>
    </row>
    <row r="100" spans="1:45" s="84" customFormat="1" ht="11.25" x14ac:dyDescent="0.15">
      <c r="A100" s="7">
        <f>SUM(C100:AS100)</f>
        <v>3</v>
      </c>
      <c r="B100" s="6" t="s">
        <v>14</v>
      </c>
      <c r="C100" s="5">
        <v>0</v>
      </c>
      <c r="D100" s="5">
        <v>0</v>
      </c>
      <c r="E100" s="5">
        <v>0</v>
      </c>
      <c r="F100" s="5">
        <v>0</v>
      </c>
      <c r="G100" s="5">
        <v>2</v>
      </c>
      <c r="H100" s="5">
        <v>0</v>
      </c>
      <c r="I100" s="5">
        <v>0</v>
      </c>
      <c r="J100" s="5">
        <v>0</v>
      </c>
      <c r="K100" s="5">
        <v>0</v>
      </c>
      <c r="L100" s="5">
        <f t="shared" si="1324"/>
        <v>0</v>
      </c>
      <c r="M100" s="5">
        <f t="shared" si="1325"/>
        <v>0</v>
      </c>
      <c r="N100" s="5">
        <f t="shared" si="1326"/>
        <v>1</v>
      </c>
      <c r="O100" s="5" t="str">
        <f t="shared" si="1327"/>
        <v/>
      </c>
      <c r="P100" s="5" t="str">
        <f t="shared" si="1328"/>
        <v/>
      </c>
      <c r="Q100" s="5" t="str">
        <f t="shared" si="1329"/>
        <v/>
      </c>
      <c r="R100" s="5" t="str">
        <f t="shared" si="1330"/>
        <v/>
      </c>
      <c r="S100" s="5" t="str">
        <f t="shared" si="1331"/>
        <v/>
      </c>
      <c r="T100" s="5" t="str">
        <f t="shared" si="1332"/>
        <v/>
      </c>
      <c r="U100" s="5" t="str">
        <f t="shared" si="1333"/>
        <v/>
      </c>
      <c r="V100" s="5" t="str">
        <f t="shared" si="1334"/>
        <v/>
      </c>
      <c r="W100" s="5" t="str">
        <f t="shared" si="1335"/>
        <v/>
      </c>
      <c r="X100" s="5" t="str">
        <f t="shared" si="1336"/>
        <v/>
      </c>
      <c r="Y100" s="5" t="str">
        <f t="shared" si="1337"/>
        <v/>
      </c>
      <c r="Z100" s="5" t="str">
        <f t="shared" si="1338"/>
        <v/>
      </c>
      <c r="AA100" s="5" t="str">
        <f t="shared" si="1339"/>
        <v/>
      </c>
      <c r="AB100" s="5" t="str">
        <f t="shared" si="1340"/>
        <v/>
      </c>
      <c r="AC100" s="5" t="str">
        <f t="shared" si="1341"/>
        <v/>
      </c>
      <c r="AD100" s="5" t="str">
        <f t="shared" si="1342"/>
        <v/>
      </c>
      <c r="AE100" s="5" t="str">
        <f t="shared" si="1343"/>
        <v/>
      </c>
      <c r="AF100" s="5" t="str">
        <f t="shared" si="1344"/>
        <v/>
      </c>
      <c r="AG100" s="5" t="str">
        <f t="shared" si="1345"/>
        <v/>
      </c>
      <c r="AH100" s="5" t="str">
        <f t="shared" si="1346"/>
        <v/>
      </c>
      <c r="AI100" s="5" t="str">
        <f t="shared" si="1347"/>
        <v/>
      </c>
      <c r="AJ100" s="5" t="str">
        <f t="shared" si="1348"/>
        <v/>
      </c>
      <c r="AK100" s="5" t="str">
        <f t="shared" si="1349"/>
        <v/>
      </c>
      <c r="AL100" s="5" t="str">
        <f t="shared" si="1350"/>
        <v/>
      </c>
      <c r="AM100" s="5" t="str">
        <f t="shared" si="1351"/>
        <v/>
      </c>
      <c r="AN100" s="5" t="str">
        <f t="shared" si="1352"/>
        <v/>
      </c>
      <c r="AO100" s="5" t="str">
        <f t="shared" ref="AO100:AS100" si="1354">IF(AO93="","",AO93-AN93)</f>
        <v/>
      </c>
      <c r="AP100" s="5" t="str">
        <f t="shared" si="1354"/>
        <v/>
      </c>
      <c r="AQ100" s="5" t="str">
        <f t="shared" si="1354"/>
        <v/>
      </c>
      <c r="AR100" s="5" t="str">
        <f t="shared" si="1354"/>
        <v/>
      </c>
      <c r="AS100" s="5" t="str">
        <f t="shared" si="1354"/>
        <v/>
      </c>
    </row>
    <row r="101" spans="1:45" s="84" customFormat="1" ht="11.25" x14ac:dyDescent="0.15">
      <c r="A101" s="7">
        <f>SUM(C101:AS101)</f>
        <v>3</v>
      </c>
      <c r="B101" s="6" t="s">
        <v>15</v>
      </c>
      <c r="C101" s="5">
        <v>0</v>
      </c>
      <c r="D101" s="5">
        <v>0</v>
      </c>
      <c r="E101" s="5">
        <v>0</v>
      </c>
      <c r="F101" s="5">
        <v>0</v>
      </c>
      <c r="G101" s="5">
        <v>2</v>
      </c>
      <c r="H101" s="5">
        <v>0</v>
      </c>
      <c r="I101" s="5">
        <v>0</v>
      </c>
      <c r="J101" s="5">
        <v>0</v>
      </c>
      <c r="K101" s="5">
        <v>0</v>
      </c>
      <c r="L101" s="5">
        <f t="shared" ref="L101" si="1355">IF(L94="","",K94+K95-L94)</f>
        <v>0</v>
      </c>
      <c r="M101" s="5">
        <f t="shared" ref="M101" si="1356">IF(M94="","",L94+L95-M94)</f>
        <v>0</v>
      </c>
      <c r="N101" s="5">
        <f t="shared" ref="N101" si="1357">IF(N94="","",M94+M95-N94)</f>
        <v>1</v>
      </c>
      <c r="O101" s="5" t="str">
        <f t="shared" ref="O101" si="1358">IF(O94="","",N94+N95-O94)</f>
        <v/>
      </c>
      <c r="P101" s="5" t="str">
        <f t="shared" ref="P101" si="1359">IF(P94="","",O94+O95-P94)</f>
        <v/>
      </c>
      <c r="Q101" s="5" t="str">
        <f t="shared" ref="Q101" si="1360">IF(Q94="","",P94+P95-Q94)</f>
        <v/>
      </c>
      <c r="R101" s="5" t="str">
        <f t="shared" ref="R101" si="1361">IF(R94="","",Q94+Q95-R94)</f>
        <v/>
      </c>
      <c r="S101" s="5" t="str">
        <f t="shared" ref="S101" si="1362">IF(S94="","",R94+R95-S94)</f>
        <v/>
      </c>
      <c r="T101" s="5" t="str">
        <f t="shared" ref="T101" si="1363">IF(T94="","",S94+S95-T94)</f>
        <v/>
      </c>
      <c r="U101" s="5" t="str">
        <f t="shared" ref="U101" si="1364">IF(U94="","",T94+T95-U94)</f>
        <v/>
      </c>
      <c r="V101" s="5" t="str">
        <f t="shared" ref="V101" si="1365">IF(V94="","",U94+U95-V94)</f>
        <v/>
      </c>
      <c r="W101" s="5" t="str">
        <f t="shared" ref="W101" si="1366">IF(W94="","",V94+V95-W94)</f>
        <v/>
      </c>
      <c r="X101" s="5" t="str">
        <f t="shared" ref="X101" si="1367">IF(X94="","",W94+W95-X94)</f>
        <v/>
      </c>
      <c r="Y101" s="5" t="str">
        <f t="shared" ref="Y101" si="1368">IF(Y94="","",X94+X95-Y94)</f>
        <v/>
      </c>
      <c r="Z101" s="5" t="str">
        <f t="shared" ref="Z101" si="1369">IF(Z94="","",Y94+Y95-Z94)</f>
        <v/>
      </c>
      <c r="AA101" s="5" t="str">
        <f t="shared" ref="AA101" si="1370">IF(AA94="","",Z94+Z95-AA94)</f>
        <v/>
      </c>
      <c r="AB101" s="5" t="str">
        <f t="shared" ref="AB101" si="1371">IF(AB94="","",AA94+AA95-AB94)</f>
        <v/>
      </c>
      <c r="AC101" s="5" t="str">
        <f t="shared" ref="AC101" si="1372">IF(AC94="","",AB94+AB95-AC94)</f>
        <v/>
      </c>
      <c r="AD101" s="5" t="str">
        <f t="shared" ref="AD101" si="1373">IF(AD94="","",AC94+AC95-AD94)</f>
        <v/>
      </c>
      <c r="AE101" s="5" t="str">
        <f t="shared" ref="AE101" si="1374">IF(AE94="","",AD94+AD95-AE94)</f>
        <v/>
      </c>
      <c r="AF101" s="5" t="str">
        <f t="shared" ref="AF101" si="1375">IF(AF94="","",AE94+AE95-AF94)</f>
        <v/>
      </c>
      <c r="AG101" s="5" t="str">
        <f t="shared" ref="AG101" si="1376">IF(AG94="","",AF94+AF95-AG94)</f>
        <v/>
      </c>
      <c r="AH101" s="5" t="str">
        <f t="shared" ref="AH101" si="1377">IF(AH94="","",AG94+AG95-AH94)</f>
        <v/>
      </c>
      <c r="AI101" s="5" t="str">
        <f t="shared" ref="AI101" si="1378">IF(AI94="","",AH94+AH95-AI94)</f>
        <v/>
      </c>
      <c r="AJ101" s="5" t="str">
        <f t="shared" ref="AJ101" si="1379">IF(AJ94="","",AI94+AI95-AJ94)</f>
        <v/>
      </c>
      <c r="AK101" s="5" t="str">
        <f t="shared" ref="AK101" si="1380">IF(AK94="","",AJ94+AJ95-AK94)</f>
        <v/>
      </c>
      <c r="AL101" s="5" t="str">
        <f t="shared" ref="AL101" si="1381">IF(AL94="","",AK94+AK95-AL94)</f>
        <v/>
      </c>
      <c r="AM101" s="5" t="str">
        <f t="shared" ref="AM101" si="1382">IF(AM94="","",AL94+AL95-AM94)</f>
        <v/>
      </c>
      <c r="AN101" s="5" t="str">
        <f t="shared" ref="AN101" si="1383">IF(AN94="","",AM94+AM95-AN94)</f>
        <v/>
      </c>
      <c r="AO101" s="5" t="str">
        <f t="shared" ref="AO101:AS101" si="1384">IF(AO94="","",AN94+AN95-AO94)</f>
        <v/>
      </c>
      <c r="AP101" s="5" t="str">
        <f t="shared" si="1384"/>
        <v/>
      </c>
      <c r="AQ101" s="5" t="str">
        <f t="shared" si="1384"/>
        <v/>
      </c>
      <c r="AR101" s="5" t="str">
        <f t="shared" si="1384"/>
        <v/>
      </c>
      <c r="AS101" s="5" t="str">
        <f t="shared" si="1384"/>
        <v/>
      </c>
    </row>
    <row r="102" spans="1:45" s="84" customFormat="1" ht="11.25" x14ac:dyDescent="0.15">
      <c r="A102" s="7">
        <f>SUM(C102:AS102)</f>
        <v>1500</v>
      </c>
      <c r="B102" s="6" t="s">
        <v>16</v>
      </c>
      <c r="C102" s="5">
        <v>0</v>
      </c>
      <c r="D102" s="5">
        <v>0</v>
      </c>
      <c r="E102" s="5">
        <v>0</v>
      </c>
      <c r="F102" s="5">
        <v>0</v>
      </c>
      <c r="G102" s="5">
        <v>1000</v>
      </c>
      <c r="H102" s="5">
        <v>0</v>
      </c>
      <c r="I102" s="5">
        <v>0</v>
      </c>
      <c r="J102" s="5">
        <v>0</v>
      </c>
      <c r="K102" s="5">
        <v>0</v>
      </c>
      <c r="L102" s="5">
        <f t="shared" ref="J102:AN102" si="1385">IF(L92="","",L101*L96)</f>
        <v>0</v>
      </c>
      <c r="M102" s="5">
        <f t="shared" si="1385"/>
        <v>0</v>
      </c>
      <c r="N102" s="5">
        <f t="shared" si="1385"/>
        <v>500</v>
      </c>
      <c r="O102" s="5" t="str">
        <f t="shared" si="1385"/>
        <v/>
      </c>
      <c r="P102" s="5" t="str">
        <f t="shared" si="1385"/>
        <v/>
      </c>
      <c r="Q102" s="5" t="str">
        <f t="shared" si="1385"/>
        <v/>
      </c>
      <c r="R102" s="5" t="str">
        <f t="shared" si="1385"/>
        <v/>
      </c>
      <c r="S102" s="5" t="str">
        <f t="shared" si="1385"/>
        <v/>
      </c>
      <c r="T102" s="5" t="str">
        <f t="shared" si="1385"/>
        <v/>
      </c>
      <c r="U102" s="5" t="str">
        <f t="shared" si="1385"/>
        <v/>
      </c>
      <c r="V102" s="5" t="str">
        <f t="shared" si="1385"/>
        <v/>
      </c>
      <c r="W102" s="5" t="str">
        <f t="shared" si="1385"/>
        <v/>
      </c>
      <c r="X102" s="5" t="str">
        <f t="shared" si="1385"/>
        <v/>
      </c>
      <c r="Y102" s="5" t="str">
        <f t="shared" si="1385"/>
        <v/>
      </c>
      <c r="Z102" s="5" t="str">
        <f t="shared" si="1385"/>
        <v/>
      </c>
      <c r="AA102" s="5" t="str">
        <f t="shared" si="1385"/>
        <v/>
      </c>
      <c r="AB102" s="5" t="str">
        <f t="shared" si="1385"/>
        <v/>
      </c>
      <c r="AC102" s="5" t="str">
        <f t="shared" si="1385"/>
        <v/>
      </c>
      <c r="AD102" s="5" t="str">
        <f t="shared" si="1385"/>
        <v/>
      </c>
      <c r="AE102" s="5" t="str">
        <f t="shared" si="1385"/>
        <v/>
      </c>
      <c r="AF102" s="5" t="str">
        <f t="shared" si="1385"/>
        <v/>
      </c>
      <c r="AG102" s="5" t="str">
        <f t="shared" si="1385"/>
        <v/>
      </c>
      <c r="AH102" s="5" t="str">
        <f t="shared" si="1385"/>
        <v/>
      </c>
      <c r="AI102" s="5" t="str">
        <f t="shared" si="1385"/>
        <v/>
      </c>
      <c r="AJ102" s="5" t="str">
        <f t="shared" si="1385"/>
        <v/>
      </c>
      <c r="AK102" s="5" t="str">
        <f t="shared" si="1385"/>
        <v/>
      </c>
      <c r="AL102" s="5" t="str">
        <f t="shared" si="1385"/>
        <v/>
      </c>
      <c r="AM102" s="5" t="str">
        <f t="shared" si="1385"/>
        <v/>
      </c>
      <c r="AN102" s="5" t="str">
        <f t="shared" si="1385"/>
        <v/>
      </c>
      <c r="AO102" s="5" t="str">
        <f t="shared" ref="AO102:AS102" si="1386">IF(AO92="","",AO101*AO96)</f>
        <v/>
      </c>
      <c r="AP102" s="5" t="str">
        <f t="shared" si="1386"/>
        <v/>
      </c>
      <c r="AQ102" s="5" t="str">
        <f t="shared" si="1386"/>
        <v/>
      </c>
      <c r="AR102" s="5" t="str">
        <f t="shared" si="1386"/>
        <v/>
      </c>
      <c r="AS102" s="5" t="str">
        <f t="shared" si="1386"/>
        <v/>
      </c>
    </row>
    <row r="103" spans="1:45" s="84" customFormat="1" ht="12" thickBot="1" x14ac:dyDescent="0.2">
      <c r="A103" s="4">
        <f>IF(A102="","",A102/(A99*100))</f>
        <v>0.14563106796116504</v>
      </c>
      <c r="B103" s="3" t="s">
        <v>18</v>
      </c>
      <c r="C103" s="2" t="s">
        <v>19</v>
      </c>
      <c r="D103" s="2" t="s">
        <v>19</v>
      </c>
      <c r="E103" s="2" t="s">
        <v>19</v>
      </c>
      <c r="F103" s="2" t="s">
        <v>19</v>
      </c>
      <c r="G103" s="2">
        <v>0.24390243902439024</v>
      </c>
      <c r="H103" s="2" t="s">
        <v>19</v>
      </c>
      <c r="I103" s="2" t="s">
        <v>19</v>
      </c>
      <c r="J103" s="2" t="s">
        <v>19</v>
      </c>
      <c r="K103" s="2" t="s">
        <v>19</v>
      </c>
      <c r="L103" s="2" t="str">
        <f t="shared" ref="J103:AN103" si="1387">IF(L102="","",IF(L102=0,"",L102/(L99*100)))</f>
        <v/>
      </c>
      <c r="M103" s="2" t="str">
        <f t="shared" si="1387"/>
        <v/>
      </c>
      <c r="N103" s="2">
        <f t="shared" si="1387"/>
        <v>9.6153846153846159E-2</v>
      </c>
      <c r="O103" s="2" t="str">
        <f t="shared" si="1387"/>
        <v/>
      </c>
      <c r="P103" s="2" t="str">
        <f t="shared" si="1387"/>
        <v/>
      </c>
      <c r="Q103" s="2" t="str">
        <f t="shared" si="1387"/>
        <v/>
      </c>
      <c r="R103" s="2" t="str">
        <f t="shared" si="1387"/>
        <v/>
      </c>
      <c r="S103" s="2" t="str">
        <f t="shared" si="1387"/>
        <v/>
      </c>
      <c r="T103" s="2" t="str">
        <f t="shared" si="1387"/>
        <v/>
      </c>
      <c r="U103" s="2" t="str">
        <f t="shared" si="1387"/>
        <v/>
      </c>
      <c r="V103" s="2" t="str">
        <f t="shared" si="1387"/>
        <v/>
      </c>
      <c r="W103" s="2" t="str">
        <f t="shared" si="1387"/>
        <v/>
      </c>
      <c r="X103" s="2" t="str">
        <f t="shared" si="1387"/>
        <v/>
      </c>
      <c r="Y103" s="2" t="str">
        <f t="shared" si="1387"/>
        <v/>
      </c>
      <c r="Z103" s="2" t="str">
        <f t="shared" si="1387"/>
        <v/>
      </c>
      <c r="AA103" s="2" t="str">
        <f t="shared" si="1387"/>
        <v/>
      </c>
      <c r="AB103" s="2" t="str">
        <f t="shared" si="1387"/>
        <v/>
      </c>
      <c r="AC103" s="2" t="str">
        <f t="shared" si="1387"/>
        <v/>
      </c>
      <c r="AD103" s="2" t="str">
        <f t="shared" si="1387"/>
        <v/>
      </c>
      <c r="AE103" s="2" t="str">
        <f t="shared" si="1387"/>
        <v/>
      </c>
      <c r="AF103" s="2" t="str">
        <f t="shared" si="1387"/>
        <v/>
      </c>
      <c r="AG103" s="2" t="str">
        <f t="shared" si="1387"/>
        <v/>
      </c>
      <c r="AH103" s="2" t="str">
        <f t="shared" si="1387"/>
        <v/>
      </c>
      <c r="AI103" s="2" t="str">
        <f t="shared" si="1387"/>
        <v/>
      </c>
      <c r="AJ103" s="2" t="str">
        <f t="shared" si="1387"/>
        <v/>
      </c>
      <c r="AK103" s="2" t="str">
        <f t="shared" si="1387"/>
        <v/>
      </c>
      <c r="AL103" s="2" t="str">
        <f t="shared" si="1387"/>
        <v/>
      </c>
      <c r="AM103" s="2" t="str">
        <f t="shared" si="1387"/>
        <v/>
      </c>
      <c r="AN103" s="2" t="str">
        <f t="shared" si="1387"/>
        <v/>
      </c>
      <c r="AO103" s="2" t="str">
        <f t="shared" ref="AO103:AS103" si="1388">IF(AO102="","",IF(AO102=0,"",AO102/(AO99*100)))</f>
        <v/>
      </c>
      <c r="AP103" s="2" t="str">
        <f t="shared" si="1388"/>
        <v/>
      </c>
      <c r="AQ103" s="2" t="str">
        <f t="shared" si="1388"/>
        <v/>
      </c>
      <c r="AR103" s="2" t="str">
        <f t="shared" si="1388"/>
        <v/>
      </c>
      <c r="AS103" s="2" t="str">
        <f t="shared" si="1388"/>
        <v/>
      </c>
    </row>
    <row r="104" spans="1:45" x14ac:dyDescent="0.2">
      <c r="A104" s="364" t="s">
        <v>82</v>
      </c>
      <c r="B104" s="365"/>
    </row>
  </sheetData>
  <phoneticPr fontId="2"/>
  <conditionalFormatting sqref="A19">
    <cfRule type="cellIs" dxfId="6" priority="1" operator="greaterThan">
      <formula>0.25</formula>
    </cfRule>
  </conditionalFormatting>
  <conditionalFormatting sqref="A31">
    <cfRule type="cellIs" dxfId="5" priority="2" operator="greaterThan">
      <formula>0.25</formula>
    </cfRule>
  </conditionalFormatting>
  <conditionalFormatting sqref="A43">
    <cfRule type="cellIs" dxfId="4" priority="3" operator="greaterThan">
      <formula>0.25</formula>
    </cfRule>
  </conditionalFormatting>
  <conditionalFormatting sqref="A55 A103">
    <cfRule type="cellIs" dxfId="3" priority="7" operator="greaterThan">
      <formula>0.25</formula>
    </cfRule>
  </conditionalFormatting>
  <conditionalFormatting sqref="A67">
    <cfRule type="cellIs" dxfId="2" priority="4" operator="greaterThan">
      <formula>0.25</formula>
    </cfRule>
  </conditionalFormatting>
  <conditionalFormatting sqref="A79">
    <cfRule type="cellIs" dxfId="1" priority="5" operator="greaterThan">
      <formula>0.25</formula>
    </cfRule>
  </conditionalFormatting>
  <conditionalFormatting sqref="A91">
    <cfRule type="cellIs" dxfId="0" priority="6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AE97-59CA-4D9B-B7EA-E65ED643F9E6}">
  <dimension ref="A1:AX153"/>
  <sheetViews>
    <sheetView zoomScale="140" zoomScaleNormal="140" workbookViewId="0">
      <pane xSplit="2" ySplit="3" topLeftCell="AA71" activePane="bottomRight" state="frozen"/>
      <selection pane="bottomLeft" activeCell="C11" sqref="C11"/>
      <selection pane="topRight" activeCell="C11" sqref="C11"/>
      <selection pane="bottomRight" activeCell="AI98" sqref="AI98"/>
    </sheetView>
  </sheetViews>
  <sheetFormatPr defaultColWidth="6.45703125" defaultRowHeight="11.25" x14ac:dyDescent="0.15"/>
  <cols>
    <col min="1" max="1" width="10.76171875" style="49" bestFit="1" customWidth="1"/>
    <col min="2" max="2" width="5.91796875" style="49" bestFit="1" customWidth="1"/>
    <col min="3" max="3" width="5.24609375" style="49" bestFit="1" customWidth="1"/>
    <col min="4" max="11" width="6.1875" style="49" bestFit="1" customWidth="1"/>
    <col min="12" max="12" width="6.58984375" style="49" bestFit="1" customWidth="1"/>
    <col min="13" max="14" width="6.1875" style="49" bestFit="1" customWidth="1"/>
    <col min="15" max="15" width="6.58984375" style="49" bestFit="1" customWidth="1"/>
    <col min="16" max="16" width="6.1875" style="49" bestFit="1" customWidth="1"/>
    <col min="17" max="17" width="5.91796875" style="49" bestFit="1" customWidth="1"/>
    <col min="18" max="18" width="5.37890625" style="49" bestFit="1" customWidth="1"/>
    <col min="19" max="19" width="5.91796875" style="49" bestFit="1" customWidth="1"/>
    <col min="20" max="20" width="6.58984375" style="49" bestFit="1" customWidth="1"/>
    <col min="21" max="21" width="7.80078125" style="49" bestFit="1" customWidth="1"/>
    <col min="22" max="22" width="5.91796875" style="49" bestFit="1" customWidth="1"/>
    <col min="23" max="23" width="5.24609375" style="49" bestFit="1" customWidth="1"/>
    <col min="24" max="24" width="5.51171875" style="49" bestFit="1" customWidth="1"/>
    <col min="25" max="25" width="5.91796875" style="49" bestFit="1" customWidth="1"/>
    <col min="26" max="26" width="4.5703125" style="49" bestFit="1" customWidth="1"/>
    <col min="27" max="27" width="5.37890625" style="49" bestFit="1" customWidth="1"/>
    <col min="28" max="28" width="4.5703125" style="49" bestFit="1" customWidth="1"/>
    <col min="29" max="29" width="5.51171875" style="49" bestFit="1" customWidth="1"/>
    <col min="30" max="50" width="5.24609375" style="49" bestFit="1" customWidth="1"/>
    <col min="51" max="16384" width="6.45703125" style="49"/>
  </cols>
  <sheetData>
    <row r="1" spans="1:50" ht="12.75" x14ac:dyDescent="0.15">
      <c r="B1" s="81"/>
      <c r="C1" s="81"/>
      <c r="D1" s="81"/>
      <c r="E1" s="95"/>
      <c r="F1" s="96"/>
      <c r="G1" s="97"/>
      <c r="H1" s="101" t="s">
        <v>98</v>
      </c>
      <c r="I1" s="101" t="s">
        <v>99</v>
      </c>
      <c r="J1" s="101" t="s">
        <v>100</v>
      </c>
      <c r="K1" s="101" t="s">
        <v>101</v>
      </c>
      <c r="L1" s="101" t="s">
        <v>102</v>
      </c>
      <c r="M1" s="102" t="s">
        <v>103</v>
      </c>
      <c r="N1" s="102" t="s">
        <v>104</v>
      </c>
      <c r="O1" s="102" t="s">
        <v>105</v>
      </c>
      <c r="P1" s="101" t="s">
        <v>106</v>
      </c>
      <c r="Q1" s="101" t="s">
        <v>107</v>
      </c>
      <c r="R1" s="102" t="s">
        <v>108</v>
      </c>
      <c r="S1" s="102" t="s">
        <v>109</v>
      </c>
      <c r="T1" s="102" t="s">
        <v>110</v>
      </c>
      <c r="U1" s="101" t="s">
        <v>111</v>
      </c>
      <c r="V1" s="101" t="s">
        <v>112</v>
      </c>
      <c r="W1" s="101" t="s">
        <v>112</v>
      </c>
      <c r="X1" s="101" t="s">
        <v>113</v>
      </c>
      <c r="Y1" s="101" t="s">
        <v>114</v>
      </c>
      <c r="Z1" s="82" t="s">
        <v>115</v>
      </c>
      <c r="AA1" s="82" t="s">
        <v>116</v>
      </c>
      <c r="AB1" s="83" t="s">
        <v>117</v>
      </c>
      <c r="AC1" s="83" t="s">
        <v>118</v>
      </c>
      <c r="AD1" s="82" t="s">
        <v>119</v>
      </c>
      <c r="AE1" s="82" t="s">
        <v>120</v>
      </c>
      <c r="AF1" s="82"/>
      <c r="AG1" s="82" t="s">
        <v>121</v>
      </c>
    </row>
    <row r="2" spans="1:50" s="62" customFormat="1" x14ac:dyDescent="0.15">
      <c r="A2" s="61" t="s">
        <v>122</v>
      </c>
      <c r="E2" s="94"/>
      <c r="H2" s="62">
        <f>A150*1000</f>
        <v>34000</v>
      </c>
      <c r="J2" s="62">
        <f>A70*1000</f>
        <v>15000</v>
      </c>
      <c r="K2" s="62">
        <f>A80*1000</f>
        <v>45000</v>
      </c>
      <c r="L2" s="62">
        <f>(A90+A100)*100</f>
        <v>9000</v>
      </c>
      <c r="M2" s="94">
        <f>+A110*1000</f>
        <v>33000</v>
      </c>
      <c r="N2" s="94">
        <f>+A120*1000</f>
        <v>56000</v>
      </c>
      <c r="O2" s="94">
        <f>+(A130+A140)*100</f>
        <v>20400</v>
      </c>
      <c r="P2" s="62">
        <f>A10*1000</f>
        <v>43000</v>
      </c>
      <c r="Q2" s="62">
        <f>A20*1000</f>
        <v>32000</v>
      </c>
      <c r="R2" s="94">
        <f>+A30*1000</f>
        <v>8000</v>
      </c>
      <c r="S2" s="94">
        <f>+A40*1000</f>
        <v>32000</v>
      </c>
      <c r="T2" s="94">
        <f>+(A50+A60)*100</f>
        <v>9800</v>
      </c>
      <c r="U2" s="62" t="e">
        <f>#REF!*1000</f>
        <v>#REF!</v>
      </c>
      <c r="V2" s="62" t="e">
        <f>#REF!*1000</f>
        <v>#REF!</v>
      </c>
      <c r="W2" s="62" t="e">
        <f>(#REF!+#REF!)*100</f>
        <v>#REF!</v>
      </c>
      <c r="X2" s="62" t="e">
        <f>#REF!*1000</f>
        <v>#REF!</v>
      </c>
      <c r="Y2" s="62" t="e">
        <f>#REF!*1000</f>
        <v>#REF!</v>
      </c>
    </row>
    <row r="3" spans="1:50" s="63" customFormat="1" ht="12" customHeight="1" thickBot="1" x14ac:dyDescent="0.15">
      <c r="A3" s="69"/>
      <c r="B3" s="79" t="s">
        <v>0</v>
      </c>
      <c r="C3" s="80">
        <v>46154</v>
      </c>
      <c r="D3" s="80">
        <v>46155</v>
      </c>
      <c r="E3" s="80">
        <v>46156</v>
      </c>
      <c r="F3" s="80">
        <v>46157</v>
      </c>
      <c r="G3" s="80">
        <v>46158</v>
      </c>
      <c r="H3" s="80">
        <v>46159</v>
      </c>
      <c r="I3" s="80">
        <v>46160</v>
      </c>
      <c r="J3" s="80">
        <v>46161</v>
      </c>
      <c r="K3" s="80">
        <v>46162</v>
      </c>
      <c r="L3" s="80">
        <v>46163</v>
      </c>
      <c r="M3" s="80">
        <f t="shared" ref="M3" si="0">L3+1</f>
        <v>46164</v>
      </c>
      <c r="N3" s="80">
        <f t="shared" ref="N3" si="1">M3+1</f>
        <v>46165</v>
      </c>
      <c r="O3" s="80">
        <f t="shared" ref="O3" si="2">N3+1</f>
        <v>46166</v>
      </c>
      <c r="P3" s="80">
        <f t="shared" ref="P3" si="3">O3+1</f>
        <v>46167</v>
      </c>
      <c r="Q3" s="80">
        <f t="shared" ref="Q3" si="4">P3+1</f>
        <v>46168</v>
      </c>
      <c r="R3" s="80">
        <f t="shared" ref="R3" si="5">Q3+1</f>
        <v>46169</v>
      </c>
      <c r="S3" s="80">
        <f t="shared" ref="S3" si="6">R3+1</f>
        <v>46170</v>
      </c>
      <c r="T3" s="80">
        <f t="shared" ref="T3" si="7">S3+1</f>
        <v>46171</v>
      </c>
      <c r="U3" s="80">
        <f t="shared" ref="U3" si="8">T3+1</f>
        <v>46172</v>
      </c>
      <c r="V3" s="80">
        <f t="shared" ref="V3" si="9">U3+1</f>
        <v>46173</v>
      </c>
      <c r="W3" s="80">
        <f t="shared" ref="W3" si="10">V3+1</f>
        <v>46174</v>
      </c>
      <c r="X3" s="80">
        <f t="shared" ref="X3" si="11">W3+1</f>
        <v>46175</v>
      </c>
      <c r="Y3" s="80">
        <f t="shared" ref="Y3" si="12">X3+1</f>
        <v>46176</v>
      </c>
      <c r="Z3" s="80">
        <f t="shared" ref="Z3" si="13">Y3+1</f>
        <v>46177</v>
      </c>
      <c r="AA3" s="80">
        <f t="shared" ref="AA3" si="14">Z3+1</f>
        <v>46178</v>
      </c>
      <c r="AB3" s="80">
        <f t="shared" ref="AB3" si="15">AA3+1</f>
        <v>46179</v>
      </c>
      <c r="AC3" s="80">
        <f t="shared" ref="AC3" si="16">AB3+1</f>
        <v>46180</v>
      </c>
      <c r="AD3" s="80">
        <f t="shared" ref="AD3" si="17">AC3+1</f>
        <v>46181</v>
      </c>
      <c r="AE3" s="80">
        <f t="shared" ref="AE3" si="18">AD3+1</f>
        <v>46182</v>
      </c>
      <c r="AF3" s="80">
        <f t="shared" ref="AF3" si="19">AE3+1</f>
        <v>46183</v>
      </c>
      <c r="AG3" s="80">
        <f t="shared" ref="AG3" si="20">AF3+1</f>
        <v>46184</v>
      </c>
      <c r="AH3" s="80">
        <f t="shared" ref="AH3" si="21">AG3+1</f>
        <v>46185</v>
      </c>
      <c r="AI3" s="80">
        <f t="shared" ref="AI3" si="22">AH3+1</f>
        <v>46186</v>
      </c>
      <c r="AJ3" s="80">
        <f t="shared" ref="AJ3" si="23">AI3+1</f>
        <v>46187</v>
      </c>
      <c r="AK3" s="80">
        <f t="shared" ref="AK3" si="24">AJ3+1</f>
        <v>46188</v>
      </c>
      <c r="AL3" s="80">
        <f t="shared" ref="AL3" si="25">AK3+1</f>
        <v>46189</v>
      </c>
      <c r="AM3" s="80">
        <f t="shared" ref="AM3" si="26">AL3+1</f>
        <v>46190</v>
      </c>
      <c r="AN3" s="80">
        <f t="shared" ref="AN3" si="27">AM3+1</f>
        <v>46191</v>
      </c>
      <c r="AO3" s="80">
        <f t="shared" ref="AO3" si="28">AN3+1</f>
        <v>46192</v>
      </c>
      <c r="AP3" s="80">
        <f t="shared" ref="AP3" si="29">AO3+1</f>
        <v>46193</v>
      </c>
      <c r="AQ3" s="80">
        <f t="shared" ref="AQ3" si="30">AP3+1</f>
        <v>46194</v>
      </c>
      <c r="AR3" s="80">
        <f t="shared" ref="AR3" si="31">AQ3+1</f>
        <v>46195</v>
      </c>
      <c r="AS3" s="80">
        <f t="shared" ref="AS3" si="32">AR3+1</f>
        <v>46196</v>
      </c>
      <c r="AT3" s="80">
        <f t="shared" ref="AT3" si="33">AS3+1</f>
        <v>46197</v>
      </c>
      <c r="AU3" s="80">
        <f t="shared" ref="AU3" si="34">AT3+1</f>
        <v>46198</v>
      </c>
      <c r="AV3" s="80">
        <f t="shared" ref="AV3" si="35">AU3+1</f>
        <v>46199</v>
      </c>
      <c r="AW3" s="80">
        <f t="shared" ref="AW3" si="36">AV3+1</f>
        <v>46200</v>
      </c>
      <c r="AX3" s="80">
        <f t="shared" ref="AX3" si="37">AW3+1</f>
        <v>46201</v>
      </c>
    </row>
    <row r="4" spans="1:50" s="1" customFormat="1" x14ac:dyDescent="0.15">
      <c r="A4" s="40" t="s">
        <v>46</v>
      </c>
      <c r="B4" s="39" t="s">
        <v>123</v>
      </c>
      <c r="C4" s="38"/>
      <c r="D4" s="38"/>
      <c r="E4" s="38"/>
      <c r="F4" s="38">
        <v>9272</v>
      </c>
      <c r="G4" s="38">
        <v>9272</v>
      </c>
      <c r="H4" s="38">
        <v>9282</v>
      </c>
      <c r="I4" s="38">
        <v>9282</v>
      </c>
      <c r="J4" s="38">
        <v>9282</v>
      </c>
      <c r="K4" s="38">
        <v>9282</v>
      </c>
      <c r="L4" s="38">
        <v>9307</v>
      </c>
      <c r="M4" s="38">
        <v>9307</v>
      </c>
      <c r="N4" s="38">
        <v>9307</v>
      </c>
      <c r="O4" s="38">
        <v>9315</v>
      </c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</row>
    <row r="5" spans="1:50" s="1" customFormat="1" x14ac:dyDescent="0.15">
      <c r="A5" s="54" t="s">
        <v>124</v>
      </c>
      <c r="B5" s="30" t="s">
        <v>125</v>
      </c>
      <c r="C5" s="29"/>
      <c r="D5" s="29"/>
      <c r="E5" s="29"/>
      <c r="F5" s="29">
        <v>142</v>
      </c>
      <c r="G5" s="29">
        <v>142</v>
      </c>
      <c r="H5" s="29">
        <v>142</v>
      </c>
      <c r="I5" s="29">
        <v>142</v>
      </c>
      <c r="J5" s="29">
        <v>142</v>
      </c>
      <c r="K5" s="29">
        <v>142</v>
      </c>
      <c r="L5" s="29">
        <v>142</v>
      </c>
      <c r="M5" s="29">
        <v>142</v>
      </c>
      <c r="N5" s="29">
        <v>142</v>
      </c>
      <c r="O5" s="29">
        <v>142</v>
      </c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</row>
    <row r="6" spans="1:50" s="1" customFormat="1" x14ac:dyDescent="0.15">
      <c r="A6" s="36" t="s">
        <v>9</v>
      </c>
      <c r="B6" s="30" t="s">
        <v>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</row>
    <row r="7" spans="1:50" s="1" customFormat="1" x14ac:dyDescent="0.15">
      <c r="A7" s="28">
        <f>AVERAGE(C10:AO10)*30*1000</f>
        <v>129000</v>
      </c>
      <c r="B7" s="30" t="s">
        <v>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</row>
    <row r="8" spans="1:50" s="11" customFormat="1" x14ac:dyDescent="0.15">
      <c r="A8" s="34"/>
      <c r="B8" s="33" t="s">
        <v>126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</row>
    <row r="9" spans="1:50" s="1" customFormat="1" x14ac:dyDescent="0.15">
      <c r="A9" s="31"/>
      <c r="B9" s="30" t="s">
        <v>127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</row>
    <row r="10" spans="1:50" s="1" customFormat="1" x14ac:dyDescent="0.15">
      <c r="A10" s="28">
        <f>SUM(C10:AO10)</f>
        <v>43</v>
      </c>
      <c r="B10" s="53" t="s">
        <v>128</v>
      </c>
      <c r="C10" s="52"/>
      <c r="D10" s="52"/>
      <c r="E10" s="52"/>
      <c r="F10" s="52">
        <v>0</v>
      </c>
      <c r="G10" s="52">
        <v>0</v>
      </c>
      <c r="H10" s="52">
        <v>10</v>
      </c>
      <c r="I10" s="52">
        <v>0</v>
      </c>
      <c r="J10" s="52">
        <v>0</v>
      </c>
      <c r="K10" s="52">
        <v>0</v>
      </c>
      <c r="L10" s="52">
        <v>25</v>
      </c>
      <c r="M10" s="52">
        <f>IF(M4="","",M4-L4)</f>
        <v>0</v>
      </c>
      <c r="N10" s="52">
        <f>IF(N4="","",N4-M4)</f>
        <v>0</v>
      </c>
      <c r="O10" s="52">
        <f t="shared" ref="O10:R11" si="38">IF(O4="","",O4-N4)</f>
        <v>8</v>
      </c>
      <c r="P10" s="52" t="str">
        <f t="shared" si="38"/>
        <v/>
      </c>
      <c r="Q10" s="52" t="str">
        <f t="shared" si="38"/>
        <v/>
      </c>
      <c r="R10" s="52" t="str">
        <f t="shared" si="38"/>
        <v/>
      </c>
      <c r="S10" s="52" t="str">
        <f t="shared" ref="S10:S11" si="39">IF(S4="","",S4-R4)</f>
        <v/>
      </c>
      <c r="T10" s="52" t="str">
        <f t="shared" ref="T10:T11" si="40">IF(T4="","",T4-S4)</f>
        <v/>
      </c>
      <c r="U10" s="52" t="str">
        <f t="shared" ref="U10:U11" si="41">IF(U4="","",U4-T4)</f>
        <v/>
      </c>
      <c r="V10" s="52" t="str">
        <f t="shared" ref="V10:V11" si="42">IF(V4="","",V4-U4)</f>
        <v/>
      </c>
      <c r="W10" s="52" t="str">
        <f t="shared" ref="W10:Y11" si="43">IF(W4="","",W4-V4)</f>
        <v/>
      </c>
      <c r="X10" s="52" t="str">
        <f t="shared" si="43"/>
        <v/>
      </c>
      <c r="Y10" s="52" t="str">
        <f t="shared" si="43"/>
        <v/>
      </c>
      <c r="Z10" s="52" t="str">
        <f t="shared" ref="Z10:Z11" si="44">IF(Z4="","",Z4-Y4)</f>
        <v/>
      </c>
      <c r="AA10" s="52" t="str">
        <f t="shared" ref="AA10:AA11" si="45">IF(AA4="","",AA4-Z4)</f>
        <v/>
      </c>
      <c r="AB10" s="52" t="str">
        <f t="shared" ref="AB10:AB11" si="46">IF(AB4="","",AB4-AA4)</f>
        <v/>
      </c>
      <c r="AC10" s="52" t="str">
        <f t="shared" ref="AC10:AC11" si="47">IF(AC4="","",AC4-AB4)</f>
        <v/>
      </c>
      <c r="AD10" s="52" t="str">
        <f t="shared" ref="AD10:AD11" si="48">IF(AD4="","",AD4-AC4)</f>
        <v/>
      </c>
      <c r="AE10" s="52" t="str">
        <f t="shared" ref="AE10:AE11" si="49">IF(AE4="","",AE4-AD4)</f>
        <v/>
      </c>
      <c r="AF10" s="52" t="str">
        <f t="shared" ref="AF10:AF11" si="50">IF(AF4="","",AF4-AE4)</f>
        <v/>
      </c>
      <c r="AG10" s="52" t="str">
        <f t="shared" ref="AG10:AG11" si="51">IF(AG4="","",AG4-AF4)</f>
        <v/>
      </c>
      <c r="AH10" s="52" t="str">
        <f t="shared" ref="AH10:AH11" si="52">IF(AH4="","",AH4-AG4)</f>
        <v/>
      </c>
      <c r="AI10" s="52" t="str">
        <f t="shared" ref="AI10:AI11" si="53">IF(AI4="","",AI4-AH4)</f>
        <v/>
      </c>
      <c r="AJ10" s="52" t="str">
        <f t="shared" ref="AJ10:AJ11" si="54">IF(AJ4="","",AJ4-AI4)</f>
        <v/>
      </c>
      <c r="AK10" s="52" t="str">
        <f t="shared" ref="AK10:AK11" si="55">IF(AK4="","",AK4-AJ4)</f>
        <v/>
      </c>
      <c r="AL10" s="52" t="str">
        <f t="shared" ref="AL10:AL11" si="56">IF(AL4="","",AL4-AK4)</f>
        <v/>
      </c>
      <c r="AM10" s="52" t="str">
        <f t="shared" ref="AM10:AM11" si="57">IF(AM4="","",AM4-AL4)</f>
        <v/>
      </c>
      <c r="AN10" s="52" t="str">
        <f t="shared" ref="AN10:AN11" si="58">IF(AN4="","",AN4-AM4)</f>
        <v/>
      </c>
      <c r="AO10" s="52" t="str">
        <f>IF(AO4="","",AO4-AN4)</f>
        <v/>
      </c>
      <c r="AP10" s="52" t="str">
        <f t="shared" ref="AP10:AP11" si="59">IF(AP4="","",AP4-AO4)</f>
        <v/>
      </c>
      <c r="AQ10" s="52" t="str">
        <f t="shared" ref="AQ10:AQ11" si="60">IF(AQ4="","",AQ4-AP4)</f>
        <v/>
      </c>
      <c r="AR10" s="52" t="str">
        <f t="shared" ref="AR10:AR11" si="61">IF(AR4="","",AR4-AQ4)</f>
        <v/>
      </c>
      <c r="AS10" s="52" t="str">
        <f t="shared" ref="AS10:AS11" si="62">IF(AS4="","",AS4-AR4)</f>
        <v/>
      </c>
      <c r="AT10" s="52" t="str">
        <f t="shared" ref="AT10:AT11" si="63">IF(AT4="","",AT4-AS4)</f>
        <v/>
      </c>
      <c r="AU10" s="52" t="str">
        <f t="shared" ref="AU10:AU11" si="64">IF(AU4="","",AU4-AT4)</f>
        <v/>
      </c>
      <c r="AV10" s="52" t="str">
        <f t="shared" ref="AV10:AV11" si="65">IF(AV4="","",AV4-AU4)</f>
        <v/>
      </c>
      <c r="AW10" s="52" t="str">
        <f t="shared" ref="AW10:AW11" si="66">IF(AW4="","",AW4-AV4)</f>
        <v/>
      </c>
      <c r="AX10" s="52" t="str">
        <f t="shared" ref="AX10:AX11" si="67">IF(AX4="","",AX4-AW4)</f>
        <v/>
      </c>
    </row>
    <row r="11" spans="1:50" s="1" customFormat="1" x14ac:dyDescent="0.15">
      <c r="A11" s="28">
        <f>SUM(C11:AO11)</f>
        <v>0</v>
      </c>
      <c r="B11" s="53" t="s">
        <v>129</v>
      </c>
      <c r="C11" s="52"/>
      <c r="D11" s="52"/>
      <c r="E11" s="52"/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f>IF(M5="","",M5-L5)</f>
        <v>0</v>
      </c>
      <c r="N11" s="52">
        <f>IF(N5="","",N5-M5)</f>
        <v>0</v>
      </c>
      <c r="O11" s="52">
        <f t="shared" si="38"/>
        <v>0</v>
      </c>
      <c r="P11" s="52" t="str">
        <f t="shared" si="38"/>
        <v/>
      </c>
      <c r="Q11" s="52" t="str">
        <f t="shared" si="38"/>
        <v/>
      </c>
      <c r="R11" s="52" t="str">
        <f t="shared" si="38"/>
        <v/>
      </c>
      <c r="S11" s="52" t="str">
        <f t="shared" si="39"/>
        <v/>
      </c>
      <c r="T11" s="52" t="str">
        <f t="shared" si="40"/>
        <v/>
      </c>
      <c r="U11" s="52" t="str">
        <f t="shared" si="41"/>
        <v/>
      </c>
      <c r="V11" s="52" t="str">
        <f t="shared" si="42"/>
        <v/>
      </c>
      <c r="W11" s="52" t="str">
        <f t="shared" si="43"/>
        <v/>
      </c>
      <c r="X11" s="52" t="str">
        <f t="shared" si="43"/>
        <v/>
      </c>
      <c r="Y11" s="52" t="str">
        <f t="shared" si="43"/>
        <v/>
      </c>
      <c r="Z11" s="52" t="str">
        <f t="shared" si="44"/>
        <v/>
      </c>
      <c r="AA11" s="52" t="str">
        <f t="shared" si="45"/>
        <v/>
      </c>
      <c r="AB11" s="52" t="str">
        <f t="shared" si="46"/>
        <v/>
      </c>
      <c r="AC11" s="52" t="str">
        <f t="shared" si="47"/>
        <v/>
      </c>
      <c r="AD11" s="52" t="str">
        <f t="shared" si="48"/>
        <v/>
      </c>
      <c r="AE11" s="52" t="str">
        <f t="shared" si="49"/>
        <v/>
      </c>
      <c r="AF11" s="52" t="str">
        <f t="shared" si="50"/>
        <v/>
      </c>
      <c r="AG11" s="52" t="str">
        <f t="shared" si="51"/>
        <v/>
      </c>
      <c r="AH11" s="52" t="str">
        <f t="shared" si="52"/>
        <v/>
      </c>
      <c r="AI11" s="52" t="str">
        <f t="shared" si="53"/>
        <v/>
      </c>
      <c r="AJ11" s="52" t="str">
        <f t="shared" si="54"/>
        <v/>
      </c>
      <c r="AK11" s="52" t="str">
        <f t="shared" si="55"/>
        <v/>
      </c>
      <c r="AL11" s="52" t="str">
        <f t="shared" si="56"/>
        <v/>
      </c>
      <c r="AM11" s="52" t="str">
        <f t="shared" si="57"/>
        <v/>
      </c>
      <c r="AN11" s="52" t="str">
        <f t="shared" si="58"/>
        <v/>
      </c>
      <c r="AO11" s="52" t="str">
        <f>IF(AO5="","",AO5-AN5)</f>
        <v/>
      </c>
      <c r="AP11" s="52" t="str">
        <f t="shared" si="59"/>
        <v/>
      </c>
      <c r="AQ11" s="52" t="str">
        <f t="shared" si="60"/>
        <v/>
      </c>
      <c r="AR11" s="52" t="str">
        <f t="shared" si="61"/>
        <v/>
      </c>
      <c r="AS11" s="52" t="str">
        <f t="shared" si="62"/>
        <v/>
      </c>
      <c r="AT11" s="52" t="str">
        <f t="shared" si="63"/>
        <v/>
      </c>
      <c r="AU11" s="52" t="str">
        <f t="shared" si="64"/>
        <v/>
      </c>
      <c r="AV11" s="52" t="str">
        <f t="shared" si="65"/>
        <v/>
      </c>
      <c r="AW11" s="52" t="str">
        <f t="shared" si="66"/>
        <v/>
      </c>
      <c r="AX11" s="52" t="str">
        <f t="shared" si="67"/>
        <v/>
      </c>
    </row>
    <row r="12" spans="1:50" s="1" customFormat="1" x14ac:dyDescent="0.15">
      <c r="A12" s="28">
        <f>SUM(C12:AO12)</f>
        <v>0</v>
      </c>
      <c r="B12" s="53" t="s">
        <v>16</v>
      </c>
      <c r="C12" s="52"/>
      <c r="D12" s="52"/>
      <c r="E12" s="52"/>
      <c r="F12" s="52" t="s">
        <v>19</v>
      </c>
      <c r="G12" s="52" t="s">
        <v>19</v>
      </c>
      <c r="H12" s="52" t="s">
        <v>19</v>
      </c>
      <c r="I12" s="52" t="s">
        <v>19</v>
      </c>
      <c r="J12" s="52" t="s">
        <v>19</v>
      </c>
      <c r="K12" s="52" t="s">
        <v>19</v>
      </c>
      <c r="L12" s="52" t="s">
        <v>19</v>
      </c>
      <c r="M12" s="52" t="str">
        <f>IF(M7="","",#REF!*M7)</f>
        <v/>
      </c>
      <c r="N12" s="52" t="str">
        <f>IF(N7="","",#REF!*N7)</f>
        <v/>
      </c>
      <c r="O12" s="52" t="str">
        <f>IF(O7="","",#REF!*O7)</f>
        <v/>
      </c>
      <c r="P12" s="52" t="str">
        <f>IF(P7="","",#REF!*P7)</f>
        <v/>
      </c>
      <c r="Q12" s="52" t="str">
        <f>IF(Q7="","",#REF!*Q7)</f>
        <v/>
      </c>
      <c r="R12" s="52" t="str">
        <f>IF(R7="","",#REF!*R7)</f>
        <v/>
      </c>
      <c r="S12" s="52" t="str">
        <f>IF(S7="","",#REF!*S7)</f>
        <v/>
      </c>
      <c r="T12" s="52" t="str">
        <f>IF(T7="","",#REF!*T7)</f>
        <v/>
      </c>
      <c r="U12" s="52" t="str">
        <f>IF(U7="","",#REF!*U7)</f>
        <v/>
      </c>
      <c r="V12" s="52" t="str">
        <f>IF(V7="","",#REF!*V7)</f>
        <v/>
      </c>
      <c r="W12" s="52" t="str">
        <f>IF(W7="","",#REF!*W7)</f>
        <v/>
      </c>
      <c r="X12" s="52" t="str">
        <f>IF(X7="","",#REF!*X7)</f>
        <v/>
      </c>
      <c r="Y12" s="52" t="str">
        <f>IF(Y7="","",#REF!*Y7)</f>
        <v/>
      </c>
      <c r="Z12" s="52" t="str">
        <f>IF(Z7="","",#REF!*Z7)</f>
        <v/>
      </c>
      <c r="AA12" s="52" t="str">
        <f>IF(AA7="","",#REF!*AA7)</f>
        <v/>
      </c>
      <c r="AB12" s="52" t="str">
        <f>IF(AB7="","",#REF!*AB7)</f>
        <v/>
      </c>
      <c r="AC12" s="52" t="str">
        <f>IF(AC7="","",#REF!*AC7)</f>
        <v/>
      </c>
      <c r="AD12" s="52" t="str">
        <f>IF(AD7="","",#REF!*AD7)</f>
        <v/>
      </c>
      <c r="AE12" s="52" t="str">
        <f>IF(AE7="","",#REF!*AE7)</f>
        <v/>
      </c>
      <c r="AF12" s="52" t="str">
        <f>IF(AF7="","",#REF!*AF7)</f>
        <v/>
      </c>
      <c r="AG12" s="52" t="str">
        <f>IF(AG7="","",#REF!*AG7)</f>
        <v/>
      </c>
      <c r="AH12" s="52" t="str">
        <f>IF(AH7="","",#REF!*AH7)</f>
        <v/>
      </c>
      <c r="AI12" s="52" t="str">
        <f>IF(AI7="","",#REF!*AI7)</f>
        <v/>
      </c>
      <c r="AJ12" s="52" t="str">
        <f>IF(AJ7="","",#REF!*AJ7)</f>
        <v/>
      </c>
      <c r="AK12" s="52" t="str">
        <f>IF(AK7="","",#REF!*AK7)</f>
        <v/>
      </c>
      <c r="AL12" s="52" t="str">
        <f>IF(AL7="","",#REF!*AL7)</f>
        <v/>
      </c>
      <c r="AM12" s="52" t="str">
        <f>IF(AM7="","",#REF!*AM7)</f>
        <v/>
      </c>
      <c r="AN12" s="52" t="str">
        <f>IF(AN7="","",#REF!*AN7)</f>
        <v/>
      </c>
      <c r="AO12" s="52" t="str">
        <f>IF(AO7="","",#REF!*AO7)</f>
        <v/>
      </c>
      <c r="AP12" s="52" t="str">
        <f>IF(AP7="","",#REF!*AP7)</f>
        <v/>
      </c>
      <c r="AQ12" s="52" t="str">
        <f>IF(AQ7="","",#REF!*AQ7)</f>
        <v/>
      </c>
      <c r="AR12" s="52" t="str">
        <f>IF(AR7="","",#REF!*AR7)</f>
        <v/>
      </c>
      <c r="AS12" s="52" t="str">
        <f>IF(AS7="","",#REF!*AS7)</f>
        <v/>
      </c>
      <c r="AT12" s="52" t="str">
        <f>IF(AT7="","",#REF!*AT7)</f>
        <v/>
      </c>
      <c r="AU12" s="52" t="str">
        <f>IF(AU7="","",#REF!*AU7)</f>
        <v/>
      </c>
      <c r="AV12" s="52" t="str">
        <f>IF(AV7="","",#REF!*AV7)</f>
        <v/>
      </c>
      <c r="AW12" s="52" t="str">
        <f>IF(AW7="","",#REF!*AW7)</f>
        <v/>
      </c>
      <c r="AX12" s="52" t="str">
        <f>IF(AX7="","",#REF!*AX7)</f>
        <v/>
      </c>
    </row>
    <row r="13" spans="1:50" s="1" customFormat="1" ht="12" thickBot="1" x14ac:dyDescent="0.2">
      <c r="A13" s="25">
        <f>IF(A12="","",A12/(A10*100))</f>
        <v>0</v>
      </c>
      <c r="B13" s="51" t="s">
        <v>18</v>
      </c>
      <c r="C13" s="50"/>
      <c r="D13" s="50"/>
      <c r="E13" s="50"/>
      <c r="F13" s="50" t="s">
        <v>19</v>
      </c>
      <c r="G13" s="50" t="s">
        <v>19</v>
      </c>
      <c r="H13" s="50" t="s">
        <v>19</v>
      </c>
      <c r="I13" s="50" t="s">
        <v>19</v>
      </c>
      <c r="J13" s="50" t="s">
        <v>19</v>
      </c>
      <c r="K13" s="50" t="s">
        <v>19</v>
      </c>
      <c r="L13" s="50" t="s">
        <v>19</v>
      </c>
      <c r="M13" s="50" t="str">
        <f>IF(M12="","",M12/(M10*100))</f>
        <v/>
      </c>
      <c r="N13" s="50" t="str">
        <f>IF(N12="","",N12/(N10*100))</f>
        <v/>
      </c>
      <c r="O13" s="50" t="str">
        <f t="shared" ref="M13:R13" si="68">IF(O12="","",O12/(O10*100))</f>
        <v/>
      </c>
      <c r="P13" s="50" t="str">
        <f t="shared" si="68"/>
        <v/>
      </c>
      <c r="Q13" s="50" t="str">
        <f t="shared" si="68"/>
        <v/>
      </c>
      <c r="R13" s="50" t="str">
        <f t="shared" si="68"/>
        <v/>
      </c>
      <c r="S13" s="50" t="str">
        <f>IF(S12="","",S12/(S10*100))</f>
        <v/>
      </c>
      <c r="T13" s="50" t="str">
        <f>IF(T12="","",T12/(T10*100))</f>
        <v/>
      </c>
      <c r="U13" s="50" t="str">
        <f>IF(U12="","",U12/(U10*100))</f>
        <v/>
      </c>
      <c r="V13" s="50" t="str">
        <f>IF(V12="","",V12/(V10*100))</f>
        <v/>
      </c>
      <c r="W13" s="50" t="str">
        <f>IF(W12="","",W12/(W10*100))</f>
        <v/>
      </c>
      <c r="X13" s="50" t="str">
        <f>IF(X12="","",X12/(X10*100))</f>
        <v/>
      </c>
      <c r="Y13" s="50" t="str">
        <f>IF(Y12="","",Y12/(Y10*100))</f>
        <v/>
      </c>
      <c r="Z13" s="50" t="str">
        <f>IF(Z12="","",Z12/(Z10*100))</f>
        <v/>
      </c>
      <c r="AA13" s="50" t="str">
        <f t="shared" ref="S13:AP13" si="69">IF(AA12="","",AA12/(AA10*100))</f>
        <v/>
      </c>
      <c r="AB13" s="50" t="str">
        <f t="shared" si="69"/>
        <v/>
      </c>
      <c r="AC13" s="50" t="str">
        <f t="shared" si="69"/>
        <v/>
      </c>
      <c r="AD13" s="50" t="str">
        <f t="shared" si="69"/>
        <v/>
      </c>
      <c r="AE13" s="50" t="str">
        <f t="shared" si="69"/>
        <v/>
      </c>
      <c r="AF13" s="50" t="str">
        <f t="shared" si="69"/>
        <v/>
      </c>
      <c r="AG13" s="50" t="str">
        <f t="shared" si="69"/>
        <v/>
      </c>
      <c r="AH13" s="50" t="str">
        <f t="shared" si="69"/>
        <v/>
      </c>
      <c r="AI13" s="50" t="str">
        <f t="shared" si="69"/>
        <v/>
      </c>
      <c r="AJ13" s="50" t="str">
        <f t="shared" si="69"/>
        <v/>
      </c>
      <c r="AK13" s="50" t="str">
        <f t="shared" si="69"/>
        <v/>
      </c>
      <c r="AL13" s="50" t="str">
        <f t="shared" si="69"/>
        <v/>
      </c>
      <c r="AM13" s="50" t="str">
        <f t="shared" si="69"/>
        <v/>
      </c>
      <c r="AN13" s="50" t="str">
        <f t="shared" si="69"/>
        <v/>
      </c>
      <c r="AO13" s="50" t="str">
        <f>IF(AO12="","",AO12/(AO10*100))</f>
        <v/>
      </c>
      <c r="AP13" s="50" t="str">
        <f t="shared" si="69"/>
        <v/>
      </c>
      <c r="AQ13" s="50" t="str">
        <f t="shared" ref="AQ13:AX13" si="70">IF(AQ12="","",AQ12/(AQ10*100))</f>
        <v/>
      </c>
      <c r="AR13" s="50" t="str">
        <f t="shared" si="70"/>
        <v/>
      </c>
      <c r="AS13" s="50" t="str">
        <f t="shared" si="70"/>
        <v/>
      </c>
      <c r="AT13" s="50" t="str">
        <f t="shared" si="70"/>
        <v/>
      </c>
      <c r="AU13" s="50" t="str">
        <f t="shared" si="70"/>
        <v/>
      </c>
      <c r="AV13" s="50" t="str">
        <f t="shared" si="70"/>
        <v/>
      </c>
      <c r="AW13" s="50" t="str">
        <f t="shared" si="70"/>
        <v/>
      </c>
      <c r="AX13" s="50" t="str">
        <f t="shared" si="70"/>
        <v/>
      </c>
    </row>
    <row r="14" spans="1:50" s="1" customFormat="1" x14ac:dyDescent="0.15">
      <c r="A14" s="40" t="s">
        <v>46</v>
      </c>
      <c r="B14" s="39" t="s">
        <v>130</v>
      </c>
      <c r="C14" s="38"/>
      <c r="D14" s="38"/>
      <c r="E14" s="38"/>
      <c r="F14" s="38">
        <v>3246</v>
      </c>
      <c r="G14" s="38">
        <v>3246</v>
      </c>
      <c r="H14" s="38">
        <v>3258</v>
      </c>
      <c r="I14" s="38">
        <v>3258</v>
      </c>
      <c r="J14" s="38">
        <v>3258</v>
      </c>
      <c r="K14" s="38">
        <v>3258</v>
      </c>
      <c r="L14" s="38">
        <v>3272</v>
      </c>
      <c r="M14" s="38">
        <v>3272</v>
      </c>
      <c r="N14" s="38">
        <v>3272</v>
      </c>
      <c r="O14" s="38">
        <v>3278</v>
      </c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</row>
    <row r="15" spans="1:50" s="1" customFormat="1" x14ac:dyDescent="0.15">
      <c r="A15" s="54" t="s">
        <v>131</v>
      </c>
      <c r="B15" s="30" t="s">
        <v>125</v>
      </c>
      <c r="C15" s="29"/>
      <c r="D15" s="29"/>
      <c r="E15" s="29"/>
      <c r="F15" s="29">
        <v>1642</v>
      </c>
      <c r="G15" s="29">
        <v>1642</v>
      </c>
      <c r="H15" s="29">
        <v>1648</v>
      </c>
      <c r="I15" s="29">
        <v>1648</v>
      </c>
      <c r="J15" s="29">
        <v>1648</v>
      </c>
      <c r="K15" s="29">
        <v>1648</v>
      </c>
      <c r="L15" s="29">
        <v>1655</v>
      </c>
      <c r="M15" s="29">
        <v>1655</v>
      </c>
      <c r="N15" s="29">
        <v>1655</v>
      </c>
      <c r="O15" s="29">
        <v>1658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</row>
    <row r="16" spans="1:50" s="1" customFormat="1" x14ac:dyDescent="0.15">
      <c r="A16" s="36" t="s">
        <v>9</v>
      </c>
      <c r="B16" s="30" t="s">
        <v>7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</row>
    <row r="17" spans="1:50" s="1" customFormat="1" x14ac:dyDescent="0.15">
      <c r="A17" s="28">
        <f>AVERAGE(C20:AO20)*30*1000</f>
        <v>96000</v>
      </c>
      <c r="B17" s="30" t="s">
        <v>8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</row>
    <row r="18" spans="1:50" s="11" customFormat="1" x14ac:dyDescent="0.15">
      <c r="A18" s="34"/>
      <c r="B18" s="33" t="s">
        <v>126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</row>
    <row r="19" spans="1:50" s="1" customFormat="1" x14ac:dyDescent="0.15">
      <c r="A19" s="31"/>
      <c r="B19" s="30" t="s">
        <v>127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</row>
    <row r="20" spans="1:50" s="1" customFormat="1" x14ac:dyDescent="0.15">
      <c r="A20" s="28">
        <f>SUM(C20:AO20)</f>
        <v>32</v>
      </c>
      <c r="B20" s="53" t="s">
        <v>128</v>
      </c>
      <c r="C20" s="52"/>
      <c r="D20" s="52"/>
      <c r="E20" s="52"/>
      <c r="F20" s="52">
        <v>0</v>
      </c>
      <c r="G20" s="52">
        <v>0</v>
      </c>
      <c r="H20" s="52">
        <v>12</v>
      </c>
      <c r="I20" s="52">
        <v>0</v>
      </c>
      <c r="J20" s="52">
        <v>0</v>
      </c>
      <c r="K20" s="52">
        <v>0</v>
      </c>
      <c r="L20" s="52">
        <v>14</v>
      </c>
      <c r="M20" s="52">
        <f>IF(M14="","",M14-L14)</f>
        <v>0</v>
      </c>
      <c r="N20" s="52">
        <f>IF(N14="","",N14-M14)</f>
        <v>0</v>
      </c>
      <c r="O20" s="52">
        <f t="shared" ref="M20:O21" si="71">IF(O14="","",O14-N14)</f>
        <v>6</v>
      </c>
      <c r="P20" s="52" t="str">
        <f t="shared" ref="P20:R21" si="72">IF(P14="","",P14-O14)</f>
        <v/>
      </c>
      <c r="Q20" s="52" t="str">
        <f t="shared" si="72"/>
        <v/>
      </c>
      <c r="R20" s="52" t="str">
        <f t="shared" si="72"/>
        <v/>
      </c>
      <c r="S20" s="52" t="str">
        <f t="shared" ref="S20:S21" si="73">IF(S14="","",S14-R14)</f>
        <v/>
      </c>
      <c r="T20" s="52" t="str">
        <f t="shared" ref="T20:T21" si="74">IF(T14="","",T14-S14)</f>
        <v/>
      </c>
      <c r="U20" s="52" t="str">
        <f t="shared" ref="U20:U21" si="75">IF(U14="","",U14-T14)</f>
        <v/>
      </c>
      <c r="V20" s="52" t="str">
        <f t="shared" ref="V20:V21" si="76">IF(V14="","",V14-U14)</f>
        <v/>
      </c>
      <c r="W20" s="52" t="str">
        <f t="shared" ref="W20:Y21" si="77">IF(W14="","",W14-V14)</f>
        <v/>
      </c>
      <c r="X20" s="52" t="str">
        <f t="shared" si="77"/>
        <v/>
      </c>
      <c r="Y20" s="52" t="str">
        <f t="shared" si="77"/>
        <v/>
      </c>
      <c r="Z20" s="52" t="str">
        <f t="shared" ref="Z20:Z21" si="78">IF(Z14="","",Z14-Y14)</f>
        <v/>
      </c>
      <c r="AA20" s="52" t="str">
        <f t="shared" ref="AA20:AA21" si="79">IF(AA14="","",AA14-Z14)</f>
        <v/>
      </c>
      <c r="AB20" s="52" t="str">
        <f t="shared" ref="AB20:AB21" si="80">IF(AB14="","",AB14-AA14)</f>
        <v/>
      </c>
      <c r="AC20" s="52" t="str">
        <f t="shared" ref="AC20:AC21" si="81">IF(AC14="","",AC14-AB14)</f>
        <v/>
      </c>
      <c r="AD20" s="52" t="str">
        <f t="shared" ref="AD20:AD21" si="82">IF(AD14="","",AD14-AC14)</f>
        <v/>
      </c>
      <c r="AE20" s="52" t="str">
        <f t="shared" ref="AE20:AE21" si="83">IF(AE14="","",AE14-AD14)</f>
        <v/>
      </c>
      <c r="AF20" s="52" t="str">
        <f t="shared" ref="AF20:AF21" si="84">IF(AF14="","",AF14-AE14)</f>
        <v/>
      </c>
      <c r="AG20" s="52" t="str">
        <f t="shared" ref="AG20:AG21" si="85">IF(AG14="","",AG14-AF14)</f>
        <v/>
      </c>
      <c r="AH20" s="52" t="str">
        <f t="shared" ref="AH20:AH21" si="86">IF(AH14="","",AH14-AG14)</f>
        <v/>
      </c>
      <c r="AI20" s="52" t="str">
        <f t="shared" ref="AI20:AI21" si="87">IF(AI14="","",AI14-AH14)</f>
        <v/>
      </c>
      <c r="AJ20" s="52" t="str">
        <f t="shared" ref="AJ20:AJ21" si="88">IF(AJ14="","",AJ14-AI14)</f>
        <v/>
      </c>
      <c r="AK20" s="52" t="str">
        <f t="shared" ref="AK20:AK21" si="89">IF(AK14="","",AK14-AJ14)</f>
        <v/>
      </c>
      <c r="AL20" s="52" t="str">
        <f t="shared" ref="AL20:AL21" si="90">IF(AL14="","",AL14-AK14)</f>
        <v/>
      </c>
      <c r="AM20" s="52" t="str">
        <f t="shared" ref="AM20:AM21" si="91">IF(AM14="","",AM14-AL14)</f>
        <v/>
      </c>
      <c r="AN20" s="52" t="str">
        <f t="shared" ref="AN20:AN21" si="92">IF(AN14="","",AN14-AM14)</f>
        <v/>
      </c>
      <c r="AO20" s="52" t="str">
        <f>IF(AO14="","",AO14-AN14)</f>
        <v/>
      </c>
      <c r="AP20" s="52" t="str">
        <f t="shared" ref="AP20:AP21" si="93">IF(AP14="","",AP14-AO14)</f>
        <v/>
      </c>
      <c r="AQ20" s="52" t="str">
        <f t="shared" ref="AQ20:AQ21" si="94">IF(AQ14="","",AQ14-AP14)</f>
        <v/>
      </c>
      <c r="AR20" s="52" t="str">
        <f t="shared" ref="AR20:AR21" si="95">IF(AR14="","",AR14-AQ14)</f>
        <v/>
      </c>
      <c r="AS20" s="52" t="str">
        <f t="shared" ref="AS20:AS21" si="96">IF(AS14="","",AS14-AR14)</f>
        <v/>
      </c>
      <c r="AT20" s="52" t="str">
        <f t="shared" ref="AT20:AT21" si="97">IF(AT14="","",AT14-AS14)</f>
        <v/>
      </c>
      <c r="AU20" s="52" t="str">
        <f t="shared" ref="AU20:AU21" si="98">IF(AU14="","",AU14-AT14)</f>
        <v/>
      </c>
      <c r="AV20" s="52" t="str">
        <f t="shared" ref="AV20:AV21" si="99">IF(AV14="","",AV14-AU14)</f>
        <v/>
      </c>
      <c r="AW20" s="52" t="str">
        <f t="shared" ref="AW20:AW21" si="100">IF(AW14="","",AW14-AV14)</f>
        <v/>
      </c>
      <c r="AX20" s="52" t="str">
        <f t="shared" ref="AX20:AX21" si="101">IF(AX14="","",AX14-AW14)</f>
        <v/>
      </c>
    </row>
    <row r="21" spans="1:50" s="1" customFormat="1" x14ac:dyDescent="0.15">
      <c r="A21" s="28">
        <f>SUM(C21:AO21)</f>
        <v>16</v>
      </c>
      <c r="B21" s="53" t="s">
        <v>129</v>
      </c>
      <c r="C21" s="52"/>
      <c r="D21" s="52"/>
      <c r="E21" s="52"/>
      <c r="F21" s="52">
        <v>0</v>
      </c>
      <c r="G21" s="52">
        <v>0</v>
      </c>
      <c r="H21" s="52">
        <v>6</v>
      </c>
      <c r="I21" s="52">
        <v>0</v>
      </c>
      <c r="J21" s="52">
        <v>0</v>
      </c>
      <c r="K21" s="52">
        <v>0</v>
      </c>
      <c r="L21" s="52">
        <v>7</v>
      </c>
      <c r="M21" s="52">
        <f>IF(M15="","",M15-L15)</f>
        <v>0</v>
      </c>
      <c r="N21" s="52">
        <f>IF(N15="","",N15-M15)</f>
        <v>0</v>
      </c>
      <c r="O21" s="52">
        <f t="shared" si="71"/>
        <v>3</v>
      </c>
      <c r="P21" s="52" t="str">
        <f t="shared" si="72"/>
        <v/>
      </c>
      <c r="Q21" s="52" t="str">
        <f t="shared" si="72"/>
        <v/>
      </c>
      <c r="R21" s="52" t="str">
        <f t="shared" si="72"/>
        <v/>
      </c>
      <c r="S21" s="52" t="str">
        <f t="shared" si="73"/>
        <v/>
      </c>
      <c r="T21" s="52" t="str">
        <f t="shared" si="74"/>
        <v/>
      </c>
      <c r="U21" s="52" t="str">
        <f t="shared" si="75"/>
        <v/>
      </c>
      <c r="V21" s="52" t="str">
        <f t="shared" si="76"/>
        <v/>
      </c>
      <c r="W21" s="52" t="str">
        <f t="shared" si="77"/>
        <v/>
      </c>
      <c r="X21" s="52" t="str">
        <f t="shared" si="77"/>
        <v/>
      </c>
      <c r="Y21" s="52" t="str">
        <f t="shared" si="77"/>
        <v/>
      </c>
      <c r="Z21" s="52" t="str">
        <f t="shared" si="78"/>
        <v/>
      </c>
      <c r="AA21" s="52" t="str">
        <f t="shared" si="79"/>
        <v/>
      </c>
      <c r="AB21" s="52" t="str">
        <f t="shared" si="80"/>
        <v/>
      </c>
      <c r="AC21" s="52" t="str">
        <f t="shared" si="81"/>
        <v/>
      </c>
      <c r="AD21" s="52" t="str">
        <f t="shared" si="82"/>
        <v/>
      </c>
      <c r="AE21" s="52" t="str">
        <f t="shared" si="83"/>
        <v/>
      </c>
      <c r="AF21" s="52" t="str">
        <f t="shared" si="84"/>
        <v/>
      </c>
      <c r="AG21" s="52" t="str">
        <f t="shared" si="85"/>
        <v/>
      </c>
      <c r="AH21" s="52" t="str">
        <f t="shared" si="86"/>
        <v/>
      </c>
      <c r="AI21" s="52" t="str">
        <f t="shared" si="87"/>
        <v/>
      </c>
      <c r="AJ21" s="52" t="str">
        <f t="shared" si="88"/>
        <v/>
      </c>
      <c r="AK21" s="52" t="str">
        <f t="shared" si="89"/>
        <v/>
      </c>
      <c r="AL21" s="52" t="str">
        <f t="shared" si="90"/>
        <v/>
      </c>
      <c r="AM21" s="52" t="str">
        <f t="shared" si="91"/>
        <v/>
      </c>
      <c r="AN21" s="52" t="str">
        <f t="shared" si="92"/>
        <v/>
      </c>
      <c r="AO21" s="52" t="str">
        <f>IF(AO15="","",AO15-AN15)</f>
        <v/>
      </c>
      <c r="AP21" s="52" t="str">
        <f t="shared" si="93"/>
        <v/>
      </c>
      <c r="AQ21" s="52" t="str">
        <f t="shared" si="94"/>
        <v/>
      </c>
      <c r="AR21" s="52" t="str">
        <f t="shared" si="95"/>
        <v/>
      </c>
      <c r="AS21" s="52" t="str">
        <f t="shared" si="96"/>
        <v/>
      </c>
      <c r="AT21" s="52" t="str">
        <f t="shared" si="97"/>
        <v/>
      </c>
      <c r="AU21" s="52" t="str">
        <f t="shared" si="98"/>
        <v/>
      </c>
      <c r="AV21" s="52" t="str">
        <f t="shared" si="99"/>
        <v/>
      </c>
      <c r="AW21" s="52" t="str">
        <f t="shared" si="100"/>
        <v/>
      </c>
      <c r="AX21" s="52" t="str">
        <f t="shared" si="101"/>
        <v/>
      </c>
    </row>
    <row r="22" spans="1:50" s="1" customFormat="1" x14ac:dyDescent="0.15">
      <c r="A22" s="28">
        <f>SUM(C22:AO22)</f>
        <v>0</v>
      </c>
      <c r="B22" s="53" t="s">
        <v>16</v>
      </c>
      <c r="C22" s="52"/>
      <c r="D22" s="52"/>
      <c r="E22" s="52"/>
      <c r="F22" s="52" t="s">
        <v>19</v>
      </c>
      <c r="G22" s="52" t="s">
        <v>19</v>
      </c>
      <c r="H22" s="52" t="s">
        <v>19</v>
      </c>
      <c r="I22" s="52" t="s">
        <v>19</v>
      </c>
      <c r="J22" s="52" t="s">
        <v>19</v>
      </c>
      <c r="K22" s="52" t="s">
        <v>19</v>
      </c>
      <c r="L22" s="52" t="s">
        <v>19</v>
      </c>
      <c r="M22" s="52" t="str">
        <f>IF(M17="","",#REF!*M17)</f>
        <v/>
      </c>
      <c r="N22" s="52" t="str">
        <f>IF(N17="","",#REF!*N17)</f>
        <v/>
      </c>
      <c r="O22" s="52" t="str">
        <f>IF(O17="","",#REF!*O17)</f>
        <v/>
      </c>
      <c r="P22" s="52" t="str">
        <f>IF(P17="","",#REF!*P17)</f>
        <v/>
      </c>
      <c r="Q22" s="52" t="str">
        <f>IF(Q17="","",#REF!*Q17)</f>
        <v/>
      </c>
      <c r="R22" s="52" t="str">
        <f>IF(R17="","",#REF!*R17)</f>
        <v/>
      </c>
      <c r="S22" s="52" t="str">
        <f>IF(S17="","",#REF!*S17)</f>
        <v/>
      </c>
      <c r="T22" s="52" t="str">
        <f>IF(T17="","",#REF!*T17)</f>
        <v/>
      </c>
      <c r="U22" s="52" t="str">
        <f>IF(U17="","",#REF!*U17)</f>
        <v/>
      </c>
      <c r="V22" s="52" t="str">
        <f>IF(V17="","",#REF!*V17)</f>
        <v/>
      </c>
      <c r="W22" s="52" t="str">
        <f>IF(W17="","",#REF!*W17)</f>
        <v/>
      </c>
      <c r="X22" s="52" t="str">
        <f>IF(X17="","",#REF!*X17)</f>
        <v/>
      </c>
      <c r="Y22" s="52" t="str">
        <f>IF(Y17="","",#REF!*Y17)</f>
        <v/>
      </c>
      <c r="Z22" s="52" t="str">
        <f>IF(Z17="","",#REF!*Z17)</f>
        <v/>
      </c>
      <c r="AA22" s="52" t="str">
        <f>IF(AA17="","",#REF!*AA17)</f>
        <v/>
      </c>
      <c r="AB22" s="52" t="str">
        <f>IF(AB17="","",#REF!*AB17)</f>
        <v/>
      </c>
      <c r="AC22" s="52" t="str">
        <f>IF(AC17="","",#REF!*AC17)</f>
        <v/>
      </c>
      <c r="AD22" s="52" t="str">
        <f>IF(AD17="","",#REF!*AD17)</f>
        <v/>
      </c>
      <c r="AE22" s="52" t="str">
        <f>IF(AE17="","",#REF!*AE17)</f>
        <v/>
      </c>
      <c r="AF22" s="52" t="str">
        <f>IF(AF17="","",#REF!*AF17)</f>
        <v/>
      </c>
      <c r="AG22" s="52" t="str">
        <f>IF(AG17="","",#REF!*AG17)</f>
        <v/>
      </c>
      <c r="AH22" s="52" t="str">
        <f>IF(AH17="","",#REF!*AH17)</f>
        <v/>
      </c>
      <c r="AI22" s="52" t="str">
        <f>IF(AI17="","",#REF!*AI17)</f>
        <v/>
      </c>
      <c r="AJ22" s="52" t="str">
        <f>IF(AJ17="","",#REF!*AJ17)</f>
        <v/>
      </c>
      <c r="AK22" s="52" t="str">
        <f>IF(AK17="","",#REF!*AK17)</f>
        <v/>
      </c>
      <c r="AL22" s="52" t="str">
        <f>IF(AL17="","",#REF!*AL17)</f>
        <v/>
      </c>
      <c r="AM22" s="52" t="str">
        <f>IF(AM17="","",#REF!*AM17)</f>
        <v/>
      </c>
      <c r="AN22" s="52" t="str">
        <f>IF(AN17="","",#REF!*AN17)</f>
        <v/>
      </c>
      <c r="AO22" s="52" t="str">
        <f>IF(AO17="","",#REF!*AO17)</f>
        <v/>
      </c>
      <c r="AP22" s="52" t="str">
        <f>IF(AP17="","",#REF!*AP17)</f>
        <v/>
      </c>
      <c r="AQ22" s="52" t="str">
        <f>IF(AQ17="","",#REF!*AQ17)</f>
        <v/>
      </c>
      <c r="AR22" s="52" t="str">
        <f>IF(AR17="","",#REF!*AR17)</f>
        <v/>
      </c>
      <c r="AS22" s="52" t="str">
        <f>IF(AS17="","",#REF!*AS17)</f>
        <v/>
      </c>
      <c r="AT22" s="52" t="str">
        <f>IF(AT17="","",#REF!*AT17)</f>
        <v/>
      </c>
      <c r="AU22" s="52" t="str">
        <f>IF(AU17="","",#REF!*AU17)</f>
        <v/>
      </c>
      <c r="AV22" s="52" t="str">
        <f>IF(AV17="","",#REF!*AV17)</f>
        <v/>
      </c>
      <c r="AW22" s="52" t="str">
        <f>IF(AW17="","",#REF!*AW17)</f>
        <v/>
      </c>
      <c r="AX22" s="52" t="str">
        <f>IF(AX17="","",#REF!*AX17)</f>
        <v/>
      </c>
    </row>
    <row r="23" spans="1:50" s="1" customFormat="1" ht="12" thickBot="1" x14ac:dyDescent="0.2">
      <c r="A23" s="25">
        <f>IF(A22="","",A22/(A20*100))</f>
        <v>0</v>
      </c>
      <c r="B23" s="51" t="s">
        <v>18</v>
      </c>
      <c r="C23" s="50"/>
      <c r="D23" s="50"/>
      <c r="E23" s="50"/>
      <c r="F23" s="50" t="s">
        <v>19</v>
      </c>
      <c r="G23" s="50" t="s">
        <v>19</v>
      </c>
      <c r="H23" s="50" t="s">
        <v>19</v>
      </c>
      <c r="I23" s="50" t="s">
        <v>19</v>
      </c>
      <c r="J23" s="50" t="s">
        <v>19</v>
      </c>
      <c r="K23" s="50" t="s">
        <v>19</v>
      </c>
      <c r="L23" s="50" t="s">
        <v>19</v>
      </c>
      <c r="M23" s="50" t="str">
        <f>IF(M22="","",M22/(M20*100))</f>
        <v/>
      </c>
      <c r="N23" s="50" t="str">
        <f>IF(N22="","",N22/(N20*100))</f>
        <v/>
      </c>
      <c r="O23" s="50" t="str">
        <f t="shared" ref="M23:R23" si="102">IF(O22="","",O22/(O20*100))</f>
        <v/>
      </c>
      <c r="P23" s="50" t="str">
        <f t="shared" si="102"/>
        <v/>
      </c>
      <c r="Q23" s="50" t="str">
        <f t="shared" si="102"/>
        <v/>
      </c>
      <c r="R23" s="50" t="str">
        <f t="shared" si="102"/>
        <v/>
      </c>
      <c r="S23" s="50" t="str">
        <f>IF(S22="","",S22/(S20*100))</f>
        <v/>
      </c>
      <c r="T23" s="50" t="str">
        <f>IF(T22="","",T22/(T20*100))</f>
        <v/>
      </c>
      <c r="U23" s="50" t="str">
        <f>IF(U22="","",U22/(U20*100))</f>
        <v/>
      </c>
      <c r="V23" s="50" t="str">
        <f>IF(V22="","",V22/(V20*100))</f>
        <v/>
      </c>
      <c r="W23" s="50" t="str">
        <f>IF(W22="","",W22/(W20*100))</f>
        <v/>
      </c>
      <c r="X23" s="50" t="str">
        <f>IF(X22="","",X22/(X20*100))</f>
        <v/>
      </c>
      <c r="Y23" s="50" t="str">
        <f>IF(Y22="","",Y22/(Y20*100))</f>
        <v/>
      </c>
      <c r="Z23" s="50" t="str">
        <f>IF(Z22="","",Z22/(Z20*100))</f>
        <v/>
      </c>
      <c r="AA23" s="50" t="str">
        <f t="shared" ref="S23:AP23" si="103">IF(AA22="","",AA22/(AA20*100))</f>
        <v/>
      </c>
      <c r="AB23" s="50" t="str">
        <f t="shared" si="103"/>
        <v/>
      </c>
      <c r="AC23" s="50" t="str">
        <f t="shared" si="103"/>
        <v/>
      </c>
      <c r="AD23" s="50" t="str">
        <f t="shared" si="103"/>
        <v/>
      </c>
      <c r="AE23" s="50" t="str">
        <f t="shared" si="103"/>
        <v/>
      </c>
      <c r="AF23" s="50" t="str">
        <f t="shared" si="103"/>
        <v/>
      </c>
      <c r="AG23" s="50" t="str">
        <f t="shared" si="103"/>
        <v/>
      </c>
      <c r="AH23" s="50" t="str">
        <f t="shared" si="103"/>
        <v/>
      </c>
      <c r="AI23" s="50" t="str">
        <f t="shared" si="103"/>
        <v/>
      </c>
      <c r="AJ23" s="50" t="str">
        <f t="shared" si="103"/>
        <v/>
      </c>
      <c r="AK23" s="50" t="str">
        <f t="shared" si="103"/>
        <v/>
      </c>
      <c r="AL23" s="50" t="str">
        <f t="shared" si="103"/>
        <v/>
      </c>
      <c r="AM23" s="50" t="str">
        <f t="shared" si="103"/>
        <v/>
      </c>
      <c r="AN23" s="50" t="str">
        <f t="shared" si="103"/>
        <v/>
      </c>
      <c r="AO23" s="50" t="str">
        <f>IF(AO22="","",AO22/(AO20*100))</f>
        <v/>
      </c>
      <c r="AP23" s="50" t="str">
        <f t="shared" si="103"/>
        <v/>
      </c>
      <c r="AQ23" s="50" t="str">
        <f t="shared" ref="AQ23:AX23" si="104">IF(AQ22="","",AQ22/(AQ20*100))</f>
        <v/>
      </c>
      <c r="AR23" s="50" t="str">
        <f t="shared" si="104"/>
        <v/>
      </c>
      <c r="AS23" s="50" t="str">
        <f t="shared" si="104"/>
        <v/>
      </c>
      <c r="AT23" s="50" t="str">
        <f t="shared" si="104"/>
        <v/>
      </c>
      <c r="AU23" s="50" t="str">
        <f t="shared" si="104"/>
        <v/>
      </c>
      <c r="AV23" s="50" t="str">
        <f t="shared" si="104"/>
        <v/>
      </c>
      <c r="AW23" s="50" t="str">
        <f t="shared" si="104"/>
        <v/>
      </c>
      <c r="AX23" s="50" t="str">
        <f t="shared" si="104"/>
        <v/>
      </c>
    </row>
    <row r="24" spans="1:50" s="1" customFormat="1" x14ac:dyDescent="0.15">
      <c r="A24" s="40" t="s">
        <v>1</v>
      </c>
      <c r="B24" s="39" t="s">
        <v>123</v>
      </c>
      <c r="C24" s="38"/>
      <c r="D24" s="38"/>
      <c r="E24" s="38"/>
      <c r="F24" s="38">
        <v>1059</v>
      </c>
      <c r="G24" s="38">
        <v>1059</v>
      </c>
      <c r="H24" s="38">
        <v>1061</v>
      </c>
      <c r="I24" s="38">
        <v>1061</v>
      </c>
      <c r="J24" s="38">
        <v>1061</v>
      </c>
      <c r="K24" s="38">
        <v>1061</v>
      </c>
      <c r="L24" s="38">
        <v>1065</v>
      </c>
      <c r="M24" s="38">
        <v>1065</v>
      </c>
      <c r="N24" s="38">
        <v>1065</v>
      </c>
      <c r="O24" s="38">
        <v>1067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</row>
    <row r="25" spans="1:50" s="1" customFormat="1" x14ac:dyDescent="0.15">
      <c r="A25" s="54" t="s">
        <v>132</v>
      </c>
      <c r="B25" s="30" t="s">
        <v>125</v>
      </c>
      <c r="C25" s="29"/>
      <c r="D25" s="29"/>
      <c r="E25" s="29"/>
      <c r="F25" s="29">
        <v>189</v>
      </c>
      <c r="G25" s="29">
        <v>189</v>
      </c>
      <c r="H25" s="29">
        <v>189</v>
      </c>
      <c r="I25" s="29">
        <v>189</v>
      </c>
      <c r="J25" s="29">
        <v>189</v>
      </c>
      <c r="K25" s="29">
        <v>189</v>
      </c>
      <c r="L25" s="29">
        <v>189</v>
      </c>
      <c r="M25" s="29">
        <v>189</v>
      </c>
      <c r="N25" s="29">
        <v>189</v>
      </c>
      <c r="O25" s="29">
        <v>189</v>
      </c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</row>
    <row r="26" spans="1:50" s="1" customFormat="1" x14ac:dyDescent="0.15">
      <c r="A26" s="36" t="s">
        <v>9</v>
      </c>
      <c r="B26" s="30" t="s">
        <v>7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</row>
    <row r="27" spans="1:50" s="1" customFormat="1" x14ac:dyDescent="0.15">
      <c r="A27" s="28">
        <f>AVERAGE(C30:AO30)*30*1000</f>
        <v>24000</v>
      </c>
      <c r="B27" s="30" t="s">
        <v>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</row>
    <row r="28" spans="1:50" s="11" customFormat="1" x14ac:dyDescent="0.15">
      <c r="A28" s="34">
        <v>1000</v>
      </c>
      <c r="B28" s="33" t="s">
        <v>126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</row>
    <row r="29" spans="1:50" s="1" customFormat="1" x14ac:dyDescent="0.15">
      <c r="A29" s="31"/>
      <c r="B29" s="30" t="s">
        <v>127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</row>
    <row r="30" spans="1:50" s="1" customFormat="1" x14ac:dyDescent="0.15">
      <c r="A30" s="28">
        <f>SUM(C30:AO30)</f>
        <v>8</v>
      </c>
      <c r="B30" s="53" t="s">
        <v>128</v>
      </c>
      <c r="C30" s="52"/>
      <c r="D30" s="52"/>
      <c r="E30" s="52"/>
      <c r="F30" s="52">
        <v>0</v>
      </c>
      <c r="G30" s="52">
        <v>0</v>
      </c>
      <c r="H30" s="52">
        <v>2</v>
      </c>
      <c r="I30" s="52">
        <v>0</v>
      </c>
      <c r="J30" s="52">
        <v>0</v>
      </c>
      <c r="K30" s="52">
        <v>0</v>
      </c>
      <c r="L30" s="52">
        <v>4</v>
      </c>
      <c r="M30" s="52">
        <v>0</v>
      </c>
      <c r="N30" s="52">
        <v>0</v>
      </c>
      <c r="O30" s="52">
        <f t="shared" ref="O30:O31" si="105">IF(O24="","",O24-N24)</f>
        <v>2</v>
      </c>
      <c r="P30" s="52" t="str">
        <f t="shared" ref="P30:R31" si="106">IF(P24="","",P24-O24)</f>
        <v/>
      </c>
      <c r="Q30" s="52" t="str">
        <f t="shared" si="106"/>
        <v/>
      </c>
      <c r="R30" s="52" t="str">
        <f t="shared" si="106"/>
        <v/>
      </c>
      <c r="S30" s="52" t="str">
        <f t="shared" ref="S30:S31" si="107">IF(S24="","",S24-R24)</f>
        <v/>
      </c>
      <c r="T30" s="52" t="str">
        <f t="shared" ref="T30:T31" si="108">IF(T24="","",T24-S24)</f>
        <v/>
      </c>
      <c r="U30" s="52" t="str">
        <f t="shared" ref="U30:U31" si="109">IF(U24="","",U24-T24)</f>
        <v/>
      </c>
      <c r="V30" s="52" t="str">
        <f t="shared" ref="V30:V31" si="110">IF(V24="","",V24-U24)</f>
        <v/>
      </c>
      <c r="W30" s="52" t="str">
        <f t="shared" ref="W30:Y31" si="111">IF(W24="","",W24-V24)</f>
        <v/>
      </c>
      <c r="X30" s="52" t="str">
        <f t="shared" si="111"/>
        <v/>
      </c>
      <c r="Y30" s="52" t="str">
        <f t="shared" si="111"/>
        <v/>
      </c>
      <c r="Z30" s="52" t="str">
        <f t="shared" ref="Z30:Z31" si="112">IF(Z24="","",Z24-Y24)</f>
        <v/>
      </c>
      <c r="AA30" s="52" t="str">
        <f t="shared" ref="AA30:AA31" si="113">IF(AA24="","",AA24-Z24)</f>
        <v/>
      </c>
      <c r="AB30" s="52" t="str">
        <f t="shared" ref="AB30:AB31" si="114">IF(AB24="","",AB24-AA24)</f>
        <v/>
      </c>
      <c r="AC30" s="52" t="str">
        <f t="shared" ref="AC30:AC31" si="115">IF(AC24="","",AC24-AB24)</f>
        <v/>
      </c>
      <c r="AD30" s="52" t="str">
        <f t="shared" ref="AD30:AD31" si="116">IF(AD24="","",AD24-AC24)</f>
        <v/>
      </c>
      <c r="AE30" s="52" t="str">
        <f t="shared" ref="AE30:AE31" si="117">IF(AE24="","",AE24-AD24)</f>
        <v/>
      </c>
      <c r="AF30" s="52" t="str">
        <f t="shared" ref="AF30:AF31" si="118">IF(AF24="","",AF24-AE24)</f>
        <v/>
      </c>
      <c r="AG30" s="52" t="str">
        <f t="shared" ref="AG30:AG31" si="119">IF(AG24="","",AG24-AF24)</f>
        <v/>
      </c>
      <c r="AH30" s="52" t="str">
        <f t="shared" ref="AH30:AH31" si="120">IF(AH24="","",AH24-AG24)</f>
        <v/>
      </c>
      <c r="AI30" s="52" t="str">
        <f t="shared" ref="AI30:AI31" si="121">IF(AI24="","",AI24-AH24)</f>
        <v/>
      </c>
      <c r="AJ30" s="52" t="str">
        <f t="shared" ref="AJ30:AJ31" si="122">IF(AJ24="","",AJ24-AI24)</f>
        <v/>
      </c>
      <c r="AK30" s="52" t="str">
        <f t="shared" ref="AK30:AK31" si="123">IF(AK24="","",AK24-AJ24)</f>
        <v/>
      </c>
      <c r="AL30" s="52" t="str">
        <f t="shared" ref="AL30:AL31" si="124">IF(AL24="","",AL24-AK24)</f>
        <v/>
      </c>
      <c r="AM30" s="52" t="str">
        <f t="shared" ref="AM30:AM31" si="125">IF(AM24="","",AM24-AL24)</f>
        <v/>
      </c>
      <c r="AN30" s="52" t="str">
        <f t="shared" ref="AN30:AN31" si="126">IF(AN24="","",AN24-AM24)</f>
        <v/>
      </c>
      <c r="AO30" s="52" t="str">
        <f>IF(AO24="","",AO24-AN24)</f>
        <v/>
      </c>
      <c r="AP30" s="52" t="str">
        <f t="shared" ref="AP30:AP31" si="127">IF(AP24="","",AP24-AO24)</f>
        <v/>
      </c>
      <c r="AQ30" s="52" t="str">
        <f t="shared" ref="AQ30:AQ31" si="128">IF(AQ24="","",AQ24-AP24)</f>
        <v/>
      </c>
      <c r="AR30" s="52" t="str">
        <f t="shared" ref="AR30:AR31" si="129">IF(AR24="","",AR24-AQ24)</f>
        <v/>
      </c>
      <c r="AS30" s="52" t="str">
        <f t="shared" ref="AS30:AS31" si="130">IF(AS24="","",AS24-AR24)</f>
        <v/>
      </c>
      <c r="AT30" s="52" t="str">
        <f t="shared" ref="AT30:AT31" si="131">IF(AT24="","",AT24-AS24)</f>
        <v/>
      </c>
      <c r="AU30" s="52" t="str">
        <f t="shared" ref="AU30:AU31" si="132">IF(AU24="","",AU24-AT24)</f>
        <v/>
      </c>
      <c r="AV30" s="52" t="str">
        <f t="shared" ref="AV30:AV31" si="133">IF(AV24="","",AV24-AU24)</f>
        <v/>
      </c>
      <c r="AW30" s="52" t="str">
        <f t="shared" ref="AW30:AW31" si="134">IF(AW24="","",AW24-AV24)</f>
        <v/>
      </c>
      <c r="AX30" s="52" t="str">
        <f t="shared" ref="AX30:AX31" si="135">IF(AX24="","",AX24-AW24)</f>
        <v/>
      </c>
    </row>
    <row r="31" spans="1:50" s="1" customFormat="1" x14ac:dyDescent="0.15">
      <c r="A31" s="28">
        <f>SUM(C31:AO31)</f>
        <v>0</v>
      </c>
      <c r="B31" s="53" t="s">
        <v>129</v>
      </c>
      <c r="C31" s="52"/>
      <c r="D31" s="52"/>
      <c r="E31" s="52"/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f t="shared" si="105"/>
        <v>0</v>
      </c>
      <c r="P31" s="52" t="str">
        <f t="shared" si="106"/>
        <v/>
      </c>
      <c r="Q31" s="52" t="str">
        <f t="shared" si="106"/>
        <v/>
      </c>
      <c r="R31" s="52" t="str">
        <f t="shared" si="106"/>
        <v/>
      </c>
      <c r="S31" s="52" t="str">
        <f t="shared" si="107"/>
        <v/>
      </c>
      <c r="T31" s="52" t="str">
        <f t="shared" si="108"/>
        <v/>
      </c>
      <c r="U31" s="52" t="str">
        <f t="shared" si="109"/>
        <v/>
      </c>
      <c r="V31" s="52" t="str">
        <f t="shared" si="110"/>
        <v/>
      </c>
      <c r="W31" s="52" t="str">
        <f t="shared" si="111"/>
        <v/>
      </c>
      <c r="X31" s="52" t="str">
        <f t="shared" si="111"/>
        <v/>
      </c>
      <c r="Y31" s="52" t="str">
        <f t="shared" si="111"/>
        <v/>
      </c>
      <c r="Z31" s="52" t="str">
        <f t="shared" si="112"/>
        <v/>
      </c>
      <c r="AA31" s="52" t="str">
        <f t="shared" si="113"/>
        <v/>
      </c>
      <c r="AB31" s="52" t="str">
        <f t="shared" si="114"/>
        <v/>
      </c>
      <c r="AC31" s="52" t="str">
        <f t="shared" si="115"/>
        <v/>
      </c>
      <c r="AD31" s="52" t="str">
        <f t="shared" si="116"/>
        <v/>
      </c>
      <c r="AE31" s="52" t="str">
        <f t="shared" si="117"/>
        <v/>
      </c>
      <c r="AF31" s="52" t="str">
        <f t="shared" si="118"/>
        <v/>
      </c>
      <c r="AG31" s="52" t="str">
        <f t="shared" si="119"/>
        <v/>
      </c>
      <c r="AH31" s="52" t="str">
        <f t="shared" si="120"/>
        <v/>
      </c>
      <c r="AI31" s="52" t="str">
        <f t="shared" si="121"/>
        <v/>
      </c>
      <c r="AJ31" s="52" t="str">
        <f t="shared" si="122"/>
        <v/>
      </c>
      <c r="AK31" s="52" t="str">
        <f t="shared" si="123"/>
        <v/>
      </c>
      <c r="AL31" s="52" t="str">
        <f t="shared" si="124"/>
        <v/>
      </c>
      <c r="AM31" s="52" t="str">
        <f t="shared" si="125"/>
        <v/>
      </c>
      <c r="AN31" s="52" t="str">
        <f t="shared" si="126"/>
        <v/>
      </c>
      <c r="AO31" s="52" t="str">
        <f>IF(AO25="","",AO25-AN25)</f>
        <v/>
      </c>
      <c r="AP31" s="52" t="str">
        <f t="shared" si="127"/>
        <v/>
      </c>
      <c r="AQ31" s="52" t="str">
        <f t="shared" si="128"/>
        <v/>
      </c>
      <c r="AR31" s="52" t="str">
        <f t="shared" si="129"/>
        <v/>
      </c>
      <c r="AS31" s="52" t="str">
        <f t="shared" si="130"/>
        <v/>
      </c>
      <c r="AT31" s="52" t="str">
        <f t="shared" si="131"/>
        <v/>
      </c>
      <c r="AU31" s="52" t="str">
        <f t="shared" si="132"/>
        <v/>
      </c>
      <c r="AV31" s="52" t="str">
        <f t="shared" si="133"/>
        <v/>
      </c>
      <c r="AW31" s="52" t="str">
        <f t="shared" si="134"/>
        <v/>
      </c>
      <c r="AX31" s="52" t="str">
        <f t="shared" si="135"/>
        <v/>
      </c>
    </row>
    <row r="32" spans="1:50" s="1" customFormat="1" x14ac:dyDescent="0.15">
      <c r="A32" s="28">
        <f>SUM(C32:AO32)</f>
        <v>0</v>
      </c>
      <c r="B32" s="53" t="s">
        <v>16</v>
      </c>
      <c r="C32" s="52"/>
      <c r="D32" s="52"/>
      <c r="E32" s="52"/>
      <c r="F32" s="52" t="s">
        <v>19</v>
      </c>
      <c r="G32" s="52" t="s">
        <v>19</v>
      </c>
      <c r="H32" s="52" t="s">
        <v>19</v>
      </c>
      <c r="I32" s="52" t="s">
        <v>19</v>
      </c>
      <c r="J32" s="52" t="s">
        <v>19</v>
      </c>
      <c r="K32" s="52" t="s">
        <v>19</v>
      </c>
      <c r="L32" s="52" t="s">
        <v>19</v>
      </c>
      <c r="M32" s="52" t="s">
        <v>19</v>
      </c>
      <c r="N32" s="52" t="s">
        <v>19</v>
      </c>
      <c r="O32" s="52" t="str">
        <f>IF(O27="","",#REF!*O27)</f>
        <v/>
      </c>
      <c r="P32" s="52" t="str">
        <f>IF(P27="","",#REF!*P27)</f>
        <v/>
      </c>
      <c r="Q32" s="52" t="str">
        <f>IF(Q27="","",#REF!*Q27)</f>
        <v/>
      </c>
      <c r="R32" s="52" t="str">
        <f>IF(R27="","",#REF!*R27)</f>
        <v/>
      </c>
      <c r="S32" s="52" t="str">
        <f>IF(S27="","",#REF!*S27)</f>
        <v/>
      </c>
      <c r="T32" s="52" t="str">
        <f>IF(T27="","",#REF!*T27)</f>
        <v/>
      </c>
      <c r="U32" s="52" t="str">
        <f>IF(U27="","",#REF!*U27)</f>
        <v/>
      </c>
      <c r="V32" s="52" t="str">
        <f>IF(V27="","",#REF!*V27)</f>
        <v/>
      </c>
      <c r="W32" s="52" t="str">
        <f>IF(W27="","",#REF!*W27)</f>
        <v/>
      </c>
      <c r="X32" s="52" t="str">
        <f>IF(X27="","",#REF!*X27)</f>
        <v/>
      </c>
      <c r="Y32" s="52" t="str">
        <f>IF(Y27="","",#REF!*Y27)</f>
        <v/>
      </c>
      <c r="Z32" s="52" t="str">
        <f>IF(Z27="","",#REF!*Z27)</f>
        <v/>
      </c>
      <c r="AA32" s="52" t="str">
        <f>IF(AA27="","",#REF!*AA27)</f>
        <v/>
      </c>
      <c r="AB32" s="52" t="str">
        <f>IF(AB27="","",#REF!*AB27)</f>
        <v/>
      </c>
      <c r="AC32" s="52" t="str">
        <f>IF(AC27="","",#REF!*AC27)</f>
        <v/>
      </c>
      <c r="AD32" s="52" t="str">
        <f>IF(AD27="","",#REF!*AD27)</f>
        <v/>
      </c>
      <c r="AE32" s="52" t="str">
        <f>IF(AE27="","",#REF!*AE27)</f>
        <v/>
      </c>
      <c r="AF32" s="52" t="str">
        <f>IF(AF27="","",#REF!*AF27)</f>
        <v/>
      </c>
      <c r="AG32" s="52" t="str">
        <f>IF(AG27="","",#REF!*AG27)</f>
        <v/>
      </c>
      <c r="AH32" s="52" t="str">
        <f>IF(AH27="","",#REF!*AH27)</f>
        <v/>
      </c>
      <c r="AI32" s="52" t="str">
        <f>IF(AI27="","",#REF!*AI27)</f>
        <v/>
      </c>
      <c r="AJ32" s="52" t="str">
        <f>IF(AJ27="","",#REF!*AJ27)</f>
        <v/>
      </c>
      <c r="AK32" s="52" t="str">
        <f>IF(AK27="","",#REF!*AK27)</f>
        <v/>
      </c>
      <c r="AL32" s="52" t="str">
        <f>IF(AL27="","",#REF!*AL27)</f>
        <v/>
      </c>
      <c r="AM32" s="52" t="str">
        <f>IF(AM27="","",#REF!*AM27)</f>
        <v/>
      </c>
      <c r="AN32" s="52" t="str">
        <f>IF(AN27="","",#REF!*AN27)</f>
        <v/>
      </c>
      <c r="AO32" s="52" t="str">
        <f>IF(AO27="","",#REF!*AO27)</f>
        <v/>
      </c>
      <c r="AP32" s="52" t="str">
        <f>IF(AP27="","",#REF!*AP27)</f>
        <v/>
      </c>
      <c r="AQ32" s="52" t="str">
        <f>IF(AQ27="","",#REF!*AQ27)</f>
        <v/>
      </c>
      <c r="AR32" s="52" t="str">
        <f>IF(AR27="","",#REF!*AR27)</f>
        <v/>
      </c>
      <c r="AS32" s="52" t="str">
        <f>IF(AS27="","",#REF!*AS27)</f>
        <v/>
      </c>
      <c r="AT32" s="52" t="str">
        <f>IF(AT27="","",#REF!*AT27)</f>
        <v/>
      </c>
      <c r="AU32" s="52" t="str">
        <f>IF(AU27="","",#REF!*AU27)</f>
        <v/>
      </c>
      <c r="AV32" s="52" t="str">
        <f>IF(AV27="","",#REF!*AV27)</f>
        <v/>
      </c>
      <c r="AW32" s="52" t="str">
        <f>IF(AW27="","",#REF!*AW27)</f>
        <v/>
      </c>
      <c r="AX32" s="52" t="str">
        <f>IF(AX27="","",#REF!*AX27)</f>
        <v/>
      </c>
    </row>
    <row r="33" spans="1:50" s="1" customFormat="1" ht="12" thickBot="1" x14ac:dyDescent="0.2">
      <c r="A33" s="25">
        <f>IF(A32="","",A32/(A30*100))</f>
        <v>0</v>
      </c>
      <c r="B33" s="51" t="s">
        <v>18</v>
      </c>
      <c r="C33" s="50"/>
      <c r="D33" s="50"/>
      <c r="E33" s="50"/>
      <c r="F33" s="50" t="s">
        <v>19</v>
      </c>
      <c r="G33" s="50" t="s">
        <v>19</v>
      </c>
      <c r="H33" s="50" t="s">
        <v>19</v>
      </c>
      <c r="I33" s="50" t="s">
        <v>19</v>
      </c>
      <c r="J33" s="50" t="s">
        <v>19</v>
      </c>
      <c r="K33" s="50" t="s">
        <v>19</v>
      </c>
      <c r="L33" s="50" t="s">
        <v>19</v>
      </c>
      <c r="M33" s="50" t="s">
        <v>19</v>
      </c>
      <c r="N33" s="50" t="s">
        <v>19</v>
      </c>
      <c r="O33" s="50" t="str">
        <f t="shared" ref="O33:AP33" si="136">IF(O32="","",O32/(O30*100))</f>
        <v/>
      </c>
      <c r="P33" s="50" t="str">
        <f>IF(P32="","",P32/(P30*100))</f>
        <v/>
      </c>
      <c r="Q33" s="50" t="str">
        <f>IF(Q32="","",Q32/(Q30*100))</f>
        <v/>
      </c>
      <c r="R33" s="50" t="str">
        <f>IF(R32="","",R32/(R30*100))</f>
        <v/>
      </c>
      <c r="S33" s="50" t="str">
        <f>IF(S32="","",S32/(S30*100))</f>
        <v/>
      </c>
      <c r="T33" s="50" t="str">
        <f>IF(T32="","",T32/(T30*100))</f>
        <v/>
      </c>
      <c r="U33" s="50" t="str">
        <f>IF(U32="","",U32/(U30*100))</f>
        <v/>
      </c>
      <c r="V33" s="50" t="str">
        <f>IF(V32="","",V32/(V30*100))</f>
        <v/>
      </c>
      <c r="W33" s="50" t="str">
        <f>IF(W32="","",W32/(W30*100))</f>
        <v/>
      </c>
      <c r="X33" s="50" t="str">
        <f>IF(X32="","",X32/(X30*100))</f>
        <v/>
      </c>
      <c r="Y33" s="50" t="str">
        <f>IF(Y32="","",Y32/(Y30*100))</f>
        <v/>
      </c>
      <c r="Z33" s="50" t="str">
        <f>IF(Z32="","",Z32/(Z30*100))</f>
        <v/>
      </c>
      <c r="AA33" s="50" t="str">
        <f t="shared" si="136"/>
        <v/>
      </c>
      <c r="AB33" s="50" t="str">
        <f t="shared" si="136"/>
        <v/>
      </c>
      <c r="AC33" s="50" t="str">
        <f t="shared" si="136"/>
        <v/>
      </c>
      <c r="AD33" s="50" t="str">
        <f t="shared" si="136"/>
        <v/>
      </c>
      <c r="AE33" s="50" t="str">
        <f t="shared" si="136"/>
        <v/>
      </c>
      <c r="AF33" s="50" t="str">
        <f t="shared" si="136"/>
        <v/>
      </c>
      <c r="AG33" s="50" t="str">
        <f t="shared" si="136"/>
        <v/>
      </c>
      <c r="AH33" s="50" t="str">
        <f t="shared" si="136"/>
        <v/>
      </c>
      <c r="AI33" s="50" t="str">
        <f t="shared" si="136"/>
        <v/>
      </c>
      <c r="AJ33" s="50" t="str">
        <f t="shared" si="136"/>
        <v/>
      </c>
      <c r="AK33" s="50" t="str">
        <f t="shared" si="136"/>
        <v/>
      </c>
      <c r="AL33" s="50" t="str">
        <f t="shared" si="136"/>
        <v/>
      </c>
      <c r="AM33" s="50" t="str">
        <f t="shared" si="136"/>
        <v/>
      </c>
      <c r="AN33" s="50" t="str">
        <f t="shared" si="136"/>
        <v/>
      </c>
      <c r="AO33" s="50" t="str">
        <f>IF(AO32="","",AO32/(AO30*100))</f>
        <v/>
      </c>
      <c r="AP33" s="50" t="str">
        <f t="shared" si="136"/>
        <v/>
      </c>
      <c r="AQ33" s="50" t="str">
        <f t="shared" ref="AQ33:AX33" si="137">IF(AQ32="","",AQ32/(AQ30*100))</f>
        <v/>
      </c>
      <c r="AR33" s="50" t="str">
        <f t="shared" si="137"/>
        <v/>
      </c>
      <c r="AS33" s="50" t="str">
        <f t="shared" si="137"/>
        <v/>
      </c>
      <c r="AT33" s="50" t="str">
        <f t="shared" si="137"/>
        <v/>
      </c>
      <c r="AU33" s="50" t="str">
        <f t="shared" si="137"/>
        <v/>
      </c>
      <c r="AV33" s="50" t="str">
        <f t="shared" si="137"/>
        <v/>
      </c>
      <c r="AW33" s="50" t="str">
        <f t="shared" si="137"/>
        <v/>
      </c>
      <c r="AX33" s="50" t="str">
        <f t="shared" si="137"/>
        <v/>
      </c>
    </row>
    <row r="34" spans="1:50" s="1" customFormat="1" x14ac:dyDescent="0.15">
      <c r="A34" s="40" t="s">
        <v>1</v>
      </c>
      <c r="B34" s="39" t="s">
        <v>123</v>
      </c>
      <c r="C34" s="38"/>
      <c r="D34" s="38"/>
      <c r="E34" s="38"/>
      <c r="F34" s="38">
        <v>1421</v>
      </c>
      <c r="G34" s="38">
        <v>1421</v>
      </c>
      <c r="H34" s="38">
        <v>1431</v>
      </c>
      <c r="I34" s="38">
        <v>1431</v>
      </c>
      <c r="J34" s="38">
        <v>1431</v>
      </c>
      <c r="K34" s="38">
        <v>1431</v>
      </c>
      <c r="L34" s="38">
        <v>1441</v>
      </c>
      <c r="M34" s="38">
        <v>1441</v>
      </c>
      <c r="N34" s="38">
        <v>1441</v>
      </c>
      <c r="O34" s="38">
        <v>1453</v>
      </c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</row>
    <row r="35" spans="1:50" s="1" customFormat="1" x14ac:dyDescent="0.15">
      <c r="A35" s="54" t="s">
        <v>131</v>
      </c>
      <c r="B35" s="30" t="s">
        <v>125</v>
      </c>
      <c r="C35" s="29"/>
      <c r="D35" s="29"/>
      <c r="E35" s="29"/>
      <c r="F35" s="29">
        <v>717</v>
      </c>
      <c r="G35" s="29">
        <v>717</v>
      </c>
      <c r="H35" s="29">
        <v>722</v>
      </c>
      <c r="I35" s="29">
        <v>722</v>
      </c>
      <c r="J35" s="29">
        <v>722</v>
      </c>
      <c r="K35" s="29">
        <v>722</v>
      </c>
      <c r="L35" s="29">
        <v>727</v>
      </c>
      <c r="M35" s="29">
        <v>727</v>
      </c>
      <c r="N35" s="29">
        <v>727</v>
      </c>
      <c r="O35" s="29">
        <v>733</v>
      </c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</row>
    <row r="36" spans="1:50" s="1" customFormat="1" x14ac:dyDescent="0.15">
      <c r="A36" s="36" t="s">
        <v>9</v>
      </c>
      <c r="B36" s="30" t="s">
        <v>7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</row>
    <row r="37" spans="1:50" s="1" customFormat="1" x14ac:dyDescent="0.15">
      <c r="A37" s="28">
        <f>AVERAGE(C40:AO40)*30*1000</f>
        <v>96000</v>
      </c>
      <c r="B37" s="30" t="s">
        <v>8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</row>
    <row r="38" spans="1:50" s="11" customFormat="1" x14ac:dyDescent="0.15">
      <c r="A38" s="34">
        <v>2000</v>
      </c>
      <c r="B38" s="33" t="s">
        <v>126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</row>
    <row r="39" spans="1:50" s="1" customFormat="1" x14ac:dyDescent="0.15">
      <c r="A39" s="31"/>
      <c r="B39" s="30" t="s">
        <v>127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</row>
    <row r="40" spans="1:50" s="1" customFormat="1" x14ac:dyDescent="0.15">
      <c r="A40" s="28">
        <f>SUM(C40:AO40)</f>
        <v>32</v>
      </c>
      <c r="B40" s="53" t="s">
        <v>128</v>
      </c>
      <c r="C40" s="52"/>
      <c r="D40" s="52"/>
      <c r="E40" s="52"/>
      <c r="F40" s="52">
        <v>0</v>
      </c>
      <c r="G40" s="52">
        <v>0</v>
      </c>
      <c r="H40" s="52">
        <v>10</v>
      </c>
      <c r="I40" s="52">
        <v>0</v>
      </c>
      <c r="J40" s="52">
        <v>0</v>
      </c>
      <c r="K40" s="52">
        <v>0</v>
      </c>
      <c r="L40" s="52">
        <v>10</v>
      </c>
      <c r="M40" s="52">
        <v>0</v>
      </c>
      <c r="N40" s="52">
        <v>0</v>
      </c>
      <c r="O40" s="52">
        <f t="shared" ref="M40:O41" si="138">IF(O34="","",O34-N34)</f>
        <v>12</v>
      </c>
      <c r="P40" s="52" t="str">
        <f t="shared" ref="P40:P41" si="139">IF(P34="","",P34-O34)</f>
        <v/>
      </c>
      <c r="Q40" s="52" t="str">
        <f t="shared" ref="Q40:Q41" si="140">IF(Q34="","",Q34-P34)</f>
        <v/>
      </c>
      <c r="R40" s="52" t="str">
        <f t="shared" ref="R40:R41" si="141">IF(R34="","",R34-Q34)</f>
        <v/>
      </c>
      <c r="S40" s="52" t="str">
        <f t="shared" ref="S40:S41" si="142">IF(S34="","",S34-R34)</f>
        <v/>
      </c>
      <c r="T40" s="52" t="str">
        <f t="shared" ref="T40:T41" si="143">IF(T34="","",T34-S34)</f>
        <v/>
      </c>
      <c r="U40" s="52" t="str">
        <f t="shared" ref="U40:U41" si="144">IF(U34="","",U34-T34)</f>
        <v/>
      </c>
      <c r="V40" s="52" t="str">
        <f t="shared" ref="V40:V41" si="145">IF(V34="","",V34-U34)</f>
        <v/>
      </c>
      <c r="W40" s="52" t="str">
        <f t="shared" ref="W40:Y41" si="146">IF(W34="","",W34-V34)</f>
        <v/>
      </c>
      <c r="X40" s="52" t="str">
        <f t="shared" si="146"/>
        <v/>
      </c>
      <c r="Y40" s="52" t="str">
        <f t="shared" si="146"/>
        <v/>
      </c>
      <c r="Z40" s="52" t="str">
        <f t="shared" ref="Z40:Z41" si="147">IF(Z34="","",Z34-Y34)</f>
        <v/>
      </c>
      <c r="AA40" s="52" t="str">
        <f t="shared" ref="AA40:AA41" si="148">IF(AA34="","",AA34-Z34)</f>
        <v/>
      </c>
      <c r="AB40" s="52" t="str">
        <f t="shared" ref="AB40:AB41" si="149">IF(AB34="","",AB34-AA34)</f>
        <v/>
      </c>
      <c r="AC40" s="52" t="str">
        <f t="shared" ref="AC40:AC41" si="150">IF(AC34="","",AC34-AB34)</f>
        <v/>
      </c>
      <c r="AD40" s="52" t="str">
        <f t="shared" ref="AD40:AD41" si="151">IF(AD34="","",AD34-AC34)</f>
        <v/>
      </c>
      <c r="AE40" s="52" t="str">
        <f t="shared" ref="AE40:AE41" si="152">IF(AE34="","",AE34-AD34)</f>
        <v/>
      </c>
      <c r="AF40" s="52" t="str">
        <f t="shared" ref="AF40:AF41" si="153">IF(AF34="","",AF34-AE34)</f>
        <v/>
      </c>
      <c r="AG40" s="52" t="str">
        <f t="shared" ref="AG40:AG41" si="154">IF(AG34="","",AG34-AF34)</f>
        <v/>
      </c>
      <c r="AH40" s="52" t="str">
        <f t="shared" ref="AH40:AH41" si="155">IF(AH34="","",AH34-AG34)</f>
        <v/>
      </c>
      <c r="AI40" s="52" t="str">
        <f t="shared" ref="AI40:AI41" si="156">IF(AI34="","",AI34-AH34)</f>
        <v/>
      </c>
      <c r="AJ40" s="52" t="str">
        <f t="shared" ref="AJ40:AJ41" si="157">IF(AJ34="","",AJ34-AI34)</f>
        <v/>
      </c>
      <c r="AK40" s="52" t="str">
        <f t="shared" ref="AK40:AK41" si="158">IF(AK34="","",AK34-AJ34)</f>
        <v/>
      </c>
      <c r="AL40" s="52" t="str">
        <f t="shared" ref="AL40:AL41" si="159">IF(AL34="","",AL34-AK34)</f>
        <v/>
      </c>
      <c r="AM40" s="52" t="str">
        <f t="shared" ref="AM40:AM41" si="160">IF(AM34="","",AM34-AL34)</f>
        <v/>
      </c>
      <c r="AN40" s="52" t="str">
        <f t="shared" ref="AN40:AN41" si="161">IF(AN34="","",AN34-AM34)</f>
        <v/>
      </c>
      <c r="AO40" s="52" t="str">
        <f>IF(AO34="","",AO34-AN34)</f>
        <v/>
      </c>
      <c r="AP40" s="52" t="str">
        <f t="shared" ref="AP40:AP41" si="162">IF(AP34="","",AP34-AO34)</f>
        <v/>
      </c>
      <c r="AQ40" s="52" t="str">
        <f t="shared" ref="AQ40:AQ41" si="163">IF(AQ34="","",AQ34-AP34)</f>
        <v/>
      </c>
      <c r="AR40" s="52" t="str">
        <f t="shared" ref="AR40:AR41" si="164">IF(AR34="","",AR34-AQ34)</f>
        <v/>
      </c>
      <c r="AS40" s="52" t="str">
        <f t="shared" ref="AS40:AS41" si="165">IF(AS34="","",AS34-AR34)</f>
        <v/>
      </c>
      <c r="AT40" s="52" t="str">
        <f t="shared" ref="AT40:AT41" si="166">IF(AT34="","",AT34-AS34)</f>
        <v/>
      </c>
      <c r="AU40" s="52" t="str">
        <f t="shared" ref="AU40:AU41" si="167">IF(AU34="","",AU34-AT34)</f>
        <v/>
      </c>
      <c r="AV40" s="52" t="str">
        <f t="shared" ref="AV40:AV41" si="168">IF(AV34="","",AV34-AU34)</f>
        <v/>
      </c>
      <c r="AW40" s="52" t="str">
        <f t="shared" ref="AW40:AW41" si="169">IF(AW34="","",AW34-AV34)</f>
        <v/>
      </c>
      <c r="AX40" s="52" t="str">
        <f t="shared" ref="AX40:AX41" si="170">IF(AX34="","",AX34-AW34)</f>
        <v/>
      </c>
    </row>
    <row r="41" spans="1:50" s="1" customFormat="1" x14ac:dyDescent="0.15">
      <c r="A41" s="28">
        <f>SUM(C41:AO41)</f>
        <v>16</v>
      </c>
      <c r="B41" s="53" t="s">
        <v>129</v>
      </c>
      <c r="C41" s="52"/>
      <c r="D41" s="52"/>
      <c r="E41" s="52"/>
      <c r="F41" s="52">
        <v>0</v>
      </c>
      <c r="G41" s="52">
        <v>0</v>
      </c>
      <c r="H41" s="52">
        <v>5</v>
      </c>
      <c r="I41" s="52">
        <v>0</v>
      </c>
      <c r="J41" s="52">
        <v>0</v>
      </c>
      <c r="K41" s="52">
        <v>0</v>
      </c>
      <c r="L41" s="52">
        <v>5</v>
      </c>
      <c r="M41" s="52">
        <v>0</v>
      </c>
      <c r="N41" s="52">
        <v>0</v>
      </c>
      <c r="O41" s="52">
        <f t="shared" si="138"/>
        <v>6</v>
      </c>
      <c r="P41" s="52" t="str">
        <f t="shared" si="139"/>
        <v/>
      </c>
      <c r="Q41" s="52" t="str">
        <f t="shared" si="140"/>
        <v/>
      </c>
      <c r="R41" s="52" t="str">
        <f t="shared" si="141"/>
        <v/>
      </c>
      <c r="S41" s="52" t="str">
        <f t="shared" si="142"/>
        <v/>
      </c>
      <c r="T41" s="52" t="str">
        <f t="shared" si="143"/>
        <v/>
      </c>
      <c r="U41" s="52" t="str">
        <f t="shared" si="144"/>
        <v/>
      </c>
      <c r="V41" s="52" t="str">
        <f t="shared" si="145"/>
        <v/>
      </c>
      <c r="W41" s="52" t="str">
        <f t="shared" si="146"/>
        <v/>
      </c>
      <c r="X41" s="52" t="str">
        <f t="shared" si="146"/>
        <v/>
      </c>
      <c r="Y41" s="52" t="str">
        <f t="shared" si="146"/>
        <v/>
      </c>
      <c r="Z41" s="52" t="str">
        <f t="shared" si="147"/>
        <v/>
      </c>
      <c r="AA41" s="52" t="str">
        <f t="shared" si="148"/>
        <v/>
      </c>
      <c r="AB41" s="52" t="str">
        <f t="shared" si="149"/>
        <v/>
      </c>
      <c r="AC41" s="52" t="str">
        <f t="shared" si="150"/>
        <v/>
      </c>
      <c r="AD41" s="52" t="str">
        <f t="shared" si="151"/>
        <v/>
      </c>
      <c r="AE41" s="52" t="str">
        <f t="shared" si="152"/>
        <v/>
      </c>
      <c r="AF41" s="52" t="str">
        <f t="shared" si="153"/>
        <v/>
      </c>
      <c r="AG41" s="52" t="str">
        <f t="shared" si="154"/>
        <v/>
      </c>
      <c r="AH41" s="52" t="str">
        <f t="shared" si="155"/>
        <v/>
      </c>
      <c r="AI41" s="52" t="str">
        <f t="shared" si="156"/>
        <v/>
      </c>
      <c r="AJ41" s="52" t="str">
        <f t="shared" si="157"/>
        <v/>
      </c>
      <c r="AK41" s="52" t="str">
        <f t="shared" si="158"/>
        <v/>
      </c>
      <c r="AL41" s="52" t="str">
        <f t="shared" si="159"/>
        <v/>
      </c>
      <c r="AM41" s="52" t="str">
        <f t="shared" si="160"/>
        <v/>
      </c>
      <c r="AN41" s="52" t="str">
        <f t="shared" si="161"/>
        <v/>
      </c>
      <c r="AO41" s="52" t="str">
        <f>IF(AO35="","",AO35-AN35)</f>
        <v/>
      </c>
      <c r="AP41" s="52" t="str">
        <f t="shared" si="162"/>
        <v/>
      </c>
      <c r="AQ41" s="52" t="str">
        <f t="shared" si="163"/>
        <v/>
      </c>
      <c r="AR41" s="52" t="str">
        <f t="shared" si="164"/>
        <v/>
      </c>
      <c r="AS41" s="52" t="str">
        <f t="shared" si="165"/>
        <v/>
      </c>
      <c r="AT41" s="52" t="str">
        <f t="shared" si="166"/>
        <v/>
      </c>
      <c r="AU41" s="52" t="str">
        <f t="shared" si="167"/>
        <v/>
      </c>
      <c r="AV41" s="52" t="str">
        <f t="shared" si="168"/>
        <v/>
      </c>
      <c r="AW41" s="52" t="str">
        <f t="shared" si="169"/>
        <v/>
      </c>
      <c r="AX41" s="52" t="str">
        <f t="shared" si="170"/>
        <v/>
      </c>
    </row>
    <row r="42" spans="1:50" s="1" customFormat="1" x14ac:dyDescent="0.15">
      <c r="A42" s="28">
        <f>SUM(C42:AO42)</f>
        <v>0</v>
      </c>
      <c r="B42" s="53" t="s">
        <v>16</v>
      </c>
      <c r="C42" s="52"/>
      <c r="D42" s="52"/>
      <c r="E42" s="52"/>
      <c r="F42" s="52" t="s">
        <v>19</v>
      </c>
      <c r="G42" s="52" t="s">
        <v>19</v>
      </c>
      <c r="H42" s="52" t="s">
        <v>19</v>
      </c>
      <c r="I42" s="52" t="s">
        <v>19</v>
      </c>
      <c r="J42" s="52" t="s">
        <v>19</v>
      </c>
      <c r="K42" s="52" t="s">
        <v>19</v>
      </c>
      <c r="L42" s="52" t="s">
        <v>19</v>
      </c>
      <c r="M42" s="52" t="str">
        <f>IF(M37="","",#REF!*M37)</f>
        <v/>
      </c>
      <c r="N42" s="52" t="str">
        <f>IF(N37="","",#REF!*N37)</f>
        <v/>
      </c>
      <c r="O42" s="52" t="str">
        <f>IF(O37="","",#REF!*O37)</f>
        <v/>
      </c>
      <c r="P42" s="52" t="str">
        <f>IF(P37="","",#REF!*P37)</f>
        <v/>
      </c>
      <c r="Q42" s="52" t="str">
        <f>IF(Q37="","",#REF!*Q37)</f>
        <v/>
      </c>
      <c r="R42" s="52" t="str">
        <f>IF(R37="","",#REF!*R37)</f>
        <v/>
      </c>
      <c r="S42" s="52" t="str">
        <f>IF(S37="","",#REF!*S37)</f>
        <v/>
      </c>
      <c r="T42" s="52" t="str">
        <f>IF(T37="","",#REF!*T37)</f>
        <v/>
      </c>
      <c r="U42" s="52" t="str">
        <f>IF(U37="","",#REF!*U37)</f>
        <v/>
      </c>
      <c r="V42" s="52" t="str">
        <f>IF(V37="","",#REF!*V37)</f>
        <v/>
      </c>
      <c r="W42" s="52" t="str">
        <f>IF(W37="","",#REF!*W37)</f>
        <v/>
      </c>
      <c r="X42" s="52" t="str">
        <f>IF(X37="","",#REF!*X37)</f>
        <v/>
      </c>
      <c r="Y42" s="52" t="str">
        <f>IF(Y37="","",#REF!*Y37)</f>
        <v/>
      </c>
      <c r="Z42" s="52" t="str">
        <f>IF(Z37="","",#REF!*Z37)</f>
        <v/>
      </c>
      <c r="AA42" s="52" t="str">
        <f>IF(AA37="","",#REF!*AA37)</f>
        <v/>
      </c>
      <c r="AB42" s="52" t="str">
        <f>IF(AB37="","",#REF!*AB37)</f>
        <v/>
      </c>
      <c r="AC42" s="52" t="str">
        <f>IF(AC37="","",#REF!*AC37)</f>
        <v/>
      </c>
      <c r="AD42" s="52" t="str">
        <f>IF(AD37="","",#REF!*AD37)</f>
        <v/>
      </c>
      <c r="AE42" s="52" t="str">
        <f>IF(AE37="","",#REF!*AE37)</f>
        <v/>
      </c>
      <c r="AF42" s="52" t="str">
        <f>IF(AF37="","",#REF!*AF37)</f>
        <v/>
      </c>
      <c r="AG42" s="52" t="str">
        <f>IF(AG37="","",#REF!*AG37)</f>
        <v/>
      </c>
      <c r="AH42" s="52" t="str">
        <f>IF(AH37="","",#REF!*AH37)</f>
        <v/>
      </c>
      <c r="AI42" s="52" t="str">
        <f>IF(AI37="","",#REF!*AI37)</f>
        <v/>
      </c>
      <c r="AJ42" s="52" t="str">
        <f>IF(AJ37="","",#REF!*AJ37)</f>
        <v/>
      </c>
      <c r="AK42" s="52" t="str">
        <f>IF(AK37="","",#REF!*AK37)</f>
        <v/>
      </c>
      <c r="AL42" s="52" t="str">
        <f>IF(AL37="","",#REF!*AL37)</f>
        <v/>
      </c>
      <c r="AM42" s="52" t="str">
        <f>IF(AM37="","",#REF!*AM37)</f>
        <v/>
      </c>
      <c r="AN42" s="52" t="str">
        <f>IF(AN37="","",#REF!*AN37)</f>
        <v/>
      </c>
      <c r="AO42" s="52" t="str">
        <f>IF(AO37="","",#REF!*AO37)</f>
        <v/>
      </c>
      <c r="AP42" s="52" t="str">
        <f>IF(AP37="","",#REF!*AP37)</f>
        <v/>
      </c>
      <c r="AQ42" s="52" t="str">
        <f>IF(AQ37="","",#REF!*AQ37)</f>
        <v/>
      </c>
      <c r="AR42" s="52" t="str">
        <f>IF(AR37="","",#REF!*AR37)</f>
        <v/>
      </c>
      <c r="AS42" s="52" t="str">
        <f>IF(AS37="","",#REF!*AS37)</f>
        <v/>
      </c>
      <c r="AT42" s="52" t="str">
        <f>IF(AT37="","",#REF!*AT37)</f>
        <v/>
      </c>
      <c r="AU42" s="52" t="str">
        <f>IF(AU37="","",#REF!*AU37)</f>
        <v/>
      </c>
      <c r="AV42" s="52" t="str">
        <f>IF(AV37="","",#REF!*AV37)</f>
        <v/>
      </c>
      <c r="AW42" s="52" t="str">
        <f>IF(AW37="","",#REF!*AW37)</f>
        <v/>
      </c>
      <c r="AX42" s="52" t="str">
        <f>IF(AX37="","",#REF!*AX37)</f>
        <v/>
      </c>
    </row>
    <row r="43" spans="1:50" s="1" customFormat="1" ht="12" thickBot="1" x14ac:dyDescent="0.2">
      <c r="A43" s="25">
        <f>IF(A42="","",A42/(A40*100))</f>
        <v>0</v>
      </c>
      <c r="B43" s="51" t="s">
        <v>18</v>
      </c>
      <c r="C43" s="50"/>
      <c r="D43" s="50"/>
      <c r="E43" s="50"/>
      <c r="F43" s="50" t="s">
        <v>19</v>
      </c>
      <c r="G43" s="50" t="s">
        <v>19</v>
      </c>
      <c r="H43" s="50" t="s">
        <v>19</v>
      </c>
      <c r="I43" s="50" t="s">
        <v>19</v>
      </c>
      <c r="J43" s="50" t="s">
        <v>19</v>
      </c>
      <c r="K43" s="50" t="s">
        <v>19</v>
      </c>
      <c r="L43" s="50" t="s">
        <v>19</v>
      </c>
      <c r="M43" s="50" t="str">
        <f>IF(M42="","",M42/(M40*100))</f>
        <v/>
      </c>
      <c r="N43" s="50" t="str">
        <f>IF(N42="","",N42/(N40*100))</f>
        <v/>
      </c>
      <c r="O43" s="50" t="str">
        <f t="shared" ref="I43:O43" si="171">IF(O42="","",O42/(O40*100))</f>
        <v/>
      </c>
      <c r="P43" s="50" t="str">
        <f t="shared" ref="P43:AP43" si="172">IF(P42="","",P42/(P40*100))</f>
        <v/>
      </c>
      <c r="Q43" s="50" t="str">
        <f t="shared" si="172"/>
        <v/>
      </c>
      <c r="R43" s="50" t="str">
        <f t="shared" si="172"/>
        <v/>
      </c>
      <c r="S43" s="50" t="str">
        <f t="shared" si="172"/>
        <v/>
      </c>
      <c r="T43" s="50" t="str">
        <f t="shared" si="172"/>
        <v/>
      </c>
      <c r="U43" s="50" t="str">
        <f t="shared" si="172"/>
        <v/>
      </c>
      <c r="V43" s="50" t="str">
        <f t="shared" si="172"/>
        <v/>
      </c>
      <c r="W43" s="50" t="str">
        <f>IF(W42="","",W42/(W40*100))</f>
        <v/>
      </c>
      <c r="X43" s="50" t="str">
        <f>IF(X42="","",X42/(X40*100))</f>
        <v/>
      </c>
      <c r="Y43" s="50" t="str">
        <f>IF(Y42="","",Y42/(Y40*100))</f>
        <v/>
      </c>
      <c r="Z43" s="50" t="str">
        <f>IF(Z42="","",Z42/(Z40*100))</f>
        <v/>
      </c>
      <c r="AA43" s="50" t="str">
        <f t="shared" si="172"/>
        <v/>
      </c>
      <c r="AB43" s="50" t="str">
        <f t="shared" si="172"/>
        <v/>
      </c>
      <c r="AC43" s="50" t="str">
        <f t="shared" si="172"/>
        <v/>
      </c>
      <c r="AD43" s="50" t="str">
        <f t="shared" si="172"/>
        <v/>
      </c>
      <c r="AE43" s="50" t="str">
        <f t="shared" si="172"/>
        <v/>
      </c>
      <c r="AF43" s="50" t="str">
        <f t="shared" si="172"/>
        <v/>
      </c>
      <c r="AG43" s="50" t="str">
        <f t="shared" si="172"/>
        <v/>
      </c>
      <c r="AH43" s="50" t="str">
        <f t="shared" si="172"/>
        <v/>
      </c>
      <c r="AI43" s="50" t="str">
        <f t="shared" si="172"/>
        <v/>
      </c>
      <c r="AJ43" s="50" t="str">
        <f t="shared" si="172"/>
        <v/>
      </c>
      <c r="AK43" s="50" t="str">
        <f t="shared" si="172"/>
        <v/>
      </c>
      <c r="AL43" s="50" t="str">
        <f t="shared" si="172"/>
        <v/>
      </c>
      <c r="AM43" s="50" t="str">
        <f t="shared" si="172"/>
        <v/>
      </c>
      <c r="AN43" s="50" t="str">
        <f t="shared" si="172"/>
        <v/>
      </c>
      <c r="AO43" s="50" t="str">
        <f>IF(AO42="","",AO42/(AO40*100))</f>
        <v/>
      </c>
      <c r="AP43" s="50" t="str">
        <f t="shared" si="172"/>
        <v/>
      </c>
      <c r="AQ43" s="50" t="str">
        <f t="shared" ref="AQ43" si="173">IF(AQ42="","",AQ42/(AQ40*100))</f>
        <v/>
      </c>
      <c r="AR43" s="50" t="str">
        <f t="shared" ref="AR43" si="174">IF(AR42="","",AR42/(AR40*100))</f>
        <v/>
      </c>
      <c r="AS43" s="50" t="str">
        <f t="shared" ref="AS43" si="175">IF(AS42="","",AS42/(AS40*100))</f>
        <v/>
      </c>
      <c r="AT43" s="50" t="str">
        <f t="shared" ref="AT43" si="176">IF(AT42="","",AT42/(AT40*100))</f>
        <v/>
      </c>
      <c r="AU43" s="50" t="str">
        <f t="shared" ref="AU43" si="177">IF(AU42="","",AU42/(AU40*100))</f>
        <v/>
      </c>
      <c r="AV43" s="50" t="str">
        <f t="shared" ref="AV43" si="178">IF(AV42="","",AV42/(AV40*100))</f>
        <v/>
      </c>
      <c r="AW43" s="50" t="str">
        <f t="shared" ref="AW43" si="179">IF(AW42="","",AW42/(AW40*100))</f>
        <v/>
      </c>
      <c r="AX43" s="50" t="str">
        <f t="shared" ref="AX43" si="180">IF(AX42="","",AX42/(AX40*100))</f>
        <v/>
      </c>
    </row>
    <row r="44" spans="1:50" s="1" customFormat="1" x14ac:dyDescent="0.15">
      <c r="A44" s="22" t="s">
        <v>1</v>
      </c>
      <c r="B44" s="21" t="s">
        <v>133</v>
      </c>
      <c r="C44" s="20"/>
      <c r="D44" s="20"/>
      <c r="E44" s="20"/>
      <c r="F44" s="20">
        <v>7497</v>
      </c>
      <c r="G44" s="20">
        <v>7497</v>
      </c>
      <c r="H44" s="20">
        <v>7507</v>
      </c>
      <c r="I44" s="20">
        <v>7507</v>
      </c>
      <c r="J44" s="20">
        <v>7507</v>
      </c>
      <c r="K44" s="20">
        <v>7507</v>
      </c>
      <c r="L44" s="20">
        <v>7542</v>
      </c>
      <c r="M44" s="20">
        <v>7542</v>
      </c>
      <c r="N44" s="20">
        <v>7542</v>
      </c>
      <c r="O44" s="20">
        <v>7552</v>
      </c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</row>
    <row r="45" spans="1:50" s="1" customFormat="1" x14ac:dyDescent="0.15">
      <c r="A45" s="59" t="s">
        <v>134</v>
      </c>
      <c r="B45" s="9" t="s">
        <v>125</v>
      </c>
      <c r="C45" s="8"/>
      <c r="D45" s="8"/>
      <c r="E45" s="8"/>
      <c r="F45" s="8">
        <v>1528</v>
      </c>
      <c r="G45" s="8">
        <v>1528</v>
      </c>
      <c r="H45" s="8">
        <v>1530</v>
      </c>
      <c r="I45" s="8">
        <v>1530</v>
      </c>
      <c r="J45" s="8">
        <v>1530</v>
      </c>
      <c r="K45" s="8">
        <v>1530</v>
      </c>
      <c r="L45" s="8">
        <v>1537</v>
      </c>
      <c r="M45" s="8">
        <v>1537</v>
      </c>
      <c r="N45" s="8">
        <v>1537</v>
      </c>
      <c r="O45" s="8">
        <v>1539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s="1" customFormat="1" x14ac:dyDescent="0.15">
      <c r="A46" s="15" t="s">
        <v>135</v>
      </c>
      <c r="B46" s="9" t="s">
        <v>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s="1" customFormat="1" x14ac:dyDescent="0.15">
      <c r="A47" s="14" t="s">
        <v>9</v>
      </c>
      <c r="B47" s="9" t="s">
        <v>8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s="11" customFormat="1" x14ac:dyDescent="0.15">
      <c r="A48" s="7">
        <f>AVERAGE(C50:AO50)*30*100</f>
        <v>16500</v>
      </c>
      <c r="B48" s="13" t="s">
        <v>126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</row>
    <row r="49" spans="1:50" s="1" customFormat="1" x14ac:dyDescent="0.15">
      <c r="A49" s="10"/>
      <c r="B49" s="9" t="s">
        <v>127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s="1" customFormat="1" x14ac:dyDescent="0.15">
      <c r="A50" s="7">
        <f>SUM(C50:AO50)</f>
        <v>55</v>
      </c>
      <c r="B50" s="58" t="s">
        <v>13</v>
      </c>
      <c r="C50" s="57"/>
      <c r="D50" s="57"/>
      <c r="E50" s="57"/>
      <c r="F50" s="57">
        <v>0</v>
      </c>
      <c r="G50" s="57">
        <v>0</v>
      </c>
      <c r="H50" s="57">
        <v>10</v>
      </c>
      <c r="I50" s="57">
        <v>0</v>
      </c>
      <c r="J50" s="57">
        <v>0</v>
      </c>
      <c r="K50" s="57">
        <v>0</v>
      </c>
      <c r="L50" s="57">
        <v>35</v>
      </c>
      <c r="M50" s="57">
        <f>IF(M44="","",M44-L44)</f>
        <v>0</v>
      </c>
      <c r="N50" s="57">
        <f>IF(N44="","",N44-M44)</f>
        <v>0</v>
      </c>
      <c r="O50" s="57">
        <f t="shared" ref="M50:O51" si="181">IF(O44="","",O44-N44)</f>
        <v>10</v>
      </c>
      <c r="P50" s="57" t="str">
        <f t="shared" ref="P50:P51" si="182">IF(P44="","",P44-O44)</f>
        <v/>
      </c>
      <c r="Q50" s="57" t="str">
        <f t="shared" ref="Q50:Q51" si="183">IF(Q44="","",Q44-P44)</f>
        <v/>
      </c>
      <c r="R50" s="57" t="str">
        <f t="shared" ref="R50:R51" si="184">IF(R44="","",R44-Q44)</f>
        <v/>
      </c>
      <c r="S50" s="57" t="str">
        <f t="shared" ref="S50:S51" si="185">IF(S44="","",S44-R44)</f>
        <v/>
      </c>
      <c r="T50" s="57" t="str">
        <f t="shared" ref="T50:T51" si="186">IF(T44="","",T44-S44)</f>
        <v/>
      </c>
      <c r="U50" s="57" t="str">
        <f t="shared" ref="U50:U51" si="187">IF(U44="","",U44-T44)</f>
        <v/>
      </c>
      <c r="V50" s="57" t="str">
        <f t="shared" ref="V50:V51" si="188">IF(V44="","",V44-U44)</f>
        <v/>
      </c>
      <c r="W50" s="57" t="str">
        <f t="shared" ref="W50:Y51" si="189">IF(W44="","",W44-V44)</f>
        <v/>
      </c>
      <c r="X50" s="57" t="str">
        <f t="shared" si="189"/>
        <v/>
      </c>
      <c r="Y50" s="57" t="str">
        <f t="shared" si="189"/>
        <v/>
      </c>
      <c r="Z50" s="57" t="str">
        <f t="shared" ref="Z50:Z51" si="190">IF(Z44="","",Z44-Y44)</f>
        <v/>
      </c>
      <c r="AA50" s="57" t="str">
        <f t="shared" ref="AA50:AA51" si="191">IF(AA44="","",AA44-Z44)</f>
        <v/>
      </c>
      <c r="AB50" s="57" t="str">
        <f t="shared" ref="AB50:AB51" si="192">IF(AB44="","",AB44-AA44)</f>
        <v/>
      </c>
      <c r="AC50" s="57" t="str">
        <f t="shared" ref="AC50:AC51" si="193">IF(AC44="","",AC44-AB44)</f>
        <v/>
      </c>
      <c r="AD50" s="57" t="str">
        <f t="shared" ref="AD50:AD51" si="194">IF(AD44="","",AD44-AC44)</f>
        <v/>
      </c>
      <c r="AE50" s="57" t="str">
        <f t="shared" ref="AE50:AE51" si="195">IF(AE44="","",AE44-AD44)</f>
        <v/>
      </c>
      <c r="AF50" s="57" t="str">
        <f t="shared" ref="AF50:AF51" si="196">IF(AF44="","",AF44-AE44)</f>
        <v/>
      </c>
      <c r="AG50" s="57" t="str">
        <f t="shared" ref="AG50:AG51" si="197">IF(AG44="","",AG44-AF44)</f>
        <v/>
      </c>
      <c r="AH50" s="57" t="str">
        <f t="shared" ref="AH50:AH51" si="198">IF(AH44="","",AH44-AG44)</f>
        <v/>
      </c>
      <c r="AI50" s="57" t="str">
        <f t="shared" ref="AI50:AI51" si="199">IF(AI44="","",AI44-AH44)</f>
        <v/>
      </c>
      <c r="AJ50" s="57" t="str">
        <f t="shared" ref="AJ50:AJ51" si="200">IF(AJ44="","",AJ44-AI44)</f>
        <v/>
      </c>
      <c r="AK50" s="57" t="str">
        <f t="shared" ref="AK50:AK51" si="201">IF(AK44="","",AK44-AJ44)</f>
        <v/>
      </c>
      <c r="AL50" s="57" t="str">
        <f t="shared" ref="AL50:AL51" si="202">IF(AL44="","",AL44-AK44)</f>
        <v/>
      </c>
      <c r="AM50" s="57" t="str">
        <f t="shared" ref="AM50:AM51" si="203">IF(AM44="","",AM44-AL44)</f>
        <v/>
      </c>
      <c r="AN50" s="57" t="str">
        <f t="shared" ref="AN50:AN51" si="204">IF(AN44="","",AN44-AM44)</f>
        <v/>
      </c>
      <c r="AO50" s="57" t="str">
        <f>IF(AO44="","",AO44-AN44)</f>
        <v/>
      </c>
      <c r="AP50" s="57" t="str">
        <f t="shared" ref="AP50:AP51" si="205">IF(AP44="","",AP44-AO44)</f>
        <v/>
      </c>
      <c r="AQ50" s="57" t="str">
        <f t="shared" ref="AQ50:AQ51" si="206">IF(AQ44="","",AQ44-AP44)</f>
        <v/>
      </c>
      <c r="AR50" s="57" t="str">
        <f t="shared" ref="AR50:AR51" si="207">IF(AR44="","",AR44-AQ44)</f>
        <v/>
      </c>
      <c r="AS50" s="57" t="str">
        <f t="shared" ref="AS50:AS51" si="208">IF(AS44="","",AS44-AR44)</f>
        <v/>
      </c>
      <c r="AT50" s="57" t="str">
        <f t="shared" ref="AT50:AT51" si="209">IF(AT44="","",AT44-AS44)</f>
        <v/>
      </c>
      <c r="AU50" s="57" t="str">
        <f t="shared" ref="AU50:AU51" si="210">IF(AU44="","",AU44-AT44)</f>
        <v/>
      </c>
      <c r="AV50" s="57" t="str">
        <f t="shared" ref="AV50:AV51" si="211">IF(AV44="","",AV44-AU44)</f>
        <v/>
      </c>
      <c r="AW50" s="57" t="str">
        <f t="shared" ref="AW50:AW51" si="212">IF(AW44="","",AW44-AV44)</f>
        <v/>
      </c>
      <c r="AX50" s="57" t="str">
        <f t="shared" ref="AX50:AX51" si="213">IF(AX44="","",AX44-AW44)</f>
        <v/>
      </c>
    </row>
    <row r="51" spans="1:50" s="1" customFormat="1" x14ac:dyDescent="0.15">
      <c r="A51" s="7">
        <f>SUM(C51:AO51)</f>
        <v>11</v>
      </c>
      <c r="B51" s="58" t="s">
        <v>129</v>
      </c>
      <c r="C51" s="57"/>
      <c r="D51" s="57"/>
      <c r="E51" s="57"/>
      <c r="F51" s="57">
        <v>0</v>
      </c>
      <c r="G51" s="57">
        <v>0</v>
      </c>
      <c r="H51" s="57">
        <v>2</v>
      </c>
      <c r="I51" s="57">
        <v>0</v>
      </c>
      <c r="J51" s="57">
        <v>0</v>
      </c>
      <c r="K51" s="57">
        <v>0</v>
      </c>
      <c r="L51" s="57">
        <v>7</v>
      </c>
      <c r="M51" s="57">
        <f>IF(M45="","",M45-L45)</f>
        <v>0</v>
      </c>
      <c r="N51" s="57">
        <f>IF(N45="","",N45-M45)</f>
        <v>0</v>
      </c>
      <c r="O51" s="57">
        <f t="shared" si="181"/>
        <v>2</v>
      </c>
      <c r="P51" s="57" t="str">
        <f t="shared" si="182"/>
        <v/>
      </c>
      <c r="Q51" s="57" t="str">
        <f t="shared" si="183"/>
        <v/>
      </c>
      <c r="R51" s="57" t="str">
        <f t="shared" si="184"/>
        <v/>
      </c>
      <c r="S51" s="57" t="str">
        <f t="shared" si="185"/>
        <v/>
      </c>
      <c r="T51" s="57" t="str">
        <f t="shared" si="186"/>
        <v/>
      </c>
      <c r="U51" s="57" t="str">
        <f t="shared" si="187"/>
        <v/>
      </c>
      <c r="V51" s="57" t="str">
        <f t="shared" si="188"/>
        <v/>
      </c>
      <c r="W51" s="57" t="str">
        <f t="shared" si="189"/>
        <v/>
      </c>
      <c r="X51" s="57" t="str">
        <f t="shared" si="189"/>
        <v/>
      </c>
      <c r="Y51" s="57" t="str">
        <f t="shared" si="189"/>
        <v/>
      </c>
      <c r="Z51" s="57" t="str">
        <f t="shared" si="190"/>
        <v/>
      </c>
      <c r="AA51" s="57" t="str">
        <f t="shared" si="191"/>
        <v/>
      </c>
      <c r="AB51" s="57" t="str">
        <f t="shared" si="192"/>
        <v/>
      </c>
      <c r="AC51" s="57" t="str">
        <f t="shared" si="193"/>
        <v/>
      </c>
      <c r="AD51" s="57" t="str">
        <f t="shared" si="194"/>
        <v/>
      </c>
      <c r="AE51" s="57" t="str">
        <f t="shared" si="195"/>
        <v/>
      </c>
      <c r="AF51" s="57" t="str">
        <f t="shared" si="196"/>
        <v/>
      </c>
      <c r="AG51" s="57" t="str">
        <f t="shared" si="197"/>
        <v/>
      </c>
      <c r="AH51" s="57" t="str">
        <f t="shared" si="198"/>
        <v/>
      </c>
      <c r="AI51" s="57" t="str">
        <f t="shared" si="199"/>
        <v/>
      </c>
      <c r="AJ51" s="57" t="str">
        <f t="shared" si="200"/>
        <v/>
      </c>
      <c r="AK51" s="57" t="str">
        <f t="shared" si="201"/>
        <v/>
      </c>
      <c r="AL51" s="57" t="str">
        <f t="shared" si="202"/>
        <v/>
      </c>
      <c r="AM51" s="57" t="str">
        <f t="shared" si="203"/>
        <v/>
      </c>
      <c r="AN51" s="57" t="str">
        <f t="shared" si="204"/>
        <v/>
      </c>
      <c r="AO51" s="57" t="str">
        <f>IF(AO45="","",AO45-AN45)</f>
        <v/>
      </c>
      <c r="AP51" s="57" t="str">
        <f t="shared" si="205"/>
        <v/>
      </c>
      <c r="AQ51" s="57" t="str">
        <f t="shared" si="206"/>
        <v/>
      </c>
      <c r="AR51" s="57" t="str">
        <f t="shared" si="207"/>
        <v/>
      </c>
      <c r="AS51" s="57" t="str">
        <f t="shared" si="208"/>
        <v/>
      </c>
      <c r="AT51" s="57" t="str">
        <f t="shared" si="209"/>
        <v/>
      </c>
      <c r="AU51" s="57" t="str">
        <f t="shared" si="210"/>
        <v/>
      </c>
      <c r="AV51" s="57" t="str">
        <f t="shared" si="211"/>
        <v/>
      </c>
      <c r="AW51" s="57" t="str">
        <f t="shared" si="212"/>
        <v/>
      </c>
      <c r="AX51" s="57" t="str">
        <f t="shared" si="213"/>
        <v/>
      </c>
    </row>
    <row r="52" spans="1:50" s="1" customFormat="1" x14ac:dyDescent="0.15">
      <c r="A52" s="7">
        <f>SUM(C52:AO52)</f>
        <v>0</v>
      </c>
      <c r="B52" s="58" t="s">
        <v>16</v>
      </c>
      <c r="C52" s="57"/>
      <c r="D52" s="57"/>
      <c r="E52" s="57"/>
      <c r="F52" s="57" t="s">
        <v>19</v>
      </c>
      <c r="G52" s="57" t="s">
        <v>19</v>
      </c>
      <c r="H52" s="57" t="s">
        <v>19</v>
      </c>
      <c r="I52" s="57" t="s">
        <v>19</v>
      </c>
      <c r="J52" s="57" t="s">
        <v>19</v>
      </c>
      <c r="K52" s="57" t="s">
        <v>19</v>
      </c>
      <c r="L52" s="57" t="s">
        <v>19</v>
      </c>
      <c r="M52" s="57" t="str">
        <f>IF(M47="","",#REF!*M47)</f>
        <v/>
      </c>
      <c r="N52" s="57" t="str">
        <f>IF(N47="","",#REF!*N47)</f>
        <v/>
      </c>
      <c r="O52" s="57" t="str">
        <f>IF(O47="","",#REF!*O47)</f>
        <v/>
      </c>
      <c r="P52" s="57" t="str">
        <f>IF(P47="","",#REF!*P47)</f>
        <v/>
      </c>
      <c r="Q52" s="57" t="str">
        <f>IF(Q47="","",#REF!*Q47)</f>
        <v/>
      </c>
      <c r="R52" s="57" t="str">
        <f>IF(R47="","",#REF!*R47)</f>
        <v/>
      </c>
      <c r="S52" s="57" t="str">
        <f>IF(S47="","",#REF!*S47)</f>
        <v/>
      </c>
      <c r="T52" s="57" t="str">
        <f>IF(T47="","",#REF!*T47)</f>
        <v/>
      </c>
      <c r="U52" s="57" t="str">
        <f>IF(U47="","",#REF!*U47)</f>
        <v/>
      </c>
      <c r="V52" s="57" t="str">
        <f>IF(V47="","",#REF!*V47)</f>
        <v/>
      </c>
      <c r="W52" s="57" t="str">
        <f>IF(W47="","",#REF!*W47)</f>
        <v/>
      </c>
      <c r="X52" s="57" t="str">
        <f>IF(X47="","",#REF!*X47)</f>
        <v/>
      </c>
      <c r="Y52" s="57" t="str">
        <f>IF(Y47="","",#REF!*Y47)</f>
        <v/>
      </c>
      <c r="Z52" s="57" t="str">
        <f>IF(Z47="","",#REF!*Z47)</f>
        <v/>
      </c>
      <c r="AA52" s="57" t="str">
        <f>IF(AA47="","",#REF!*AA47)</f>
        <v/>
      </c>
      <c r="AB52" s="57" t="str">
        <f>IF(AB47="","",#REF!*AB47)</f>
        <v/>
      </c>
      <c r="AC52" s="57" t="str">
        <f>IF(AC47="","",#REF!*AC47)</f>
        <v/>
      </c>
      <c r="AD52" s="57" t="str">
        <f>IF(AD47="","",#REF!*AD47)</f>
        <v/>
      </c>
      <c r="AE52" s="57" t="str">
        <f>IF(AE47="","",#REF!*AE47)</f>
        <v/>
      </c>
      <c r="AF52" s="57" t="str">
        <f>IF(AF47="","",#REF!*AF47)</f>
        <v/>
      </c>
      <c r="AG52" s="57" t="str">
        <f>IF(AG47="","",#REF!*AG47)</f>
        <v/>
      </c>
      <c r="AH52" s="57" t="str">
        <f>IF(AH47="","",#REF!*AH47)</f>
        <v/>
      </c>
      <c r="AI52" s="57" t="str">
        <f>IF(AI47="","",#REF!*AI47)</f>
        <v/>
      </c>
      <c r="AJ52" s="57" t="str">
        <f>IF(AJ47="","",#REF!*AJ47)</f>
        <v/>
      </c>
      <c r="AK52" s="57" t="str">
        <f>IF(AK47="","",#REF!*AK47)</f>
        <v/>
      </c>
      <c r="AL52" s="57" t="str">
        <f>IF(AL47="","",#REF!*AL47)</f>
        <v/>
      </c>
      <c r="AM52" s="57" t="str">
        <f>IF(AM47="","",#REF!*AM47)</f>
        <v/>
      </c>
      <c r="AN52" s="57" t="str">
        <f>IF(AN47="","",#REF!*AN47)</f>
        <v/>
      </c>
      <c r="AO52" s="57" t="str">
        <f>IF(AO47="","",#REF!*AO47)</f>
        <v/>
      </c>
      <c r="AP52" s="57" t="str">
        <f>IF(AP47="","",#REF!*AP47)</f>
        <v/>
      </c>
      <c r="AQ52" s="57" t="str">
        <f>IF(AQ47="","",#REF!*AQ47)</f>
        <v/>
      </c>
      <c r="AR52" s="57" t="str">
        <f>IF(AR47="","",#REF!*AR47)</f>
        <v/>
      </c>
      <c r="AS52" s="57" t="str">
        <f>IF(AS47="","",#REF!*AS47)</f>
        <v/>
      </c>
      <c r="AT52" s="57" t="str">
        <f>IF(AT47="","",#REF!*AT47)</f>
        <v/>
      </c>
      <c r="AU52" s="57" t="str">
        <f>IF(AU47="","",#REF!*AU47)</f>
        <v/>
      </c>
      <c r="AV52" s="57" t="str">
        <f>IF(AV47="","",#REF!*AV47)</f>
        <v/>
      </c>
      <c r="AW52" s="57" t="str">
        <f>IF(AW47="","",#REF!*AW47)</f>
        <v/>
      </c>
      <c r="AX52" s="57" t="str">
        <f>IF(AX47="","",#REF!*AX47)</f>
        <v/>
      </c>
    </row>
    <row r="53" spans="1:50" s="1" customFormat="1" x14ac:dyDescent="0.15">
      <c r="A53" s="19">
        <f>IF(A52="","",A52/(A50*100))</f>
        <v>0</v>
      </c>
      <c r="B53" s="58" t="s">
        <v>18</v>
      </c>
      <c r="C53" s="60"/>
      <c r="D53" s="60"/>
      <c r="E53" s="60"/>
      <c r="F53" s="60" t="s">
        <v>19</v>
      </c>
      <c r="G53" s="60" t="s">
        <v>19</v>
      </c>
      <c r="H53" s="60" t="s">
        <v>19</v>
      </c>
      <c r="I53" s="60" t="s">
        <v>19</v>
      </c>
      <c r="J53" s="60" t="s">
        <v>19</v>
      </c>
      <c r="K53" s="60" t="s">
        <v>19</v>
      </c>
      <c r="L53" s="60" t="s">
        <v>19</v>
      </c>
      <c r="M53" s="60" t="str">
        <f>IF(M52="","",M52/(M50*100))</f>
        <v/>
      </c>
      <c r="N53" s="60" t="str">
        <f>IF(N52="","",N52/(N50*100))</f>
        <v/>
      </c>
      <c r="O53" s="60" t="str">
        <f t="shared" ref="I53:O53" si="214">IF(O52="","",O52/(O50*100))</f>
        <v/>
      </c>
      <c r="P53" s="60" t="str">
        <f t="shared" ref="P53:AP53" si="215">IF(P52="","",P52/(P50*100))</f>
        <v/>
      </c>
      <c r="Q53" s="60" t="str">
        <f t="shared" si="215"/>
        <v/>
      </c>
      <c r="R53" s="60" t="str">
        <f t="shared" si="215"/>
        <v/>
      </c>
      <c r="S53" s="60" t="str">
        <f t="shared" si="215"/>
        <v/>
      </c>
      <c r="T53" s="60" t="str">
        <f t="shared" si="215"/>
        <v/>
      </c>
      <c r="U53" s="60" t="str">
        <f t="shared" si="215"/>
        <v/>
      </c>
      <c r="V53" s="60" t="str">
        <f t="shared" si="215"/>
        <v/>
      </c>
      <c r="W53" s="60" t="str">
        <f>IF(W52="","",W52/(W50*100))</f>
        <v/>
      </c>
      <c r="X53" s="60" t="str">
        <f>IF(X52="","",X52/(X50*100))</f>
        <v/>
      </c>
      <c r="Y53" s="60" t="str">
        <f>IF(Y52="","",Y52/(Y50*100))</f>
        <v/>
      </c>
      <c r="Z53" s="60" t="str">
        <f>IF(Z52="","",Z52/(Z50*100))</f>
        <v/>
      </c>
      <c r="AA53" s="60" t="str">
        <f t="shared" si="215"/>
        <v/>
      </c>
      <c r="AB53" s="60" t="str">
        <f t="shared" si="215"/>
        <v/>
      </c>
      <c r="AC53" s="60" t="str">
        <f t="shared" si="215"/>
        <v/>
      </c>
      <c r="AD53" s="60" t="str">
        <f t="shared" si="215"/>
        <v/>
      </c>
      <c r="AE53" s="60" t="str">
        <f t="shared" si="215"/>
        <v/>
      </c>
      <c r="AF53" s="60" t="str">
        <f t="shared" si="215"/>
        <v/>
      </c>
      <c r="AG53" s="60" t="str">
        <f t="shared" si="215"/>
        <v/>
      </c>
      <c r="AH53" s="60" t="str">
        <f t="shared" si="215"/>
        <v/>
      </c>
      <c r="AI53" s="60" t="str">
        <f t="shared" si="215"/>
        <v/>
      </c>
      <c r="AJ53" s="60" t="str">
        <f t="shared" si="215"/>
        <v/>
      </c>
      <c r="AK53" s="60" t="str">
        <f t="shared" si="215"/>
        <v/>
      </c>
      <c r="AL53" s="60" t="str">
        <f t="shared" si="215"/>
        <v/>
      </c>
      <c r="AM53" s="60" t="str">
        <f t="shared" si="215"/>
        <v/>
      </c>
      <c r="AN53" s="60" t="str">
        <f t="shared" si="215"/>
        <v/>
      </c>
      <c r="AO53" s="60" t="str">
        <f>IF(AO52="","",AO52/(AO50*100))</f>
        <v/>
      </c>
      <c r="AP53" s="60" t="str">
        <f t="shared" si="215"/>
        <v/>
      </c>
      <c r="AQ53" s="60" t="str">
        <f t="shared" ref="AQ53:AX53" si="216">IF(AQ52="","",AQ52/(AQ50*100))</f>
        <v/>
      </c>
      <c r="AR53" s="60" t="str">
        <f t="shared" si="216"/>
        <v/>
      </c>
      <c r="AS53" s="60" t="str">
        <f t="shared" si="216"/>
        <v/>
      </c>
      <c r="AT53" s="60" t="str">
        <f t="shared" si="216"/>
        <v/>
      </c>
      <c r="AU53" s="60" t="str">
        <f t="shared" si="216"/>
        <v/>
      </c>
      <c r="AV53" s="60" t="str">
        <f t="shared" si="216"/>
        <v/>
      </c>
      <c r="AW53" s="60" t="str">
        <f t="shared" si="216"/>
        <v/>
      </c>
      <c r="AX53" s="60" t="str">
        <f t="shared" si="216"/>
        <v/>
      </c>
    </row>
    <row r="54" spans="1:50" s="1" customFormat="1" x14ac:dyDescent="0.15">
      <c r="A54" s="17" t="s">
        <v>1</v>
      </c>
      <c r="B54" s="9" t="s">
        <v>133</v>
      </c>
      <c r="C54" s="8"/>
      <c r="D54" s="8"/>
      <c r="E54" s="8"/>
      <c r="F54" s="8">
        <v>2267</v>
      </c>
      <c r="G54" s="8">
        <v>2267</v>
      </c>
      <c r="H54" s="8">
        <v>2282</v>
      </c>
      <c r="I54" s="8">
        <v>2282</v>
      </c>
      <c r="J54" s="8">
        <v>2282</v>
      </c>
      <c r="K54" s="8">
        <v>2282</v>
      </c>
      <c r="L54" s="8">
        <v>2292</v>
      </c>
      <c r="M54" s="8">
        <v>2292</v>
      </c>
      <c r="N54" s="8">
        <v>2292</v>
      </c>
      <c r="O54" s="8">
        <v>2310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s="1" customFormat="1" x14ac:dyDescent="0.15">
      <c r="A55" s="59" t="s">
        <v>134</v>
      </c>
      <c r="B55" s="9" t="s">
        <v>125</v>
      </c>
      <c r="C55" s="8"/>
      <c r="D55" s="8"/>
      <c r="E55" s="8"/>
      <c r="F55" s="8">
        <v>486</v>
      </c>
      <c r="G55" s="8">
        <v>486</v>
      </c>
      <c r="H55" s="8">
        <v>489</v>
      </c>
      <c r="I55" s="8">
        <v>489</v>
      </c>
      <c r="J55" s="8">
        <v>489</v>
      </c>
      <c r="K55" s="8">
        <v>489</v>
      </c>
      <c r="L55" s="8">
        <v>491</v>
      </c>
      <c r="M55" s="8">
        <v>491</v>
      </c>
      <c r="N55" s="8">
        <v>491</v>
      </c>
      <c r="O55" s="8">
        <v>495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s="1" customFormat="1" x14ac:dyDescent="0.15">
      <c r="A56" s="15" t="s">
        <v>136</v>
      </c>
      <c r="B56" s="9" t="s">
        <v>7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s="1" customFormat="1" x14ac:dyDescent="0.15">
      <c r="A57" s="14" t="s">
        <v>9</v>
      </c>
      <c r="B57" s="9" t="s">
        <v>8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s="11" customFormat="1" x14ac:dyDescent="0.15">
      <c r="A58" s="7">
        <f>AVERAGE(C60:AO60)*30*100</f>
        <v>12900</v>
      </c>
      <c r="B58" s="13" t="s">
        <v>126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</row>
    <row r="59" spans="1:50" s="1" customFormat="1" x14ac:dyDescent="0.15">
      <c r="A59" s="10"/>
      <c r="B59" s="9" t="s">
        <v>127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s="1" customFormat="1" x14ac:dyDescent="0.15">
      <c r="A60" s="7">
        <f>SUM(C60:AO60)</f>
        <v>43</v>
      </c>
      <c r="B60" s="58" t="s">
        <v>13</v>
      </c>
      <c r="C60" s="57"/>
      <c r="D60" s="57"/>
      <c r="E60" s="57"/>
      <c r="F60" s="57">
        <v>0</v>
      </c>
      <c r="G60" s="57">
        <v>0</v>
      </c>
      <c r="H60" s="57">
        <v>15</v>
      </c>
      <c r="I60" s="57">
        <v>0</v>
      </c>
      <c r="J60" s="57">
        <v>0</v>
      </c>
      <c r="K60" s="57">
        <v>0</v>
      </c>
      <c r="L60" s="57">
        <v>10</v>
      </c>
      <c r="M60" s="57">
        <f>IF(M54="","",M54-L54)</f>
        <v>0</v>
      </c>
      <c r="N60" s="57">
        <f>IF(N54="","",N54-M54)</f>
        <v>0</v>
      </c>
      <c r="O60" s="57">
        <f t="shared" ref="O60:O61" si="217">IF(O54="","",O54-N54)</f>
        <v>18</v>
      </c>
      <c r="P60" s="57" t="str">
        <f t="shared" ref="P60:P61" si="218">IF(P54="","",P54-O54)</f>
        <v/>
      </c>
      <c r="Q60" s="57" t="str">
        <f t="shared" ref="Q60:Q61" si="219">IF(Q54="","",Q54-P54)</f>
        <v/>
      </c>
      <c r="R60" s="57" t="str">
        <f t="shared" ref="R60:R61" si="220">IF(R54="","",R54-Q54)</f>
        <v/>
      </c>
      <c r="S60" s="57" t="str">
        <f t="shared" ref="S60:S61" si="221">IF(S54="","",S54-R54)</f>
        <v/>
      </c>
      <c r="T60" s="57" t="str">
        <f t="shared" ref="T60:T61" si="222">IF(T54="","",T54-S54)</f>
        <v/>
      </c>
      <c r="U60" s="57" t="str">
        <f t="shared" ref="U60:U61" si="223">IF(U54="","",U54-T54)</f>
        <v/>
      </c>
      <c r="V60" s="57" t="str">
        <f t="shared" ref="V60:V61" si="224">IF(V54="","",V54-U54)</f>
        <v/>
      </c>
      <c r="W60" s="57" t="str">
        <f t="shared" ref="W60:Y61" si="225">IF(W54="","",W54-V54)</f>
        <v/>
      </c>
      <c r="X60" s="57" t="str">
        <f t="shared" si="225"/>
        <v/>
      </c>
      <c r="Y60" s="57" t="str">
        <f t="shared" si="225"/>
        <v/>
      </c>
      <c r="Z60" s="57" t="str">
        <f t="shared" ref="Z60:Z61" si="226">IF(Z54="","",Z54-Y54)</f>
        <v/>
      </c>
      <c r="AA60" s="57" t="str">
        <f t="shared" ref="AA60:AA61" si="227">IF(AA54="","",AA54-Z54)</f>
        <v/>
      </c>
      <c r="AB60" s="57" t="str">
        <f t="shared" ref="AB60:AB61" si="228">IF(AB54="","",AB54-AA54)</f>
        <v/>
      </c>
      <c r="AC60" s="57" t="str">
        <f t="shared" ref="AC60:AC61" si="229">IF(AC54="","",AC54-AB54)</f>
        <v/>
      </c>
      <c r="AD60" s="57" t="str">
        <f t="shared" ref="AD60:AD61" si="230">IF(AD54="","",AD54-AC54)</f>
        <v/>
      </c>
      <c r="AE60" s="57" t="str">
        <f t="shared" ref="AE60:AE61" si="231">IF(AE54="","",AE54-AD54)</f>
        <v/>
      </c>
      <c r="AF60" s="57" t="str">
        <f t="shared" ref="AF60:AF61" si="232">IF(AF54="","",AF54-AE54)</f>
        <v/>
      </c>
      <c r="AG60" s="57" t="str">
        <f t="shared" ref="AG60:AG61" si="233">IF(AG54="","",AG54-AF54)</f>
        <v/>
      </c>
      <c r="AH60" s="57" t="str">
        <f t="shared" ref="AH60:AH61" si="234">IF(AH54="","",AH54-AG54)</f>
        <v/>
      </c>
      <c r="AI60" s="57" t="str">
        <f t="shared" ref="AI60:AI61" si="235">IF(AI54="","",AI54-AH54)</f>
        <v/>
      </c>
      <c r="AJ60" s="57" t="str">
        <f t="shared" ref="AJ60:AJ61" si="236">IF(AJ54="","",AJ54-AI54)</f>
        <v/>
      </c>
      <c r="AK60" s="57" t="str">
        <f t="shared" ref="AK60:AK61" si="237">IF(AK54="","",AK54-AJ54)</f>
        <v/>
      </c>
      <c r="AL60" s="57" t="str">
        <f t="shared" ref="AL60:AL61" si="238">IF(AL54="","",AL54-AK54)</f>
        <v/>
      </c>
      <c r="AM60" s="57" t="str">
        <f t="shared" ref="AM60:AM61" si="239">IF(AM54="","",AM54-AL54)</f>
        <v/>
      </c>
      <c r="AN60" s="57" t="str">
        <f t="shared" ref="AN60:AN61" si="240">IF(AN54="","",AN54-AM54)</f>
        <v/>
      </c>
      <c r="AO60" s="57" t="str">
        <f>IF(AO54="","",AO54-AN54)</f>
        <v/>
      </c>
      <c r="AP60" s="57" t="str">
        <f t="shared" ref="AP60:AP61" si="241">IF(AP54="","",AP54-AO54)</f>
        <v/>
      </c>
      <c r="AQ60" s="57" t="str">
        <f t="shared" ref="AQ60:AQ61" si="242">IF(AQ54="","",AQ54-AP54)</f>
        <v/>
      </c>
      <c r="AR60" s="57" t="str">
        <f t="shared" ref="AR60:AR61" si="243">IF(AR54="","",AR54-AQ54)</f>
        <v/>
      </c>
      <c r="AS60" s="57" t="str">
        <f t="shared" ref="AS60:AS61" si="244">IF(AS54="","",AS54-AR54)</f>
        <v/>
      </c>
      <c r="AT60" s="57" t="str">
        <f t="shared" ref="AT60:AT61" si="245">IF(AT54="","",AT54-AS54)</f>
        <v/>
      </c>
      <c r="AU60" s="57" t="str">
        <f t="shared" ref="AU60:AU61" si="246">IF(AU54="","",AU54-AT54)</f>
        <v/>
      </c>
      <c r="AV60" s="57" t="str">
        <f t="shared" ref="AV60:AV61" si="247">IF(AV54="","",AV54-AU54)</f>
        <v/>
      </c>
      <c r="AW60" s="57" t="str">
        <f t="shared" ref="AW60:AW61" si="248">IF(AW54="","",AW54-AV54)</f>
        <v/>
      </c>
      <c r="AX60" s="57" t="str">
        <f t="shared" ref="AX60:AX61" si="249">IF(AX54="","",AX54-AW54)</f>
        <v/>
      </c>
    </row>
    <row r="61" spans="1:50" s="1" customFormat="1" x14ac:dyDescent="0.15">
      <c r="A61" s="7">
        <f>SUM(C61:AO61)</f>
        <v>9</v>
      </c>
      <c r="B61" s="58" t="s">
        <v>129</v>
      </c>
      <c r="C61" s="57"/>
      <c r="D61" s="57"/>
      <c r="E61" s="57"/>
      <c r="F61" s="57">
        <v>0</v>
      </c>
      <c r="G61" s="57">
        <v>0</v>
      </c>
      <c r="H61" s="57">
        <v>3</v>
      </c>
      <c r="I61" s="57">
        <v>0</v>
      </c>
      <c r="J61" s="57">
        <v>0</v>
      </c>
      <c r="K61" s="57">
        <v>0</v>
      </c>
      <c r="L61" s="57">
        <v>2</v>
      </c>
      <c r="M61" s="57">
        <f>IF(M55="","",M55-L55)</f>
        <v>0</v>
      </c>
      <c r="N61" s="57">
        <f>IF(N55="","",N55-M55)</f>
        <v>0</v>
      </c>
      <c r="O61" s="57">
        <f t="shared" si="217"/>
        <v>4</v>
      </c>
      <c r="P61" s="57" t="str">
        <f t="shared" si="218"/>
        <v/>
      </c>
      <c r="Q61" s="57" t="str">
        <f t="shared" si="219"/>
        <v/>
      </c>
      <c r="R61" s="57" t="str">
        <f t="shared" si="220"/>
        <v/>
      </c>
      <c r="S61" s="57" t="str">
        <f t="shared" si="221"/>
        <v/>
      </c>
      <c r="T61" s="57" t="str">
        <f t="shared" si="222"/>
        <v/>
      </c>
      <c r="U61" s="57" t="str">
        <f t="shared" si="223"/>
        <v/>
      </c>
      <c r="V61" s="57" t="str">
        <f t="shared" si="224"/>
        <v/>
      </c>
      <c r="W61" s="57" t="str">
        <f t="shared" si="225"/>
        <v/>
      </c>
      <c r="X61" s="57" t="str">
        <f t="shared" si="225"/>
        <v/>
      </c>
      <c r="Y61" s="57" t="str">
        <f t="shared" si="225"/>
        <v/>
      </c>
      <c r="Z61" s="57" t="str">
        <f t="shared" si="226"/>
        <v/>
      </c>
      <c r="AA61" s="57" t="str">
        <f t="shared" si="227"/>
        <v/>
      </c>
      <c r="AB61" s="57" t="str">
        <f t="shared" si="228"/>
        <v/>
      </c>
      <c r="AC61" s="57" t="str">
        <f t="shared" si="229"/>
        <v/>
      </c>
      <c r="AD61" s="57" t="str">
        <f t="shared" si="230"/>
        <v/>
      </c>
      <c r="AE61" s="57" t="str">
        <f t="shared" si="231"/>
        <v/>
      </c>
      <c r="AF61" s="57" t="str">
        <f t="shared" si="232"/>
        <v/>
      </c>
      <c r="AG61" s="57" t="str">
        <f t="shared" si="233"/>
        <v/>
      </c>
      <c r="AH61" s="57" t="str">
        <f t="shared" si="234"/>
        <v/>
      </c>
      <c r="AI61" s="57" t="str">
        <f t="shared" si="235"/>
        <v/>
      </c>
      <c r="AJ61" s="57" t="str">
        <f t="shared" si="236"/>
        <v/>
      </c>
      <c r="AK61" s="57" t="str">
        <f t="shared" si="237"/>
        <v/>
      </c>
      <c r="AL61" s="57" t="str">
        <f t="shared" si="238"/>
        <v/>
      </c>
      <c r="AM61" s="57" t="str">
        <f t="shared" si="239"/>
        <v/>
      </c>
      <c r="AN61" s="57" t="str">
        <f t="shared" si="240"/>
        <v/>
      </c>
      <c r="AO61" s="57" t="str">
        <f>IF(AO55="","",AO55-AN55)</f>
        <v/>
      </c>
      <c r="AP61" s="57" t="str">
        <f t="shared" si="241"/>
        <v/>
      </c>
      <c r="AQ61" s="57" t="str">
        <f t="shared" si="242"/>
        <v/>
      </c>
      <c r="AR61" s="57" t="str">
        <f t="shared" si="243"/>
        <v/>
      </c>
      <c r="AS61" s="57" t="str">
        <f t="shared" si="244"/>
        <v/>
      </c>
      <c r="AT61" s="57" t="str">
        <f t="shared" si="245"/>
        <v/>
      </c>
      <c r="AU61" s="57" t="str">
        <f t="shared" si="246"/>
        <v/>
      </c>
      <c r="AV61" s="57" t="str">
        <f t="shared" si="247"/>
        <v/>
      </c>
      <c r="AW61" s="57" t="str">
        <f t="shared" si="248"/>
        <v/>
      </c>
      <c r="AX61" s="57" t="str">
        <f t="shared" si="249"/>
        <v/>
      </c>
    </row>
    <row r="62" spans="1:50" s="1" customFormat="1" x14ac:dyDescent="0.15">
      <c r="A62" s="7">
        <f>SUM(C62:AO62)</f>
        <v>0</v>
      </c>
      <c r="B62" s="58" t="s">
        <v>16</v>
      </c>
      <c r="C62" s="57"/>
      <c r="D62" s="57"/>
      <c r="E62" s="57"/>
      <c r="F62" s="57" t="s">
        <v>19</v>
      </c>
      <c r="G62" s="57" t="s">
        <v>19</v>
      </c>
      <c r="H62" s="57" t="s">
        <v>19</v>
      </c>
      <c r="I62" s="57" t="s">
        <v>19</v>
      </c>
      <c r="J62" s="57" t="s">
        <v>19</v>
      </c>
      <c r="K62" s="57" t="s">
        <v>19</v>
      </c>
      <c r="L62" s="57" t="s">
        <v>19</v>
      </c>
      <c r="M62" s="57" t="str">
        <f>IF(M57="","",#REF!*M57)</f>
        <v/>
      </c>
      <c r="N62" s="57" t="str">
        <f>IF(N57="","",#REF!*N57)</f>
        <v/>
      </c>
      <c r="O62" s="57" t="str">
        <f>IF(O57="","",#REF!*O57)</f>
        <v/>
      </c>
      <c r="P62" s="57" t="str">
        <f>IF(P57="","",#REF!*P57)</f>
        <v/>
      </c>
      <c r="Q62" s="57" t="str">
        <f>IF(Q57="","",#REF!*Q57)</f>
        <v/>
      </c>
      <c r="R62" s="57" t="str">
        <f>IF(R57="","",#REF!*R57)</f>
        <v/>
      </c>
      <c r="S62" s="57" t="str">
        <f>IF(S57="","",#REF!*S57)</f>
        <v/>
      </c>
      <c r="T62" s="57" t="str">
        <f>IF(T57="","",#REF!*T57)</f>
        <v/>
      </c>
      <c r="U62" s="57" t="str">
        <f>IF(U57="","",#REF!*U57)</f>
        <v/>
      </c>
      <c r="V62" s="57" t="str">
        <f>IF(V57="","",#REF!*V57)</f>
        <v/>
      </c>
      <c r="W62" s="57" t="str">
        <f>IF(W57="","",#REF!*W57)</f>
        <v/>
      </c>
      <c r="X62" s="57" t="str">
        <f>IF(X57="","",#REF!*X57)</f>
        <v/>
      </c>
      <c r="Y62" s="57" t="str">
        <f>IF(Y57="","",#REF!*Y57)</f>
        <v/>
      </c>
      <c r="Z62" s="57" t="str">
        <f>IF(Z57="","",#REF!*Z57)</f>
        <v/>
      </c>
      <c r="AA62" s="57" t="str">
        <f>IF(AA57="","",#REF!*AA57)</f>
        <v/>
      </c>
      <c r="AB62" s="57" t="str">
        <f>IF(AB57="","",#REF!*AB57)</f>
        <v/>
      </c>
      <c r="AC62" s="57" t="str">
        <f>IF(AC57="","",#REF!*AC57)</f>
        <v/>
      </c>
      <c r="AD62" s="57" t="str">
        <f>IF(AD57="","",#REF!*AD57)</f>
        <v/>
      </c>
      <c r="AE62" s="57" t="str">
        <f>IF(AE57="","",#REF!*AE57)</f>
        <v/>
      </c>
      <c r="AF62" s="57" t="str">
        <f>IF(AF57="","",#REF!*AF57)</f>
        <v/>
      </c>
      <c r="AG62" s="57" t="str">
        <f>IF(AG57="","",#REF!*AG57)</f>
        <v/>
      </c>
      <c r="AH62" s="57" t="str">
        <f>IF(AH57="","",#REF!*AH57)</f>
        <v/>
      </c>
      <c r="AI62" s="57" t="str">
        <f>IF(AI57="","",#REF!*AI57)</f>
        <v/>
      </c>
      <c r="AJ62" s="57" t="str">
        <f>IF(AJ57="","",#REF!*AJ57)</f>
        <v/>
      </c>
      <c r="AK62" s="57" t="str">
        <f>IF(AK57="","",#REF!*AK57)</f>
        <v/>
      </c>
      <c r="AL62" s="57" t="str">
        <f>IF(AL57="","",#REF!*AL57)</f>
        <v/>
      </c>
      <c r="AM62" s="57" t="str">
        <f>IF(AM57="","",#REF!*AM57)</f>
        <v/>
      </c>
      <c r="AN62" s="57" t="str">
        <f>IF(AN57="","",#REF!*AN57)</f>
        <v/>
      </c>
      <c r="AO62" s="57" t="str">
        <f>IF(AO57="","",#REF!*AO57)</f>
        <v/>
      </c>
      <c r="AP62" s="57" t="str">
        <f>IF(AP57="","",#REF!*AP57)</f>
        <v/>
      </c>
      <c r="AQ62" s="57" t="str">
        <f>IF(AQ57="","",#REF!*AQ57)</f>
        <v/>
      </c>
      <c r="AR62" s="57" t="str">
        <f>IF(AR57="","",#REF!*AR57)</f>
        <v/>
      </c>
      <c r="AS62" s="57" t="str">
        <f>IF(AS57="","",#REF!*AS57)</f>
        <v/>
      </c>
      <c r="AT62" s="57" t="str">
        <f>IF(AT57="","",#REF!*AT57)</f>
        <v/>
      </c>
      <c r="AU62" s="57" t="str">
        <f>IF(AU57="","",#REF!*AU57)</f>
        <v/>
      </c>
      <c r="AV62" s="57" t="str">
        <f>IF(AV57="","",#REF!*AV57)</f>
        <v/>
      </c>
      <c r="AW62" s="57" t="str">
        <f>IF(AW57="","",#REF!*AW57)</f>
        <v/>
      </c>
      <c r="AX62" s="57" t="str">
        <f>IF(AX57="","",#REF!*AX57)</f>
        <v/>
      </c>
    </row>
    <row r="63" spans="1:50" s="1" customFormat="1" ht="12" thickBot="1" x14ac:dyDescent="0.2">
      <c r="A63" s="4">
        <f>IF(A62="","",A62/(A60*100))</f>
        <v>0</v>
      </c>
      <c r="B63" s="56" t="s">
        <v>18</v>
      </c>
      <c r="C63" s="55"/>
      <c r="D63" s="55"/>
      <c r="E63" s="55"/>
      <c r="F63" s="55" t="s">
        <v>19</v>
      </c>
      <c r="G63" s="55" t="s">
        <v>19</v>
      </c>
      <c r="H63" s="55" t="s">
        <v>19</v>
      </c>
      <c r="I63" s="55" t="s">
        <v>19</v>
      </c>
      <c r="J63" s="55" t="s">
        <v>19</v>
      </c>
      <c r="K63" s="55" t="s">
        <v>19</v>
      </c>
      <c r="L63" s="55" t="s">
        <v>19</v>
      </c>
      <c r="M63" s="55" t="str">
        <f>IF(M62="","",M62/(M60*100))</f>
        <v/>
      </c>
      <c r="N63" s="55" t="str">
        <f>IF(N62="","",N62/(N60*100))</f>
        <v/>
      </c>
      <c r="O63" s="55" t="str">
        <f t="shared" ref="N63:AP63" si="250">IF(O62="","",O62/(O60*100))</f>
        <v/>
      </c>
      <c r="P63" s="55" t="str">
        <f t="shared" si="250"/>
        <v/>
      </c>
      <c r="Q63" s="55" t="str">
        <f t="shared" si="250"/>
        <v/>
      </c>
      <c r="R63" s="55" t="str">
        <f t="shared" si="250"/>
        <v/>
      </c>
      <c r="S63" s="55" t="str">
        <f t="shared" si="250"/>
        <v/>
      </c>
      <c r="T63" s="55" t="str">
        <f t="shared" si="250"/>
        <v/>
      </c>
      <c r="U63" s="55" t="str">
        <f t="shared" si="250"/>
        <v/>
      </c>
      <c r="V63" s="55" t="str">
        <f t="shared" si="250"/>
        <v/>
      </c>
      <c r="W63" s="55" t="str">
        <f>IF(W62="","",W62/(W60*100))</f>
        <v/>
      </c>
      <c r="X63" s="55" t="str">
        <f>IF(X62="","",X62/(X60*100))</f>
        <v/>
      </c>
      <c r="Y63" s="55" t="str">
        <f>IF(Y62="","",Y62/(Y60*100))</f>
        <v/>
      </c>
      <c r="Z63" s="55" t="str">
        <f>IF(Z62="","",Z62/(Z60*100))</f>
        <v/>
      </c>
      <c r="AA63" s="55" t="str">
        <f t="shared" si="250"/>
        <v/>
      </c>
      <c r="AB63" s="55" t="str">
        <f t="shared" si="250"/>
        <v/>
      </c>
      <c r="AC63" s="55" t="str">
        <f t="shared" si="250"/>
        <v/>
      </c>
      <c r="AD63" s="55" t="str">
        <f t="shared" si="250"/>
        <v/>
      </c>
      <c r="AE63" s="55" t="str">
        <f t="shared" si="250"/>
        <v/>
      </c>
      <c r="AF63" s="55" t="str">
        <f t="shared" si="250"/>
        <v/>
      </c>
      <c r="AG63" s="55" t="str">
        <f t="shared" si="250"/>
        <v/>
      </c>
      <c r="AH63" s="55" t="str">
        <f t="shared" si="250"/>
        <v/>
      </c>
      <c r="AI63" s="55" t="str">
        <f t="shared" si="250"/>
        <v/>
      </c>
      <c r="AJ63" s="55" t="str">
        <f t="shared" si="250"/>
        <v/>
      </c>
      <c r="AK63" s="55" t="str">
        <f t="shared" si="250"/>
        <v/>
      </c>
      <c r="AL63" s="55" t="str">
        <f t="shared" si="250"/>
        <v/>
      </c>
      <c r="AM63" s="55" t="str">
        <f t="shared" si="250"/>
        <v/>
      </c>
      <c r="AN63" s="55" t="str">
        <f t="shared" si="250"/>
        <v/>
      </c>
      <c r="AO63" s="55" t="str">
        <f>IF(AO62="","",AO62/(AO60*100))</f>
        <v/>
      </c>
      <c r="AP63" s="55" t="str">
        <f t="shared" si="250"/>
        <v/>
      </c>
      <c r="AQ63" s="55" t="str">
        <f t="shared" ref="AQ63:AX63" si="251">IF(AQ62="","",AQ62/(AQ60*100))</f>
        <v/>
      </c>
      <c r="AR63" s="55" t="str">
        <f t="shared" si="251"/>
        <v/>
      </c>
      <c r="AS63" s="55" t="str">
        <f t="shared" si="251"/>
        <v/>
      </c>
      <c r="AT63" s="55" t="str">
        <f t="shared" si="251"/>
        <v/>
      </c>
      <c r="AU63" s="55" t="str">
        <f t="shared" si="251"/>
        <v/>
      </c>
      <c r="AV63" s="55" t="str">
        <f t="shared" si="251"/>
        <v/>
      </c>
      <c r="AW63" s="55" t="str">
        <f t="shared" si="251"/>
        <v/>
      </c>
      <c r="AX63" s="55" t="str">
        <f t="shared" si="251"/>
        <v/>
      </c>
    </row>
    <row r="64" spans="1:50" s="1" customFormat="1" x14ac:dyDescent="0.15">
      <c r="A64" s="40" t="s">
        <v>59</v>
      </c>
      <c r="B64" s="39" t="s">
        <v>123</v>
      </c>
      <c r="C64" s="38"/>
      <c r="D64" s="38">
        <v>4379</v>
      </c>
      <c r="E64" s="38">
        <v>4379</v>
      </c>
      <c r="F64" s="38">
        <v>4379</v>
      </c>
      <c r="G64" s="38">
        <v>4379</v>
      </c>
      <c r="H64" s="38">
        <v>4387</v>
      </c>
      <c r="I64" s="38">
        <v>4387</v>
      </c>
      <c r="J64" s="38">
        <v>4387</v>
      </c>
      <c r="K64" s="38">
        <v>4387</v>
      </c>
      <c r="L64" s="38">
        <v>4389</v>
      </c>
      <c r="M64" s="38">
        <v>4389</v>
      </c>
      <c r="N64" s="38">
        <v>4389</v>
      </c>
      <c r="O64" s="38">
        <v>4394</v>
      </c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</row>
    <row r="65" spans="1:50" s="1" customFormat="1" x14ac:dyDescent="0.15">
      <c r="A65" s="54" t="s">
        <v>132</v>
      </c>
      <c r="B65" s="30" t="s">
        <v>125</v>
      </c>
      <c r="C65" s="29"/>
      <c r="D65" s="29">
        <v>4393</v>
      </c>
      <c r="E65" s="29">
        <v>4393</v>
      </c>
      <c r="F65" s="29">
        <v>4393</v>
      </c>
      <c r="G65" s="29">
        <v>4393</v>
      </c>
      <c r="H65" s="29">
        <v>4401</v>
      </c>
      <c r="I65" s="29">
        <v>4401</v>
      </c>
      <c r="J65" s="29">
        <v>4401</v>
      </c>
      <c r="K65" s="29">
        <v>4401</v>
      </c>
      <c r="L65" s="29">
        <v>4403</v>
      </c>
      <c r="M65" s="29">
        <v>4403</v>
      </c>
      <c r="N65" s="29">
        <v>4403</v>
      </c>
      <c r="O65" s="29">
        <v>4408</v>
      </c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</row>
    <row r="66" spans="1:50" s="1" customFormat="1" x14ac:dyDescent="0.15">
      <c r="A66" s="36" t="s">
        <v>9</v>
      </c>
      <c r="B66" s="30" t="s">
        <v>7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</row>
    <row r="67" spans="1:50" s="1" customFormat="1" x14ac:dyDescent="0.15">
      <c r="A67" s="28">
        <f>AVERAGE(C70:AO70)*30*1000</f>
        <v>37500</v>
      </c>
      <c r="B67" s="30" t="s">
        <v>8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</row>
    <row r="68" spans="1:50" s="11" customFormat="1" x14ac:dyDescent="0.15">
      <c r="A68" s="34"/>
      <c r="B68" s="33" t="s">
        <v>126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</row>
    <row r="69" spans="1:50" s="1" customFormat="1" x14ac:dyDescent="0.15">
      <c r="A69" s="31"/>
      <c r="B69" s="30" t="s">
        <v>127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</row>
    <row r="70" spans="1:50" s="1" customFormat="1" x14ac:dyDescent="0.15">
      <c r="A70" s="28">
        <f>SUM(C70:AO70)</f>
        <v>15</v>
      </c>
      <c r="B70" s="53" t="s">
        <v>128</v>
      </c>
      <c r="C70" s="52"/>
      <c r="D70" s="52">
        <v>0</v>
      </c>
      <c r="E70" s="52">
        <v>0</v>
      </c>
      <c r="F70" s="52">
        <v>0</v>
      </c>
      <c r="G70" s="52">
        <v>0</v>
      </c>
      <c r="H70" s="52">
        <v>8</v>
      </c>
      <c r="I70" s="52">
        <v>0</v>
      </c>
      <c r="J70" s="52">
        <v>0</v>
      </c>
      <c r="K70" s="52">
        <v>0</v>
      </c>
      <c r="L70" s="52">
        <v>2</v>
      </c>
      <c r="M70" s="52">
        <f>IF(M64="","",M64-L64)</f>
        <v>0</v>
      </c>
      <c r="N70" s="52">
        <f>IF(N64="","",N64-M64)</f>
        <v>0</v>
      </c>
      <c r="O70" s="52">
        <f t="shared" ref="O70:O71" si="252">IF(O64="","",O64-N64)</f>
        <v>5</v>
      </c>
      <c r="P70" s="52" t="str">
        <f t="shared" ref="P70:P71" si="253">IF(P64="","",P64-O64)</f>
        <v/>
      </c>
      <c r="Q70" s="52" t="str">
        <f t="shared" ref="Q70:Q71" si="254">IF(Q64="","",Q64-P64)</f>
        <v/>
      </c>
      <c r="R70" s="52" t="str">
        <f t="shared" ref="R70:R71" si="255">IF(R64="","",R64-Q64)</f>
        <v/>
      </c>
      <c r="S70" s="52" t="str">
        <f t="shared" ref="S70:S71" si="256">IF(S64="","",S64-R64)</f>
        <v/>
      </c>
      <c r="T70" s="52" t="str">
        <f t="shared" ref="T70:T71" si="257">IF(T64="","",T64-S64)</f>
        <v/>
      </c>
      <c r="U70" s="52" t="str">
        <f t="shared" ref="U70:U71" si="258">IF(U64="","",U64-T64)</f>
        <v/>
      </c>
      <c r="V70" s="52" t="str">
        <f t="shared" ref="V70:V71" si="259">IF(V64="","",V64-U64)</f>
        <v/>
      </c>
      <c r="W70" s="52" t="str">
        <f t="shared" ref="W70:Y71" si="260">IF(W64="","",W64-V64)</f>
        <v/>
      </c>
      <c r="X70" s="52" t="str">
        <f t="shared" si="260"/>
        <v/>
      </c>
      <c r="Y70" s="52" t="str">
        <f t="shared" si="260"/>
        <v/>
      </c>
      <c r="Z70" s="52" t="str">
        <f t="shared" ref="Z70:Z71" si="261">IF(Z64="","",Z64-Y64)</f>
        <v/>
      </c>
      <c r="AA70" s="52" t="str">
        <f t="shared" ref="AA70:AA71" si="262">IF(AA64="","",AA64-Z64)</f>
        <v/>
      </c>
      <c r="AB70" s="52" t="str">
        <f t="shared" ref="AB70:AB71" si="263">IF(AB64="","",AB64-AA64)</f>
        <v/>
      </c>
      <c r="AC70" s="52" t="str">
        <f t="shared" ref="AC70:AC71" si="264">IF(AC64="","",AC64-AB64)</f>
        <v/>
      </c>
      <c r="AD70" s="52" t="str">
        <f t="shared" ref="AD70:AE71" si="265">IF(AD64="","",AD64-AC64)</f>
        <v/>
      </c>
      <c r="AE70" s="52" t="str">
        <f t="shared" si="265"/>
        <v/>
      </c>
      <c r="AF70" s="52" t="str">
        <f t="shared" ref="AF70:AF71" si="266">IF(AF64="","",AF64-AE64)</f>
        <v/>
      </c>
      <c r="AG70" s="52" t="str">
        <f>IF(AG64="","",AG64-AF64)</f>
        <v/>
      </c>
      <c r="AH70" s="52" t="str">
        <f t="shared" ref="AH70:AH71" si="267">IF(AH64="","",AH64-AG64)</f>
        <v/>
      </c>
      <c r="AI70" s="52" t="str">
        <f t="shared" ref="AI70:AI71" si="268">IF(AI64="","",AI64-AH64)</f>
        <v/>
      </c>
      <c r="AJ70" s="52" t="str">
        <f t="shared" ref="AJ70:AJ71" si="269">IF(AJ64="","",AJ64-AI64)</f>
        <v/>
      </c>
      <c r="AK70" s="52" t="str">
        <f t="shared" ref="AK70:AK71" si="270">IF(AK64="","",AK64-AJ64)</f>
        <v/>
      </c>
      <c r="AL70" s="52" t="str">
        <f t="shared" ref="AL70:AL71" si="271">IF(AL64="","",AL64-AK64)</f>
        <v/>
      </c>
      <c r="AM70" s="52" t="str">
        <f t="shared" ref="AM70:AM71" si="272">IF(AM64="","",AM64-AL64)</f>
        <v/>
      </c>
      <c r="AN70" s="52" t="str">
        <f t="shared" ref="AN70:AN71" si="273">IF(AN64="","",AN64-AM64)</f>
        <v/>
      </c>
      <c r="AO70" s="52" t="str">
        <f>IF(AO64="","",AO64-AN64)</f>
        <v/>
      </c>
      <c r="AP70" s="52" t="str">
        <f t="shared" ref="AP70:AP71" si="274">IF(AP64="","",AP64-AO64)</f>
        <v/>
      </c>
      <c r="AQ70" s="52" t="str">
        <f t="shared" ref="AQ70:AQ71" si="275">IF(AQ64="","",AQ64-AP64)</f>
        <v/>
      </c>
      <c r="AR70" s="52" t="str">
        <f t="shared" ref="AR70:AR71" si="276">IF(AR64="","",AR64-AQ64)</f>
        <v/>
      </c>
      <c r="AS70" s="52" t="str">
        <f t="shared" ref="AS70:AS71" si="277">IF(AS64="","",AS64-AR64)</f>
        <v/>
      </c>
      <c r="AT70" s="52" t="str">
        <f t="shared" ref="AT70:AT71" si="278">IF(AT64="","",AT64-AS64)</f>
        <v/>
      </c>
      <c r="AU70" s="52" t="str">
        <f t="shared" ref="AU70:AU71" si="279">IF(AU64="","",AU64-AT64)</f>
        <v/>
      </c>
      <c r="AV70" s="52" t="str">
        <f t="shared" ref="AV70:AV71" si="280">IF(AV64="","",AV64-AU64)</f>
        <v/>
      </c>
      <c r="AW70" s="52" t="str">
        <f t="shared" ref="AW70:AW71" si="281">IF(AW64="","",AW64-AV64)</f>
        <v/>
      </c>
      <c r="AX70" s="52" t="str">
        <f t="shared" ref="AX70:AX71" si="282">IF(AX64="","",AX64-AW64)</f>
        <v/>
      </c>
    </row>
    <row r="71" spans="1:50" s="1" customFormat="1" x14ac:dyDescent="0.15">
      <c r="A71" s="28">
        <f>SUM(C71:AO71)</f>
        <v>15</v>
      </c>
      <c r="B71" s="53" t="s">
        <v>129</v>
      </c>
      <c r="C71" s="52"/>
      <c r="D71" s="52">
        <v>0</v>
      </c>
      <c r="E71" s="52">
        <v>0</v>
      </c>
      <c r="F71" s="52">
        <v>0</v>
      </c>
      <c r="G71" s="52">
        <v>0</v>
      </c>
      <c r="H71" s="52">
        <v>8</v>
      </c>
      <c r="I71" s="52">
        <v>0</v>
      </c>
      <c r="J71" s="52">
        <v>0</v>
      </c>
      <c r="K71" s="52">
        <v>0</v>
      </c>
      <c r="L71" s="52">
        <v>2</v>
      </c>
      <c r="M71" s="52">
        <f>IF(M65="","",M65-L65)</f>
        <v>0</v>
      </c>
      <c r="N71" s="52">
        <f>IF(N65="","",N65-M65)</f>
        <v>0</v>
      </c>
      <c r="O71" s="52">
        <f t="shared" si="252"/>
        <v>5</v>
      </c>
      <c r="P71" s="52" t="str">
        <f t="shared" si="253"/>
        <v/>
      </c>
      <c r="Q71" s="52" t="str">
        <f t="shared" si="254"/>
        <v/>
      </c>
      <c r="R71" s="52" t="str">
        <f t="shared" si="255"/>
        <v/>
      </c>
      <c r="S71" s="52" t="str">
        <f t="shared" si="256"/>
        <v/>
      </c>
      <c r="T71" s="52" t="str">
        <f t="shared" si="257"/>
        <v/>
      </c>
      <c r="U71" s="52" t="str">
        <f t="shared" si="258"/>
        <v/>
      </c>
      <c r="V71" s="52" t="str">
        <f t="shared" si="259"/>
        <v/>
      </c>
      <c r="W71" s="52" t="str">
        <f t="shared" si="260"/>
        <v/>
      </c>
      <c r="X71" s="52" t="str">
        <f t="shared" si="260"/>
        <v/>
      </c>
      <c r="Y71" s="52" t="str">
        <f t="shared" si="260"/>
        <v/>
      </c>
      <c r="Z71" s="52" t="str">
        <f t="shared" si="261"/>
        <v/>
      </c>
      <c r="AA71" s="52" t="str">
        <f t="shared" si="262"/>
        <v/>
      </c>
      <c r="AB71" s="52" t="str">
        <f t="shared" si="263"/>
        <v/>
      </c>
      <c r="AC71" s="52" t="str">
        <f t="shared" si="264"/>
        <v/>
      </c>
      <c r="AD71" s="52" t="str">
        <f t="shared" si="265"/>
        <v/>
      </c>
      <c r="AE71" s="52" t="str">
        <f t="shared" si="265"/>
        <v/>
      </c>
      <c r="AF71" s="52" t="str">
        <f t="shared" si="266"/>
        <v/>
      </c>
      <c r="AG71" s="52" t="str">
        <f>IF(AG65="","",AG65-AF65)</f>
        <v/>
      </c>
      <c r="AH71" s="52" t="str">
        <f t="shared" si="267"/>
        <v/>
      </c>
      <c r="AI71" s="52" t="str">
        <f t="shared" si="268"/>
        <v/>
      </c>
      <c r="AJ71" s="52" t="str">
        <f t="shared" si="269"/>
        <v/>
      </c>
      <c r="AK71" s="52" t="str">
        <f t="shared" si="270"/>
        <v/>
      </c>
      <c r="AL71" s="52" t="str">
        <f t="shared" si="271"/>
        <v/>
      </c>
      <c r="AM71" s="52" t="str">
        <f t="shared" si="272"/>
        <v/>
      </c>
      <c r="AN71" s="52" t="str">
        <f t="shared" si="273"/>
        <v/>
      </c>
      <c r="AO71" s="52" t="str">
        <f>IF(AO65="","",AO65-AN65)</f>
        <v/>
      </c>
      <c r="AP71" s="52" t="str">
        <f t="shared" si="274"/>
        <v/>
      </c>
      <c r="AQ71" s="52" t="str">
        <f t="shared" si="275"/>
        <v/>
      </c>
      <c r="AR71" s="52" t="str">
        <f t="shared" si="276"/>
        <v/>
      </c>
      <c r="AS71" s="52" t="str">
        <f t="shared" si="277"/>
        <v/>
      </c>
      <c r="AT71" s="52" t="str">
        <f t="shared" si="278"/>
        <v/>
      </c>
      <c r="AU71" s="52" t="str">
        <f t="shared" si="279"/>
        <v/>
      </c>
      <c r="AV71" s="52" t="str">
        <f t="shared" si="280"/>
        <v/>
      </c>
      <c r="AW71" s="52" t="str">
        <f t="shared" si="281"/>
        <v/>
      </c>
      <c r="AX71" s="52" t="str">
        <f t="shared" si="282"/>
        <v/>
      </c>
    </row>
    <row r="72" spans="1:50" s="1" customFormat="1" x14ac:dyDescent="0.15">
      <c r="A72" s="28">
        <f>SUM(C72:AO72)</f>
        <v>0</v>
      </c>
      <c r="B72" s="53" t="s">
        <v>16</v>
      </c>
      <c r="C72" s="52"/>
      <c r="D72" s="52" t="s">
        <v>19</v>
      </c>
      <c r="E72" s="52" t="s">
        <v>19</v>
      </c>
      <c r="F72" s="52" t="s">
        <v>19</v>
      </c>
      <c r="G72" s="52" t="s">
        <v>19</v>
      </c>
      <c r="H72" s="52" t="s">
        <v>19</v>
      </c>
      <c r="I72" s="52" t="s">
        <v>19</v>
      </c>
      <c r="J72" s="52" t="s">
        <v>19</v>
      </c>
      <c r="K72" s="52" t="s">
        <v>19</v>
      </c>
      <c r="L72" s="52" t="s">
        <v>19</v>
      </c>
      <c r="M72" s="52" t="str">
        <f>IF(M67="","",#REF!*M67)</f>
        <v/>
      </c>
      <c r="N72" s="52" t="str">
        <f>IF(N67="","",#REF!*N67)</f>
        <v/>
      </c>
      <c r="O72" s="52" t="str">
        <f>IF(O67="","",#REF!*O67)</f>
        <v/>
      </c>
      <c r="P72" s="52" t="str">
        <f>IF(P67="","",#REF!*P67)</f>
        <v/>
      </c>
      <c r="Q72" s="52" t="str">
        <f>IF(Q67="","",#REF!*Q67)</f>
        <v/>
      </c>
      <c r="R72" s="52" t="str">
        <f>IF(R67="","",#REF!*R67)</f>
        <v/>
      </c>
      <c r="S72" s="52" t="str">
        <f>IF(S67="","",#REF!*S67)</f>
        <v/>
      </c>
      <c r="T72" s="52" t="str">
        <f>IF(T67="","",#REF!*T67)</f>
        <v/>
      </c>
      <c r="U72" s="52" t="str">
        <f>IF(U67="","",#REF!*U67)</f>
        <v/>
      </c>
      <c r="V72" s="52" t="str">
        <f>IF(V67="","",#REF!*V67)</f>
        <v/>
      </c>
      <c r="W72" s="52" t="str">
        <f>IF(W67="","",#REF!*W67)</f>
        <v/>
      </c>
      <c r="X72" s="52" t="str">
        <f>IF(X67="","",#REF!*X67)</f>
        <v/>
      </c>
      <c r="Y72" s="52" t="str">
        <f>IF(Y67="","",#REF!*Y67)</f>
        <v/>
      </c>
      <c r="Z72" s="52" t="str">
        <f>IF(Z67="","",#REF!*Z67)</f>
        <v/>
      </c>
      <c r="AA72" s="52" t="str">
        <f>IF(AA67="","",#REF!*AA67)</f>
        <v/>
      </c>
      <c r="AB72" s="52" t="str">
        <f>IF(AB67="","",#REF!*AB67)</f>
        <v/>
      </c>
      <c r="AC72" s="52" t="str">
        <f>IF(AC67="","",#REF!*AC67)</f>
        <v/>
      </c>
      <c r="AD72" s="52" t="str">
        <f>IF(AD67="","",#REF!*AD67)</f>
        <v/>
      </c>
      <c r="AE72" s="52" t="str">
        <f>IF(AE67="","",#REF!*AE67)</f>
        <v/>
      </c>
      <c r="AF72" s="52" t="str">
        <f>IF(AF67="","",#REF!*AF67)</f>
        <v/>
      </c>
      <c r="AG72" s="52" t="str">
        <f>IF(AG67="","",#REF!*AG67)</f>
        <v/>
      </c>
      <c r="AH72" s="52" t="str">
        <f>IF(AH67="","",#REF!*AH67)</f>
        <v/>
      </c>
      <c r="AI72" s="52" t="str">
        <f>IF(AI67="","",#REF!*AI67)</f>
        <v/>
      </c>
      <c r="AJ72" s="52" t="str">
        <f>IF(AJ67="","",#REF!*AJ67)</f>
        <v/>
      </c>
      <c r="AK72" s="52" t="str">
        <f>IF(AK67="","",#REF!*AK67)</f>
        <v/>
      </c>
      <c r="AL72" s="52" t="str">
        <f>IF(AL67="","",#REF!*AL67)</f>
        <v/>
      </c>
      <c r="AM72" s="52" t="str">
        <f>IF(AM67="","",#REF!*AM67)</f>
        <v/>
      </c>
      <c r="AN72" s="52" t="str">
        <f>IF(AN67="","",#REF!*AN67)</f>
        <v/>
      </c>
      <c r="AO72" s="52" t="str">
        <f>IF(AO67="","",#REF!*AO67)</f>
        <v/>
      </c>
      <c r="AP72" s="52" t="str">
        <f>IF(AP67="","",#REF!*AP67)</f>
        <v/>
      </c>
      <c r="AQ72" s="52" t="str">
        <f>IF(AQ67="","",#REF!*AQ67)</f>
        <v/>
      </c>
      <c r="AR72" s="52" t="str">
        <f>IF(AR67="","",#REF!*AR67)</f>
        <v/>
      </c>
      <c r="AS72" s="52" t="str">
        <f>IF(AS67="","",#REF!*AS67)</f>
        <v/>
      </c>
      <c r="AT72" s="52" t="str">
        <f>IF(AT67="","",#REF!*AT67)</f>
        <v/>
      </c>
      <c r="AU72" s="52" t="str">
        <f>IF(AU67="","",#REF!*AU67)</f>
        <v/>
      </c>
      <c r="AV72" s="52" t="str">
        <f>IF(AV67="","",#REF!*AV67)</f>
        <v/>
      </c>
      <c r="AW72" s="52" t="str">
        <f>IF(AW67="","",#REF!*AW67)</f>
        <v/>
      </c>
      <c r="AX72" s="52" t="str">
        <f>IF(AX67="","",#REF!*AX67)</f>
        <v/>
      </c>
    </row>
    <row r="73" spans="1:50" s="1" customFormat="1" ht="12" thickBot="1" x14ac:dyDescent="0.2">
      <c r="A73" s="25">
        <f>IF(A72="","",A72/(A70*100))</f>
        <v>0</v>
      </c>
      <c r="B73" s="51" t="s">
        <v>18</v>
      </c>
      <c r="C73" s="50"/>
      <c r="D73" s="50" t="s">
        <v>19</v>
      </c>
      <c r="E73" s="50" t="s">
        <v>19</v>
      </c>
      <c r="F73" s="50" t="s">
        <v>19</v>
      </c>
      <c r="G73" s="50" t="s">
        <v>19</v>
      </c>
      <c r="H73" s="50" t="s">
        <v>19</v>
      </c>
      <c r="I73" s="50" t="s">
        <v>19</v>
      </c>
      <c r="J73" s="50" t="s">
        <v>19</v>
      </c>
      <c r="K73" s="50" t="s">
        <v>19</v>
      </c>
      <c r="L73" s="50" t="s">
        <v>19</v>
      </c>
      <c r="M73" s="50" t="str">
        <f>IF(M72="","",M72/(M70*100))</f>
        <v/>
      </c>
      <c r="N73" s="50" t="str">
        <f>IF(N72="","",N72/(N70*100))</f>
        <v/>
      </c>
      <c r="O73" s="50" t="str">
        <f t="shared" ref="O73:AP73" si="283">IF(O72="","",O72/(O70*100))</f>
        <v/>
      </c>
      <c r="P73" s="50" t="str">
        <f t="shared" si="283"/>
        <v/>
      </c>
      <c r="Q73" s="50" t="str">
        <f t="shared" si="283"/>
        <v/>
      </c>
      <c r="R73" s="50" t="str">
        <f t="shared" si="283"/>
        <v/>
      </c>
      <c r="S73" s="50" t="str">
        <f t="shared" si="283"/>
        <v/>
      </c>
      <c r="T73" s="50" t="str">
        <f t="shared" si="283"/>
        <v/>
      </c>
      <c r="U73" s="50" t="str">
        <f t="shared" si="283"/>
        <v/>
      </c>
      <c r="V73" s="50" t="str">
        <f t="shared" si="283"/>
        <v/>
      </c>
      <c r="W73" s="50" t="str">
        <f>IF(W72="","",W72/(W70*100))</f>
        <v/>
      </c>
      <c r="X73" s="50" t="str">
        <f>IF(X72="","",X72/(X70*100))</f>
        <v/>
      </c>
      <c r="Y73" s="50" t="str">
        <f>IF(Y72="","",Y72/(Y70*100))</f>
        <v/>
      </c>
      <c r="Z73" s="50" t="str">
        <f>IF(Z72="","",Z72/(Z70*100))</f>
        <v/>
      </c>
      <c r="AA73" s="50" t="str">
        <f t="shared" si="283"/>
        <v/>
      </c>
      <c r="AB73" s="50" t="str">
        <f t="shared" si="283"/>
        <v/>
      </c>
      <c r="AC73" s="50" t="str">
        <f t="shared" si="283"/>
        <v/>
      </c>
      <c r="AD73" s="50" t="str">
        <f t="shared" si="283"/>
        <v/>
      </c>
      <c r="AE73" s="50" t="str">
        <f t="shared" ref="AE73" si="284">IF(AE72="","",AE72/(AE70*100))</f>
        <v/>
      </c>
      <c r="AF73" s="50" t="str">
        <f t="shared" si="283"/>
        <v/>
      </c>
      <c r="AG73" s="50" t="str">
        <f>IF(AG72="","",AG72/(AG70*100))</f>
        <v/>
      </c>
      <c r="AH73" s="50" t="str">
        <f t="shared" si="283"/>
        <v/>
      </c>
      <c r="AI73" s="50" t="str">
        <f t="shared" si="283"/>
        <v/>
      </c>
      <c r="AJ73" s="50" t="str">
        <f t="shared" si="283"/>
        <v/>
      </c>
      <c r="AK73" s="50" t="str">
        <f t="shared" si="283"/>
        <v/>
      </c>
      <c r="AL73" s="50" t="str">
        <f t="shared" si="283"/>
        <v/>
      </c>
      <c r="AM73" s="50" t="str">
        <f t="shared" si="283"/>
        <v/>
      </c>
      <c r="AN73" s="50" t="str">
        <f t="shared" si="283"/>
        <v/>
      </c>
      <c r="AO73" s="50" t="str">
        <f>IF(AO72="","",AO72/(AO70*100))</f>
        <v/>
      </c>
      <c r="AP73" s="50" t="str">
        <f t="shared" si="283"/>
        <v/>
      </c>
      <c r="AQ73" s="50" t="str">
        <f t="shared" ref="AQ73:AX73" si="285">IF(AQ72="","",AQ72/(AQ70*100))</f>
        <v/>
      </c>
      <c r="AR73" s="50" t="str">
        <f t="shared" si="285"/>
        <v/>
      </c>
      <c r="AS73" s="50" t="str">
        <f t="shared" si="285"/>
        <v/>
      </c>
      <c r="AT73" s="50" t="str">
        <f t="shared" si="285"/>
        <v/>
      </c>
      <c r="AU73" s="50" t="str">
        <f t="shared" si="285"/>
        <v/>
      </c>
      <c r="AV73" s="50" t="str">
        <f t="shared" si="285"/>
        <v/>
      </c>
      <c r="AW73" s="50" t="str">
        <f t="shared" si="285"/>
        <v/>
      </c>
      <c r="AX73" s="50" t="str">
        <f t="shared" si="285"/>
        <v/>
      </c>
    </row>
    <row r="74" spans="1:50" s="1" customFormat="1" x14ac:dyDescent="0.15">
      <c r="A74" s="40" t="s">
        <v>59</v>
      </c>
      <c r="B74" s="39" t="s">
        <v>123</v>
      </c>
      <c r="C74" s="38"/>
      <c r="D74" s="38">
        <v>10634</v>
      </c>
      <c r="E74" s="38">
        <v>10634</v>
      </c>
      <c r="F74" s="38">
        <v>10634</v>
      </c>
      <c r="G74" s="38">
        <v>10634</v>
      </c>
      <c r="H74" s="38">
        <v>10660</v>
      </c>
      <c r="I74" s="38">
        <v>10660</v>
      </c>
      <c r="J74" s="38">
        <v>10660</v>
      </c>
      <c r="K74" s="38">
        <v>10660</v>
      </c>
      <c r="L74" s="38">
        <v>10665</v>
      </c>
      <c r="M74" s="38">
        <v>10665</v>
      </c>
      <c r="N74" s="38">
        <v>10665</v>
      </c>
      <c r="O74" s="38">
        <v>10679</v>
      </c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</row>
    <row r="75" spans="1:50" s="1" customFormat="1" x14ac:dyDescent="0.15">
      <c r="A75" s="54" t="s">
        <v>124</v>
      </c>
      <c r="B75" s="30" t="s">
        <v>125</v>
      </c>
      <c r="C75" s="29"/>
      <c r="D75" s="29">
        <v>995</v>
      </c>
      <c r="E75" s="29">
        <v>995</v>
      </c>
      <c r="F75" s="29">
        <v>995</v>
      </c>
      <c r="G75" s="29">
        <v>995</v>
      </c>
      <c r="H75" s="29">
        <v>995</v>
      </c>
      <c r="I75" s="29">
        <v>995</v>
      </c>
      <c r="J75" s="29">
        <v>995</v>
      </c>
      <c r="K75" s="29">
        <v>995</v>
      </c>
      <c r="L75" s="29">
        <v>995</v>
      </c>
      <c r="M75" s="29">
        <v>995</v>
      </c>
      <c r="N75" s="29">
        <v>995</v>
      </c>
      <c r="O75" s="29">
        <v>995</v>
      </c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</row>
    <row r="76" spans="1:50" s="1" customFormat="1" x14ac:dyDescent="0.15">
      <c r="A76" s="1">
        <v>2000</v>
      </c>
      <c r="B76" s="30" t="s">
        <v>7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</row>
    <row r="77" spans="1:50" s="1" customFormat="1" x14ac:dyDescent="0.15">
      <c r="A77" s="36" t="s">
        <v>9</v>
      </c>
      <c r="B77" s="30" t="s">
        <v>8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</row>
    <row r="78" spans="1:50" s="11" customFormat="1" x14ac:dyDescent="0.15">
      <c r="A78" s="28">
        <f>AVERAGE(C80:AO80)*30*1000</f>
        <v>112500</v>
      </c>
      <c r="B78" s="33" t="s">
        <v>126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</row>
    <row r="79" spans="1:50" s="1" customFormat="1" x14ac:dyDescent="0.15">
      <c r="A79" s="31"/>
      <c r="B79" s="30" t="s">
        <v>127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</row>
    <row r="80" spans="1:50" s="1" customFormat="1" x14ac:dyDescent="0.15">
      <c r="A80" s="28">
        <f>SUM(C80:AO80)</f>
        <v>45</v>
      </c>
      <c r="B80" s="53" t="s">
        <v>128</v>
      </c>
      <c r="C80" s="52"/>
      <c r="D80" s="52">
        <v>0</v>
      </c>
      <c r="E80" s="52">
        <v>0</v>
      </c>
      <c r="F80" s="52">
        <v>0</v>
      </c>
      <c r="G80" s="52">
        <v>0</v>
      </c>
      <c r="H80" s="52">
        <v>26</v>
      </c>
      <c r="I80" s="52">
        <v>0</v>
      </c>
      <c r="J80" s="52">
        <v>0</v>
      </c>
      <c r="K80" s="52">
        <v>0</v>
      </c>
      <c r="L80" s="52">
        <v>5</v>
      </c>
      <c r="M80" s="52">
        <f>IF(M74="","",M74-L74)</f>
        <v>0</v>
      </c>
      <c r="N80" s="52">
        <f>IF(N74="","",N74-M74)</f>
        <v>0</v>
      </c>
      <c r="O80" s="52">
        <f t="shared" ref="O80:O81" si="286">IF(O74="","",O74-N74)</f>
        <v>14</v>
      </c>
      <c r="P80" s="52" t="str">
        <f t="shared" ref="P80:P81" si="287">IF(P74="","",P74-O74)</f>
        <v/>
      </c>
      <c r="Q80" s="52" t="str">
        <f t="shared" ref="Q80:Q81" si="288">IF(Q74="","",Q74-P74)</f>
        <v/>
      </c>
      <c r="R80" s="52" t="str">
        <f t="shared" ref="R80:R81" si="289">IF(R74="","",R74-Q74)</f>
        <v/>
      </c>
      <c r="S80" s="52" t="str">
        <f t="shared" ref="S80:S81" si="290">IF(S74="","",S74-R74)</f>
        <v/>
      </c>
      <c r="T80" s="52" t="str">
        <f t="shared" ref="T80:T81" si="291">IF(T74="","",T74-S74)</f>
        <v/>
      </c>
      <c r="U80" s="52" t="str">
        <f t="shared" ref="U80:U81" si="292">IF(U74="","",U74-T74)</f>
        <v/>
      </c>
      <c r="V80" s="52" t="str">
        <f t="shared" ref="V80:V81" si="293">IF(V74="","",V74-U74)</f>
        <v/>
      </c>
      <c r="W80" s="52" t="str">
        <f t="shared" ref="W80:Y81" si="294">IF(W74="","",W74-V74)</f>
        <v/>
      </c>
      <c r="X80" s="52" t="str">
        <f t="shared" si="294"/>
        <v/>
      </c>
      <c r="Y80" s="52" t="str">
        <f t="shared" si="294"/>
        <v/>
      </c>
      <c r="Z80" s="52" t="str">
        <f t="shared" ref="Z80:Z81" si="295">IF(Z74="","",Z74-Y74)</f>
        <v/>
      </c>
      <c r="AA80" s="52" t="str">
        <f t="shared" ref="AA80:AA81" si="296">IF(AA74="","",AA74-Z74)</f>
        <v/>
      </c>
      <c r="AB80" s="52" t="str">
        <f t="shared" ref="AB80:AB81" si="297">IF(AB74="","",AB74-AA74)</f>
        <v/>
      </c>
      <c r="AC80" s="52" t="str">
        <f t="shared" ref="AC80:AC81" si="298">IF(AC74="","",AC74-AB74)</f>
        <v/>
      </c>
      <c r="AD80" s="52" t="str">
        <f t="shared" ref="AD80:AE81" si="299">IF(AD74="","",AD74-AC74)</f>
        <v/>
      </c>
      <c r="AE80" s="52" t="str">
        <f t="shared" si="299"/>
        <v/>
      </c>
      <c r="AF80" s="52" t="str">
        <f t="shared" ref="AF80:AF81" si="300">IF(AF74="","",AF74-AE74)</f>
        <v/>
      </c>
      <c r="AG80" s="52" t="str">
        <f>IF(AG74="","",AG74-AF74)</f>
        <v/>
      </c>
      <c r="AH80" s="52" t="str">
        <f t="shared" ref="AH80:AH81" si="301">IF(AH74="","",AH74-AG74)</f>
        <v/>
      </c>
      <c r="AI80" s="52" t="str">
        <f t="shared" ref="AI80:AI81" si="302">IF(AI74="","",AI74-AH74)</f>
        <v/>
      </c>
      <c r="AJ80" s="52" t="str">
        <f t="shared" ref="AJ80:AJ81" si="303">IF(AJ74="","",AJ74-AI74)</f>
        <v/>
      </c>
      <c r="AK80" s="52" t="str">
        <f t="shared" ref="AK80:AK81" si="304">IF(AK74="","",AK74-AJ74)</f>
        <v/>
      </c>
      <c r="AL80" s="52" t="str">
        <f t="shared" ref="AL80:AL81" si="305">IF(AL74="","",AL74-AK74)</f>
        <v/>
      </c>
      <c r="AM80" s="52" t="str">
        <f t="shared" ref="AM80:AM81" si="306">IF(AM74="","",AM74-AL74)</f>
        <v/>
      </c>
      <c r="AN80" s="52" t="str">
        <f t="shared" ref="AN80:AN81" si="307">IF(AN74="","",AN74-AM74)</f>
        <v/>
      </c>
      <c r="AO80" s="52" t="str">
        <f>IF(AO74="","",AO74-AN74)</f>
        <v/>
      </c>
      <c r="AP80" s="52" t="str">
        <f t="shared" ref="AP80:AP81" si="308">IF(AP74="","",AP74-AO74)</f>
        <v/>
      </c>
      <c r="AQ80" s="52" t="str">
        <f t="shared" ref="AQ80:AQ81" si="309">IF(AQ74="","",AQ74-AP74)</f>
        <v/>
      </c>
      <c r="AR80" s="52" t="str">
        <f t="shared" ref="AR80:AR81" si="310">IF(AR74="","",AR74-AQ74)</f>
        <v/>
      </c>
      <c r="AS80" s="52" t="str">
        <f t="shared" ref="AS80:AS81" si="311">IF(AS74="","",AS74-AR74)</f>
        <v/>
      </c>
      <c r="AT80" s="52" t="str">
        <f t="shared" ref="AT80:AT81" si="312">IF(AT74="","",AT74-AS74)</f>
        <v/>
      </c>
      <c r="AU80" s="52" t="str">
        <f t="shared" ref="AU80:AU81" si="313">IF(AU74="","",AU74-AT74)</f>
        <v/>
      </c>
      <c r="AV80" s="52" t="str">
        <f t="shared" ref="AV80:AV81" si="314">IF(AV74="","",AV74-AU74)</f>
        <v/>
      </c>
      <c r="AW80" s="52" t="str">
        <f t="shared" ref="AW80:AW81" si="315">IF(AW74="","",AW74-AV74)</f>
        <v/>
      </c>
      <c r="AX80" s="52" t="str">
        <f t="shared" ref="AX80:AX81" si="316">IF(AX74="","",AX74-AW74)</f>
        <v/>
      </c>
    </row>
    <row r="81" spans="1:50" s="1" customFormat="1" x14ac:dyDescent="0.15">
      <c r="A81" s="28">
        <f>SUM(C81:AO81)</f>
        <v>0</v>
      </c>
      <c r="B81" s="53" t="s">
        <v>129</v>
      </c>
      <c r="C81" s="52"/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f>IF(M75="","",M75-L75)</f>
        <v>0</v>
      </c>
      <c r="N81" s="52">
        <f>IF(N75="","",N75-M75)</f>
        <v>0</v>
      </c>
      <c r="O81" s="52">
        <f t="shared" si="286"/>
        <v>0</v>
      </c>
      <c r="P81" s="52" t="str">
        <f t="shared" si="287"/>
        <v/>
      </c>
      <c r="Q81" s="52" t="str">
        <f t="shared" si="288"/>
        <v/>
      </c>
      <c r="R81" s="52" t="str">
        <f t="shared" si="289"/>
        <v/>
      </c>
      <c r="S81" s="52" t="str">
        <f t="shared" si="290"/>
        <v/>
      </c>
      <c r="T81" s="52" t="str">
        <f t="shared" si="291"/>
        <v/>
      </c>
      <c r="U81" s="52" t="str">
        <f t="shared" si="292"/>
        <v/>
      </c>
      <c r="V81" s="52" t="str">
        <f t="shared" si="293"/>
        <v/>
      </c>
      <c r="W81" s="52" t="str">
        <f t="shared" si="294"/>
        <v/>
      </c>
      <c r="X81" s="52" t="str">
        <f t="shared" si="294"/>
        <v/>
      </c>
      <c r="Y81" s="52" t="str">
        <f t="shared" si="294"/>
        <v/>
      </c>
      <c r="Z81" s="52" t="str">
        <f t="shared" si="295"/>
        <v/>
      </c>
      <c r="AA81" s="52" t="str">
        <f t="shared" si="296"/>
        <v/>
      </c>
      <c r="AB81" s="52" t="str">
        <f t="shared" si="297"/>
        <v/>
      </c>
      <c r="AC81" s="52" t="str">
        <f t="shared" si="298"/>
        <v/>
      </c>
      <c r="AD81" s="52" t="str">
        <f t="shared" si="299"/>
        <v/>
      </c>
      <c r="AE81" s="52" t="str">
        <f t="shared" si="299"/>
        <v/>
      </c>
      <c r="AF81" s="52" t="str">
        <f t="shared" si="300"/>
        <v/>
      </c>
      <c r="AG81" s="52" t="str">
        <f>IF(AG75="","",AG75-AF75)</f>
        <v/>
      </c>
      <c r="AH81" s="52" t="str">
        <f t="shared" si="301"/>
        <v/>
      </c>
      <c r="AI81" s="52" t="str">
        <f t="shared" si="302"/>
        <v/>
      </c>
      <c r="AJ81" s="52" t="str">
        <f t="shared" si="303"/>
        <v/>
      </c>
      <c r="AK81" s="52" t="str">
        <f t="shared" si="304"/>
        <v/>
      </c>
      <c r="AL81" s="52" t="str">
        <f t="shared" si="305"/>
        <v/>
      </c>
      <c r="AM81" s="52" t="str">
        <f t="shared" si="306"/>
        <v/>
      </c>
      <c r="AN81" s="52" t="str">
        <f t="shared" si="307"/>
        <v/>
      </c>
      <c r="AO81" s="52" t="str">
        <f>IF(AO75="","",AO75-AN75)</f>
        <v/>
      </c>
      <c r="AP81" s="52" t="str">
        <f t="shared" si="308"/>
        <v/>
      </c>
      <c r="AQ81" s="52" t="str">
        <f t="shared" si="309"/>
        <v/>
      </c>
      <c r="AR81" s="52" t="str">
        <f t="shared" si="310"/>
        <v/>
      </c>
      <c r="AS81" s="52" t="str">
        <f t="shared" si="311"/>
        <v/>
      </c>
      <c r="AT81" s="52" t="str">
        <f t="shared" si="312"/>
        <v/>
      </c>
      <c r="AU81" s="52" t="str">
        <f t="shared" si="313"/>
        <v/>
      </c>
      <c r="AV81" s="52" t="str">
        <f t="shared" si="314"/>
        <v/>
      </c>
      <c r="AW81" s="52" t="str">
        <f t="shared" si="315"/>
        <v/>
      </c>
      <c r="AX81" s="52" t="str">
        <f t="shared" si="316"/>
        <v/>
      </c>
    </row>
    <row r="82" spans="1:50" s="1" customFormat="1" x14ac:dyDescent="0.15">
      <c r="A82" s="28">
        <f>SUM(C82:AO82)</f>
        <v>0</v>
      </c>
      <c r="B82" s="53" t="s">
        <v>16</v>
      </c>
      <c r="C82" s="52"/>
      <c r="D82" s="52" t="s">
        <v>19</v>
      </c>
      <c r="E82" s="52" t="s">
        <v>19</v>
      </c>
      <c r="F82" s="52" t="s">
        <v>19</v>
      </c>
      <c r="G82" s="52" t="s">
        <v>19</v>
      </c>
      <c r="H82" s="52" t="s">
        <v>19</v>
      </c>
      <c r="I82" s="52" t="s">
        <v>19</v>
      </c>
      <c r="J82" s="52" t="s">
        <v>19</v>
      </c>
      <c r="K82" s="52" t="s">
        <v>19</v>
      </c>
      <c r="L82" s="52" t="s">
        <v>19</v>
      </c>
      <c r="M82" s="52" t="str">
        <f>IF(M77="","",#REF!*M77)</f>
        <v/>
      </c>
      <c r="N82" s="52" t="str">
        <f>IF(N77="","",#REF!*N77)</f>
        <v/>
      </c>
      <c r="O82" s="52" t="str">
        <f>IF(O77="","",#REF!*O77)</f>
        <v/>
      </c>
      <c r="P82" s="52" t="str">
        <f>IF(P77="","",#REF!*P77)</f>
        <v/>
      </c>
      <c r="Q82" s="52" t="str">
        <f>IF(Q77="","",#REF!*Q77)</f>
        <v/>
      </c>
      <c r="R82" s="52" t="str">
        <f>IF(R77="","",#REF!*R77)</f>
        <v/>
      </c>
      <c r="S82" s="52" t="str">
        <f>IF(S77="","",#REF!*S77)</f>
        <v/>
      </c>
      <c r="T82" s="52" t="str">
        <f>IF(T77="","",#REF!*T77)</f>
        <v/>
      </c>
      <c r="U82" s="52" t="str">
        <f>IF(U77="","",#REF!*U77)</f>
        <v/>
      </c>
      <c r="V82" s="52" t="str">
        <f>IF(V77="","",#REF!*V77)</f>
        <v/>
      </c>
      <c r="W82" s="52" t="str">
        <f>IF(W77="","",#REF!*W77)</f>
        <v/>
      </c>
      <c r="X82" s="52" t="str">
        <f>IF(X77="","",#REF!*X77)</f>
        <v/>
      </c>
      <c r="Y82" s="52" t="str">
        <f>IF(Y77="","",#REF!*Y77)</f>
        <v/>
      </c>
      <c r="Z82" s="52" t="str">
        <f>IF(Z77="","",#REF!*Z77)</f>
        <v/>
      </c>
      <c r="AA82" s="52" t="str">
        <f>IF(AA77="","",#REF!*AA77)</f>
        <v/>
      </c>
      <c r="AB82" s="52" t="str">
        <f>IF(AB77="","",#REF!*AB77)</f>
        <v/>
      </c>
      <c r="AC82" s="52" t="str">
        <f>IF(AC77="","",#REF!*AC77)</f>
        <v/>
      </c>
      <c r="AD82" s="52" t="str">
        <f>IF(AD77="","",#REF!*AD77)</f>
        <v/>
      </c>
      <c r="AE82" s="52" t="str">
        <f>IF(AE77="","",#REF!*AE77)</f>
        <v/>
      </c>
      <c r="AF82" s="52" t="str">
        <f>IF(AF77="","",#REF!*AF77)</f>
        <v/>
      </c>
      <c r="AG82" s="52" t="str">
        <f>IF(AG77="","",#REF!*AG77)</f>
        <v/>
      </c>
      <c r="AH82" s="52" t="str">
        <f>IF(AH77="","",#REF!*AH77)</f>
        <v/>
      </c>
      <c r="AI82" s="52" t="str">
        <f>IF(AI77="","",#REF!*AI77)</f>
        <v/>
      </c>
      <c r="AJ82" s="52" t="str">
        <f>IF(AJ77="","",#REF!*AJ77)</f>
        <v/>
      </c>
      <c r="AK82" s="52" t="str">
        <f>IF(AK77="","",#REF!*AK77)</f>
        <v/>
      </c>
      <c r="AL82" s="52" t="str">
        <f>IF(AL77="","",#REF!*AL77)</f>
        <v/>
      </c>
      <c r="AM82" s="52" t="str">
        <f>IF(AM77="","",#REF!*AM77)</f>
        <v/>
      </c>
      <c r="AN82" s="52" t="str">
        <f>IF(AN77="","",#REF!*AN77)</f>
        <v/>
      </c>
      <c r="AO82" s="52" t="str">
        <f>IF(AO77="","",#REF!*AO77)</f>
        <v/>
      </c>
      <c r="AP82" s="52" t="str">
        <f>IF(AP77="","",#REF!*AP77)</f>
        <v/>
      </c>
      <c r="AQ82" s="52" t="str">
        <f>IF(AQ77="","",#REF!*AQ77)</f>
        <v/>
      </c>
      <c r="AR82" s="52" t="str">
        <f>IF(AR77="","",#REF!*AR77)</f>
        <v/>
      </c>
      <c r="AS82" s="52" t="str">
        <f>IF(AS77="","",#REF!*AS77)</f>
        <v/>
      </c>
      <c r="AT82" s="52" t="str">
        <f>IF(AT77="","",#REF!*AT77)</f>
        <v/>
      </c>
      <c r="AU82" s="52" t="str">
        <f>IF(AU77="","",#REF!*AU77)</f>
        <v/>
      </c>
      <c r="AV82" s="52" t="str">
        <f>IF(AV77="","",#REF!*AV77)</f>
        <v/>
      </c>
      <c r="AW82" s="52" t="str">
        <f>IF(AW77="","",#REF!*AW77)</f>
        <v/>
      </c>
      <c r="AX82" s="52" t="str">
        <f>IF(AX77="","",#REF!*AX77)</f>
        <v/>
      </c>
    </row>
    <row r="83" spans="1:50" s="1" customFormat="1" ht="12" thickBot="1" x14ac:dyDescent="0.2">
      <c r="A83" s="25">
        <f>IF(A82="","",A82/(A80*100))</f>
        <v>0</v>
      </c>
      <c r="B83" s="51" t="s">
        <v>18</v>
      </c>
      <c r="C83" s="50"/>
      <c r="D83" s="50" t="s">
        <v>19</v>
      </c>
      <c r="E83" s="50" t="s">
        <v>19</v>
      </c>
      <c r="F83" s="50" t="s">
        <v>19</v>
      </c>
      <c r="G83" s="50" t="s">
        <v>19</v>
      </c>
      <c r="H83" s="50" t="s">
        <v>19</v>
      </c>
      <c r="I83" s="50" t="s">
        <v>19</v>
      </c>
      <c r="J83" s="50" t="s">
        <v>19</v>
      </c>
      <c r="K83" s="50" t="s">
        <v>19</v>
      </c>
      <c r="L83" s="50" t="s">
        <v>19</v>
      </c>
      <c r="M83" s="50" t="str">
        <f>IF(M82="","",M82/(M80*100))</f>
        <v/>
      </c>
      <c r="N83" s="50" t="str">
        <f>IF(N82="","",N82/(N80*100))</f>
        <v/>
      </c>
      <c r="O83" s="50" t="str">
        <f t="shared" ref="I83:O83" si="317">IF(O82="","",O82/(O80*100))</f>
        <v/>
      </c>
      <c r="P83" s="50" t="str">
        <f t="shared" ref="P83:AP83" si="318">IF(P82="","",P82/(P80*100))</f>
        <v/>
      </c>
      <c r="Q83" s="50" t="str">
        <f t="shared" si="318"/>
        <v/>
      </c>
      <c r="R83" s="50" t="str">
        <f t="shared" si="318"/>
        <v/>
      </c>
      <c r="S83" s="50" t="str">
        <f t="shared" si="318"/>
        <v/>
      </c>
      <c r="T83" s="50" t="str">
        <f t="shared" si="318"/>
        <v/>
      </c>
      <c r="U83" s="50" t="str">
        <f t="shared" si="318"/>
        <v/>
      </c>
      <c r="V83" s="50" t="str">
        <f t="shared" si="318"/>
        <v/>
      </c>
      <c r="W83" s="50" t="str">
        <f>IF(W82="","",W82/(W80*100))</f>
        <v/>
      </c>
      <c r="X83" s="50" t="str">
        <f>IF(X82="","",X82/(X80*100))</f>
        <v/>
      </c>
      <c r="Y83" s="50" t="str">
        <f>IF(Y82="","",Y82/(Y80*100))</f>
        <v/>
      </c>
      <c r="Z83" s="50" t="str">
        <f>IF(Z82="","",Z82/(Z80*100))</f>
        <v/>
      </c>
      <c r="AA83" s="50" t="str">
        <f t="shared" si="318"/>
        <v/>
      </c>
      <c r="AB83" s="50" t="str">
        <f t="shared" si="318"/>
        <v/>
      </c>
      <c r="AC83" s="50" t="str">
        <f t="shared" si="318"/>
        <v/>
      </c>
      <c r="AD83" s="50" t="str">
        <f t="shared" si="318"/>
        <v/>
      </c>
      <c r="AE83" s="50" t="str">
        <f t="shared" ref="AE83" si="319">IF(AE82="","",AE82/(AE80*100))</f>
        <v/>
      </c>
      <c r="AF83" s="50" t="str">
        <f t="shared" si="318"/>
        <v/>
      </c>
      <c r="AG83" s="50" t="str">
        <f t="shared" si="318"/>
        <v/>
      </c>
      <c r="AH83" s="50" t="str">
        <f t="shared" si="318"/>
        <v/>
      </c>
      <c r="AI83" s="50" t="str">
        <f t="shared" si="318"/>
        <v/>
      </c>
      <c r="AJ83" s="50" t="str">
        <f t="shared" si="318"/>
        <v/>
      </c>
      <c r="AK83" s="50" t="str">
        <f t="shared" si="318"/>
        <v/>
      </c>
      <c r="AL83" s="50" t="str">
        <f t="shared" si="318"/>
        <v/>
      </c>
      <c r="AM83" s="50" t="str">
        <f t="shared" si="318"/>
        <v/>
      </c>
      <c r="AN83" s="50" t="str">
        <f t="shared" si="318"/>
        <v/>
      </c>
      <c r="AO83" s="50" t="str">
        <f>IF(AO82="","",AO82/(AO80*100))</f>
        <v/>
      </c>
      <c r="AP83" s="50" t="str">
        <f t="shared" si="318"/>
        <v/>
      </c>
      <c r="AQ83" s="50" t="str">
        <f t="shared" ref="AQ83:AX83" si="320">IF(AQ82="","",AQ82/(AQ80*100))</f>
        <v/>
      </c>
      <c r="AR83" s="50" t="str">
        <f t="shared" si="320"/>
        <v/>
      </c>
      <c r="AS83" s="50" t="str">
        <f t="shared" si="320"/>
        <v/>
      </c>
      <c r="AT83" s="50" t="str">
        <f t="shared" si="320"/>
        <v/>
      </c>
      <c r="AU83" s="50" t="str">
        <f t="shared" si="320"/>
        <v/>
      </c>
      <c r="AV83" s="50" t="str">
        <f t="shared" si="320"/>
        <v/>
      </c>
      <c r="AW83" s="50" t="str">
        <f t="shared" si="320"/>
        <v/>
      </c>
      <c r="AX83" s="50" t="str">
        <f t="shared" si="320"/>
        <v/>
      </c>
    </row>
    <row r="84" spans="1:50" s="1" customFormat="1" x14ac:dyDescent="0.15">
      <c r="A84" s="22" t="s">
        <v>59</v>
      </c>
      <c r="B84" s="21" t="s">
        <v>133</v>
      </c>
      <c r="C84" s="20"/>
      <c r="D84" s="20">
        <v>11934</v>
      </c>
      <c r="E84" s="20">
        <v>11934</v>
      </c>
      <c r="F84" s="20">
        <v>11934</v>
      </c>
      <c r="G84" s="20">
        <v>11934</v>
      </c>
      <c r="H84" s="20">
        <v>11989</v>
      </c>
      <c r="I84" s="20">
        <v>11989</v>
      </c>
      <c r="J84" s="20">
        <v>11989</v>
      </c>
      <c r="K84" s="20">
        <v>11989</v>
      </c>
      <c r="L84" s="20">
        <v>11989</v>
      </c>
      <c r="M84" s="20">
        <v>11989</v>
      </c>
      <c r="N84" s="20">
        <v>11989</v>
      </c>
      <c r="O84" s="20">
        <v>12009</v>
      </c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</row>
    <row r="85" spans="1:50" s="1" customFormat="1" x14ac:dyDescent="0.15">
      <c r="A85" s="59" t="s">
        <v>134</v>
      </c>
      <c r="B85" s="9" t="s">
        <v>125</v>
      </c>
      <c r="C85" s="8"/>
      <c r="D85" s="8">
        <v>2401</v>
      </c>
      <c r="E85" s="8">
        <v>2401</v>
      </c>
      <c r="F85" s="8">
        <v>2401</v>
      </c>
      <c r="G85" s="8">
        <v>2401</v>
      </c>
      <c r="H85" s="8">
        <v>2412</v>
      </c>
      <c r="I85" s="8">
        <v>2412</v>
      </c>
      <c r="J85" s="8">
        <v>2412</v>
      </c>
      <c r="K85" s="8">
        <v>2412</v>
      </c>
      <c r="L85" s="8">
        <v>2412</v>
      </c>
      <c r="M85" s="8">
        <v>2412</v>
      </c>
      <c r="N85" s="8">
        <v>2412</v>
      </c>
      <c r="O85" s="8">
        <v>2416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s="1" customFormat="1" x14ac:dyDescent="0.15">
      <c r="A86" s="15" t="s">
        <v>135</v>
      </c>
      <c r="B86" s="9" t="s">
        <v>7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s="1" customFormat="1" x14ac:dyDescent="0.15">
      <c r="A87" s="14" t="s">
        <v>9</v>
      </c>
      <c r="B87" s="9" t="s">
        <v>8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s="11" customFormat="1" x14ac:dyDescent="0.15">
      <c r="A88" s="7">
        <f>AVERAGE(C90:AO90)*30*100</f>
        <v>18750</v>
      </c>
      <c r="B88" s="13" t="s">
        <v>126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</row>
    <row r="89" spans="1:50" s="1" customFormat="1" x14ac:dyDescent="0.15">
      <c r="A89" s="10"/>
      <c r="B89" s="9" t="s">
        <v>127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s="1" customFormat="1" x14ac:dyDescent="0.15">
      <c r="A90" s="7">
        <f>SUM(C90:AO90)</f>
        <v>75</v>
      </c>
      <c r="B90" s="58" t="s">
        <v>13</v>
      </c>
      <c r="C90" s="57"/>
      <c r="D90" s="57">
        <v>0</v>
      </c>
      <c r="E90" s="57">
        <v>0</v>
      </c>
      <c r="F90" s="57">
        <v>0</v>
      </c>
      <c r="G90" s="57">
        <v>0</v>
      </c>
      <c r="H90" s="57">
        <v>55</v>
      </c>
      <c r="I90" s="57">
        <v>0</v>
      </c>
      <c r="J90" s="57">
        <v>0</v>
      </c>
      <c r="K90" s="57">
        <v>0</v>
      </c>
      <c r="L90" s="57">
        <v>0</v>
      </c>
      <c r="M90" s="57">
        <f>IF(M84="","",M84-L84)</f>
        <v>0</v>
      </c>
      <c r="N90" s="57">
        <f>IF(N84="","",N84-M84)</f>
        <v>0</v>
      </c>
      <c r="O90" s="57">
        <f t="shared" ref="M90:O91" si="321">IF(O84="","",O84-N84)</f>
        <v>20</v>
      </c>
      <c r="P90" s="57" t="str">
        <f t="shared" ref="P90:P91" si="322">IF(P84="","",P84-O84)</f>
        <v/>
      </c>
      <c r="Q90" s="57" t="str">
        <f t="shared" ref="Q90:Q91" si="323">IF(Q84="","",Q84-P84)</f>
        <v/>
      </c>
      <c r="R90" s="57" t="str">
        <f t="shared" ref="R90:R91" si="324">IF(R84="","",R84-Q84)</f>
        <v/>
      </c>
      <c r="S90" s="57" t="str">
        <f t="shared" ref="S90:S91" si="325">IF(S84="","",S84-R84)</f>
        <v/>
      </c>
      <c r="T90" s="57" t="str">
        <f t="shared" ref="T90:T91" si="326">IF(T84="","",T84-S84)</f>
        <v/>
      </c>
      <c r="U90" s="57" t="str">
        <f t="shared" ref="U90:U91" si="327">IF(U84="","",U84-T84)</f>
        <v/>
      </c>
      <c r="V90" s="57" t="str">
        <f t="shared" ref="V90:V91" si="328">IF(V84="","",V84-U84)</f>
        <v/>
      </c>
      <c r="W90" s="57" t="str">
        <f t="shared" ref="W90:Y91" si="329">IF(W84="","",W84-V84)</f>
        <v/>
      </c>
      <c r="X90" s="57" t="str">
        <f t="shared" si="329"/>
        <v/>
      </c>
      <c r="Y90" s="57" t="str">
        <f t="shared" si="329"/>
        <v/>
      </c>
      <c r="Z90" s="57" t="str">
        <f t="shared" ref="Z90:Z91" si="330">IF(Z84="","",Z84-Y84)</f>
        <v/>
      </c>
      <c r="AA90" s="57" t="str">
        <f t="shared" ref="AA90:AA91" si="331">IF(AA84="","",AA84-Z84)</f>
        <v/>
      </c>
      <c r="AB90" s="57" t="str">
        <f t="shared" ref="AB90:AB91" si="332">IF(AB84="","",AB84-AA84)</f>
        <v/>
      </c>
      <c r="AC90" s="57" t="str">
        <f t="shared" ref="AC90:AD91" si="333">IF(AC84="","",AC84-AB84)</f>
        <v/>
      </c>
      <c r="AD90" s="57" t="str">
        <f t="shared" ref="AD90:AD91" si="334">IF(AD84="","",AD84-AC84)</f>
        <v/>
      </c>
      <c r="AE90" s="57" t="str">
        <f t="shared" ref="AE90:AE91" si="335">IF(AE84="","",AE84-AD84)</f>
        <v/>
      </c>
      <c r="AF90" s="57" t="str">
        <f t="shared" ref="AF90:AF91" si="336">IF(AF84="","",AF84-AE84)</f>
        <v/>
      </c>
      <c r="AG90" s="57" t="str">
        <f t="shared" ref="AG90:AG91" si="337">IF(AG84="","",AG84-AF84)</f>
        <v/>
      </c>
      <c r="AH90" s="57" t="str">
        <f t="shared" ref="AH90:AH91" si="338">IF(AH84="","",AH84-AG84)</f>
        <v/>
      </c>
      <c r="AI90" s="57" t="str">
        <f t="shared" ref="AI90:AI91" si="339">IF(AI84="","",AI84-AH84)</f>
        <v/>
      </c>
      <c r="AJ90" s="57" t="str">
        <f>IF(AJ84="","",AJ84-AI84)</f>
        <v/>
      </c>
      <c r="AK90" s="57" t="str">
        <f t="shared" ref="AK90:AK91" si="340">IF(AK84="","",AK84-AJ84)</f>
        <v/>
      </c>
      <c r="AL90" s="57" t="str">
        <f t="shared" ref="AL90:AL91" si="341">IF(AL84="","",AL84-AK84)</f>
        <v/>
      </c>
      <c r="AM90" s="57" t="str">
        <f t="shared" ref="AM90:AM91" si="342">IF(AM84="","",AM84-AL84)</f>
        <v/>
      </c>
      <c r="AN90" s="57" t="str">
        <f t="shared" ref="AN90:AN91" si="343">IF(AN84="","",AN84-AM84)</f>
        <v/>
      </c>
      <c r="AO90" s="57" t="str">
        <f>IF(AO84="","",AO84-AN84)</f>
        <v/>
      </c>
      <c r="AP90" s="57" t="str">
        <f t="shared" ref="AP90:AP91" si="344">IF(AP84="","",AP84-AO84)</f>
        <v/>
      </c>
      <c r="AQ90" s="57" t="str">
        <f t="shared" ref="AQ90:AQ91" si="345">IF(AQ84="","",AQ84-AP84)</f>
        <v/>
      </c>
      <c r="AR90" s="57" t="str">
        <f t="shared" ref="AR90:AR91" si="346">IF(AR84="","",AR84-AQ84)</f>
        <v/>
      </c>
      <c r="AS90" s="57" t="str">
        <f t="shared" ref="AS90:AS91" si="347">IF(AS84="","",AS84-AR84)</f>
        <v/>
      </c>
      <c r="AT90" s="57" t="str">
        <f t="shared" ref="AT90:AT91" si="348">IF(AT84="","",AT84-AS84)</f>
        <v/>
      </c>
      <c r="AU90" s="57" t="str">
        <f t="shared" ref="AU90:AU91" si="349">IF(AU84="","",AU84-AT84)</f>
        <v/>
      </c>
      <c r="AV90" s="57" t="str">
        <f t="shared" ref="AV90:AV91" si="350">IF(AV84="","",AV84-AU84)</f>
        <v/>
      </c>
      <c r="AW90" s="57" t="str">
        <f t="shared" ref="AW90:AW91" si="351">IF(AW84="","",AW84-AV84)</f>
        <v/>
      </c>
      <c r="AX90" s="57" t="str">
        <f t="shared" ref="AX90:AX91" si="352">IF(AX84="","",AX84-AW84)</f>
        <v/>
      </c>
    </row>
    <row r="91" spans="1:50" s="1" customFormat="1" x14ac:dyDescent="0.15">
      <c r="A91" s="7">
        <f>SUM(C91:AO91)</f>
        <v>15</v>
      </c>
      <c r="B91" s="58" t="s">
        <v>129</v>
      </c>
      <c r="C91" s="57"/>
      <c r="D91" s="57">
        <v>0</v>
      </c>
      <c r="E91" s="57">
        <v>0</v>
      </c>
      <c r="F91" s="57">
        <v>0</v>
      </c>
      <c r="G91" s="57">
        <v>0</v>
      </c>
      <c r="H91" s="57">
        <v>11</v>
      </c>
      <c r="I91" s="57">
        <v>0</v>
      </c>
      <c r="J91" s="57">
        <v>0</v>
      </c>
      <c r="K91" s="57">
        <v>0</v>
      </c>
      <c r="L91" s="57">
        <v>0</v>
      </c>
      <c r="M91" s="57">
        <f>IF(M85="","",M85-L85)</f>
        <v>0</v>
      </c>
      <c r="N91" s="57">
        <f>IF(N85="","",N85-M85)</f>
        <v>0</v>
      </c>
      <c r="O91" s="57">
        <f t="shared" si="321"/>
        <v>4</v>
      </c>
      <c r="P91" s="57" t="str">
        <f t="shared" si="322"/>
        <v/>
      </c>
      <c r="Q91" s="57" t="str">
        <f t="shared" si="323"/>
        <v/>
      </c>
      <c r="R91" s="57" t="str">
        <f t="shared" si="324"/>
        <v/>
      </c>
      <c r="S91" s="57" t="str">
        <f t="shared" si="325"/>
        <v/>
      </c>
      <c r="T91" s="57" t="str">
        <f t="shared" si="326"/>
        <v/>
      </c>
      <c r="U91" s="57" t="str">
        <f t="shared" si="327"/>
        <v/>
      </c>
      <c r="V91" s="57" t="str">
        <f t="shared" si="328"/>
        <v/>
      </c>
      <c r="W91" s="57" t="str">
        <f t="shared" si="329"/>
        <v/>
      </c>
      <c r="X91" s="57" t="str">
        <f t="shared" si="329"/>
        <v/>
      </c>
      <c r="Y91" s="57" t="str">
        <f t="shared" si="329"/>
        <v/>
      </c>
      <c r="Z91" s="57" t="str">
        <f t="shared" si="330"/>
        <v/>
      </c>
      <c r="AA91" s="57" t="str">
        <f t="shared" si="331"/>
        <v/>
      </c>
      <c r="AB91" s="57" t="str">
        <f t="shared" si="332"/>
        <v/>
      </c>
      <c r="AC91" s="57" t="str">
        <f t="shared" si="333"/>
        <v/>
      </c>
      <c r="AD91" s="57" t="str">
        <f t="shared" si="334"/>
        <v/>
      </c>
      <c r="AE91" s="57" t="str">
        <f t="shared" si="335"/>
        <v/>
      </c>
      <c r="AF91" s="57" t="str">
        <f t="shared" si="336"/>
        <v/>
      </c>
      <c r="AG91" s="57" t="str">
        <f t="shared" si="337"/>
        <v/>
      </c>
      <c r="AH91" s="57" t="str">
        <f t="shared" si="338"/>
        <v/>
      </c>
      <c r="AI91" s="57" t="str">
        <f t="shared" si="339"/>
        <v/>
      </c>
      <c r="AJ91" s="57" t="str">
        <f>IF(AJ85="","",AJ85-AI85)</f>
        <v/>
      </c>
      <c r="AK91" s="57" t="str">
        <f t="shared" si="340"/>
        <v/>
      </c>
      <c r="AL91" s="57" t="str">
        <f t="shared" si="341"/>
        <v/>
      </c>
      <c r="AM91" s="57" t="str">
        <f t="shared" si="342"/>
        <v/>
      </c>
      <c r="AN91" s="57" t="str">
        <f t="shared" si="343"/>
        <v/>
      </c>
      <c r="AO91" s="57" t="str">
        <f>IF(AO85="","",AO85-AN85)</f>
        <v/>
      </c>
      <c r="AP91" s="57" t="str">
        <f t="shared" si="344"/>
        <v/>
      </c>
      <c r="AQ91" s="57" t="str">
        <f t="shared" si="345"/>
        <v/>
      </c>
      <c r="AR91" s="57" t="str">
        <f t="shared" si="346"/>
        <v/>
      </c>
      <c r="AS91" s="57" t="str">
        <f t="shared" si="347"/>
        <v/>
      </c>
      <c r="AT91" s="57" t="str">
        <f t="shared" si="348"/>
        <v/>
      </c>
      <c r="AU91" s="57" t="str">
        <f t="shared" si="349"/>
        <v/>
      </c>
      <c r="AV91" s="57" t="str">
        <f t="shared" si="350"/>
        <v/>
      </c>
      <c r="AW91" s="57" t="str">
        <f t="shared" si="351"/>
        <v/>
      </c>
      <c r="AX91" s="57" t="str">
        <f t="shared" si="352"/>
        <v/>
      </c>
    </row>
    <row r="92" spans="1:50" s="1" customFormat="1" x14ac:dyDescent="0.15">
      <c r="A92" s="7">
        <f>SUM(C92:AO92)</f>
        <v>0</v>
      </c>
      <c r="B92" s="58" t="s">
        <v>16</v>
      </c>
      <c r="C92" s="57"/>
      <c r="D92" s="57" t="s">
        <v>19</v>
      </c>
      <c r="E92" s="57" t="s">
        <v>19</v>
      </c>
      <c r="F92" s="57" t="s">
        <v>19</v>
      </c>
      <c r="G92" s="57" t="s">
        <v>19</v>
      </c>
      <c r="H92" s="57" t="s">
        <v>19</v>
      </c>
      <c r="I92" s="57" t="s">
        <v>19</v>
      </c>
      <c r="J92" s="57" t="s">
        <v>19</v>
      </c>
      <c r="K92" s="57" t="s">
        <v>19</v>
      </c>
      <c r="L92" s="57" t="s">
        <v>19</v>
      </c>
      <c r="M92" s="57" t="str">
        <f>IF(M87="","",#REF!*M87)</f>
        <v/>
      </c>
      <c r="N92" s="57" t="str">
        <f>IF(N87="","",#REF!*N87)</f>
        <v/>
      </c>
      <c r="O92" s="57" t="str">
        <f>IF(O87="","",#REF!*O87)</f>
        <v/>
      </c>
      <c r="P92" s="57" t="str">
        <f>IF(P87="","",#REF!*P87)</f>
        <v/>
      </c>
      <c r="Q92" s="57" t="str">
        <f>IF(Q87="","",#REF!*Q87)</f>
        <v/>
      </c>
      <c r="R92" s="57" t="str">
        <f>IF(R87="","",#REF!*R87)</f>
        <v/>
      </c>
      <c r="S92" s="57" t="str">
        <f>IF(S87="","",#REF!*S87)</f>
        <v/>
      </c>
      <c r="T92" s="57" t="str">
        <f>IF(T87="","",#REF!*T87)</f>
        <v/>
      </c>
      <c r="U92" s="57" t="str">
        <f>IF(U87="","",#REF!*U87)</f>
        <v/>
      </c>
      <c r="V92" s="57" t="str">
        <f>IF(V87="","",#REF!*V87)</f>
        <v/>
      </c>
      <c r="W92" s="57" t="str">
        <f>IF(W87="","",#REF!*W87)</f>
        <v/>
      </c>
      <c r="X92" s="57" t="str">
        <f>IF(X87="","",#REF!*X87)</f>
        <v/>
      </c>
      <c r="Y92" s="57" t="str">
        <f>IF(Y87="","",#REF!*Y87)</f>
        <v/>
      </c>
      <c r="Z92" s="57" t="str">
        <f>IF(Z87="","",#REF!*Z87)</f>
        <v/>
      </c>
      <c r="AA92" s="57" t="str">
        <f>IF(AA87="","",#REF!*AA87)</f>
        <v/>
      </c>
      <c r="AB92" s="57" t="str">
        <f>IF(AB87="","",#REF!*AB87)</f>
        <v/>
      </c>
      <c r="AC92" s="57" t="str">
        <f>IF(AC87="","",#REF!*AC87)</f>
        <v/>
      </c>
      <c r="AD92" s="57" t="str">
        <f>IF(AD87="","",#REF!*AD87)</f>
        <v/>
      </c>
      <c r="AE92" s="57" t="str">
        <f>IF(AE87="","",#REF!*AE87)</f>
        <v/>
      </c>
      <c r="AF92" s="57" t="str">
        <f>IF(AF87="","",#REF!*AF87)</f>
        <v/>
      </c>
      <c r="AG92" s="57" t="str">
        <f>IF(AG87="","",#REF!*AG87)</f>
        <v/>
      </c>
      <c r="AH92" s="57" t="str">
        <f>IF(AH87="","",#REF!*AH87)</f>
        <v/>
      </c>
      <c r="AI92" s="57" t="str">
        <f>IF(AI87="","",#REF!*AI87)</f>
        <v/>
      </c>
      <c r="AJ92" s="57" t="str">
        <f>IF(AJ87="","",#REF!*AJ87)</f>
        <v/>
      </c>
      <c r="AK92" s="57" t="str">
        <f>IF(AK87="","",#REF!*AK87)</f>
        <v/>
      </c>
      <c r="AL92" s="57" t="str">
        <f>IF(AL87="","",#REF!*AL87)</f>
        <v/>
      </c>
      <c r="AM92" s="57" t="str">
        <f>IF(AM87="","",#REF!*AM87)</f>
        <v/>
      </c>
      <c r="AN92" s="57" t="str">
        <f>IF(AN87="","",#REF!*AN87)</f>
        <v/>
      </c>
      <c r="AO92" s="57" t="str">
        <f>IF(AO87="","",#REF!*AO87)</f>
        <v/>
      </c>
      <c r="AP92" s="57" t="str">
        <f>IF(AP87="","",#REF!*AP87)</f>
        <v/>
      </c>
      <c r="AQ92" s="57" t="str">
        <f>IF(AQ87="","",#REF!*AQ87)</f>
        <v/>
      </c>
      <c r="AR92" s="57" t="str">
        <f>IF(AR87="","",#REF!*AR87)</f>
        <v/>
      </c>
      <c r="AS92" s="57" t="str">
        <f>IF(AS87="","",#REF!*AS87)</f>
        <v/>
      </c>
      <c r="AT92" s="57" t="str">
        <f>IF(AT87="","",#REF!*AT87)</f>
        <v/>
      </c>
      <c r="AU92" s="57" t="str">
        <f>IF(AU87="","",#REF!*AU87)</f>
        <v/>
      </c>
      <c r="AV92" s="57" t="str">
        <f>IF(AV87="","",#REF!*AV87)</f>
        <v/>
      </c>
      <c r="AW92" s="57" t="str">
        <f>IF(AW87="","",#REF!*AW87)</f>
        <v/>
      </c>
      <c r="AX92" s="57" t="str">
        <f>IF(AX87="","",#REF!*AX87)</f>
        <v/>
      </c>
    </row>
    <row r="93" spans="1:50" s="1" customFormat="1" x14ac:dyDescent="0.15">
      <c r="A93" s="19">
        <f>IF(A92="","",A92/(A90*100))</f>
        <v>0</v>
      </c>
      <c r="B93" s="58" t="s">
        <v>18</v>
      </c>
      <c r="C93" s="60"/>
      <c r="D93" s="60" t="s">
        <v>19</v>
      </c>
      <c r="E93" s="60" t="s">
        <v>19</v>
      </c>
      <c r="F93" s="60" t="s">
        <v>19</v>
      </c>
      <c r="G93" s="60" t="s">
        <v>19</v>
      </c>
      <c r="H93" s="60" t="s">
        <v>19</v>
      </c>
      <c r="I93" s="60" t="s">
        <v>19</v>
      </c>
      <c r="J93" s="60" t="s">
        <v>19</v>
      </c>
      <c r="K93" s="60" t="s">
        <v>19</v>
      </c>
      <c r="L93" s="60" t="s">
        <v>19</v>
      </c>
      <c r="M93" s="60" t="str">
        <f>IF(M92="","",M92/(M90*100))</f>
        <v/>
      </c>
      <c r="N93" s="60" t="str">
        <f>IF(N92="","",N92/(N90*100))</f>
        <v/>
      </c>
      <c r="O93" s="60" t="str">
        <f t="shared" ref="I93:O93" si="353">IF(O92="","",O92/(O90*100))</f>
        <v/>
      </c>
      <c r="P93" s="60" t="str">
        <f t="shared" ref="P93:AP93" si="354">IF(P92="","",P92/(P90*100))</f>
        <v/>
      </c>
      <c r="Q93" s="60" t="str">
        <f t="shared" si="354"/>
        <v/>
      </c>
      <c r="R93" s="60" t="str">
        <f t="shared" si="354"/>
        <v/>
      </c>
      <c r="S93" s="60" t="str">
        <f t="shared" si="354"/>
        <v/>
      </c>
      <c r="T93" s="60" t="str">
        <f t="shared" si="354"/>
        <v/>
      </c>
      <c r="U93" s="60" t="str">
        <f t="shared" si="354"/>
        <v/>
      </c>
      <c r="V93" s="60" t="str">
        <f t="shared" si="354"/>
        <v/>
      </c>
      <c r="W93" s="60" t="str">
        <f>IF(W92="","",W92/(W90*100))</f>
        <v/>
      </c>
      <c r="X93" s="60" t="str">
        <f>IF(X92="","",X92/(X90*100))</f>
        <v/>
      </c>
      <c r="Y93" s="60" t="str">
        <f>IF(Y92="","",Y92/(Y90*100))</f>
        <v/>
      </c>
      <c r="Z93" s="60" t="str">
        <f>IF(Z92="","",Z92/(Z90*100))</f>
        <v/>
      </c>
      <c r="AA93" s="60" t="str">
        <f t="shared" si="354"/>
        <v/>
      </c>
      <c r="AB93" s="60" t="str">
        <f t="shared" si="354"/>
        <v/>
      </c>
      <c r="AC93" s="60" t="str">
        <f t="shared" si="354"/>
        <v/>
      </c>
      <c r="AD93" s="60" t="str">
        <f t="shared" si="354"/>
        <v/>
      </c>
      <c r="AE93" s="60" t="str">
        <f t="shared" si="354"/>
        <v/>
      </c>
      <c r="AF93" s="60" t="str">
        <f t="shared" si="354"/>
        <v/>
      </c>
      <c r="AG93" s="60" t="str">
        <f t="shared" si="354"/>
        <v/>
      </c>
      <c r="AH93" s="60" t="str">
        <f t="shared" si="354"/>
        <v/>
      </c>
      <c r="AI93" s="60" t="str">
        <f t="shared" si="354"/>
        <v/>
      </c>
      <c r="AJ93" s="60" t="str">
        <f>IF(AJ92="","",AJ92/(AJ90*100))</f>
        <v/>
      </c>
      <c r="AK93" s="60" t="str">
        <f t="shared" si="354"/>
        <v/>
      </c>
      <c r="AL93" s="60" t="str">
        <f t="shared" si="354"/>
        <v/>
      </c>
      <c r="AM93" s="60" t="str">
        <f t="shared" si="354"/>
        <v/>
      </c>
      <c r="AN93" s="60" t="str">
        <f t="shared" si="354"/>
        <v/>
      </c>
      <c r="AO93" s="60" t="str">
        <f>IF(AO92="","",AO92/(AO90*100))</f>
        <v/>
      </c>
      <c r="AP93" s="60" t="str">
        <f t="shared" si="354"/>
        <v/>
      </c>
      <c r="AQ93" s="60" t="str">
        <f t="shared" ref="AQ93:AX93" si="355">IF(AQ92="","",AQ92/(AQ90*100))</f>
        <v/>
      </c>
      <c r="AR93" s="60" t="str">
        <f t="shared" si="355"/>
        <v/>
      </c>
      <c r="AS93" s="60" t="str">
        <f t="shared" si="355"/>
        <v/>
      </c>
      <c r="AT93" s="60" t="str">
        <f t="shared" si="355"/>
        <v/>
      </c>
      <c r="AU93" s="60" t="str">
        <f t="shared" si="355"/>
        <v/>
      </c>
      <c r="AV93" s="60" t="str">
        <f t="shared" si="355"/>
        <v/>
      </c>
      <c r="AW93" s="60" t="str">
        <f t="shared" si="355"/>
        <v/>
      </c>
      <c r="AX93" s="60" t="str">
        <f t="shared" si="355"/>
        <v/>
      </c>
    </row>
    <row r="94" spans="1:50" s="1" customFormat="1" x14ac:dyDescent="0.15">
      <c r="A94" s="17" t="s">
        <v>59</v>
      </c>
      <c r="B94" s="9" t="s">
        <v>133</v>
      </c>
      <c r="C94" s="8"/>
      <c r="D94" s="8">
        <v>8198</v>
      </c>
      <c r="E94" s="8">
        <v>8198</v>
      </c>
      <c r="F94" s="8">
        <v>8198</v>
      </c>
      <c r="G94" s="8">
        <v>8198</v>
      </c>
      <c r="H94" s="8">
        <v>8208</v>
      </c>
      <c r="I94" s="8">
        <v>8208</v>
      </c>
      <c r="J94" s="8">
        <v>8208</v>
      </c>
      <c r="K94" s="8">
        <v>8208</v>
      </c>
      <c r="L94" s="8">
        <v>8213</v>
      </c>
      <c r="M94" s="8">
        <v>8213</v>
      </c>
      <c r="N94" s="8">
        <v>8213</v>
      </c>
      <c r="O94" s="8">
        <v>8213</v>
      </c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s="1" customFormat="1" x14ac:dyDescent="0.15">
      <c r="A95" s="59" t="s">
        <v>134</v>
      </c>
      <c r="B95" s="9" t="s">
        <v>125</v>
      </c>
      <c r="C95" s="8"/>
      <c r="D95" s="8">
        <v>1660</v>
      </c>
      <c r="E95" s="8">
        <v>1660</v>
      </c>
      <c r="F95" s="8">
        <v>1660</v>
      </c>
      <c r="G95" s="8">
        <v>1660</v>
      </c>
      <c r="H95" s="8">
        <v>1662</v>
      </c>
      <c r="I95" s="8">
        <v>1662</v>
      </c>
      <c r="J95" s="8">
        <v>1662</v>
      </c>
      <c r="K95" s="8">
        <v>1662</v>
      </c>
      <c r="L95" s="8">
        <v>1663</v>
      </c>
      <c r="M95" s="8">
        <v>1663</v>
      </c>
      <c r="N95" s="8">
        <v>1663</v>
      </c>
      <c r="O95" s="8">
        <v>1663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s="1" customFormat="1" x14ac:dyDescent="0.15">
      <c r="A96" s="15" t="s">
        <v>136</v>
      </c>
      <c r="B96" s="9" t="s">
        <v>7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s="1" customFormat="1" x14ac:dyDescent="0.15">
      <c r="A97" s="14" t="s">
        <v>9</v>
      </c>
      <c r="B97" s="9" t="s">
        <v>8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s="11" customFormat="1" x14ac:dyDescent="0.15">
      <c r="A98" s="7">
        <f>AVERAGE(C100:AO100)*30*100</f>
        <v>3750</v>
      </c>
      <c r="B98" s="13" t="s">
        <v>126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</row>
    <row r="99" spans="1:50" s="1" customFormat="1" x14ac:dyDescent="0.15">
      <c r="A99" s="10"/>
      <c r="B99" s="9" t="s">
        <v>127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s="1" customFormat="1" x14ac:dyDescent="0.15">
      <c r="A100" s="7">
        <f>SUM(C100:AO100)</f>
        <v>15</v>
      </c>
      <c r="B100" s="58" t="s">
        <v>13</v>
      </c>
      <c r="C100" s="57"/>
      <c r="D100" s="57">
        <v>0</v>
      </c>
      <c r="E100" s="57">
        <v>0</v>
      </c>
      <c r="F100" s="57">
        <v>0</v>
      </c>
      <c r="G100" s="57">
        <v>0</v>
      </c>
      <c r="H100" s="57">
        <v>10</v>
      </c>
      <c r="I100" s="57">
        <v>0</v>
      </c>
      <c r="J100" s="57">
        <v>0</v>
      </c>
      <c r="K100" s="57">
        <v>0</v>
      </c>
      <c r="L100" s="57">
        <v>5</v>
      </c>
      <c r="M100" s="57">
        <f>IF(M94="","",M94-L94)</f>
        <v>0</v>
      </c>
      <c r="N100" s="57">
        <f>IF(N94="","",N94-M94)</f>
        <v>0</v>
      </c>
      <c r="O100" s="57">
        <f t="shared" ref="O100:O101" si="356">IF(O94="","",O94-N94)</f>
        <v>0</v>
      </c>
      <c r="P100" s="57" t="str">
        <f t="shared" ref="P100:P101" si="357">IF(P94="","",P94-O94)</f>
        <v/>
      </c>
      <c r="Q100" s="57" t="str">
        <f t="shared" ref="Q100:Q101" si="358">IF(Q94="","",Q94-P94)</f>
        <v/>
      </c>
      <c r="R100" s="57" t="str">
        <f t="shared" ref="R100:R101" si="359">IF(R94="","",R94-Q94)</f>
        <v/>
      </c>
      <c r="S100" s="57" t="str">
        <f t="shared" ref="S100:S101" si="360">IF(S94="","",S94-R94)</f>
        <v/>
      </c>
      <c r="T100" s="57" t="str">
        <f t="shared" ref="T100:T101" si="361">IF(T94="","",T94-S94)</f>
        <v/>
      </c>
      <c r="U100" s="57" t="str">
        <f t="shared" ref="U100:U101" si="362">IF(U94="","",U94-T94)</f>
        <v/>
      </c>
      <c r="V100" s="57" t="str">
        <f t="shared" ref="V100:V101" si="363">IF(V94="","",V94-U94)</f>
        <v/>
      </c>
      <c r="W100" s="57" t="str">
        <f t="shared" ref="W100:Y101" si="364">IF(W94="","",W94-V94)</f>
        <v/>
      </c>
      <c r="X100" s="57" t="str">
        <f t="shared" si="364"/>
        <v/>
      </c>
      <c r="Y100" s="57" t="str">
        <f t="shared" si="364"/>
        <v/>
      </c>
      <c r="Z100" s="57" t="str">
        <f t="shared" ref="Z100:Z101" si="365">IF(Z94="","",Z94-Y94)</f>
        <v/>
      </c>
      <c r="AA100" s="57" t="str">
        <f t="shared" ref="AA100:AA101" si="366">IF(AA94="","",AA94-Z94)</f>
        <v/>
      </c>
      <c r="AB100" s="57" t="str">
        <f t="shared" ref="AB100:AB101" si="367">IF(AB94="","",AB94-AA94)</f>
        <v/>
      </c>
      <c r="AC100" s="57" t="str">
        <f t="shared" ref="AC100:AC101" si="368">IF(AC94="","",AC94-AB94)</f>
        <v/>
      </c>
      <c r="AD100" s="57" t="str">
        <f t="shared" ref="AD100:AD101" si="369">IF(AD94="","",AD94-AC94)</f>
        <v/>
      </c>
      <c r="AE100" s="57" t="str">
        <f t="shared" ref="AE100:AE101" si="370">IF(AE94="","",AE94-AD94)</f>
        <v/>
      </c>
      <c r="AF100" s="57" t="str">
        <f t="shared" ref="AF100:AF101" si="371">IF(AF94="","",AF94-AE94)</f>
        <v/>
      </c>
      <c r="AG100" s="57" t="str">
        <f t="shared" ref="AG100:AG101" si="372">IF(AG94="","",AG94-AF94)</f>
        <v/>
      </c>
      <c r="AH100" s="57" t="str">
        <f t="shared" ref="AH100:AH101" si="373">IF(AH94="","",AH94-AG94)</f>
        <v/>
      </c>
      <c r="AI100" s="57" t="str">
        <f t="shared" ref="AI100:AI101" si="374">IF(AI94="","",AI94-AH94)</f>
        <v/>
      </c>
      <c r="AJ100" s="57" t="str">
        <f>IF(AJ94="","",AJ94-AI94)</f>
        <v/>
      </c>
      <c r="AK100" s="57" t="str">
        <f t="shared" ref="AK100:AK101" si="375">IF(AK94="","",AK94-AJ94)</f>
        <v/>
      </c>
      <c r="AL100" s="57" t="str">
        <f t="shared" ref="AL100:AL101" si="376">IF(AL94="","",AL94-AK94)</f>
        <v/>
      </c>
      <c r="AM100" s="57" t="str">
        <f t="shared" ref="AM100:AM101" si="377">IF(AM94="","",AM94-AL94)</f>
        <v/>
      </c>
      <c r="AN100" s="57" t="str">
        <f t="shared" ref="AN100:AN101" si="378">IF(AN94="","",AN94-AM94)</f>
        <v/>
      </c>
      <c r="AO100" s="57" t="str">
        <f>IF(AO94="","",AO94-AN94)</f>
        <v/>
      </c>
      <c r="AP100" s="57" t="str">
        <f t="shared" ref="AP100:AP101" si="379">IF(AP94="","",AP94-AO94)</f>
        <v/>
      </c>
      <c r="AQ100" s="57" t="str">
        <f t="shared" ref="AQ100:AQ101" si="380">IF(AQ94="","",AQ94-AP94)</f>
        <v/>
      </c>
      <c r="AR100" s="57" t="str">
        <f t="shared" ref="AR100:AR101" si="381">IF(AR94="","",AR94-AQ94)</f>
        <v/>
      </c>
      <c r="AS100" s="57" t="str">
        <f t="shared" ref="AS100:AS101" si="382">IF(AS94="","",AS94-AR94)</f>
        <v/>
      </c>
      <c r="AT100" s="57" t="str">
        <f t="shared" ref="AT100:AT101" si="383">IF(AT94="","",AT94-AS94)</f>
        <v/>
      </c>
      <c r="AU100" s="57" t="str">
        <f t="shared" ref="AU100:AU101" si="384">IF(AU94="","",AU94-AT94)</f>
        <v/>
      </c>
      <c r="AV100" s="57" t="str">
        <f t="shared" ref="AV100:AV101" si="385">IF(AV94="","",AV94-AU94)</f>
        <v/>
      </c>
      <c r="AW100" s="57" t="str">
        <f t="shared" ref="AW100:AW101" si="386">IF(AW94="","",AW94-AV94)</f>
        <v/>
      </c>
      <c r="AX100" s="57" t="str">
        <f t="shared" ref="AX100:AX101" si="387">IF(AX94="","",AX94-AW94)</f>
        <v/>
      </c>
    </row>
    <row r="101" spans="1:50" s="1" customFormat="1" x14ac:dyDescent="0.15">
      <c r="A101" s="7">
        <f>SUM(C101:AO101)</f>
        <v>3</v>
      </c>
      <c r="B101" s="58" t="s">
        <v>129</v>
      </c>
      <c r="C101" s="57"/>
      <c r="D101" s="57">
        <v>0</v>
      </c>
      <c r="E101" s="57">
        <v>0</v>
      </c>
      <c r="F101" s="57">
        <v>0</v>
      </c>
      <c r="G101" s="57">
        <v>0</v>
      </c>
      <c r="H101" s="57">
        <v>2</v>
      </c>
      <c r="I101" s="57">
        <v>0</v>
      </c>
      <c r="J101" s="57">
        <v>0</v>
      </c>
      <c r="K101" s="57">
        <v>0</v>
      </c>
      <c r="L101" s="57">
        <v>1</v>
      </c>
      <c r="M101" s="57">
        <f>IF(M95="","",M95-L95)</f>
        <v>0</v>
      </c>
      <c r="N101" s="57">
        <f>IF(N95="","",N95-M95)</f>
        <v>0</v>
      </c>
      <c r="O101" s="57">
        <f t="shared" si="356"/>
        <v>0</v>
      </c>
      <c r="P101" s="57" t="str">
        <f t="shared" si="357"/>
        <v/>
      </c>
      <c r="Q101" s="57" t="str">
        <f t="shared" si="358"/>
        <v/>
      </c>
      <c r="R101" s="57" t="str">
        <f t="shared" si="359"/>
        <v/>
      </c>
      <c r="S101" s="57" t="str">
        <f t="shared" si="360"/>
        <v/>
      </c>
      <c r="T101" s="57" t="str">
        <f t="shared" si="361"/>
        <v/>
      </c>
      <c r="U101" s="57" t="str">
        <f t="shared" si="362"/>
        <v/>
      </c>
      <c r="V101" s="57" t="str">
        <f t="shared" si="363"/>
        <v/>
      </c>
      <c r="W101" s="57" t="str">
        <f t="shared" si="364"/>
        <v/>
      </c>
      <c r="X101" s="57" t="str">
        <f t="shared" si="364"/>
        <v/>
      </c>
      <c r="Y101" s="57" t="str">
        <f t="shared" si="364"/>
        <v/>
      </c>
      <c r="Z101" s="57" t="str">
        <f t="shared" si="365"/>
        <v/>
      </c>
      <c r="AA101" s="57" t="str">
        <f t="shared" si="366"/>
        <v/>
      </c>
      <c r="AB101" s="57" t="str">
        <f t="shared" si="367"/>
        <v/>
      </c>
      <c r="AC101" s="57" t="str">
        <f t="shared" si="368"/>
        <v/>
      </c>
      <c r="AD101" s="57" t="str">
        <f t="shared" si="369"/>
        <v/>
      </c>
      <c r="AE101" s="57" t="str">
        <f t="shared" si="370"/>
        <v/>
      </c>
      <c r="AF101" s="57" t="str">
        <f t="shared" si="371"/>
        <v/>
      </c>
      <c r="AG101" s="57" t="str">
        <f t="shared" si="372"/>
        <v/>
      </c>
      <c r="AH101" s="57" t="str">
        <f t="shared" si="373"/>
        <v/>
      </c>
      <c r="AI101" s="57" t="str">
        <f t="shared" si="374"/>
        <v/>
      </c>
      <c r="AJ101" s="57" t="str">
        <f>IF(AJ95="","",AJ95-AI95)</f>
        <v/>
      </c>
      <c r="AK101" s="57" t="str">
        <f t="shared" si="375"/>
        <v/>
      </c>
      <c r="AL101" s="57" t="str">
        <f t="shared" si="376"/>
        <v/>
      </c>
      <c r="AM101" s="57" t="str">
        <f t="shared" si="377"/>
        <v/>
      </c>
      <c r="AN101" s="57" t="str">
        <f t="shared" si="378"/>
        <v/>
      </c>
      <c r="AO101" s="57" t="str">
        <f>IF(AO95="","",AO95-AN95)</f>
        <v/>
      </c>
      <c r="AP101" s="57" t="str">
        <f t="shared" si="379"/>
        <v/>
      </c>
      <c r="AQ101" s="57" t="str">
        <f t="shared" si="380"/>
        <v/>
      </c>
      <c r="AR101" s="57" t="str">
        <f t="shared" si="381"/>
        <v/>
      </c>
      <c r="AS101" s="57" t="str">
        <f t="shared" si="382"/>
        <v/>
      </c>
      <c r="AT101" s="57" t="str">
        <f t="shared" si="383"/>
        <v/>
      </c>
      <c r="AU101" s="57" t="str">
        <f t="shared" si="384"/>
        <v/>
      </c>
      <c r="AV101" s="57" t="str">
        <f t="shared" si="385"/>
        <v/>
      </c>
      <c r="AW101" s="57" t="str">
        <f t="shared" si="386"/>
        <v/>
      </c>
      <c r="AX101" s="57" t="str">
        <f t="shared" si="387"/>
        <v/>
      </c>
    </row>
    <row r="102" spans="1:50" s="1" customFormat="1" x14ac:dyDescent="0.15">
      <c r="A102" s="7">
        <f>SUM(C102:AO102)</f>
        <v>0</v>
      </c>
      <c r="B102" s="58" t="s">
        <v>16</v>
      </c>
      <c r="C102" s="57"/>
      <c r="D102" s="57" t="s">
        <v>19</v>
      </c>
      <c r="E102" s="57" t="s">
        <v>19</v>
      </c>
      <c r="F102" s="57" t="s">
        <v>19</v>
      </c>
      <c r="G102" s="57" t="s">
        <v>19</v>
      </c>
      <c r="H102" s="57" t="s">
        <v>19</v>
      </c>
      <c r="I102" s="57" t="s">
        <v>19</v>
      </c>
      <c r="J102" s="57" t="s">
        <v>19</v>
      </c>
      <c r="K102" s="57" t="s">
        <v>19</v>
      </c>
      <c r="L102" s="57" t="s">
        <v>19</v>
      </c>
      <c r="M102" s="57" t="str">
        <f>IF(M97="","",#REF!*M97)</f>
        <v/>
      </c>
      <c r="N102" s="57" t="str">
        <f>IF(N97="","",#REF!*N97)</f>
        <v/>
      </c>
      <c r="O102" s="57" t="str">
        <f>IF(O97="","",#REF!*O97)</f>
        <v/>
      </c>
      <c r="P102" s="57" t="str">
        <f>IF(P97="","",#REF!*P97)</f>
        <v/>
      </c>
      <c r="Q102" s="57" t="str">
        <f>IF(Q97="","",#REF!*Q97)</f>
        <v/>
      </c>
      <c r="R102" s="57" t="str">
        <f>IF(R97="","",#REF!*R97)</f>
        <v/>
      </c>
      <c r="S102" s="57" t="str">
        <f>IF(S97="","",#REF!*S97)</f>
        <v/>
      </c>
      <c r="T102" s="57" t="str">
        <f>IF(T97="","",#REF!*T97)</f>
        <v/>
      </c>
      <c r="U102" s="57" t="str">
        <f>IF(U97="","",#REF!*U97)</f>
        <v/>
      </c>
      <c r="V102" s="57" t="str">
        <f>IF(V97="","",#REF!*V97)</f>
        <v/>
      </c>
      <c r="W102" s="57" t="str">
        <f>IF(W97="","",#REF!*W97)</f>
        <v/>
      </c>
      <c r="X102" s="57" t="str">
        <f>IF(X97="","",#REF!*X97)</f>
        <v/>
      </c>
      <c r="Y102" s="57" t="str">
        <f>IF(Y97="","",#REF!*Y97)</f>
        <v/>
      </c>
      <c r="Z102" s="57" t="str">
        <f>IF(Z97="","",#REF!*Z97)</f>
        <v/>
      </c>
      <c r="AA102" s="57" t="str">
        <f>IF(AA97="","",#REF!*AA97)</f>
        <v/>
      </c>
      <c r="AB102" s="57" t="str">
        <f>IF(AB97="","",#REF!*AB97)</f>
        <v/>
      </c>
      <c r="AC102" s="57" t="str">
        <f>IF(AC97="","",#REF!*AC97)</f>
        <v/>
      </c>
      <c r="AD102" s="57" t="str">
        <f>IF(AD97="","",#REF!*AD97)</f>
        <v/>
      </c>
      <c r="AE102" s="57" t="str">
        <f>IF(AE97="","",#REF!*AE97)</f>
        <v/>
      </c>
      <c r="AF102" s="57" t="str">
        <f>IF(AF97="","",#REF!*AF97)</f>
        <v/>
      </c>
      <c r="AG102" s="57" t="str">
        <f>IF(AG97="","",#REF!*AG97)</f>
        <v/>
      </c>
      <c r="AH102" s="57" t="str">
        <f>IF(AH97="","",#REF!*AH97)</f>
        <v/>
      </c>
      <c r="AI102" s="57" t="str">
        <f>IF(AI97="","",#REF!*AI97)</f>
        <v/>
      </c>
      <c r="AJ102" s="57" t="str">
        <f>IF(AJ97="","",#REF!*AJ97)</f>
        <v/>
      </c>
      <c r="AK102" s="57" t="str">
        <f>IF(AK97="","",#REF!*AK97)</f>
        <v/>
      </c>
      <c r="AL102" s="57" t="str">
        <f>IF(AL97="","",#REF!*AL97)</f>
        <v/>
      </c>
      <c r="AM102" s="57" t="str">
        <f>IF(AM97="","",#REF!*AM97)</f>
        <v/>
      </c>
      <c r="AN102" s="57" t="str">
        <f>IF(AN97="","",#REF!*AN97)</f>
        <v/>
      </c>
      <c r="AO102" s="57" t="str">
        <f>IF(AO97="","",#REF!*AO97)</f>
        <v/>
      </c>
      <c r="AP102" s="57" t="str">
        <f>IF(AP97="","",#REF!*AP97)</f>
        <v/>
      </c>
      <c r="AQ102" s="57" t="str">
        <f>IF(AQ97="","",#REF!*AQ97)</f>
        <v/>
      </c>
      <c r="AR102" s="57" t="str">
        <f>IF(AR97="","",#REF!*AR97)</f>
        <v/>
      </c>
      <c r="AS102" s="57" t="str">
        <f>IF(AS97="","",#REF!*AS97)</f>
        <v/>
      </c>
      <c r="AT102" s="57" t="str">
        <f>IF(AT97="","",#REF!*AT97)</f>
        <v/>
      </c>
      <c r="AU102" s="57" t="str">
        <f>IF(AU97="","",#REF!*AU97)</f>
        <v/>
      </c>
      <c r="AV102" s="57" t="str">
        <f>IF(AV97="","",#REF!*AV97)</f>
        <v/>
      </c>
      <c r="AW102" s="57" t="str">
        <f>IF(AW97="","",#REF!*AW97)</f>
        <v/>
      </c>
      <c r="AX102" s="57" t="str">
        <f>IF(AX97="","",#REF!*AX97)</f>
        <v/>
      </c>
    </row>
    <row r="103" spans="1:50" s="1" customFormat="1" ht="12" thickBot="1" x14ac:dyDescent="0.2">
      <c r="A103" s="4">
        <f>IF(A102="","",A102/(A100*100))</f>
        <v>0</v>
      </c>
      <c r="B103" s="56" t="s">
        <v>18</v>
      </c>
      <c r="C103" s="55"/>
      <c r="D103" s="55" t="s">
        <v>19</v>
      </c>
      <c r="E103" s="55" t="s">
        <v>19</v>
      </c>
      <c r="F103" s="55" t="s">
        <v>19</v>
      </c>
      <c r="G103" s="55" t="s">
        <v>19</v>
      </c>
      <c r="H103" s="55" t="s">
        <v>19</v>
      </c>
      <c r="I103" s="55" t="s">
        <v>19</v>
      </c>
      <c r="J103" s="55" t="s">
        <v>19</v>
      </c>
      <c r="K103" s="55" t="s">
        <v>19</v>
      </c>
      <c r="L103" s="55" t="s">
        <v>19</v>
      </c>
      <c r="M103" s="55" t="str">
        <f>IF(M102="","",M102/(M100*100))</f>
        <v/>
      </c>
      <c r="N103" s="55" t="str">
        <f>IF(N102="","",N102/(N100*100))</f>
        <v/>
      </c>
      <c r="O103" s="55" t="str">
        <f t="shared" ref="N103:AP103" si="388">IF(O102="","",O102/(O100*100))</f>
        <v/>
      </c>
      <c r="P103" s="55" t="str">
        <f t="shared" si="388"/>
        <v/>
      </c>
      <c r="Q103" s="55" t="str">
        <f t="shared" si="388"/>
        <v/>
      </c>
      <c r="R103" s="55" t="str">
        <f t="shared" si="388"/>
        <v/>
      </c>
      <c r="S103" s="55" t="str">
        <f t="shared" si="388"/>
        <v/>
      </c>
      <c r="T103" s="55" t="str">
        <f t="shared" si="388"/>
        <v/>
      </c>
      <c r="U103" s="55" t="str">
        <f t="shared" si="388"/>
        <v/>
      </c>
      <c r="V103" s="55" t="str">
        <f t="shared" si="388"/>
        <v/>
      </c>
      <c r="W103" s="55" t="str">
        <f>IF(W102="","",W102/(W100*100))</f>
        <v/>
      </c>
      <c r="X103" s="55" t="str">
        <f>IF(X102="","",X102/(X100*100))</f>
        <v/>
      </c>
      <c r="Y103" s="55" t="str">
        <f>IF(Y102="","",Y102/(Y100*100))</f>
        <v/>
      </c>
      <c r="Z103" s="55" t="str">
        <f>IF(Z102="","",Z102/(Z100*100))</f>
        <v/>
      </c>
      <c r="AA103" s="55" t="str">
        <f t="shared" si="388"/>
        <v/>
      </c>
      <c r="AB103" s="55" t="str">
        <f t="shared" si="388"/>
        <v/>
      </c>
      <c r="AC103" s="55" t="str">
        <f t="shared" si="388"/>
        <v/>
      </c>
      <c r="AD103" s="55" t="str">
        <f t="shared" si="388"/>
        <v/>
      </c>
      <c r="AE103" s="55" t="str">
        <f t="shared" si="388"/>
        <v/>
      </c>
      <c r="AF103" s="55" t="str">
        <f t="shared" si="388"/>
        <v/>
      </c>
      <c r="AG103" s="55" t="str">
        <f t="shared" si="388"/>
        <v/>
      </c>
      <c r="AH103" s="55" t="str">
        <f t="shared" si="388"/>
        <v/>
      </c>
      <c r="AI103" s="55" t="str">
        <f t="shared" si="388"/>
        <v/>
      </c>
      <c r="AJ103" s="55" t="str">
        <f t="shared" si="388"/>
        <v/>
      </c>
      <c r="AK103" s="55" t="str">
        <f t="shared" si="388"/>
        <v/>
      </c>
      <c r="AL103" s="55" t="str">
        <f t="shared" si="388"/>
        <v/>
      </c>
      <c r="AM103" s="55" t="str">
        <f t="shared" si="388"/>
        <v/>
      </c>
      <c r="AN103" s="55" t="str">
        <f t="shared" si="388"/>
        <v/>
      </c>
      <c r="AO103" s="55" t="str">
        <f>IF(AO102="","",AO102/(AO100*100))</f>
        <v/>
      </c>
      <c r="AP103" s="55" t="str">
        <f t="shared" si="388"/>
        <v/>
      </c>
      <c r="AQ103" s="55" t="str">
        <f t="shared" ref="AQ103:AX103" si="389">IF(AQ102="","",AQ102/(AQ100*100))</f>
        <v/>
      </c>
      <c r="AR103" s="55" t="str">
        <f t="shared" si="389"/>
        <v/>
      </c>
      <c r="AS103" s="55" t="str">
        <f t="shared" si="389"/>
        <v/>
      </c>
      <c r="AT103" s="55" t="str">
        <f t="shared" si="389"/>
        <v/>
      </c>
      <c r="AU103" s="55" t="str">
        <f t="shared" si="389"/>
        <v/>
      </c>
      <c r="AV103" s="55" t="str">
        <f t="shared" si="389"/>
        <v/>
      </c>
      <c r="AW103" s="55" t="str">
        <f t="shared" si="389"/>
        <v/>
      </c>
      <c r="AX103" s="55" t="str">
        <f t="shared" si="389"/>
        <v/>
      </c>
    </row>
    <row r="104" spans="1:50" s="1" customFormat="1" x14ac:dyDescent="0.15">
      <c r="A104" s="40" t="s">
        <v>83</v>
      </c>
      <c r="B104" s="39" t="s">
        <v>123</v>
      </c>
      <c r="C104" s="38"/>
      <c r="D104" s="38">
        <v>9056</v>
      </c>
      <c r="E104" s="38">
        <v>9056</v>
      </c>
      <c r="F104" s="38">
        <v>9060</v>
      </c>
      <c r="G104" s="38">
        <v>9060</v>
      </c>
      <c r="H104" s="38">
        <v>9060</v>
      </c>
      <c r="I104" s="38">
        <v>9060</v>
      </c>
      <c r="J104" s="38">
        <v>9060</v>
      </c>
      <c r="K104" s="38">
        <v>9060</v>
      </c>
      <c r="L104" s="38">
        <v>9082</v>
      </c>
      <c r="M104" s="38">
        <v>9082</v>
      </c>
      <c r="N104" s="38">
        <v>9082</v>
      </c>
      <c r="O104" s="38">
        <v>9082</v>
      </c>
      <c r="P104" s="38">
        <v>9089</v>
      </c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</row>
    <row r="105" spans="1:50" s="1" customFormat="1" x14ac:dyDescent="0.15">
      <c r="A105" s="54" t="s">
        <v>132</v>
      </c>
      <c r="B105" s="30" t="s">
        <v>125</v>
      </c>
      <c r="C105" s="29"/>
      <c r="D105" s="29">
        <v>9011</v>
      </c>
      <c r="E105" s="29">
        <v>9011</v>
      </c>
      <c r="F105" s="29">
        <v>9015</v>
      </c>
      <c r="G105" s="29">
        <v>9015</v>
      </c>
      <c r="H105" s="29">
        <v>9015</v>
      </c>
      <c r="I105" s="29">
        <v>9015</v>
      </c>
      <c r="J105" s="29">
        <v>9015</v>
      </c>
      <c r="K105" s="29">
        <v>9015</v>
      </c>
      <c r="L105" s="29">
        <v>9037</v>
      </c>
      <c r="M105" s="29">
        <v>9037</v>
      </c>
      <c r="N105" s="29">
        <v>9037</v>
      </c>
      <c r="O105" s="29">
        <v>9037</v>
      </c>
      <c r="P105" s="29">
        <v>9044</v>
      </c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</row>
    <row r="106" spans="1:50" s="1" customFormat="1" x14ac:dyDescent="0.15">
      <c r="A106" s="36" t="s">
        <v>9</v>
      </c>
      <c r="B106" s="30" t="s">
        <v>7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</row>
    <row r="107" spans="1:50" s="1" customFormat="1" x14ac:dyDescent="0.15">
      <c r="A107" s="28">
        <f>AVERAGE(C110:AO110)*30*1000</f>
        <v>76153.846153846142</v>
      </c>
      <c r="B107" s="30" t="s">
        <v>8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</row>
    <row r="108" spans="1:50" s="11" customFormat="1" x14ac:dyDescent="0.15">
      <c r="A108" s="34"/>
      <c r="B108" s="33" t="s">
        <v>126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</row>
    <row r="109" spans="1:50" s="1" customFormat="1" x14ac:dyDescent="0.15">
      <c r="A109" s="31"/>
      <c r="B109" s="30" t="s">
        <v>127</v>
      </c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</row>
    <row r="110" spans="1:50" s="1" customFormat="1" x14ac:dyDescent="0.15">
      <c r="A110" s="28">
        <f>SUM(C110:AO110)</f>
        <v>33</v>
      </c>
      <c r="B110" s="53" t="s">
        <v>128</v>
      </c>
      <c r="C110" s="52"/>
      <c r="D110" s="52">
        <v>0</v>
      </c>
      <c r="E110" s="52">
        <v>0</v>
      </c>
      <c r="F110" s="52">
        <v>4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22</v>
      </c>
      <c r="M110" s="52">
        <f>IF(M104="","",M104-L104)</f>
        <v>0</v>
      </c>
      <c r="N110" s="52">
        <f>IF(N104="","",N104-M104)</f>
        <v>0</v>
      </c>
      <c r="O110" s="52">
        <f t="shared" ref="O110:O111" si="390">IF(O104="","",O104-N104)</f>
        <v>0</v>
      </c>
      <c r="P110" s="52">
        <f t="shared" ref="P110:Q111" si="391">IF(P104="","",P104-O104)</f>
        <v>7</v>
      </c>
      <c r="Q110" s="52" t="str">
        <f t="shared" si="391"/>
        <v/>
      </c>
      <c r="R110" s="52" t="str">
        <f t="shared" ref="R110:R111" si="392">IF(R104="","",R104-Q104)</f>
        <v/>
      </c>
      <c r="S110" s="52" t="str">
        <f t="shared" ref="S110:S111" si="393">IF(S104="","",S104-R104)</f>
        <v/>
      </c>
      <c r="T110" s="52" t="str">
        <f t="shared" ref="T110:T111" si="394">IF(T104="","",T104-S104)</f>
        <v/>
      </c>
      <c r="U110" s="52" t="str">
        <f t="shared" ref="U110:U111" si="395">IF(U104="","",U104-T104)</f>
        <v/>
      </c>
      <c r="V110" s="52" t="str">
        <f t="shared" ref="V110:V111" si="396">IF(V104="","",V104-U104)</f>
        <v/>
      </c>
      <c r="W110" s="52" t="str">
        <f t="shared" ref="W110:Y111" si="397">IF(W104="","",W104-V104)</f>
        <v/>
      </c>
      <c r="X110" s="52" t="str">
        <f t="shared" si="397"/>
        <v/>
      </c>
      <c r="Y110" s="52" t="str">
        <f t="shared" si="397"/>
        <v/>
      </c>
      <c r="Z110" s="52" t="str">
        <f t="shared" ref="Z110:Z111" si="398">IF(Z104="","",Z104-Y104)</f>
        <v/>
      </c>
      <c r="AA110" s="52" t="str">
        <f t="shared" ref="AA110:AA111" si="399">IF(AA104="","",AA104-Z104)</f>
        <v/>
      </c>
      <c r="AB110" s="52" t="str">
        <f t="shared" ref="AB110:AB111" si="400">IF(AB104="","",AB104-AA104)</f>
        <v/>
      </c>
      <c r="AC110" s="52" t="str">
        <f t="shared" ref="AC110:AC111" si="401">IF(AC104="","",AC104-AB104)</f>
        <v/>
      </c>
      <c r="AD110" s="52" t="str">
        <f t="shared" ref="AD110:AD111" si="402">IF(AD104="","",AD104-AC104)</f>
        <v/>
      </c>
      <c r="AE110" s="52" t="str">
        <f t="shared" ref="AE110:AE111" si="403">IF(AE104="","",AE104-AD104)</f>
        <v/>
      </c>
      <c r="AF110" s="52" t="str">
        <f t="shared" ref="AF110:AF111" si="404">IF(AF104="","",AF104-AE104)</f>
        <v/>
      </c>
      <c r="AG110" s="52" t="str">
        <f t="shared" ref="AG110:AG111" si="405">IF(AG104="","",AG104-AF104)</f>
        <v/>
      </c>
      <c r="AH110" s="52" t="str">
        <f>IF(AH104="","",AH104-AG104)</f>
        <v/>
      </c>
      <c r="AI110" s="52" t="str">
        <f t="shared" ref="AI110:AI111" si="406">IF(AI104="","",AI104-AH104)</f>
        <v/>
      </c>
      <c r="AJ110" s="52" t="str">
        <f t="shared" ref="AJ110:AJ111" si="407">IF(AJ104="","",AJ104-AI104)</f>
        <v/>
      </c>
      <c r="AK110" s="52" t="str">
        <f t="shared" ref="AK110:AK111" si="408">IF(AK104="","",AK104-AJ104)</f>
        <v/>
      </c>
      <c r="AL110" s="52" t="str">
        <f>IF(AL104="","",AL104-AK104)</f>
        <v/>
      </c>
      <c r="AM110" s="52" t="str">
        <f t="shared" ref="AM110:AM111" si="409">IF(AM104="","",AM104-AL104)</f>
        <v/>
      </c>
      <c r="AN110" s="52" t="str">
        <f t="shared" ref="AN110:AN111" si="410">IF(AN104="","",AN104-AM104)</f>
        <v/>
      </c>
      <c r="AO110" s="52" t="str">
        <f>IF(AO104="","",AO104-AN104)</f>
        <v/>
      </c>
      <c r="AP110" s="52" t="str">
        <f t="shared" ref="AP110:AP111" si="411">IF(AP104="","",AP104-AO104)</f>
        <v/>
      </c>
      <c r="AQ110" s="52" t="str">
        <f t="shared" ref="AQ110:AQ111" si="412">IF(AQ104="","",AQ104-AP104)</f>
        <v/>
      </c>
      <c r="AR110" s="52" t="str">
        <f t="shared" ref="AR110:AR111" si="413">IF(AR104="","",AR104-AQ104)</f>
        <v/>
      </c>
      <c r="AS110" s="52" t="str">
        <f t="shared" ref="AS110:AS111" si="414">IF(AS104="","",AS104-AR104)</f>
        <v/>
      </c>
      <c r="AT110" s="52" t="str">
        <f t="shared" ref="AT110:AT111" si="415">IF(AT104="","",AT104-AS104)</f>
        <v/>
      </c>
      <c r="AU110" s="52" t="str">
        <f t="shared" ref="AU110:AU111" si="416">IF(AU104="","",AU104-AT104)</f>
        <v/>
      </c>
      <c r="AV110" s="52" t="str">
        <f t="shared" ref="AV110:AV111" si="417">IF(AV104="","",AV104-AU104)</f>
        <v/>
      </c>
      <c r="AW110" s="52" t="str">
        <f t="shared" ref="AW110:AW111" si="418">IF(AW104="","",AW104-AV104)</f>
        <v/>
      </c>
      <c r="AX110" s="52" t="str">
        <f t="shared" ref="AX110:AX111" si="419">IF(AX104="","",AX104-AW104)</f>
        <v/>
      </c>
    </row>
    <row r="111" spans="1:50" s="1" customFormat="1" x14ac:dyDescent="0.15">
      <c r="A111" s="28">
        <f>SUM(C111:AO111)</f>
        <v>33</v>
      </c>
      <c r="B111" s="53" t="s">
        <v>129</v>
      </c>
      <c r="C111" s="52"/>
      <c r="D111" s="52">
        <v>0</v>
      </c>
      <c r="E111" s="52">
        <v>0</v>
      </c>
      <c r="F111" s="52">
        <v>4</v>
      </c>
      <c r="G111" s="52">
        <v>0</v>
      </c>
      <c r="H111" s="52">
        <v>0</v>
      </c>
      <c r="I111" s="52">
        <v>0</v>
      </c>
      <c r="J111" s="52">
        <v>0</v>
      </c>
      <c r="K111" s="52">
        <v>0</v>
      </c>
      <c r="L111" s="52">
        <v>22</v>
      </c>
      <c r="M111" s="52">
        <f>IF(M105="","",M105-L105)</f>
        <v>0</v>
      </c>
      <c r="N111" s="52">
        <f>IF(N105="","",N105-M105)</f>
        <v>0</v>
      </c>
      <c r="O111" s="52">
        <f t="shared" si="390"/>
        <v>0</v>
      </c>
      <c r="P111" s="52">
        <f t="shared" si="391"/>
        <v>7</v>
      </c>
      <c r="Q111" s="52" t="str">
        <f t="shared" si="391"/>
        <v/>
      </c>
      <c r="R111" s="52" t="str">
        <f t="shared" si="392"/>
        <v/>
      </c>
      <c r="S111" s="52" t="str">
        <f t="shared" si="393"/>
        <v/>
      </c>
      <c r="T111" s="52" t="str">
        <f t="shared" si="394"/>
        <v/>
      </c>
      <c r="U111" s="52" t="str">
        <f t="shared" si="395"/>
        <v/>
      </c>
      <c r="V111" s="52" t="str">
        <f t="shared" si="396"/>
        <v/>
      </c>
      <c r="W111" s="52" t="str">
        <f t="shared" si="397"/>
        <v/>
      </c>
      <c r="X111" s="52" t="str">
        <f t="shared" si="397"/>
        <v/>
      </c>
      <c r="Y111" s="52" t="str">
        <f t="shared" si="397"/>
        <v/>
      </c>
      <c r="Z111" s="52" t="str">
        <f t="shared" si="398"/>
        <v/>
      </c>
      <c r="AA111" s="52" t="str">
        <f t="shared" si="399"/>
        <v/>
      </c>
      <c r="AB111" s="52" t="str">
        <f t="shared" si="400"/>
        <v/>
      </c>
      <c r="AC111" s="52" t="str">
        <f t="shared" si="401"/>
        <v/>
      </c>
      <c r="AD111" s="52" t="str">
        <f t="shared" si="402"/>
        <v/>
      </c>
      <c r="AE111" s="52" t="str">
        <f t="shared" si="403"/>
        <v/>
      </c>
      <c r="AF111" s="52" t="str">
        <f t="shared" si="404"/>
        <v/>
      </c>
      <c r="AG111" s="52" t="str">
        <f t="shared" si="405"/>
        <v/>
      </c>
      <c r="AH111" s="52" t="str">
        <f>IF(AH105="","",AH105-AG105)</f>
        <v/>
      </c>
      <c r="AI111" s="52" t="str">
        <f t="shared" si="406"/>
        <v/>
      </c>
      <c r="AJ111" s="52" t="str">
        <f t="shared" si="407"/>
        <v/>
      </c>
      <c r="AK111" s="52" t="str">
        <f t="shared" si="408"/>
        <v/>
      </c>
      <c r="AL111" s="52" t="str">
        <f>IF(AL105="","",AL105-AK105)</f>
        <v/>
      </c>
      <c r="AM111" s="52" t="str">
        <f t="shared" si="409"/>
        <v/>
      </c>
      <c r="AN111" s="52" t="str">
        <f t="shared" si="410"/>
        <v/>
      </c>
      <c r="AO111" s="52" t="str">
        <f>IF(AO105="","",AO105-AN105)</f>
        <v/>
      </c>
      <c r="AP111" s="52" t="str">
        <f t="shared" si="411"/>
        <v/>
      </c>
      <c r="AQ111" s="52" t="str">
        <f t="shared" si="412"/>
        <v/>
      </c>
      <c r="AR111" s="52" t="str">
        <f t="shared" si="413"/>
        <v/>
      </c>
      <c r="AS111" s="52" t="str">
        <f t="shared" si="414"/>
        <v/>
      </c>
      <c r="AT111" s="52" t="str">
        <f t="shared" si="415"/>
        <v/>
      </c>
      <c r="AU111" s="52" t="str">
        <f t="shared" si="416"/>
        <v/>
      </c>
      <c r="AV111" s="52" t="str">
        <f t="shared" si="417"/>
        <v/>
      </c>
      <c r="AW111" s="52" t="str">
        <f t="shared" si="418"/>
        <v/>
      </c>
      <c r="AX111" s="52" t="str">
        <f t="shared" si="419"/>
        <v/>
      </c>
    </row>
    <row r="112" spans="1:50" s="1" customFormat="1" x14ac:dyDescent="0.15">
      <c r="A112" s="28">
        <f>SUM(C112:AO112)</f>
        <v>0</v>
      </c>
      <c r="B112" s="53" t="s">
        <v>16</v>
      </c>
      <c r="C112" s="52"/>
      <c r="D112" s="52" t="s">
        <v>19</v>
      </c>
      <c r="E112" s="52" t="s">
        <v>19</v>
      </c>
      <c r="F112" s="52" t="s">
        <v>19</v>
      </c>
      <c r="G112" s="52" t="s">
        <v>19</v>
      </c>
      <c r="H112" s="52" t="s">
        <v>19</v>
      </c>
      <c r="I112" s="52" t="s">
        <v>19</v>
      </c>
      <c r="J112" s="52" t="s">
        <v>19</v>
      </c>
      <c r="K112" s="52" t="s">
        <v>19</v>
      </c>
      <c r="L112" s="52" t="s">
        <v>19</v>
      </c>
      <c r="M112" s="52" t="str">
        <f>IF(M107="","",M111*M107)</f>
        <v/>
      </c>
      <c r="N112" s="52" t="str">
        <f>IF(N107="","",N111*N107)</f>
        <v/>
      </c>
      <c r="O112" s="52" t="str">
        <f t="shared" ref="N112:AP112" si="420">IF(O107="","",O111*O107)</f>
        <v/>
      </c>
      <c r="P112" s="52" t="str">
        <f t="shared" si="420"/>
        <v/>
      </c>
      <c r="Q112" s="52" t="str">
        <f t="shared" ref="Q112" si="421">IF(Q107="","",Q111*Q107)</f>
        <v/>
      </c>
      <c r="R112" s="52" t="str">
        <f t="shared" si="420"/>
        <v/>
      </c>
      <c r="S112" s="52" t="str">
        <f t="shared" si="420"/>
        <v/>
      </c>
      <c r="T112" s="52" t="str">
        <f t="shared" si="420"/>
        <v/>
      </c>
      <c r="U112" s="52" t="str">
        <f t="shared" si="420"/>
        <v/>
      </c>
      <c r="V112" s="52" t="str">
        <f t="shared" si="420"/>
        <v/>
      </c>
      <c r="W112" s="52" t="str">
        <f>IF(W107="","",W111*W107)</f>
        <v/>
      </c>
      <c r="X112" s="52" t="str">
        <f>IF(X107="","",X111*X107)</f>
        <v/>
      </c>
      <c r="Y112" s="52" t="str">
        <f>IF(Y107="","",Y111*Y107)</f>
        <v/>
      </c>
      <c r="Z112" s="52" t="str">
        <f>IF(Z107="","",Z111*Z107)</f>
        <v/>
      </c>
      <c r="AA112" s="52" t="str">
        <f t="shared" si="420"/>
        <v/>
      </c>
      <c r="AB112" s="52" t="str">
        <f t="shared" si="420"/>
        <v/>
      </c>
      <c r="AC112" s="52" t="str">
        <f t="shared" si="420"/>
        <v/>
      </c>
      <c r="AD112" s="52" t="str">
        <f t="shared" si="420"/>
        <v/>
      </c>
      <c r="AE112" s="52" t="str">
        <f t="shared" si="420"/>
        <v/>
      </c>
      <c r="AF112" s="52" t="str">
        <f t="shared" si="420"/>
        <v/>
      </c>
      <c r="AG112" s="52" t="str">
        <f t="shared" si="420"/>
        <v/>
      </c>
      <c r="AH112" s="52" t="str">
        <f>IF(AH107="","",AH111*AH107)</f>
        <v/>
      </c>
      <c r="AI112" s="52" t="str">
        <f t="shared" si="420"/>
        <v/>
      </c>
      <c r="AJ112" s="52" t="str">
        <f t="shared" si="420"/>
        <v/>
      </c>
      <c r="AK112" s="52" t="str">
        <f t="shared" si="420"/>
        <v/>
      </c>
      <c r="AL112" s="52" t="str">
        <f>IF(AL107="","",AL111*AL107)</f>
        <v/>
      </c>
      <c r="AM112" s="52" t="str">
        <f t="shared" si="420"/>
        <v/>
      </c>
      <c r="AN112" s="52" t="str">
        <f t="shared" si="420"/>
        <v/>
      </c>
      <c r="AO112" s="52" t="str">
        <f>IF(AO107="","",AO111*AO107)</f>
        <v/>
      </c>
      <c r="AP112" s="52" t="str">
        <f t="shared" si="420"/>
        <v/>
      </c>
      <c r="AQ112" s="52" t="str">
        <f t="shared" ref="AQ112:AX112" si="422">IF(AQ107="","",AQ111*AQ107)</f>
        <v/>
      </c>
      <c r="AR112" s="52" t="str">
        <f t="shared" si="422"/>
        <v/>
      </c>
      <c r="AS112" s="52" t="str">
        <f t="shared" si="422"/>
        <v/>
      </c>
      <c r="AT112" s="52" t="str">
        <f t="shared" si="422"/>
        <v/>
      </c>
      <c r="AU112" s="52" t="str">
        <f t="shared" si="422"/>
        <v/>
      </c>
      <c r="AV112" s="52" t="str">
        <f t="shared" si="422"/>
        <v/>
      </c>
      <c r="AW112" s="52" t="str">
        <f t="shared" si="422"/>
        <v/>
      </c>
      <c r="AX112" s="52" t="str">
        <f t="shared" si="422"/>
        <v/>
      </c>
    </row>
    <row r="113" spans="1:50" s="1" customFormat="1" ht="12" thickBot="1" x14ac:dyDescent="0.2">
      <c r="A113" s="25">
        <f>IF(A112="","",A112/(A110*100))</f>
        <v>0</v>
      </c>
      <c r="B113" s="51" t="s">
        <v>18</v>
      </c>
      <c r="C113" s="50"/>
      <c r="D113" s="50" t="s">
        <v>19</v>
      </c>
      <c r="E113" s="50" t="s">
        <v>19</v>
      </c>
      <c r="F113" s="50" t="s">
        <v>19</v>
      </c>
      <c r="G113" s="50" t="s">
        <v>19</v>
      </c>
      <c r="H113" s="50" t="s">
        <v>19</v>
      </c>
      <c r="I113" s="50" t="s">
        <v>19</v>
      </c>
      <c r="J113" s="50" t="s">
        <v>19</v>
      </c>
      <c r="K113" s="50" t="s">
        <v>19</v>
      </c>
      <c r="L113" s="50" t="s">
        <v>19</v>
      </c>
      <c r="M113" s="50" t="str">
        <f>IF(M112="","",M112/(M110*100))</f>
        <v/>
      </c>
      <c r="N113" s="50" t="str">
        <f>IF(N112="","",N112/(N110*100))</f>
        <v/>
      </c>
      <c r="O113" s="50" t="str">
        <f t="shared" ref="N113:AP113" si="423">IF(O112="","",O112/(O110*100))</f>
        <v/>
      </c>
      <c r="P113" s="50" t="str">
        <f t="shared" si="423"/>
        <v/>
      </c>
      <c r="Q113" s="50" t="str">
        <f t="shared" ref="Q113" si="424">IF(Q112="","",Q112/(Q110*100))</f>
        <v/>
      </c>
      <c r="R113" s="50" t="str">
        <f t="shared" si="423"/>
        <v/>
      </c>
      <c r="S113" s="50" t="str">
        <f t="shared" si="423"/>
        <v/>
      </c>
      <c r="T113" s="50" t="str">
        <f t="shared" si="423"/>
        <v/>
      </c>
      <c r="U113" s="50" t="str">
        <f t="shared" si="423"/>
        <v/>
      </c>
      <c r="V113" s="50" t="str">
        <f t="shared" si="423"/>
        <v/>
      </c>
      <c r="W113" s="50" t="str">
        <f>IF(W112="","",W112/(W110*100))</f>
        <v/>
      </c>
      <c r="X113" s="50" t="str">
        <f>IF(X112="","",X112/(X110*100))</f>
        <v/>
      </c>
      <c r="Y113" s="50" t="str">
        <f>IF(Y112="","",Y112/(Y110*100))</f>
        <v/>
      </c>
      <c r="Z113" s="50" t="str">
        <f>IF(Z112="","",Z112/(Z110*100))</f>
        <v/>
      </c>
      <c r="AA113" s="50" t="str">
        <f t="shared" si="423"/>
        <v/>
      </c>
      <c r="AB113" s="50" t="str">
        <f t="shared" si="423"/>
        <v/>
      </c>
      <c r="AC113" s="50" t="str">
        <f t="shared" si="423"/>
        <v/>
      </c>
      <c r="AD113" s="50" t="str">
        <f t="shared" si="423"/>
        <v/>
      </c>
      <c r="AE113" s="50" t="str">
        <f t="shared" si="423"/>
        <v/>
      </c>
      <c r="AF113" s="50" t="str">
        <f t="shared" si="423"/>
        <v/>
      </c>
      <c r="AG113" s="50" t="str">
        <f t="shared" si="423"/>
        <v/>
      </c>
      <c r="AH113" s="50" t="str">
        <f>IF(AH112="","",AH112/(AH110*100))</f>
        <v/>
      </c>
      <c r="AI113" s="50" t="str">
        <f t="shared" si="423"/>
        <v/>
      </c>
      <c r="AJ113" s="50" t="str">
        <f t="shared" si="423"/>
        <v/>
      </c>
      <c r="AK113" s="50" t="str">
        <f t="shared" si="423"/>
        <v/>
      </c>
      <c r="AL113" s="50" t="str">
        <f>IF(AL112="","",AL112/(AL110*100))</f>
        <v/>
      </c>
      <c r="AM113" s="50" t="str">
        <f t="shared" si="423"/>
        <v/>
      </c>
      <c r="AN113" s="50" t="str">
        <f t="shared" si="423"/>
        <v/>
      </c>
      <c r="AO113" s="50" t="str">
        <f>IF(AO112="","",AO112/(AO110*100))</f>
        <v/>
      </c>
      <c r="AP113" s="50" t="str">
        <f t="shared" si="423"/>
        <v/>
      </c>
      <c r="AQ113" s="50" t="str">
        <f t="shared" ref="AQ113:AX113" si="425">IF(AQ112="","",AQ112/(AQ110*100))</f>
        <v/>
      </c>
      <c r="AR113" s="50" t="str">
        <f t="shared" si="425"/>
        <v/>
      </c>
      <c r="AS113" s="50" t="str">
        <f t="shared" si="425"/>
        <v/>
      </c>
      <c r="AT113" s="50" t="str">
        <f t="shared" si="425"/>
        <v/>
      </c>
      <c r="AU113" s="50" t="str">
        <f t="shared" si="425"/>
        <v/>
      </c>
      <c r="AV113" s="50" t="str">
        <f t="shared" si="425"/>
        <v/>
      </c>
      <c r="AW113" s="50" t="str">
        <f t="shared" si="425"/>
        <v/>
      </c>
      <c r="AX113" s="50" t="str">
        <f t="shared" si="425"/>
        <v/>
      </c>
    </row>
    <row r="114" spans="1:50" s="1" customFormat="1" x14ac:dyDescent="0.15">
      <c r="A114" s="40" t="s">
        <v>83</v>
      </c>
      <c r="B114" s="39" t="s">
        <v>123</v>
      </c>
      <c r="C114" s="38"/>
      <c r="D114" s="38">
        <v>10282</v>
      </c>
      <c r="E114" s="38">
        <v>10282</v>
      </c>
      <c r="F114" s="38">
        <v>10290</v>
      </c>
      <c r="G114" s="38">
        <v>10290</v>
      </c>
      <c r="H114" s="38">
        <v>10290</v>
      </c>
      <c r="I114" s="38">
        <v>10290</v>
      </c>
      <c r="J114" s="38">
        <v>10290</v>
      </c>
      <c r="K114" s="38">
        <v>10290</v>
      </c>
      <c r="L114" s="38">
        <v>10318</v>
      </c>
      <c r="M114" s="38">
        <v>10318</v>
      </c>
      <c r="N114" s="38">
        <v>10318</v>
      </c>
      <c r="O114" s="38">
        <v>10318</v>
      </c>
      <c r="P114" s="38">
        <v>10338</v>
      </c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</row>
    <row r="115" spans="1:50" s="1" customFormat="1" x14ac:dyDescent="0.15">
      <c r="A115" s="54" t="s">
        <v>124</v>
      </c>
      <c r="B115" s="30" t="s">
        <v>125</v>
      </c>
      <c r="C115" s="29"/>
      <c r="D115" s="29">
        <v>907</v>
      </c>
      <c r="E115" s="29">
        <v>907</v>
      </c>
      <c r="F115" s="29">
        <v>907</v>
      </c>
      <c r="G115" s="29">
        <v>907</v>
      </c>
      <c r="H115" s="29">
        <v>907</v>
      </c>
      <c r="I115" s="29">
        <v>907</v>
      </c>
      <c r="J115" s="29">
        <v>907</v>
      </c>
      <c r="K115" s="29">
        <v>907</v>
      </c>
      <c r="L115" s="29">
        <v>907</v>
      </c>
      <c r="M115" s="29">
        <v>907</v>
      </c>
      <c r="N115" s="29">
        <v>907</v>
      </c>
      <c r="O115" s="29">
        <v>907</v>
      </c>
      <c r="P115" s="29">
        <v>907</v>
      </c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</row>
    <row r="116" spans="1:50" s="1" customFormat="1" x14ac:dyDescent="0.15">
      <c r="A116" s="1">
        <v>2000</v>
      </c>
      <c r="B116" s="30" t="s">
        <v>7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</row>
    <row r="117" spans="1:50" s="1" customFormat="1" x14ac:dyDescent="0.15">
      <c r="A117" s="36" t="s">
        <v>9</v>
      </c>
      <c r="B117" s="30" t="s">
        <v>8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</row>
    <row r="118" spans="1:50" s="11" customFormat="1" x14ac:dyDescent="0.15">
      <c r="A118" s="28">
        <f>AVERAGE(C120:AO120)*30*1000</f>
        <v>129230.76923076922</v>
      </c>
      <c r="B118" s="33" t="s">
        <v>126</v>
      </c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</row>
    <row r="119" spans="1:50" s="1" customFormat="1" x14ac:dyDescent="0.15">
      <c r="A119" s="31"/>
      <c r="B119" s="30" t="s">
        <v>127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</row>
    <row r="120" spans="1:50" s="1" customFormat="1" x14ac:dyDescent="0.15">
      <c r="A120" s="28">
        <f>SUM(C120:AX120)</f>
        <v>56</v>
      </c>
      <c r="B120" s="53" t="s">
        <v>128</v>
      </c>
      <c r="C120" s="52"/>
      <c r="D120" s="52">
        <v>0</v>
      </c>
      <c r="E120" s="52">
        <v>0</v>
      </c>
      <c r="F120" s="52">
        <v>8</v>
      </c>
      <c r="G120" s="52">
        <v>0</v>
      </c>
      <c r="H120" s="52">
        <v>0</v>
      </c>
      <c r="I120" s="52">
        <v>0</v>
      </c>
      <c r="J120" s="52">
        <v>0</v>
      </c>
      <c r="K120" s="52">
        <v>0</v>
      </c>
      <c r="L120" s="52">
        <v>28</v>
      </c>
      <c r="M120" s="52">
        <f>IF(M114="","",M114-L114)</f>
        <v>0</v>
      </c>
      <c r="N120" s="52">
        <f>IF(N114="","",N114-M114)</f>
        <v>0</v>
      </c>
      <c r="O120" s="52">
        <f t="shared" ref="O120:O121" si="426">IF(O114="","",O114-N114)</f>
        <v>0</v>
      </c>
      <c r="P120" s="52">
        <f t="shared" ref="P120:P121" si="427">IF(P114="","",P114-O114)</f>
        <v>20</v>
      </c>
      <c r="Q120" s="52" t="str">
        <f t="shared" ref="Q120:Q121" si="428">IF(Q114="","",Q114-P114)</f>
        <v/>
      </c>
      <c r="R120" s="52" t="str">
        <f t="shared" ref="R120:R121" si="429">IF(R114="","",R114-Q114)</f>
        <v/>
      </c>
      <c r="S120" s="52" t="str">
        <f t="shared" ref="S120:S121" si="430">IF(S114="","",S114-R114)</f>
        <v/>
      </c>
      <c r="T120" s="52" t="str">
        <f t="shared" ref="T120:T121" si="431">IF(T114="","",T114-S114)</f>
        <v/>
      </c>
      <c r="U120" s="52" t="str">
        <f t="shared" ref="U120:U121" si="432">IF(U114="","",U114-T114)</f>
        <v/>
      </c>
      <c r="V120" s="52" t="str">
        <f t="shared" ref="V120:V121" si="433">IF(V114="","",V114-U114)</f>
        <v/>
      </c>
      <c r="W120" s="52" t="str">
        <f t="shared" ref="W120:Y121" si="434">IF(W114="","",W114-V114)</f>
        <v/>
      </c>
      <c r="X120" s="52" t="str">
        <f t="shared" si="434"/>
        <v/>
      </c>
      <c r="Y120" s="52" t="str">
        <f t="shared" si="434"/>
        <v/>
      </c>
      <c r="Z120" s="52" t="str">
        <f t="shared" ref="Z120:Z121" si="435">IF(Z114="","",Z114-Y114)</f>
        <v/>
      </c>
      <c r="AA120" s="52" t="str">
        <f t="shared" ref="AA120:AA121" si="436">IF(AA114="","",AA114-Z114)</f>
        <v/>
      </c>
      <c r="AB120" s="52" t="str">
        <f t="shared" ref="AB120:AB121" si="437">IF(AB114="","",AB114-AA114)</f>
        <v/>
      </c>
      <c r="AC120" s="52" t="str">
        <f t="shared" ref="AC120:AC121" si="438">IF(AC114="","",AC114-AB114)</f>
        <v/>
      </c>
      <c r="AD120" s="52" t="str">
        <f t="shared" ref="AD120:AD121" si="439">IF(AD114="","",AD114-AC114)</f>
        <v/>
      </c>
      <c r="AE120" s="52" t="str">
        <f t="shared" ref="AE120:AE121" si="440">IF(AE114="","",AE114-AD114)</f>
        <v/>
      </c>
      <c r="AF120" s="52" t="str">
        <f t="shared" ref="AF120:AF121" si="441">IF(AF114="","",AF114-AE114)</f>
        <v/>
      </c>
      <c r="AG120" s="52" t="str">
        <f t="shared" ref="AG120:AG121" si="442">IF(AG114="","",AG114-AF114)</f>
        <v/>
      </c>
      <c r="AH120" s="52" t="str">
        <f>IF(AH114="","",AH114-AG114)</f>
        <v/>
      </c>
      <c r="AI120" s="52" t="str">
        <f t="shared" ref="AI120:AI121" si="443">IF(AI114="","",AI114-AH114)</f>
        <v/>
      </c>
      <c r="AJ120" s="52" t="str">
        <f t="shared" ref="AJ120:AJ121" si="444">IF(AJ114="","",AJ114-AI114)</f>
        <v/>
      </c>
      <c r="AK120" s="52" t="str">
        <f t="shared" ref="AK120:AK121" si="445">IF(AK114="","",AK114-AJ114)</f>
        <v/>
      </c>
      <c r="AL120" s="52" t="str">
        <f>IF(AL114="","",AL114-AK114)</f>
        <v/>
      </c>
      <c r="AM120" s="52" t="str">
        <f t="shared" ref="AM120:AM121" si="446">IF(AM114="","",AM114-AL114)</f>
        <v/>
      </c>
      <c r="AN120" s="52" t="str">
        <f t="shared" ref="AN120:AN121" si="447">IF(AN114="","",AN114-AM114)</f>
        <v/>
      </c>
      <c r="AO120" s="52" t="str">
        <f>IF(AO114="","",AO114-AN114)</f>
        <v/>
      </c>
      <c r="AP120" s="52" t="str">
        <f t="shared" ref="AP120:AP121" si="448">IF(AP114="","",AP114-AO114)</f>
        <v/>
      </c>
      <c r="AQ120" s="52" t="str">
        <f t="shared" ref="AQ120:AQ121" si="449">IF(AQ114="","",AQ114-AP114)</f>
        <v/>
      </c>
      <c r="AR120" s="52" t="str">
        <f t="shared" ref="AR120:AR121" si="450">IF(AR114="","",AR114-AQ114)</f>
        <v/>
      </c>
      <c r="AS120" s="52" t="str">
        <f t="shared" ref="AS120:AS121" si="451">IF(AS114="","",AS114-AR114)</f>
        <v/>
      </c>
      <c r="AT120" s="52" t="str">
        <f t="shared" ref="AT120:AT121" si="452">IF(AT114="","",AT114-AS114)</f>
        <v/>
      </c>
      <c r="AU120" s="52" t="str">
        <f t="shared" ref="AU120:AU121" si="453">IF(AU114="","",AU114-AT114)</f>
        <v/>
      </c>
      <c r="AV120" s="52" t="str">
        <f t="shared" ref="AV120:AV121" si="454">IF(AV114="","",AV114-AU114)</f>
        <v/>
      </c>
      <c r="AW120" s="52" t="str">
        <f t="shared" ref="AW120:AW121" si="455">IF(AW114="","",AW114-AV114)</f>
        <v/>
      </c>
      <c r="AX120" s="52" t="str">
        <f t="shared" ref="AX120:AX121" si="456">IF(AX114="","",AX114-AW114)</f>
        <v/>
      </c>
    </row>
    <row r="121" spans="1:50" s="1" customFormat="1" x14ac:dyDescent="0.15">
      <c r="A121" s="28">
        <f>SUM(C121:AO121)</f>
        <v>0</v>
      </c>
      <c r="B121" s="53" t="s">
        <v>129</v>
      </c>
      <c r="C121" s="52"/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f>IF(M115="","",M115-L115)</f>
        <v>0</v>
      </c>
      <c r="N121" s="52">
        <f>IF(N115="","",N115-M115)</f>
        <v>0</v>
      </c>
      <c r="O121" s="52">
        <f t="shared" si="426"/>
        <v>0</v>
      </c>
      <c r="P121" s="52">
        <f t="shared" si="427"/>
        <v>0</v>
      </c>
      <c r="Q121" s="52" t="str">
        <f t="shared" si="428"/>
        <v/>
      </c>
      <c r="R121" s="52" t="str">
        <f t="shared" si="429"/>
        <v/>
      </c>
      <c r="S121" s="52" t="str">
        <f t="shared" si="430"/>
        <v/>
      </c>
      <c r="T121" s="52" t="str">
        <f t="shared" si="431"/>
        <v/>
      </c>
      <c r="U121" s="52" t="str">
        <f t="shared" si="432"/>
        <v/>
      </c>
      <c r="V121" s="52" t="str">
        <f t="shared" si="433"/>
        <v/>
      </c>
      <c r="W121" s="52" t="str">
        <f t="shared" si="434"/>
        <v/>
      </c>
      <c r="X121" s="52" t="str">
        <f t="shared" si="434"/>
        <v/>
      </c>
      <c r="Y121" s="52" t="str">
        <f t="shared" si="434"/>
        <v/>
      </c>
      <c r="Z121" s="52" t="str">
        <f t="shared" si="435"/>
        <v/>
      </c>
      <c r="AA121" s="52" t="str">
        <f t="shared" si="436"/>
        <v/>
      </c>
      <c r="AB121" s="52" t="str">
        <f t="shared" si="437"/>
        <v/>
      </c>
      <c r="AC121" s="52" t="str">
        <f t="shared" si="438"/>
        <v/>
      </c>
      <c r="AD121" s="52" t="str">
        <f t="shared" si="439"/>
        <v/>
      </c>
      <c r="AE121" s="52" t="str">
        <f t="shared" si="440"/>
        <v/>
      </c>
      <c r="AF121" s="52" t="str">
        <f t="shared" si="441"/>
        <v/>
      </c>
      <c r="AG121" s="52" t="str">
        <f t="shared" si="442"/>
        <v/>
      </c>
      <c r="AH121" s="52" t="str">
        <f>IF(AH115="","",AH115-AG115)</f>
        <v/>
      </c>
      <c r="AI121" s="52" t="str">
        <f t="shared" si="443"/>
        <v/>
      </c>
      <c r="AJ121" s="52" t="str">
        <f t="shared" si="444"/>
        <v/>
      </c>
      <c r="AK121" s="52" t="str">
        <f t="shared" si="445"/>
        <v/>
      </c>
      <c r="AL121" s="52" t="str">
        <f>IF(AL115="","",AL115-AK115)</f>
        <v/>
      </c>
      <c r="AM121" s="52" t="str">
        <f t="shared" si="446"/>
        <v/>
      </c>
      <c r="AN121" s="52" t="str">
        <f t="shared" si="447"/>
        <v/>
      </c>
      <c r="AO121" s="52" t="str">
        <f>IF(AO115="","",AO115-AN115)</f>
        <v/>
      </c>
      <c r="AP121" s="52" t="str">
        <f t="shared" si="448"/>
        <v/>
      </c>
      <c r="AQ121" s="52" t="str">
        <f t="shared" si="449"/>
        <v/>
      </c>
      <c r="AR121" s="52" t="str">
        <f t="shared" si="450"/>
        <v/>
      </c>
      <c r="AS121" s="52" t="str">
        <f t="shared" si="451"/>
        <v/>
      </c>
      <c r="AT121" s="52" t="str">
        <f t="shared" si="452"/>
        <v/>
      </c>
      <c r="AU121" s="52" t="str">
        <f t="shared" si="453"/>
        <v/>
      </c>
      <c r="AV121" s="52" t="str">
        <f t="shared" si="454"/>
        <v/>
      </c>
      <c r="AW121" s="52" t="str">
        <f t="shared" si="455"/>
        <v/>
      </c>
      <c r="AX121" s="52" t="str">
        <f t="shared" si="456"/>
        <v/>
      </c>
    </row>
    <row r="122" spans="1:50" s="1" customFormat="1" x14ac:dyDescent="0.15">
      <c r="A122" s="28">
        <f>SUM(C122:AO122)</f>
        <v>0</v>
      </c>
      <c r="B122" s="53" t="s">
        <v>16</v>
      </c>
      <c r="C122" s="52"/>
      <c r="D122" s="52" t="s">
        <v>19</v>
      </c>
      <c r="E122" s="52" t="s">
        <v>19</v>
      </c>
      <c r="F122" s="52" t="s">
        <v>19</v>
      </c>
      <c r="G122" s="52" t="s">
        <v>19</v>
      </c>
      <c r="H122" s="52" t="s">
        <v>19</v>
      </c>
      <c r="I122" s="52" t="s">
        <v>19</v>
      </c>
      <c r="J122" s="52" t="s">
        <v>19</v>
      </c>
      <c r="K122" s="52" t="s">
        <v>19</v>
      </c>
      <c r="L122" s="52" t="s">
        <v>19</v>
      </c>
      <c r="M122" s="52" t="str">
        <f>IF(M117="","",#REF!*M117)</f>
        <v/>
      </c>
      <c r="N122" s="52" t="str">
        <f>IF(N117="","",#REF!*N117)</f>
        <v/>
      </c>
      <c r="O122" s="52" t="str">
        <f>IF(O117="","",#REF!*O117)</f>
        <v/>
      </c>
      <c r="P122" s="52" t="str">
        <f>IF(P117="","",#REF!*P117)</f>
        <v/>
      </c>
      <c r="Q122" s="52" t="str">
        <f>IF(Q117="","",#REF!*Q117)</f>
        <v/>
      </c>
      <c r="R122" s="52" t="str">
        <f>IF(R117="","",#REF!*R117)</f>
        <v/>
      </c>
      <c r="S122" s="52" t="str">
        <f>IF(S117="","",#REF!*S117)</f>
        <v/>
      </c>
      <c r="T122" s="52" t="str">
        <f>IF(T117="","",#REF!*T117)</f>
        <v/>
      </c>
      <c r="U122" s="52" t="str">
        <f>IF(U117="","",#REF!*U117)</f>
        <v/>
      </c>
      <c r="V122" s="52" t="str">
        <f>IF(V117="","",#REF!*V117)</f>
        <v/>
      </c>
      <c r="W122" s="52" t="str">
        <f>IF(W117="","",#REF!*W117)</f>
        <v/>
      </c>
      <c r="X122" s="52" t="str">
        <f>IF(X117="","",#REF!*X117)</f>
        <v/>
      </c>
      <c r="Y122" s="52" t="str">
        <f>IF(Y117="","",#REF!*Y117)</f>
        <v/>
      </c>
      <c r="Z122" s="52" t="str">
        <f>IF(Z117="","",#REF!*Z117)</f>
        <v/>
      </c>
      <c r="AA122" s="52" t="str">
        <f>IF(AA117="","",#REF!*AA117)</f>
        <v/>
      </c>
      <c r="AB122" s="52" t="str">
        <f>IF(AB117="","",#REF!*AB117)</f>
        <v/>
      </c>
      <c r="AC122" s="52" t="str">
        <f>IF(AC117="","",#REF!*AC117)</f>
        <v/>
      </c>
      <c r="AD122" s="52" t="str">
        <f>IF(AD117="","",#REF!*AD117)</f>
        <v/>
      </c>
      <c r="AE122" s="52" t="str">
        <f>IF(AE117="","",#REF!*AE117)</f>
        <v/>
      </c>
      <c r="AF122" s="52" t="str">
        <f>IF(AF117="","",#REF!*AF117)</f>
        <v/>
      </c>
      <c r="AG122" s="52" t="str">
        <f>IF(AG117="","",#REF!*AG117)</f>
        <v/>
      </c>
      <c r="AH122" s="52" t="str">
        <f>IF(AH117="","",#REF!*AH117)</f>
        <v/>
      </c>
      <c r="AI122" s="52" t="str">
        <f>IF(AI117="","",#REF!*AI117)</f>
        <v/>
      </c>
      <c r="AJ122" s="52" t="str">
        <f>IF(AJ117="","",#REF!*AJ117)</f>
        <v/>
      </c>
      <c r="AK122" s="52" t="str">
        <f>IF(AK117="","",#REF!*AK117)</f>
        <v/>
      </c>
      <c r="AL122" s="52" t="str">
        <f>IF(AL117="","",#REF!*AL117)</f>
        <v/>
      </c>
      <c r="AM122" s="52" t="str">
        <f>IF(AM117="","",#REF!*AM117)</f>
        <v/>
      </c>
      <c r="AN122" s="52" t="str">
        <f>IF(AN117="","",#REF!*AN117)</f>
        <v/>
      </c>
      <c r="AO122" s="52" t="str">
        <f>IF(AO117="","",#REF!*AO117)</f>
        <v/>
      </c>
      <c r="AP122" s="52" t="str">
        <f>IF(AP117="","",#REF!*AP117)</f>
        <v/>
      </c>
      <c r="AQ122" s="52" t="str">
        <f>IF(AQ117="","",#REF!*AQ117)</f>
        <v/>
      </c>
      <c r="AR122" s="52" t="str">
        <f>IF(AR117="","",#REF!*AR117)</f>
        <v/>
      </c>
      <c r="AS122" s="52" t="str">
        <f>IF(AS117="","",#REF!*AS117)</f>
        <v/>
      </c>
      <c r="AT122" s="52" t="str">
        <f>IF(AT117="","",#REF!*AT117)</f>
        <v/>
      </c>
      <c r="AU122" s="52" t="str">
        <f>IF(AU117="","",#REF!*AU117)</f>
        <v/>
      </c>
      <c r="AV122" s="52" t="str">
        <f>IF(AV117="","",#REF!*AV117)</f>
        <v/>
      </c>
      <c r="AW122" s="52" t="str">
        <f>IF(AW117="","",#REF!*AW117)</f>
        <v/>
      </c>
      <c r="AX122" s="52" t="str">
        <f>IF(AX117="","",#REF!*AX117)</f>
        <v/>
      </c>
    </row>
    <row r="123" spans="1:50" s="1" customFormat="1" ht="12" thickBot="1" x14ac:dyDescent="0.2">
      <c r="A123" s="25">
        <f>IF(A122="","",A122/(A120*100))</f>
        <v>0</v>
      </c>
      <c r="B123" s="51" t="s">
        <v>18</v>
      </c>
      <c r="C123" s="50"/>
      <c r="D123" s="50" t="s">
        <v>19</v>
      </c>
      <c r="E123" s="50" t="s">
        <v>19</v>
      </c>
      <c r="F123" s="50" t="s">
        <v>19</v>
      </c>
      <c r="G123" s="50" t="s">
        <v>19</v>
      </c>
      <c r="H123" s="50" t="s">
        <v>19</v>
      </c>
      <c r="I123" s="50" t="s">
        <v>19</v>
      </c>
      <c r="J123" s="50" t="s">
        <v>19</v>
      </c>
      <c r="K123" s="50" t="s">
        <v>19</v>
      </c>
      <c r="L123" s="50" t="s">
        <v>19</v>
      </c>
      <c r="M123" s="50" t="str">
        <f>IF(M122="","",M122/(M120*100))</f>
        <v/>
      </c>
      <c r="N123" s="50" t="str">
        <f>IF(N122="","",N122/(N120*100))</f>
        <v/>
      </c>
      <c r="O123" s="50" t="str">
        <f t="shared" ref="N123:AP123" si="457">IF(O122="","",O122/(O120*100))</f>
        <v/>
      </c>
      <c r="P123" s="50" t="str">
        <f t="shared" si="457"/>
        <v/>
      </c>
      <c r="Q123" s="50" t="str">
        <f t="shared" si="457"/>
        <v/>
      </c>
      <c r="R123" s="50" t="str">
        <f t="shared" si="457"/>
        <v/>
      </c>
      <c r="S123" s="50" t="str">
        <f t="shared" si="457"/>
        <v/>
      </c>
      <c r="T123" s="50" t="str">
        <f t="shared" si="457"/>
        <v/>
      </c>
      <c r="U123" s="50" t="str">
        <f t="shared" si="457"/>
        <v/>
      </c>
      <c r="V123" s="50" t="str">
        <f t="shared" si="457"/>
        <v/>
      </c>
      <c r="W123" s="50" t="str">
        <f>IF(W122="","",W122/(W120*100))</f>
        <v/>
      </c>
      <c r="X123" s="50" t="str">
        <f>IF(X122="","",X122/(X120*100))</f>
        <v/>
      </c>
      <c r="Y123" s="50" t="str">
        <f>IF(Y122="","",Y122/(Y120*100))</f>
        <v/>
      </c>
      <c r="Z123" s="50" t="str">
        <f>IF(Z122="","",Z122/(Z120*100))</f>
        <v/>
      </c>
      <c r="AA123" s="50" t="str">
        <f t="shared" si="457"/>
        <v/>
      </c>
      <c r="AB123" s="50" t="str">
        <f t="shared" si="457"/>
        <v/>
      </c>
      <c r="AC123" s="50" t="str">
        <f t="shared" si="457"/>
        <v/>
      </c>
      <c r="AD123" s="50" t="str">
        <f t="shared" si="457"/>
        <v/>
      </c>
      <c r="AE123" s="50" t="str">
        <f t="shared" si="457"/>
        <v/>
      </c>
      <c r="AF123" s="50" t="str">
        <f t="shared" si="457"/>
        <v/>
      </c>
      <c r="AG123" s="50" t="str">
        <f t="shared" si="457"/>
        <v/>
      </c>
      <c r="AH123" s="50" t="str">
        <f>IF(AH122="","",AH122/(AH120*100))</f>
        <v/>
      </c>
      <c r="AI123" s="50" t="str">
        <f t="shared" si="457"/>
        <v/>
      </c>
      <c r="AJ123" s="50" t="str">
        <f t="shared" si="457"/>
        <v/>
      </c>
      <c r="AK123" s="50" t="str">
        <f t="shared" si="457"/>
        <v/>
      </c>
      <c r="AL123" s="50" t="str">
        <f>IF(AL122="","",AL122/(AL120*100))</f>
        <v/>
      </c>
      <c r="AM123" s="50" t="str">
        <f t="shared" si="457"/>
        <v/>
      </c>
      <c r="AN123" s="50" t="str">
        <f t="shared" si="457"/>
        <v/>
      </c>
      <c r="AO123" s="50" t="str">
        <f>IF(AO122="","",AO122/(AO120*100))</f>
        <v/>
      </c>
      <c r="AP123" s="50" t="str">
        <f t="shared" si="457"/>
        <v/>
      </c>
      <c r="AQ123" s="50" t="str">
        <f t="shared" ref="AQ123:AX123" si="458">IF(AQ122="","",AQ122/(AQ120*100))</f>
        <v/>
      </c>
      <c r="AR123" s="50" t="str">
        <f t="shared" si="458"/>
        <v/>
      </c>
      <c r="AS123" s="50" t="str">
        <f t="shared" si="458"/>
        <v/>
      </c>
      <c r="AT123" s="50" t="str">
        <f t="shared" si="458"/>
        <v/>
      </c>
      <c r="AU123" s="50" t="str">
        <f t="shared" si="458"/>
        <v/>
      </c>
      <c r="AV123" s="50" t="str">
        <f t="shared" si="458"/>
        <v/>
      </c>
      <c r="AW123" s="50" t="str">
        <f t="shared" si="458"/>
        <v/>
      </c>
      <c r="AX123" s="50" t="str">
        <f t="shared" si="458"/>
        <v/>
      </c>
    </row>
    <row r="124" spans="1:50" s="1" customFormat="1" x14ac:dyDescent="0.15">
      <c r="A124" s="22" t="s">
        <v>83</v>
      </c>
      <c r="B124" s="21" t="s">
        <v>133</v>
      </c>
      <c r="C124" s="20"/>
      <c r="D124" s="20">
        <v>21531</v>
      </c>
      <c r="E124" s="20">
        <v>21531</v>
      </c>
      <c r="F124" s="20">
        <v>21550</v>
      </c>
      <c r="G124" s="20">
        <v>21550</v>
      </c>
      <c r="H124" s="20">
        <v>21550</v>
      </c>
      <c r="I124" s="20">
        <v>21550</v>
      </c>
      <c r="J124" s="20">
        <v>21550</v>
      </c>
      <c r="K124" s="20">
        <v>21550</v>
      </c>
      <c r="L124" s="20">
        <v>21615</v>
      </c>
      <c r="M124" s="20">
        <v>21615</v>
      </c>
      <c r="N124" s="20">
        <v>21615</v>
      </c>
      <c r="O124" s="20">
        <v>21615</v>
      </c>
      <c r="P124" s="20">
        <v>21620</v>
      </c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</row>
    <row r="125" spans="1:50" s="1" customFormat="1" x14ac:dyDescent="0.15">
      <c r="A125" s="59" t="s">
        <v>134</v>
      </c>
      <c r="B125" s="9" t="s">
        <v>125</v>
      </c>
      <c r="C125" s="8"/>
      <c r="D125" s="8">
        <v>4248</v>
      </c>
      <c r="E125" s="8">
        <v>4248</v>
      </c>
      <c r="F125" s="8">
        <v>4254</v>
      </c>
      <c r="G125" s="8">
        <v>4254</v>
      </c>
      <c r="H125" s="8">
        <v>4254</v>
      </c>
      <c r="I125" s="8">
        <v>4254</v>
      </c>
      <c r="J125" s="8">
        <v>4254</v>
      </c>
      <c r="K125" s="8">
        <v>4254</v>
      </c>
      <c r="L125" s="8">
        <v>4265</v>
      </c>
      <c r="M125" s="8">
        <v>4265</v>
      </c>
      <c r="N125" s="8">
        <v>4265</v>
      </c>
      <c r="O125" s="8">
        <v>4265</v>
      </c>
      <c r="P125" s="8">
        <v>4266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s="1" customFormat="1" x14ac:dyDescent="0.15">
      <c r="A126" s="15" t="s">
        <v>135</v>
      </c>
      <c r="B126" s="9" t="s">
        <v>7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s="1" customFormat="1" x14ac:dyDescent="0.15">
      <c r="A127" s="14" t="s">
        <v>9</v>
      </c>
      <c r="B127" s="9" t="s">
        <v>8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s="11" customFormat="1" x14ac:dyDescent="0.15">
      <c r="A128" s="7">
        <f>AVERAGE(C130:AO130)*30*100</f>
        <v>20538.461538461539</v>
      </c>
      <c r="B128" s="13" t="s">
        <v>126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</row>
    <row r="129" spans="1:50" s="1" customFormat="1" x14ac:dyDescent="0.15">
      <c r="A129" s="10"/>
      <c r="B129" s="9" t="s">
        <v>127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s="1" customFormat="1" x14ac:dyDescent="0.15">
      <c r="A130" s="7">
        <f>SUM(C130:AO130)</f>
        <v>89</v>
      </c>
      <c r="B130" s="58" t="s">
        <v>13</v>
      </c>
      <c r="C130" s="57"/>
      <c r="D130" s="57">
        <v>0</v>
      </c>
      <c r="E130" s="57">
        <v>0</v>
      </c>
      <c r="F130" s="57">
        <v>19</v>
      </c>
      <c r="G130" s="57">
        <v>0</v>
      </c>
      <c r="H130" s="57">
        <v>0</v>
      </c>
      <c r="I130" s="57">
        <v>0</v>
      </c>
      <c r="J130" s="57">
        <v>0</v>
      </c>
      <c r="K130" s="57">
        <v>0</v>
      </c>
      <c r="L130" s="57">
        <v>65</v>
      </c>
      <c r="M130" s="57">
        <f>IF(M124="","",M124-L124)</f>
        <v>0</v>
      </c>
      <c r="N130" s="57">
        <f>IF(N124="","",N124-M124)</f>
        <v>0</v>
      </c>
      <c r="O130" s="57">
        <f t="shared" ref="O130:Q131" si="459">IF(O124="","",O124-N124)</f>
        <v>0</v>
      </c>
      <c r="P130" s="57">
        <f t="shared" si="459"/>
        <v>5</v>
      </c>
      <c r="Q130" s="57" t="str">
        <f t="shared" si="459"/>
        <v/>
      </c>
      <c r="R130" s="57" t="str">
        <f t="shared" ref="R130:R131" si="460">IF(R124="","",R124-Q124)</f>
        <v/>
      </c>
      <c r="S130" s="57" t="str">
        <f t="shared" ref="S130:S131" si="461">IF(S124="","",S124-R124)</f>
        <v/>
      </c>
      <c r="T130" s="57" t="str">
        <f t="shared" ref="T130:T131" si="462">IF(T124="","",T124-S124)</f>
        <v/>
      </c>
      <c r="U130" s="57" t="str">
        <f t="shared" ref="U130:U131" si="463">IF(U124="","",U124-T124)</f>
        <v/>
      </c>
      <c r="V130" s="57" t="str">
        <f t="shared" ref="V130:V131" si="464">IF(V124="","",V124-U124)</f>
        <v/>
      </c>
      <c r="W130" s="57" t="str">
        <f t="shared" ref="W130:Y131" si="465">IF(W124="","",W124-V124)</f>
        <v/>
      </c>
      <c r="X130" s="57" t="str">
        <f t="shared" si="465"/>
        <v/>
      </c>
      <c r="Y130" s="57" t="str">
        <f t="shared" si="465"/>
        <v/>
      </c>
      <c r="Z130" s="57" t="str">
        <f t="shared" ref="Z130:Z131" si="466">IF(Z124="","",Z124-Y124)</f>
        <v/>
      </c>
      <c r="AA130" s="57" t="str">
        <f>IF(AA124="","",AA124-Z124)</f>
        <v/>
      </c>
      <c r="AB130" s="57" t="str">
        <f t="shared" ref="AB130:AB131" si="467">IF(AB124="","",AB124-AA124)</f>
        <v/>
      </c>
      <c r="AC130" s="57" t="str">
        <f t="shared" ref="AC130:AC131" si="468">IF(AC124="","",AC124-AB124)</f>
        <v/>
      </c>
      <c r="AD130" s="57" t="str">
        <f t="shared" ref="AD130:AD131" si="469">IF(AD124="","",AD124-AC124)</f>
        <v/>
      </c>
      <c r="AE130" s="57" t="str">
        <f t="shared" ref="AE130:AE131" si="470">IF(AE124="","",AE124-AD124)</f>
        <v/>
      </c>
      <c r="AF130" s="57" t="str">
        <f t="shared" ref="AF130:AF131" si="471">IF(AF124="","",AF124-AE124)</f>
        <v/>
      </c>
      <c r="AG130" s="57" t="str">
        <f t="shared" ref="AG130:AG131" si="472">IF(AG124="","",AG124-AF124)</f>
        <v/>
      </c>
      <c r="AH130" s="57" t="str">
        <f>IF(AH124="","",AH124-AG124)</f>
        <v/>
      </c>
      <c r="AI130" s="57" t="str">
        <f t="shared" ref="AI130:AI131" si="473">IF(AI124="","",AI124-AH124)</f>
        <v/>
      </c>
      <c r="AJ130" s="57" t="str">
        <f t="shared" ref="AJ130:AJ131" si="474">IF(AJ124="","",AJ124-AI124)</f>
        <v/>
      </c>
      <c r="AK130" s="57" t="str">
        <f t="shared" ref="AK130:AK131" si="475">IF(AK124="","",AK124-AJ124)</f>
        <v/>
      </c>
      <c r="AL130" s="57" t="str">
        <f>IF(AL124="","",AL124-AK124)</f>
        <v/>
      </c>
      <c r="AM130" s="57" t="str">
        <f t="shared" ref="AM130:AM131" si="476">IF(AM124="","",AM124-AL124)</f>
        <v/>
      </c>
      <c r="AN130" s="57" t="str">
        <f t="shared" ref="AN130:AN131" si="477">IF(AN124="","",AN124-AM124)</f>
        <v/>
      </c>
      <c r="AO130" s="57" t="str">
        <f>IF(AO124="","",AO124-AN124)</f>
        <v/>
      </c>
      <c r="AP130" s="57" t="str">
        <f t="shared" ref="AP130:AP131" si="478">IF(AP124="","",AP124-AO124)</f>
        <v/>
      </c>
      <c r="AQ130" s="57" t="str">
        <f t="shared" ref="AQ130:AQ131" si="479">IF(AQ124="","",AQ124-AP124)</f>
        <v/>
      </c>
      <c r="AR130" s="57" t="str">
        <f t="shared" ref="AR130:AR131" si="480">IF(AR124="","",AR124-AQ124)</f>
        <v/>
      </c>
      <c r="AS130" s="57" t="str">
        <f t="shared" ref="AS130:AS131" si="481">IF(AS124="","",AS124-AR124)</f>
        <v/>
      </c>
      <c r="AT130" s="57" t="str">
        <f t="shared" ref="AT130:AT131" si="482">IF(AT124="","",AT124-AS124)</f>
        <v/>
      </c>
      <c r="AU130" s="57" t="str">
        <f t="shared" ref="AU130:AU131" si="483">IF(AU124="","",AU124-AT124)</f>
        <v/>
      </c>
      <c r="AV130" s="57" t="str">
        <f t="shared" ref="AV130:AV131" si="484">IF(AV124="","",AV124-AU124)</f>
        <v/>
      </c>
      <c r="AW130" s="57" t="str">
        <f t="shared" ref="AW130:AW131" si="485">IF(AW124="","",AW124-AV124)</f>
        <v/>
      </c>
      <c r="AX130" s="57" t="str">
        <f t="shared" ref="AX130:AX131" si="486">IF(AX124="","",AX124-AW124)</f>
        <v/>
      </c>
    </row>
    <row r="131" spans="1:50" s="1" customFormat="1" x14ac:dyDescent="0.15">
      <c r="A131" s="7">
        <f>SUM(C131:AO131)</f>
        <v>18</v>
      </c>
      <c r="B131" s="58" t="s">
        <v>129</v>
      </c>
      <c r="C131" s="57"/>
      <c r="D131" s="57">
        <v>0</v>
      </c>
      <c r="E131" s="57">
        <v>0</v>
      </c>
      <c r="F131" s="57">
        <v>6</v>
      </c>
      <c r="G131" s="57">
        <v>0</v>
      </c>
      <c r="H131" s="57">
        <v>0</v>
      </c>
      <c r="I131" s="57">
        <v>0</v>
      </c>
      <c r="J131" s="57">
        <v>0</v>
      </c>
      <c r="K131" s="57">
        <v>0</v>
      </c>
      <c r="L131" s="57">
        <v>11</v>
      </c>
      <c r="M131" s="57">
        <f>IF(M125="","",M125-L125)</f>
        <v>0</v>
      </c>
      <c r="N131" s="57">
        <f>IF(N125="","",N125-M125)</f>
        <v>0</v>
      </c>
      <c r="O131" s="57">
        <f t="shared" si="459"/>
        <v>0</v>
      </c>
      <c r="P131" s="57">
        <f t="shared" si="459"/>
        <v>1</v>
      </c>
      <c r="Q131" s="57" t="str">
        <f t="shared" si="459"/>
        <v/>
      </c>
      <c r="R131" s="57" t="str">
        <f t="shared" si="460"/>
        <v/>
      </c>
      <c r="S131" s="57" t="str">
        <f t="shared" si="461"/>
        <v/>
      </c>
      <c r="T131" s="57" t="str">
        <f t="shared" si="462"/>
        <v/>
      </c>
      <c r="U131" s="57" t="str">
        <f t="shared" si="463"/>
        <v/>
      </c>
      <c r="V131" s="57" t="str">
        <f t="shared" si="464"/>
        <v/>
      </c>
      <c r="W131" s="57" t="str">
        <f t="shared" si="465"/>
        <v/>
      </c>
      <c r="X131" s="57" t="str">
        <f t="shared" si="465"/>
        <v/>
      </c>
      <c r="Y131" s="57" t="str">
        <f t="shared" si="465"/>
        <v/>
      </c>
      <c r="Z131" s="57" t="str">
        <f t="shared" si="466"/>
        <v/>
      </c>
      <c r="AA131" s="57" t="str">
        <f>IF(AA125="","",AA125-Z125)</f>
        <v/>
      </c>
      <c r="AB131" s="57" t="str">
        <f t="shared" si="467"/>
        <v/>
      </c>
      <c r="AC131" s="57" t="str">
        <f t="shared" si="468"/>
        <v/>
      </c>
      <c r="AD131" s="57" t="str">
        <f t="shared" si="469"/>
        <v/>
      </c>
      <c r="AE131" s="57" t="str">
        <f t="shared" si="470"/>
        <v/>
      </c>
      <c r="AF131" s="57" t="str">
        <f t="shared" si="471"/>
        <v/>
      </c>
      <c r="AG131" s="57" t="str">
        <f t="shared" si="472"/>
        <v/>
      </c>
      <c r="AH131" s="57" t="str">
        <f>IF(AH125="","",AH125-AG125)</f>
        <v/>
      </c>
      <c r="AI131" s="57" t="str">
        <f t="shared" si="473"/>
        <v/>
      </c>
      <c r="AJ131" s="57" t="str">
        <f t="shared" si="474"/>
        <v/>
      </c>
      <c r="AK131" s="57" t="str">
        <f t="shared" si="475"/>
        <v/>
      </c>
      <c r="AL131" s="57" t="str">
        <f>IF(AL125="","",AL125-AK125)</f>
        <v/>
      </c>
      <c r="AM131" s="57" t="str">
        <f t="shared" si="476"/>
        <v/>
      </c>
      <c r="AN131" s="57" t="str">
        <f t="shared" si="477"/>
        <v/>
      </c>
      <c r="AO131" s="57" t="str">
        <f>IF(AO125="","",AO125-AN125)</f>
        <v/>
      </c>
      <c r="AP131" s="57" t="str">
        <f t="shared" si="478"/>
        <v/>
      </c>
      <c r="AQ131" s="57" t="str">
        <f t="shared" si="479"/>
        <v/>
      </c>
      <c r="AR131" s="57" t="str">
        <f t="shared" si="480"/>
        <v/>
      </c>
      <c r="AS131" s="57" t="str">
        <f t="shared" si="481"/>
        <v/>
      </c>
      <c r="AT131" s="57" t="str">
        <f t="shared" si="482"/>
        <v/>
      </c>
      <c r="AU131" s="57" t="str">
        <f t="shared" si="483"/>
        <v/>
      </c>
      <c r="AV131" s="57" t="str">
        <f t="shared" si="484"/>
        <v/>
      </c>
      <c r="AW131" s="57" t="str">
        <f t="shared" si="485"/>
        <v/>
      </c>
      <c r="AX131" s="57" t="str">
        <f t="shared" si="486"/>
        <v/>
      </c>
    </row>
    <row r="132" spans="1:50" s="1" customFormat="1" x14ac:dyDescent="0.15">
      <c r="A132" s="7">
        <f>SUM(C132:AO132)</f>
        <v>0</v>
      </c>
      <c r="B132" s="58" t="s">
        <v>16</v>
      </c>
      <c r="C132" s="57"/>
      <c r="D132" s="57" t="s">
        <v>19</v>
      </c>
      <c r="E132" s="57" t="s">
        <v>19</v>
      </c>
      <c r="F132" s="57" t="s">
        <v>19</v>
      </c>
      <c r="G132" s="57" t="s">
        <v>19</v>
      </c>
      <c r="H132" s="57" t="s">
        <v>19</v>
      </c>
      <c r="I132" s="57" t="s">
        <v>19</v>
      </c>
      <c r="J132" s="57" t="s">
        <v>19</v>
      </c>
      <c r="K132" s="57" t="s">
        <v>19</v>
      </c>
      <c r="L132" s="57" t="s">
        <v>19</v>
      </c>
      <c r="M132" s="57" t="str">
        <f>IF(M127="","",#REF!*M127)</f>
        <v/>
      </c>
      <c r="N132" s="57" t="str">
        <f>IF(N127="","",#REF!*N127)</f>
        <v/>
      </c>
      <c r="O132" s="57" t="str">
        <f>IF(O127="","",#REF!*O127)</f>
        <v/>
      </c>
      <c r="P132" s="57" t="str">
        <f>IF(P127="","",#REF!*P127)</f>
        <v/>
      </c>
      <c r="Q132" s="57" t="str">
        <f>IF(Q127="","",#REF!*Q127)</f>
        <v/>
      </c>
      <c r="R132" s="57" t="str">
        <f>IF(R127="","",#REF!*R127)</f>
        <v/>
      </c>
      <c r="S132" s="57" t="str">
        <f>IF(S127="","",#REF!*S127)</f>
        <v/>
      </c>
      <c r="T132" s="57" t="str">
        <f>IF(T127="","",#REF!*T127)</f>
        <v/>
      </c>
      <c r="U132" s="57" t="str">
        <f>IF(U127="","",#REF!*U127)</f>
        <v/>
      </c>
      <c r="V132" s="57" t="str">
        <f>IF(V127="","",#REF!*V127)</f>
        <v/>
      </c>
      <c r="W132" s="57" t="str">
        <f>IF(W127="","",#REF!*W127)</f>
        <v/>
      </c>
      <c r="X132" s="57" t="str">
        <f>IF(X127="","",#REF!*X127)</f>
        <v/>
      </c>
      <c r="Y132" s="57" t="str">
        <f>IF(Y127="","",#REF!*Y127)</f>
        <v/>
      </c>
      <c r="Z132" s="57" t="str">
        <f>IF(Z127="","",#REF!*Z127)</f>
        <v/>
      </c>
      <c r="AA132" s="57" t="str">
        <f>IF(AA127="","",#REF!*AA127)</f>
        <v/>
      </c>
      <c r="AB132" s="57" t="str">
        <f>IF(AB127="","",#REF!*AB127)</f>
        <v/>
      </c>
      <c r="AC132" s="57" t="str">
        <f>IF(AC127="","",#REF!*AC127)</f>
        <v/>
      </c>
      <c r="AD132" s="57" t="str">
        <f>IF(AD127="","",#REF!*AD127)</f>
        <v/>
      </c>
      <c r="AE132" s="57" t="str">
        <f>IF(AE127="","",#REF!*AE127)</f>
        <v/>
      </c>
      <c r="AF132" s="57" t="str">
        <f>IF(AF127="","",#REF!*AF127)</f>
        <v/>
      </c>
      <c r="AG132" s="57" t="str">
        <f>IF(AG127="","",#REF!*AG127)</f>
        <v/>
      </c>
      <c r="AH132" s="57" t="str">
        <f>IF(AH127="","",#REF!*AH127)</f>
        <v/>
      </c>
      <c r="AI132" s="57" t="str">
        <f>IF(AI127="","",#REF!*AI127)</f>
        <v/>
      </c>
      <c r="AJ132" s="57" t="str">
        <f>IF(AJ127="","",#REF!*AJ127)</f>
        <v/>
      </c>
      <c r="AK132" s="57" t="str">
        <f>IF(AK127="","",#REF!*AK127)</f>
        <v/>
      </c>
      <c r="AL132" s="57" t="str">
        <f>IF(AL127="","",#REF!*AL127)</f>
        <v/>
      </c>
      <c r="AM132" s="57" t="str">
        <f>IF(AM127="","",#REF!*AM127)</f>
        <v/>
      </c>
      <c r="AN132" s="57" t="str">
        <f>IF(AN127="","",#REF!*AN127)</f>
        <v/>
      </c>
      <c r="AO132" s="57" t="str">
        <f>IF(AO127="","",#REF!*AO127)</f>
        <v/>
      </c>
      <c r="AP132" s="57" t="str">
        <f>IF(AP127="","",#REF!*AP127)</f>
        <v/>
      </c>
      <c r="AQ132" s="57" t="str">
        <f>IF(AQ127="","",#REF!*AQ127)</f>
        <v/>
      </c>
      <c r="AR132" s="57" t="str">
        <f>IF(AR127="","",#REF!*AR127)</f>
        <v/>
      </c>
      <c r="AS132" s="57" t="str">
        <f>IF(AS127="","",#REF!*AS127)</f>
        <v/>
      </c>
      <c r="AT132" s="57" t="str">
        <f>IF(AT127="","",#REF!*AT127)</f>
        <v/>
      </c>
      <c r="AU132" s="57" t="str">
        <f>IF(AU127="","",#REF!*AU127)</f>
        <v/>
      </c>
      <c r="AV132" s="57" t="str">
        <f>IF(AV127="","",#REF!*AV127)</f>
        <v/>
      </c>
      <c r="AW132" s="57" t="str">
        <f>IF(AW127="","",#REF!*AW127)</f>
        <v/>
      </c>
      <c r="AX132" s="57" t="str">
        <f>IF(AX127="","",#REF!*AX127)</f>
        <v/>
      </c>
    </row>
    <row r="133" spans="1:50" s="1" customFormat="1" x14ac:dyDescent="0.15">
      <c r="A133" s="19">
        <f>IF(A132="","",A132/(A130*100))</f>
        <v>0</v>
      </c>
      <c r="B133" s="58" t="s">
        <v>18</v>
      </c>
      <c r="C133" s="60"/>
      <c r="D133" s="60" t="s">
        <v>19</v>
      </c>
      <c r="E133" s="60" t="s">
        <v>19</v>
      </c>
      <c r="F133" s="60" t="s">
        <v>19</v>
      </c>
      <c r="G133" s="60" t="s">
        <v>19</v>
      </c>
      <c r="H133" s="60" t="s">
        <v>19</v>
      </c>
      <c r="I133" s="60" t="s">
        <v>19</v>
      </c>
      <c r="J133" s="60" t="s">
        <v>19</v>
      </c>
      <c r="K133" s="60" t="s">
        <v>19</v>
      </c>
      <c r="L133" s="60" t="s">
        <v>19</v>
      </c>
      <c r="M133" s="60" t="str">
        <f>IF(M132="","",M132/(M130*100))</f>
        <v/>
      </c>
      <c r="N133" s="60" t="str">
        <f>IF(N132="","",N132/(N130*100))</f>
        <v/>
      </c>
      <c r="O133" s="60" t="str">
        <f t="shared" ref="N133:AP133" si="487">IF(O132="","",O132/(O130*100))</f>
        <v/>
      </c>
      <c r="P133" s="60" t="str">
        <f t="shared" ref="P133:Q133" si="488">IF(P132="","",P132/(P130*100))</f>
        <v/>
      </c>
      <c r="Q133" s="60" t="str">
        <f t="shared" si="488"/>
        <v/>
      </c>
      <c r="R133" s="60" t="str">
        <f t="shared" si="487"/>
        <v/>
      </c>
      <c r="S133" s="60" t="str">
        <f t="shared" si="487"/>
        <v/>
      </c>
      <c r="T133" s="60" t="str">
        <f t="shared" si="487"/>
        <v/>
      </c>
      <c r="U133" s="60" t="str">
        <f t="shared" si="487"/>
        <v/>
      </c>
      <c r="V133" s="60" t="str">
        <f t="shared" si="487"/>
        <v/>
      </c>
      <c r="W133" s="60" t="str">
        <f>IF(W132="","",W132/(W130*100))</f>
        <v/>
      </c>
      <c r="X133" s="60" t="str">
        <f>IF(X132="","",X132/(X130*100))</f>
        <v/>
      </c>
      <c r="Y133" s="60" t="str">
        <f>IF(Y132="","",Y132/(Y130*100))</f>
        <v/>
      </c>
      <c r="Z133" s="60" t="str">
        <f>IF(Z132="","",Z132/(Z130*100))</f>
        <v/>
      </c>
      <c r="AA133" s="60" t="str">
        <f>IF(AA132="","",AA132/(AA130*100))</f>
        <v/>
      </c>
      <c r="AB133" s="60" t="str">
        <f t="shared" si="487"/>
        <v/>
      </c>
      <c r="AC133" s="60" t="str">
        <f t="shared" si="487"/>
        <v/>
      </c>
      <c r="AD133" s="60" t="str">
        <f t="shared" si="487"/>
        <v/>
      </c>
      <c r="AE133" s="60" t="str">
        <f t="shared" si="487"/>
        <v/>
      </c>
      <c r="AF133" s="60" t="str">
        <f t="shared" si="487"/>
        <v/>
      </c>
      <c r="AG133" s="60" t="str">
        <f t="shared" si="487"/>
        <v/>
      </c>
      <c r="AH133" s="60" t="str">
        <f>IF(AH132="","",AH132/(AH130*100))</f>
        <v/>
      </c>
      <c r="AI133" s="60" t="str">
        <f t="shared" si="487"/>
        <v/>
      </c>
      <c r="AJ133" s="60" t="str">
        <f t="shared" si="487"/>
        <v/>
      </c>
      <c r="AK133" s="60" t="str">
        <f t="shared" si="487"/>
        <v/>
      </c>
      <c r="AL133" s="60" t="str">
        <f>IF(AL132="","",AL132/(AL130*100))</f>
        <v/>
      </c>
      <c r="AM133" s="60" t="str">
        <f t="shared" si="487"/>
        <v/>
      </c>
      <c r="AN133" s="60" t="str">
        <f t="shared" si="487"/>
        <v/>
      </c>
      <c r="AO133" s="60" t="str">
        <f>IF(AO132="","",AO132/(AO130*100))</f>
        <v/>
      </c>
      <c r="AP133" s="60" t="str">
        <f t="shared" si="487"/>
        <v/>
      </c>
      <c r="AQ133" s="60" t="str">
        <f t="shared" ref="AQ133:AX133" si="489">IF(AQ132="","",AQ132/(AQ130*100))</f>
        <v/>
      </c>
      <c r="AR133" s="60" t="str">
        <f t="shared" si="489"/>
        <v/>
      </c>
      <c r="AS133" s="60" t="str">
        <f t="shared" si="489"/>
        <v/>
      </c>
      <c r="AT133" s="60" t="str">
        <f t="shared" si="489"/>
        <v/>
      </c>
      <c r="AU133" s="60" t="str">
        <f t="shared" si="489"/>
        <v/>
      </c>
      <c r="AV133" s="60" t="str">
        <f t="shared" si="489"/>
        <v/>
      </c>
      <c r="AW133" s="60" t="str">
        <f t="shared" si="489"/>
        <v/>
      </c>
      <c r="AX133" s="60" t="str">
        <f t="shared" si="489"/>
        <v/>
      </c>
    </row>
    <row r="134" spans="1:50" s="1" customFormat="1" x14ac:dyDescent="0.15">
      <c r="A134" s="17" t="s">
        <v>83</v>
      </c>
      <c r="B134" s="9" t="s">
        <v>133</v>
      </c>
      <c r="C134" s="8"/>
      <c r="D134" s="8">
        <v>16208</v>
      </c>
      <c r="E134" s="8">
        <v>16208</v>
      </c>
      <c r="F134" s="8">
        <v>16233</v>
      </c>
      <c r="G134" s="8">
        <v>16233</v>
      </c>
      <c r="H134" s="8">
        <v>16233</v>
      </c>
      <c r="I134" s="8">
        <v>16233</v>
      </c>
      <c r="J134" s="8">
        <v>16233</v>
      </c>
      <c r="K134" s="8">
        <v>16233</v>
      </c>
      <c r="L134" s="8">
        <v>16288</v>
      </c>
      <c r="M134" s="8">
        <v>16288</v>
      </c>
      <c r="N134" s="8">
        <v>16288</v>
      </c>
      <c r="O134" s="8">
        <v>16288</v>
      </c>
      <c r="P134" s="8">
        <v>16323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s="1" customFormat="1" x14ac:dyDescent="0.15">
      <c r="A135" s="59" t="s">
        <v>134</v>
      </c>
      <c r="B135" s="9" t="s">
        <v>125</v>
      </c>
      <c r="C135" s="8"/>
      <c r="D135" s="8">
        <v>3268</v>
      </c>
      <c r="E135" s="8">
        <v>3268</v>
      </c>
      <c r="F135" s="8">
        <v>3273</v>
      </c>
      <c r="G135" s="8">
        <v>3273</v>
      </c>
      <c r="H135" s="8">
        <v>3273</v>
      </c>
      <c r="I135" s="8">
        <v>3273</v>
      </c>
      <c r="J135" s="8">
        <v>3273</v>
      </c>
      <c r="K135" s="8">
        <v>3273</v>
      </c>
      <c r="L135" s="8">
        <v>3284</v>
      </c>
      <c r="M135" s="8">
        <v>3284</v>
      </c>
      <c r="N135" s="8">
        <v>3284</v>
      </c>
      <c r="O135" s="8">
        <v>3284</v>
      </c>
      <c r="P135" s="8">
        <v>3291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s="1" customFormat="1" x14ac:dyDescent="0.15">
      <c r="A136" s="15" t="s">
        <v>136</v>
      </c>
      <c r="B136" s="9" t="s">
        <v>7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s="1" customFormat="1" x14ac:dyDescent="0.15">
      <c r="A137" s="14" t="s">
        <v>9</v>
      </c>
      <c r="B137" s="9" t="s">
        <v>8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s="11" customFormat="1" x14ac:dyDescent="0.15">
      <c r="A138" s="7">
        <f>AVERAGE(C140:AO140)*30*100</f>
        <v>26538.461538461543</v>
      </c>
      <c r="B138" s="13" t="s">
        <v>126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</row>
    <row r="139" spans="1:50" s="1" customFormat="1" x14ac:dyDescent="0.15">
      <c r="A139" s="10"/>
      <c r="B139" s="9" t="s">
        <v>127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s="1" customFormat="1" x14ac:dyDescent="0.15">
      <c r="A140" s="7">
        <f>SUM(C140:AO140)</f>
        <v>115</v>
      </c>
      <c r="B140" s="58" t="s">
        <v>13</v>
      </c>
      <c r="C140" s="57"/>
      <c r="D140" s="57">
        <v>0</v>
      </c>
      <c r="E140" s="57">
        <v>0</v>
      </c>
      <c r="F140" s="57">
        <v>25</v>
      </c>
      <c r="G140" s="57">
        <v>0</v>
      </c>
      <c r="H140" s="57">
        <v>0</v>
      </c>
      <c r="I140" s="57">
        <v>0</v>
      </c>
      <c r="J140" s="57">
        <v>0</v>
      </c>
      <c r="K140" s="57">
        <v>0</v>
      </c>
      <c r="L140" s="57">
        <v>55</v>
      </c>
      <c r="M140" s="57">
        <f>IF(M134="","",M134-L134)</f>
        <v>0</v>
      </c>
      <c r="N140" s="57">
        <f>IF(N134="","",N134-M134)</f>
        <v>0</v>
      </c>
      <c r="O140" s="57">
        <f t="shared" ref="O140:O141" si="490">IF(O134="","",O134-N134)</f>
        <v>0</v>
      </c>
      <c r="P140" s="57">
        <f t="shared" ref="P140:P141" si="491">IF(P134="","",P134-O134)</f>
        <v>35</v>
      </c>
      <c r="Q140" s="57" t="str">
        <f t="shared" ref="Q140:Q141" si="492">IF(Q134="","",Q134-P134)</f>
        <v/>
      </c>
      <c r="R140" s="57" t="str">
        <f t="shared" ref="R140:R141" si="493">IF(R134="","",R134-Q134)</f>
        <v/>
      </c>
      <c r="S140" s="57" t="str">
        <f t="shared" ref="S140:S141" si="494">IF(S134="","",S134-R134)</f>
        <v/>
      </c>
      <c r="T140" s="57" t="str">
        <f t="shared" ref="T140:T141" si="495">IF(T134="","",T134-S134)</f>
        <v/>
      </c>
      <c r="U140" s="57" t="str">
        <f t="shared" ref="U140:U141" si="496">IF(U134="","",U134-T134)</f>
        <v/>
      </c>
      <c r="V140" s="57" t="str">
        <f t="shared" ref="V140:V141" si="497">IF(V134="","",V134-U134)</f>
        <v/>
      </c>
      <c r="W140" s="57" t="str">
        <f t="shared" ref="W140:Y141" si="498">IF(W134="","",W134-V134)</f>
        <v/>
      </c>
      <c r="X140" s="57" t="str">
        <f t="shared" si="498"/>
        <v/>
      </c>
      <c r="Y140" s="57" t="str">
        <f t="shared" si="498"/>
        <v/>
      </c>
      <c r="Z140" s="57" t="str">
        <f t="shared" ref="Z140:Z141" si="499">IF(Z134="","",Z134-Y134)</f>
        <v/>
      </c>
      <c r="AA140" s="57" t="str">
        <f>IF(AA134="","",AA134-Z134)</f>
        <v/>
      </c>
      <c r="AB140" s="57" t="str">
        <f t="shared" ref="AB140:AB141" si="500">IF(AB134="","",AB134-AA134)</f>
        <v/>
      </c>
      <c r="AC140" s="57" t="str">
        <f t="shared" ref="AC140:AC141" si="501">IF(AC134="","",AC134-AB134)</f>
        <v/>
      </c>
      <c r="AD140" s="57" t="str">
        <f t="shared" ref="AD140:AD141" si="502">IF(AD134="","",AD134-AC134)</f>
        <v/>
      </c>
      <c r="AE140" s="57" t="str">
        <f t="shared" ref="AE140:AE141" si="503">IF(AE134="","",AE134-AD134)</f>
        <v/>
      </c>
      <c r="AF140" s="57" t="str">
        <f t="shared" ref="AF140:AF141" si="504">IF(AF134="","",AF134-AE134)</f>
        <v/>
      </c>
      <c r="AG140" s="57" t="str">
        <f t="shared" ref="AG140:AG141" si="505">IF(AG134="","",AG134-AF134)</f>
        <v/>
      </c>
      <c r="AH140" s="57" t="str">
        <f>IF(AH134="","",AH134-AG134)</f>
        <v/>
      </c>
      <c r="AI140" s="57" t="str">
        <f t="shared" ref="AI140:AI141" si="506">IF(AI134="","",AI134-AH134)</f>
        <v/>
      </c>
      <c r="AJ140" s="57" t="str">
        <f t="shared" ref="AJ140:AJ141" si="507">IF(AJ134="","",AJ134-AI134)</f>
        <v/>
      </c>
      <c r="AK140" s="57" t="str">
        <f t="shared" ref="AK140:AK141" si="508">IF(AK134="","",AK134-AJ134)</f>
        <v/>
      </c>
      <c r="AL140" s="57" t="str">
        <f>IF(AL134="","",AL134-AK134)</f>
        <v/>
      </c>
      <c r="AM140" s="57" t="str">
        <f t="shared" ref="AM140:AM141" si="509">IF(AM134="","",AM134-AL134)</f>
        <v/>
      </c>
      <c r="AN140" s="57" t="str">
        <f t="shared" ref="AN140:AN141" si="510">IF(AN134="","",AN134-AM134)</f>
        <v/>
      </c>
      <c r="AO140" s="57" t="str">
        <f>IF(AO134="","",AO134-AN134)</f>
        <v/>
      </c>
      <c r="AP140" s="57" t="str">
        <f t="shared" ref="AP140:AP141" si="511">IF(AP134="","",AP134-AO134)</f>
        <v/>
      </c>
      <c r="AQ140" s="57" t="str">
        <f t="shared" ref="AQ140:AQ141" si="512">IF(AQ134="","",AQ134-AP134)</f>
        <v/>
      </c>
      <c r="AR140" s="57" t="str">
        <f t="shared" ref="AR140:AR141" si="513">IF(AR134="","",AR134-AQ134)</f>
        <v/>
      </c>
      <c r="AS140" s="57" t="str">
        <f t="shared" ref="AS140:AS141" si="514">IF(AS134="","",AS134-AR134)</f>
        <v/>
      </c>
      <c r="AT140" s="57" t="str">
        <f t="shared" ref="AT140:AT141" si="515">IF(AT134="","",AT134-AS134)</f>
        <v/>
      </c>
      <c r="AU140" s="57" t="str">
        <f t="shared" ref="AU140:AU141" si="516">IF(AU134="","",AU134-AT134)</f>
        <v/>
      </c>
      <c r="AV140" s="57" t="str">
        <f t="shared" ref="AV140:AV141" si="517">IF(AV134="","",AV134-AU134)</f>
        <v/>
      </c>
      <c r="AW140" s="57" t="str">
        <f t="shared" ref="AW140:AW141" si="518">IF(AW134="","",AW134-AV134)</f>
        <v/>
      </c>
      <c r="AX140" s="57" t="str">
        <f t="shared" ref="AX140:AX141" si="519">IF(AX134="","",AX134-AW134)</f>
        <v/>
      </c>
    </row>
    <row r="141" spans="1:50" s="1" customFormat="1" x14ac:dyDescent="0.15">
      <c r="A141" s="7">
        <f>SUM(C141:AO141)</f>
        <v>23</v>
      </c>
      <c r="B141" s="58" t="s">
        <v>129</v>
      </c>
      <c r="C141" s="57"/>
      <c r="D141" s="57">
        <v>0</v>
      </c>
      <c r="E141" s="57">
        <v>0</v>
      </c>
      <c r="F141" s="57">
        <v>5</v>
      </c>
      <c r="G141" s="57">
        <v>0</v>
      </c>
      <c r="H141" s="57">
        <v>0</v>
      </c>
      <c r="I141" s="57">
        <v>0</v>
      </c>
      <c r="J141" s="57">
        <v>0</v>
      </c>
      <c r="K141" s="57">
        <v>0</v>
      </c>
      <c r="L141" s="57">
        <v>11</v>
      </c>
      <c r="M141" s="57">
        <f>IF(M135="","",M135-L135)</f>
        <v>0</v>
      </c>
      <c r="N141" s="57">
        <f>IF(N135="","",N135-M135)</f>
        <v>0</v>
      </c>
      <c r="O141" s="57">
        <f t="shared" si="490"/>
        <v>0</v>
      </c>
      <c r="P141" s="57">
        <f t="shared" si="491"/>
        <v>7</v>
      </c>
      <c r="Q141" s="57" t="str">
        <f t="shared" si="492"/>
        <v/>
      </c>
      <c r="R141" s="57" t="str">
        <f t="shared" si="493"/>
        <v/>
      </c>
      <c r="S141" s="57" t="str">
        <f t="shared" si="494"/>
        <v/>
      </c>
      <c r="T141" s="57" t="str">
        <f t="shared" si="495"/>
        <v/>
      </c>
      <c r="U141" s="57" t="str">
        <f t="shared" si="496"/>
        <v/>
      </c>
      <c r="V141" s="57" t="str">
        <f t="shared" si="497"/>
        <v/>
      </c>
      <c r="W141" s="57" t="str">
        <f t="shared" si="498"/>
        <v/>
      </c>
      <c r="X141" s="57" t="str">
        <f t="shared" si="498"/>
        <v/>
      </c>
      <c r="Y141" s="57" t="str">
        <f t="shared" si="498"/>
        <v/>
      </c>
      <c r="Z141" s="57" t="str">
        <f t="shared" si="499"/>
        <v/>
      </c>
      <c r="AA141" s="57" t="str">
        <f>IF(AA135="","",AA135-Z135)</f>
        <v/>
      </c>
      <c r="AB141" s="57" t="str">
        <f t="shared" si="500"/>
        <v/>
      </c>
      <c r="AC141" s="57" t="str">
        <f t="shared" si="501"/>
        <v/>
      </c>
      <c r="AD141" s="57" t="str">
        <f t="shared" si="502"/>
        <v/>
      </c>
      <c r="AE141" s="57" t="str">
        <f t="shared" si="503"/>
        <v/>
      </c>
      <c r="AF141" s="57" t="str">
        <f t="shared" si="504"/>
        <v/>
      </c>
      <c r="AG141" s="57" t="str">
        <f t="shared" si="505"/>
        <v/>
      </c>
      <c r="AH141" s="57" t="str">
        <f>IF(AH135="","",AH135-AG135)</f>
        <v/>
      </c>
      <c r="AI141" s="57" t="str">
        <f t="shared" si="506"/>
        <v/>
      </c>
      <c r="AJ141" s="57" t="str">
        <f t="shared" si="507"/>
        <v/>
      </c>
      <c r="AK141" s="57" t="str">
        <f t="shared" si="508"/>
        <v/>
      </c>
      <c r="AL141" s="57" t="str">
        <f>IF(AL135="","",AL135-AK135)</f>
        <v/>
      </c>
      <c r="AM141" s="57" t="str">
        <f t="shared" si="509"/>
        <v/>
      </c>
      <c r="AN141" s="57" t="str">
        <f t="shared" si="510"/>
        <v/>
      </c>
      <c r="AO141" s="57" t="str">
        <f>IF(AO135="","",AO135-AN135)</f>
        <v/>
      </c>
      <c r="AP141" s="57" t="str">
        <f t="shared" si="511"/>
        <v/>
      </c>
      <c r="AQ141" s="57" t="str">
        <f t="shared" si="512"/>
        <v/>
      </c>
      <c r="AR141" s="57" t="str">
        <f t="shared" si="513"/>
        <v/>
      </c>
      <c r="AS141" s="57" t="str">
        <f t="shared" si="514"/>
        <v/>
      </c>
      <c r="AT141" s="57" t="str">
        <f t="shared" si="515"/>
        <v/>
      </c>
      <c r="AU141" s="57" t="str">
        <f t="shared" si="516"/>
        <v/>
      </c>
      <c r="AV141" s="57" t="str">
        <f t="shared" si="517"/>
        <v/>
      </c>
      <c r="AW141" s="57" t="str">
        <f t="shared" si="518"/>
        <v/>
      </c>
      <c r="AX141" s="57" t="str">
        <f t="shared" si="519"/>
        <v/>
      </c>
    </row>
    <row r="142" spans="1:50" s="1" customFormat="1" x14ac:dyDescent="0.15">
      <c r="A142" s="7">
        <f>SUM(C142:AO142)</f>
        <v>0</v>
      </c>
      <c r="B142" s="58" t="s">
        <v>16</v>
      </c>
      <c r="C142" s="57"/>
      <c r="D142" s="57" t="s">
        <v>19</v>
      </c>
      <c r="E142" s="57" t="s">
        <v>19</v>
      </c>
      <c r="F142" s="57" t="s">
        <v>19</v>
      </c>
      <c r="G142" s="57" t="s">
        <v>19</v>
      </c>
      <c r="H142" s="57" t="s">
        <v>19</v>
      </c>
      <c r="I142" s="57" t="s">
        <v>19</v>
      </c>
      <c r="J142" s="57" t="s">
        <v>19</v>
      </c>
      <c r="K142" s="57" t="s">
        <v>19</v>
      </c>
      <c r="L142" s="57" t="s">
        <v>19</v>
      </c>
      <c r="M142" s="57" t="str">
        <f>IF(M137="","",#REF!*M137)</f>
        <v/>
      </c>
      <c r="N142" s="57" t="str">
        <f>IF(N137="","",#REF!*N137)</f>
        <v/>
      </c>
      <c r="O142" s="57" t="str">
        <f>IF(O137="","",#REF!*O137)</f>
        <v/>
      </c>
      <c r="P142" s="57" t="str">
        <f>IF(P137="","",#REF!*P137)</f>
        <v/>
      </c>
      <c r="Q142" s="57" t="str">
        <f>IF(Q137="","",#REF!*Q137)</f>
        <v/>
      </c>
      <c r="R142" s="57" t="str">
        <f>IF(R137="","",#REF!*R137)</f>
        <v/>
      </c>
      <c r="S142" s="57" t="str">
        <f>IF(S137="","",#REF!*S137)</f>
        <v/>
      </c>
      <c r="T142" s="57" t="str">
        <f>IF(T137="","",#REF!*T137)</f>
        <v/>
      </c>
      <c r="U142" s="57" t="str">
        <f>IF(U137="","",#REF!*U137)</f>
        <v/>
      </c>
      <c r="V142" s="57" t="str">
        <f>IF(V137="","",#REF!*V137)</f>
        <v/>
      </c>
      <c r="W142" s="57" t="str">
        <f>IF(W137="","",#REF!*W137)</f>
        <v/>
      </c>
      <c r="X142" s="57" t="str">
        <f>IF(X137="","",#REF!*X137)</f>
        <v/>
      </c>
      <c r="Y142" s="57" t="str">
        <f>IF(Y137="","",#REF!*Y137)</f>
        <v/>
      </c>
      <c r="Z142" s="57" t="str">
        <f>IF(Z137="","",#REF!*Z137)</f>
        <v/>
      </c>
      <c r="AA142" s="57" t="str">
        <f>IF(AA137="","",#REF!*AA137)</f>
        <v/>
      </c>
      <c r="AB142" s="57" t="str">
        <f>IF(AB137="","",#REF!*AB137)</f>
        <v/>
      </c>
      <c r="AC142" s="57" t="str">
        <f>IF(AC137="","",#REF!*AC137)</f>
        <v/>
      </c>
      <c r="AD142" s="57" t="str">
        <f>IF(AD137="","",#REF!*AD137)</f>
        <v/>
      </c>
      <c r="AE142" s="57" t="str">
        <f>IF(AE137="","",#REF!*AE137)</f>
        <v/>
      </c>
      <c r="AF142" s="57" t="str">
        <f>IF(AF137="","",#REF!*AF137)</f>
        <v/>
      </c>
      <c r="AG142" s="57" t="str">
        <f>IF(AG137="","",#REF!*AG137)</f>
        <v/>
      </c>
      <c r="AH142" s="57" t="str">
        <f>IF(AH137="","",#REF!*AH137)</f>
        <v/>
      </c>
      <c r="AI142" s="57" t="str">
        <f>IF(AI137="","",#REF!*AI137)</f>
        <v/>
      </c>
      <c r="AJ142" s="57" t="str">
        <f>IF(AJ137="","",#REF!*AJ137)</f>
        <v/>
      </c>
      <c r="AK142" s="57" t="str">
        <f>IF(AK137="","",#REF!*AK137)</f>
        <v/>
      </c>
      <c r="AL142" s="57" t="str">
        <f>IF(AL137="","",#REF!*AL137)</f>
        <v/>
      </c>
      <c r="AM142" s="57" t="str">
        <f>IF(AM137="","",#REF!*AM137)</f>
        <v/>
      </c>
      <c r="AN142" s="57" t="str">
        <f>IF(AN137="","",#REF!*AN137)</f>
        <v/>
      </c>
      <c r="AO142" s="57" t="str">
        <f>IF(AO137="","",#REF!*AO137)</f>
        <v/>
      </c>
      <c r="AP142" s="57" t="str">
        <f>IF(AP137="","",#REF!*AP137)</f>
        <v/>
      </c>
      <c r="AQ142" s="57" t="str">
        <f>IF(AQ137="","",#REF!*AQ137)</f>
        <v/>
      </c>
      <c r="AR142" s="57" t="str">
        <f>IF(AR137="","",#REF!*AR137)</f>
        <v/>
      </c>
      <c r="AS142" s="57" t="str">
        <f>IF(AS137="","",#REF!*AS137)</f>
        <v/>
      </c>
      <c r="AT142" s="57" t="str">
        <f>IF(AT137="","",#REF!*AT137)</f>
        <v/>
      </c>
      <c r="AU142" s="57" t="str">
        <f>IF(AU137="","",#REF!*AU137)</f>
        <v/>
      </c>
      <c r="AV142" s="57" t="str">
        <f>IF(AV137="","",#REF!*AV137)</f>
        <v/>
      </c>
      <c r="AW142" s="57" t="str">
        <f>IF(AW137="","",#REF!*AW137)</f>
        <v/>
      </c>
      <c r="AX142" s="57" t="str">
        <f>IF(AX137="","",#REF!*AX137)</f>
        <v/>
      </c>
    </row>
    <row r="143" spans="1:50" s="1" customFormat="1" ht="12" thickBot="1" x14ac:dyDescent="0.2">
      <c r="A143" s="4">
        <f>IF(A142="","",A142/(A140*100))</f>
        <v>0</v>
      </c>
      <c r="B143" s="56" t="s">
        <v>18</v>
      </c>
      <c r="C143" s="55"/>
      <c r="D143" s="55" t="s">
        <v>19</v>
      </c>
      <c r="E143" s="55" t="s">
        <v>19</v>
      </c>
      <c r="F143" s="55" t="s">
        <v>19</v>
      </c>
      <c r="G143" s="55" t="s">
        <v>19</v>
      </c>
      <c r="H143" s="55" t="s">
        <v>19</v>
      </c>
      <c r="I143" s="55" t="s">
        <v>19</v>
      </c>
      <c r="J143" s="55" t="s">
        <v>19</v>
      </c>
      <c r="K143" s="55" t="s">
        <v>19</v>
      </c>
      <c r="L143" s="55" t="s">
        <v>19</v>
      </c>
      <c r="M143" s="55" t="str">
        <f>IF(M142="","",M142/(M140*100))</f>
        <v/>
      </c>
      <c r="N143" s="55" t="str">
        <f>IF(N142="","",N142/(N140*100))</f>
        <v/>
      </c>
      <c r="O143" s="55" t="str">
        <f t="shared" ref="N143:AP143" si="520">IF(O142="","",O142/(O140*100))</f>
        <v/>
      </c>
      <c r="P143" s="55" t="str">
        <f t="shared" si="520"/>
        <v/>
      </c>
      <c r="Q143" s="55" t="str">
        <f t="shared" si="520"/>
        <v/>
      </c>
      <c r="R143" s="55" t="str">
        <f t="shared" si="520"/>
        <v/>
      </c>
      <c r="S143" s="55" t="str">
        <f t="shared" si="520"/>
        <v/>
      </c>
      <c r="T143" s="55" t="str">
        <f t="shared" si="520"/>
        <v/>
      </c>
      <c r="U143" s="55" t="str">
        <f t="shared" si="520"/>
        <v/>
      </c>
      <c r="V143" s="55" t="str">
        <f t="shared" si="520"/>
        <v/>
      </c>
      <c r="W143" s="55" t="str">
        <f>IF(W142="","",W142/(W140*100))</f>
        <v/>
      </c>
      <c r="X143" s="55" t="str">
        <f t="shared" si="520"/>
        <v/>
      </c>
      <c r="Y143" s="55" t="str">
        <f t="shared" si="520"/>
        <v/>
      </c>
      <c r="Z143" s="55" t="str">
        <f t="shared" si="520"/>
        <v/>
      </c>
      <c r="AA143" s="55" t="str">
        <f>IF(AA142="","",AA142/(AA140*100))</f>
        <v/>
      </c>
      <c r="AB143" s="55" t="str">
        <f t="shared" si="520"/>
        <v/>
      </c>
      <c r="AC143" s="55" t="str">
        <f t="shared" si="520"/>
        <v/>
      </c>
      <c r="AD143" s="55" t="str">
        <f t="shared" si="520"/>
        <v/>
      </c>
      <c r="AE143" s="55" t="str">
        <f t="shared" si="520"/>
        <v/>
      </c>
      <c r="AF143" s="55" t="str">
        <f t="shared" si="520"/>
        <v/>
      </c>
      <c r="AG143" s="55" t="str">
        <f t="shared" si="520"/>
        <v/>
      </c>
      <c r="AH143" s="55" t="str">
        <f>IF(AH142="","",AH142/(AH140*100))</f>
        <v/>
      </c>
      <c r="AI143" s="55" t="str">
        <f t="shared" si="520"/>
        <v/>
      </c>
      <c r="AJ143" s="55" t="str">
        <f t="shared" si="520"/>
        <v/>
      </c>
      <c r="AK143" s="55" t="str">
        <f t="shared" si="520"/>
        <v/>
      </c>
      <c r="AL143" s="55" t="str">
        <f t="shared" si="520"/>
        <v/>
      </c>
      <c r="AM143" s="55" t="str">
        <f t="shared" si="520"/>
        <v/>
      </c>
      <c r="AN143" s="55" t="str">
        <f t="shared" si="520"/>
        <v/>
      </c>
      <c r="AO143" s="55" t="str">
        <f t="shared" si="520"/>
        <v/>
      </c>
      <c r="AP143" s="55" t="str">
        <f t="shared" si="520"/>
        <v/>
      </c>
      <c r="AQ143" s="55" t="str">
        <f t="shared" ref="AQ143:AX143" si="521">IF(AQ142="","",AQ142/(AQ140*100))</f>
        <v/>
      </c>
      <c r="AR143" s="55" t="str">
        <f t="shared" si="521"/>
        <v/>
      </c>
      <c r="AS143" s="55" t="str">
        <f t="shared" si="521"/>
        <v/>
      </c>
      <c r="AT143" s="55" t="str">
        <f t="shared" si="521"/>
        <v/>
      </c>
      <c r="AU143" s="55" t="str">
        <f t="shared" si="521"/>
        <v/>
      </c>
      <c r="AV143" s="55" t="str">
        <f t="shared" si="521"/>
        <v/>
      </c>
      <c r="AW143" s="55" t="str">
        <f t="shared" si="521"/>
        <v/>
      </c>
      <c r="AX143" s="55" t="str">
        <f t="shared" si="521"/>
        <v/>
      </c>
    </row>
    <row r="144" spans="1:50" s="1" customFormat="1" x14ac:dyDescent="0.15">
      <c r="A144" s="40" t="s">
        <v>77</v>
      </c>
      <c r="B144" s="39" t="s">
        <v>123</v>
      </c>
      <c r="C144" s="38"/>
      <c r="D144" s="38">
        <v>5531</v>
      </c>
      <c r="E144" s="38">
        <v>5531</v>
      </c>
      <c r="F144" s="38">
        <v>5541</v>
      </c>
      <c r="G144" s="38">
        <v>5541</v>
      </c>
      <c r="H144" s="38">
        <v>5541</v>
      </c>
      <c r="I144" s="38">
        <v>5547</v>
      </c>
      <c r="J144" s="38">
        <v>5547</v>
      </c>
      <c r="K144" s="38">
        <v>5547</v>
      </c>
      <c r="L144" s="38">
        <v>5549</v>
      </c>
      <c r="M144" s="38">
        <v>5549</v>
      </c>
      <c r="N144" s="38">
        <v>5549</v>
      </c>
      <c r="O144" s="38">
        <v>5549</v>
      </c>
      <c r="P144" s="38">
        <v>5565</v>
      </c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</row>
    <row r="145" spans="1:50" s="1" customFormat="1" x14ac:dyDescent="0.15">
      <c r="A145" s="54" t="s">
        <v>131</v>
      </c>
      <c r="B145" s="30" t="s">
        <v>125</v>
      </c>
      <c r="C145" s="29"/>
      <c r="D145" s="29">
        <v>4188</v>
      </c>
      <c r="E145" s="29">
        <v>4188</v>
      </c>
      <c r="F145" s="29">
        <v>4193</v>
      </c>
      <c r="G145" s="29">
        <v>4193</v>
      </c>
      <c r="H145" s="29">
        <v>4193</v>
      </c>
      <c r="I145" s="29">
        <v>4196</v>
      </c>
      <c r="J145" s="29">
        <v>4196</v>
      </c>
      <c r="K145" s="29">
        <v>4196</v>
      </c>
      <c r="L145" s="29">
        <v>4197</v>
      </c>
      <c r="M145" s="29">
        <v>4197</v>
      </c>
      <c r="N145" s="29">
        <v>4197</v>
      </c>
      <c r="O145" s="29">
        <v>4197</v>
      </c>
      <c r="P145" s="29">
        <v>4205</v>
      </c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</row>
    <row r="146" spans="1:50" s="1" customFormat="1" x14ac:dyDescent="0.15">
      <c r="A146" s="36" t="s">
        <v>9</v>
      </c>
      <c r="B146" s="30" t="s">
        <v>7</v>
      </c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</row>
    <row r="147" spans="1:50" s="1" customFormat="1" x14ac:dyDescent="0.15">
      <c r="A147" s="28">
        <f>AVERAGE(C150:AO150)*30*1000</f>
        <v>78461.538461538468</v>
      </c>
      <c r="B147" s="30" t="s">
        <v>8</v>
      </c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</row>
    <row r="148" spans="1:50" s="11" customFormat="1" x14ac:dyDescent="0.15">
      <c r="A148" s="34"/>
      <c r="B148" s="33" t="s">
        <v>126</v>
      </c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</row>
    <row r="149" spans="1:50" s="1" customFormat="1" x14ac:dyDescent="0.15">
      <c r="A149" s="31"/>
      <c r="B149" s="30" t="s">
        <v>127</v>
      </c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</row>
    <row r="150" spans="1:50" s="1" customFormat="1" x14ac:dyDescent="0.15">
      <c r="A150" s="28">
        <f>SUM(C150:AO150)</f>
        <v>34</v>
      </c>
      <c r="B150" s="53" t="s">
        <v>128</v>
      </c>
      <c r="C150" s="52"/>
      <c r="D150" s="52">
        <v>0</v>
      </c>
      <c r="E150" s="52">
        <v>0</v>
      </c>
      <c r="F150" s="52">
        <v>10</v>
      </c>
      <c r="G150" s="52">
        <v>0</v>
      </c>
      <c r="H150" s="52">
        <v>0</v>
      </c>
      <c r="I150" s="52">
        <v>6</v>
      </c>
      <c r="J150" s="52">
        <v>0</v>
      </c>
      <c r="K150" s="52">
        <v>0</v>
      </c>
      <c r="L150" s="52">
        <v>2</v>
      </c>
      <c r="M150" s="52">
        <f t="shared" ref="M150:M151" si="522">IF(M144="","",M144-L144)</f>
        <v>0</v>
      </c>
      <c r="N150" s="52">
        <f t="shared" ref="N150:N151" si="523">IF(N144="","",N144-M144)</f>
        <v>0</v>
      </c>
      <c r="O150" s="52">
        <f t="shared" ref="O150:O151" si="524">IF(O144="","",O144-N144)</f>
        <v>0</v>
      </c>
      <c r="P150" s="52">
        <f t="shared" ref="P150:P151" si="525">IF(P144="","",P144-O144)</f>
        <v>16</v>
      </c>
      <c r="Q150" s="52" t="str">
        <f t="shared" ref="Q150:Q151" si="526">IF(Q144="","",Q144-P144)</f>
        <v/>
      </c>
      <c r="R150" s="52" t="str">
        <f t="shared" ref="R150:R151" si="527">IF(R144="","",R144-Q144)</f>
        <v/>
      </c>
      <c r="S150" s="52" t="str">
        <f t="shared" ref="S150:S151" si="528">IF(S144="","",S144-R144)</f>
        <v/>
      </c>
      <c r="T150" s="52" t="str">
        <f t="shared" ref="T150:T151" si="529">IF(T144="","",T144-S144)</f>
        <v/>
      </c>
      <c r="U150" s="52" t="str">
        <f>IF(U144="","",U144-T144)</f>
        <v/>
      </c>
      <c r="V150" s="52" t="str">
        <f>IF(V144="","",V144-U144)</f>
        <v/>
      </c>
      <c r="W150" s="52" t="str">
        <f>IF(W144="","",W144-V144)</f>
        <v/>
      </c>
      <c r="X150" s="52" t="str">
        <f>IF(X144="","",X144-W144)</f>
        <v/>
      </c>
      <c r="Y150" s="52" t="str">
        <f t="shared" ref="Y150:Y151" si="530">IF(Y144="","",Y144-X144)</f>
        <v/>
      </c>
      <c r="Z150" s="52" t="str">
        <f t="shared" ref="Z150:Z151" si="531">IF(Z144="","",Z144-Y144)</f>
        <v/>
      </c>
      <c r="AA150" s="52" t="str">
        <f t="shared" ref="AA150:AA151" si="532">IF(AA144="","",AA144-Z144)</f>
        <v/>
      </c>
      <c r="AB150" s="52" t="str">
        <f t="shared" ref="AB150:AB151" si="533">IF(AB144="","",AB144-AA144)</f>
        <v/>
      </c>
      <c r="AC150" s="52" t="str">
        <f t="shared" ref="AC150:AC151" si="534">IF(AC144="","",AC144-AB144)</f>
        <v/>
      </c>
      <c r="AD150" s="52" t="str">
        <f t="shared" ref="AD150:AD151" si="535">IF(AD144="","",AD144-AC144)</f>
        <v/>
      </c>
      <c r="AE150" s="52" t="str">
        <f t="shared" ref="AE150:AE151" si="536">IF(AE144="","",AE144-AD144)</f>
        <v/>
      </c>
      <c r="AF150" s="52" t="str">
        <f t="shared" ref="AF150:AF151" si="537">IF(AF144="","",AF144-AE144)</f>
        <v/>
      </c>
      <c r="AG150" s="52" t="str">
        <f t="shared" ref="AG150:AG151" si="538">IF(AG144="","",AG144-AF144)</f>
        <v/>
      </c>
      <c r="AH150" s="52" t="str">
        <f>IF(AH144="","",AH144-AG144)</f>
        <v/>
      </c>
      <c r="AI150" s="52" t="str">
        <f t="shared" ref="AI150:AI151" si="539">IF(AI144="","",AI144-AH144)</f>
        <v/>
      </c>
      <c r="AJ150" s="52" t="str">
        <f t="shared" ref="AJ150:AJ151" si="540">IF(AJ144="","",AJ144-AI144)</f>
        <v/>
      </c>
      <c r="AK150" s="52" t="str">
        <f t="shared" ref="AK150:AK151" si="541">IF(AK144="","",AK144-AJ144)</f>
        <v/>
      </c>
      <c r="AL150" s="52" t="str">
        <f t="shared" ref="AL150:AL151" si="542">IF(AL144="","",AL144-AK144)</f>
        <v/>
      </c>
      <c r="AM150" s="52" t="str">
        <f t="shared" ref="AM150:AM151" si="543">IF(AM144="","",AM144-AL144)</f>
        <v/>
      </c>
      <c r="AN150" s="52" t="str">
        <f t="shared" ref="AN150:AN151" si="544">IF(AN144="","",AN144-AM144)</f>
        <v/>
      </c>
      <c r="AO150" s="52" t="str">
        <f t="shared" ref="AO150:AO151" si="545">IF(AO144="","",AO144-AN144)</f>
        <v/>
      </c>
      <c r="AP150" s="52" t="str">
        <f t="shared" ref="AP150:AP151" si="546">IF(AP144="","",AP144-AO144)</f>
        <v/>
      </c>
      <c r="AQ150" s="52" t="str">
        <f t="shared" ref="AQ150:AQ151" si="547">IF(AQ144="","",AQ144-AP144)</f>
        <v/>
      </c>
      <c r="AR150" s="52" t="str">
        <f t="shared" ref="AR150:AR151" si="548">IF(AR144="","",AR144-AQ144)</f>
        <v/>
      </c>
      <c r="AS150" s="52" t="str">
        <f t="shared" ref="AS150:AS151" si="549">IF(AS144="","",AS144-AR144)</f>
        <v/>
      </c>
      <c r="AT150" s="52" t="str">
        <f t="shared" ref="AT150:AT151" si="550">IF(AT144="","",AT144-AS144)</f>
        <v/>
      </c>
      <c r="AU150" s="52" t="str">
        <f t="shared" ref="AU150:AU151" si="551">IF(AU144="","",AU144-AT144)</f>
        <v/>
      </c>
      <c r="AV150" s="52" t="str">
        <f t="shared" ref="AV150:AV151" si="552">IF(AV144="","",AV144-AU144)</f>
        <v/>
      </c>
      <c r="AW150" s="52" t="str">
        <f t="shared" ref="AW150:AW151" si="553">IF(AW144="","",AW144-AV144)</f>
        <v/>
      </c>
      <c r="AX150" s="52" t="str">
        <f t="shared" ref="AX150:AX151" si="554">IF(AX144="","",AX144-AW144)</f>
        <v/>
      </c>
    </row>
    <row r="151" spans="1:50" s="1" customFormat="1" x14ac:dyDescent="0.15">
      <c r="A151" s="28">
        <f>SUM(C151:AO151)</f>
        <v>17</v>
      </c>
      <c r="B151" s="53" t="s">
        <v>129</v>
      </c>
      <c r="C151" s="52"/>
      <c r="D151" s="52">
        <v>0</v>
      </c>
      <c r="E151" s="52">
        <v>0</v>
      </c>
      <c r="F151" s="52">
        <v>5</v>
      </c>
      <c r="G151" s="52">
        <v>0</v>
      </c>
      <c r="H151" s="52">
        <v>0</v>
      </c>
      <c r="I151" s="52">
        <v>3</v>
      </c>
      <c r="J151" s="52">
        <v>0</v>
      </c>
      <c r="K151" s="52">
        <v>0</v>
      </c>
      <c r="L151" s="52">
        <v>1</v>
      </c>
      <c r="M151" s="52">
        <f t="shared" si="522"/>
        <v>0</v>
      </c>
      <c r="N151" s="52">
        <f t="shared" si="523"/>
        <v>0</v>
      </c>
      <c r="O151" s="52">
        <f t="shared" si="524"/>
        <v>0</v>
      </c>
      <c r="P151" s="52">
        <f t="shared" si="525"/>
        <v>8</v>
      </c>
      <c r="Q151" s="52" t="str">
        <f t="shared" si="526"/>
        <v/>
      </c>
      <c r="R151" s="52" t="str">
        <f t="shared" si="527"/>
        <v/>
      </c>
      <c r="S151" s="52" t="str">
        <f t="shared" si="528"/>
        <v/>
      </c>
      <c r="T151" s="52" t="str">
        <f t="shared" si="529"/>
        <v/>
      </c>
      <c r="U151" s="52" t="str">
        <f>IF(U145="","",U145-T145)</f>
        <v/>
      </c>
      <c r="V151" s="52" t="str">
        <f>IF(V145="","",V145-U145)</f>
        <v/>
      </c>
      <c r="W151" s="52" t="str">
        <f>IF(W145="","",W145-V145)</f>
        <v/>
      </c>
      <c r="X151" s="52" t="str">
        <f>IF(X145="","",X145-W145)</f>
        <v/>
      </c>
      <c r="Y151" s="52" t="str">
        <f t="shared" si="530"/>
        <v/>
      </c>
      <c r="Z151" s="52" t="str">
        <f t="shared" si="531"/>
        <v/>
      </c>
      <c r="AA151" s="52" t="str">
        <f t="shared" si="532"/>
        <v/>
      </c>
      <c r="AB151" s="52" t="str">
        <f t="shared" si="533"/>
        <v/>
      </c>
      <c r="AC151" s="52" t="str">
        <f t="shared" si="534"/>
        <v/>
      </c>
      <c r="AD151" s="52" t="str">
        <f t="shared" si="535"/>
        <v/>
      </c>
      <c r="AE151" s="52" t="str">
        <f t="shared" si="536"/>
        <v/>
      </c>
      <c r="AF151" s="52" t="str">
        <f t="shared" si="537"/>
        <v/>
      </c>
      <c r="AG151" s="52" t="str">
        <f t="shared" si="538"/>
        <v/>
      </c>
      <c r="AH151" s="52" t="str">
        <f>IF(AH145="","",AH145-AG145)</f>
        <v/>
      </c>
      <c r="AI151" s="52" t="str">
        <f t="shared" si="539"/>
        <v/>
      </c>
      <c r="AJ151" s="52" t="str">
        <f t="shared" si="540"/>
        <v/>
      </c>
      <c r="AK151" s="52" t="str">
        <f t="shared" si="541"/>
        <v/>
      </c>
      <c r="AL151" s="52" t="str">
        <f t="shared" si="542"/>
        <v/>
      </c>
      <c r="AM151" s="52" t="str">
        <f t="shared" si="543"/>
        <v/>
      </c>
      <c r="AN151" s="52" t="str">
        <f t="shared" si="544"/>
        <v/>
      </c>
      <c r="AO151" s="52" t="str">
        <f t="shared" si="545"/>
        <v/>
      </c>
      <c r="AP151" s="52" t="str">
        <f t="shared" si="546"/>
        <v/>
      </c>
      <c r="AQ151" s="52" t="str">
        <f t="shared" si="547"/>
        <v/>
      </c>
      <c r="AR151" s="52" t="str">
        <f t="shared" si="548"/>
        <v/>
      </c>
      <c r="AS151" s="52" t="str">
        <f t="shared" si="549"/>
        <v/>
      </c>
      <c r="AT151" s="52" t="str">
        <f t="shared" si="550"/>
        <v/>
      </c>
      <c r="AU151" s="52" t="str">
        <f t="shared" si="551"/>
        <v/>
      </c>
      <c r="AV151" s="52" t="str">
        <f t="shared" si="552"/>
        <v/>
      </c>
      <c r="AW151" s="52" t="str">
        <f t="shared" si="553"/>
        <v/>
      </c>
      <c r="AX151" s="52" t="str">
        <f t="shared" si="554"/>
        <v/>
      </c>
    </row>
    <row r="152" spans="1:50" s="1" customFormat="1" x14ac:dyDescent="0.15">
      <c r="A152" s="28">
        <f>SUM(C152:AO152)</f>
        <v>0</v>
      </c>
      <c r="B152" s="53" t="s">
        <v>16</v>
      </c>
      <c r="C152" s="52"/>
      <c r="D152" s="52" t="s">
        <v>19</v>
      </c>
      <c r="E152" s="52" t="s">
        <v>19</v>
      </c>
      <c r="F152" s="52" t="s">
        <v>19</v>
      </c>
      <c r="G152" s="52" t="s">
        <v>19</v>
      </c>
      <c r="H152" s="52" t="s">
        <v>19</v>
      </c>
      <c r="I152" s="52" t="s">
        <v>19</v>
      </c>
      <c r="J152" s="52" t="s">
        <v>19</v>
      </c>
      <c r="K152" s="52" t="s">
        <v>19</v>
      </c>
      <c r="L152" s="52" t="s">
        <v>19</v>
      </c>
      <c r="M152" s="52" t="str">
        <f>IF(M147="","",#REF!*M147)</f>
        <v/>
      </c>
      <c r="N152" s="52" t="str">
        <f>IF(N147="","",#REF!*N147)</f>
        <v/>
      </c>
      <c r="O152" s="52" t="str">
        <f>IF(O147="","",#REF!*O147)</f>
        <v/>
      </c>
      <c r="P152" s="52" t="str">
        <f>IF(P147="","",#REF!*P147)</f>
        <v/>
      </c>
      <c r="Q152" s="52" t="str">
        <f>IF(Q147="","",#REF!*Q147)</f>
        <v/>
      </c>
      <c r="R152" s="52" t="str">
        <f>IF(R147="","",#REF!*R147)</f>
        <v/>
      </c>
      <c r="S152" s="52" t="str">
        <f>IF(S147="","",#REF!*S147)</f>
        <v/>
      </c>
      <c r="T152" s="52" t="str">
        <f>IF(T147="","",#REF!*T147)</f>
        <v/>
      </c>
      <c r="U152" s="52" t="str">
        <f>IF(U147="","",#REF!*U147)</f>
        <v/>
      </c>
      <c r="V152" s="52" t="str">
        <f>IF(V147="","",#REF!*V147)</f>
        <v/>
      </c>
      <c r="W152" s="52" t="str">
        <f>IF(W147="","",#REF!*W147)</f>
        <v/>
      </c>
      <c r="X152" s="52" t="str">
        <f>IF(X147="","",#REF!*X147)</f>
        <v/>
      </c>
      <c r="Y152" s="52" t="str">
        <f>IF(Y147="","",#REF!*Y147)</f>
        <v/>
      </c>
      <c r="Z152" s="52" t="str">
        <f>IF(Z147="","",#REF!*Z147)</f>
        <v/>
      </c>
      <c r="AA152" s="52" t="str">
        <f>IF(AA147="","",#REF!*AA147)</f>
        <v/>
      </c>
      <c r="AB152" s="52" t="str">
        <f>IF(AB147="","",#REF!*AB147)</f>
        <v/>
      </c>
      <c r="AC152" s="52" t="str">
        <f>IF(AC147="","",#REF!*AC147)</f>
        <v/>
      </c>
      <c r="AD152" s="52" t="str">
        <f>IF(AD147="","",#REF!*AD147)</f>
        <v/>
      </c>
      <c r="AE152" s="52" t="str">
        <f>IF(AE147="","",#REF!*AE147)</f>
        <v/>
      </c>
      <c r="AF152" s="52" t="str">
        <f>IF(AF147="","",#REF!*AF147)</f>
        <v/>
      </c>
      <c r="AG152" s="52" t="str">
        <f>IF(AG147="","",#REF!*AG147)</f>
        <v/>
      </c>
      <c r="AH152" s="52" t="str">
        <f>IF(AH147="","",#REF!*AH147)</f>
        <v/>
      </c>
      <c r="AI152" s="52" t="str">
        <f>IF(AI147="","",#REF!*AI147)</f>
        <v/>
      </c>
      <c r="AJ152" s="52" t="str">
        <f>IF(AJ147="","",#REF!*AJ147)</f>
        <v/>
      </c>
      <c r="AK152" s="52" t="str">
        <f>IF(AK147="","",#REF!*AK147)</f>
        <v/>
      </c>
      <c r="AL152" s="52" t="str">
        <f>IF(AL147="","",#REF!*AL147)</f>
        <v/>
      </c>
      <c r="AM152" s="52" t="str">
        <f>IF(AM147="","",#REF!*AM147)</f>
        <v/>
      </c>
      <c r="AN152" s="52" t="str">
        <f>IF(AN147="","",#REF!*AN147)</f>
        <v/>
      </c>
      <c r="AO152" s="52" t="str">
        <f>IF(AO147="","",#REF!*AO147)</f>
        <v/>
      </c>
      <c r="AP152" s="52" t="str">
        <f>IF(AP147="","",#REF!*AP147)</f>
        <v/>
      </c>
      <c r="AQ152" s="52" t="str">
        <f>IF(AQ147="","",#REF!*AQ147)</f>
        <v/>
      </c>
      <c r="AR152" s="52" t="str">
        <f>IF(AR147="","",#REF!*AR147)</f>
        <v/>
      </c>
      <c r="AS152" s="52" t="str">
        <f>IF(AS147="","",#REF!*AS147)</f>
        <v/>
      </c>
      <c r="AT152" s="52" t="str">
        <f>IF(AT147="","",#REF!*AT147)</f>
        <v/>
      </c>
      <c r="AU152" s="52" t="str">
        <f>IF(AU147="","",#REF!*AU147)</f>
        <v/>
      </c>
      <c r="AV152" s="52" t="str">
        <f>IF(AV147="","",#REF!*AV147)</f>
        <v/>
      </c>
      <c r="AW152" s="52" t="str">
        <f>IF(AW147="","",#REF!*AW147)</f>
        <v/>
      </c>
      <c r="AX152" s="52" t="str">
        <f>IF(AX147="","",#REF!*AX147)</f>
        <v/>
      </c>
    </row>
    <row r="153" spans="1:50" s="1" customFormat="1" ht="12" thickBot="1" x14ac:dyDescent="0.2">
      <c r="A153" s="25">
        <f>IF(A152="","",A152/(A150*100))</f>
        <v>0</v>
      </c>
      <c r="B153" s="51" t="s">
        <v>18</v>
      </c>
      <c r="C153" s="50"/>
      <c r="D153" s="50" t="s">
        <v>19</v>
      </c>
      <c r="E153" s="50" t="s">
        <v>19</v>
      </c>
      <c r="F153" s="50" t="s">
        <v>19</v>
      </c>
      <c r="G153" s="50" t="s">
        <v>19</v>
      </c>
      <c r="H153" s="50" t="s">
        <v>19</v>
      </c>
      <c r="I153" s="50" t="s">
        <v>19</v>
      </c>
      <c r="J153" s="50" t="s">
        <v>19</v>
      </c>
      <c r="K153" s="50" t="s">
        <v>19</v>
      </c>
      <c r="L153" s="50" t="s">
        <v>19</v>
      </c>
      <c r="M153" s="50" t="str">
        <f t="shared" ref="I153:M153" si="555">IF(M152="","",M152/(M150*100))</f>
        <v/>
      </c>
      <c r="N153" s="50" t="str">
        <f t="shared" ref="N153:AP153" si="556">IF(N152="","",N152/(N150*100))</f>
        <v/>
      </c>
      <c r="O153" s="50" t="str">
        <f t="shared" si="556"/>
        <v/>
      </c>
      <c r="P153" s="50" t="str">
        <f t="shared" si="556"/>
        <v/>
      </c>
      <c r="Q153" s="50" t="str">
        <f t="shared" si="556"/>
        <v/>
      </c>
      <c r="R153" s="50" t="str">
        <f t="shared" si="556"/>
        <v/>
      </c>
      <c r="S153" s="50" t="str">
        <f t="shared" si="556"/>
        <v/>
      </c>
      <c r="T153" s="50" t="str">
        <f t="shared" si="556"/>
        <v/>
      </c>
      <c r="U153" s="50" t="str">
        <f t="shared" si="556"/>
        <v/>
      </c>
      <c r="V153" s="50" t="str">
        <f t="shared" si="556"/>
        <v/>
      </c>
      <c r="W153" s="50" t="str">
        <f>IF(W152="","",W152/(W150*100))</f>
        <v/>
      </c>
      <c r="X153" s="50" t="str">
        <f t="shared" si="556"/>
        <v/>
      </c>
      <c r="Y153" s="50" t="str">
        <f t="shared" si="556"/>
        <v/>
      </c>
      <c r="Z153" s="50" t="str">
        <f t="shared" si="556"/>
        <v/>
      </c>
      <c r="AA153" s="50" t="str">
        <f t="shared" si="556"/>
        <v/>
      </c>
      <c r="AB153" s="50" t="str">
        <f t="shared" si="556"/>
        <v/>
      </c>
      <c r="AC153" s="50" t="str">
        <f t="shared" si="556"/>
        <v/>
      </c>
      <c r="AD153" s="50" t="str">
        <f t="shared" si="556"/>
        <v/>
      </c>
      <c r="AE153" s="50" t="str">
        <f t="shared" si="556"/>
        <v/>
      </c>
      <c r="AF153" s="50" t="str">
        <f t="shared" si="556"/>
        <v/>
      </c>
      <c r="AG153" s="50" t="str">
        <f t="shared" si="556"/>
        <v/>
      </c>
      <c r="AH153" s="50" t="str">
        <f>IF(AH152="","",AH152/(AH150*100))</f>
        <v/>
      </c>
      <c r="AI153" s="50" t="str">
        <f t="shared" si="556"/>
        <v/>
      </c>
      <c r="AJ153" s="50" t="str">
        <f t="shared" si="556"/>
        <v/>
      </c>
      <c r="AK153" s="50" t="str">
        <f t="shared" si="556"/>
        <v/>
      </c>
      <c r="AL153" s="50" t="str">
        <f t="shared" si="556"/>
        <v/>
      </c>
      <c r="AM153" s="50" t="str">
        <f t="shared" si="556"/>
        <v/>
      </c>
      <c r="AN153" s="50" t="str">
        <f t="shared" si="556"/>
        <v/>
      </c>
      <c r="AO153" s="50" t="str">
        <f t="shared" si="556"/>
        <v/>
      </c>
      <c r="AP153" s="50" t="str">
        <f t="shared" si="556"/>
        <v/>
      </c>
      <c r="AQ153" s="50" t="str">
        <f t="shared" ref="AQ153:AX153" si="557">IF(AQ152="","",AQ152/(AQ150*100))</f>
        <v/>
      </c>
      <c r="AR153" s="50" t="str">
        <f t="shared" si="557"/>
        <v/>
      </c>
      <c r="AS153" s="50" t="str">
        <f t="shared" si="557"/>
        <v/>
      </c>
      <c r="AT153" s="50" t="str">
        <f t="shared" si="557"/>
        <v/>
      </c>
      <c r="AU153" s="50" t="str">
        <f t="shared" si="557"/>
        <v/>
      </c>
      <c r="AV153" s="50" t="str">
        <f t="shared" si="557"/>
        <v/>
      </c>
      <c r="AW153" s="50" t="str">
        <f t="shared" si="557"/>
        <v/>
      </c>
      <c r="AX153" s="50" t="str">
        <f t="shared" si="557"/>
        <v/>
      </c>
    </row>
  </sheetData>
  <phoneticPr fontId="2"/>
  <pageMargins left="0.7" right="0.7" top="0.75" bottom="0.75" header="0.3" footer="0.3"/>
  <pageSetup paperSize="300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55"/>
  <sheetViews>
    <sheetView zoomScale="171" zoomScaleNormal="90" workbookViewId="0">
      <pane xSplit="2" ySplit="2" topLeftCell="AF18" activePane="bottomRight" state="frozen"/>
      <selection pane="bottomLeft" activeCell="A3" sqref="A3"/>
      <selection pane="topRight" activeCell="C1" sqref="C1"/>
      <selection pane="bottomRight" activeCell="AI28" sqref="AI28"/>
    </sheetView>
  </sheetViews>
  <sheetFormatPr defaultColWidth="14.390625" defaultRowHeight="15" customHeight="1" x14ac:dyDescent="0.2"/>
  <cols>
    <col min="1" max="1" width="9.14453125" style="104" customWidth="1"/>
    <col min="2" max="2" width="10.89453125" style="317" customWidth="1"/>
    <col min="3" max="3" width="8.47265625" style="74" bestFit="1" customWidth="1"/>
    <col min="4" max="4" width="9.01171875" style="74" customWidth="1"/>
    <col min="5" max="5" width="6.1875" style="74" bestFit="1" customWidth="1"/>
    <col min="6" max="6" width="13.31640625" style="74" customWidth="1"/>
    <col min="7" max="7" width="6.9921875" style="393" bestFit="1" customWidth="1"/>
    <col min="8" max="8" width="6.9921875" style="74" bestFit="1" customWidth="1"/>
    <col min="9" max="9" width="4.4375" style="74" bestFit="1" customWidth="1"/>
    <col min="10" max="10" width="7.93359375" style="281" bestFit="1" customWidth="1"/>
    <col min="11" max="11" width="7.93359375" style="74" customWidth="1"/>
    <col min="12" max="12" width="12.375" style="74" customWidth="1"/>
    <col min="13" max="13" width="12.77734375" style="74" customWidth="1"/>
    <col min="14" max="14" width="9.28125" style="105" customWidth="1"/>
    <col min="15" max="15" width="6.72265625" style="105" bestFit="1" customWidth="1"/>
    <col min="16" max="16" width="10.22265625" style="105" bestFit="1" customWidth="1"/>
    <col min="17" max="17" width="9.28125" style="105" customWidth="1"/>
    <col min="18" max="18" width="2.28515625" style="74" bestFit="1" customWidth="1"/>
    <col min="19" max="19" width="7.93359375" style="328" customWidth="1"/>
    <col min="20" max="20" width="7.80078125" style="322" bestFit="1" customWidth="1"/>
    <col min="21" max="21" width="4.4375" style="322" customWidth="1"/>
    <col min="22" max="22" width="2.95703125" style="322" bestFit="1" customWidth="1"/>
    <col min="23" max="24" width="2.95703125" style="323" bestFit="1" customWidth="1"/>
    <col min="25" max="27" width="3.2265625" style="323" bestFit="1" customWidth="1"/>
    <col min="28" max="31" width="3.2265625" style="322" bestFit="1" customWidth="1"/>
    <col min="32" max="32" width="3.2265625" style="325" bestFit="1" customWidth="1"/>
    <col min="33" max="33" width="2.95703125" style="325" customWidth="1"/>
    <col min="34" max="34" width="6.45703125" style="70" bestFit="1" customWidth="1"/>
    <col min="35" max="35" width="13.44921875" style="70" customWidth="1"/>
    <col min="36" max="36" width="11.43359375" style="319" customWidth="1"/>
    <col min="37" max="37" width="2.15234375" style="319" customWidth="1"/>
    <col min="38" max="16384" width="14.390625" style="70"/>
  </cols>
  <sheetData>
    <row r="1" spans="1:44" ht="14.25" x14ac:dyDescent="0.2">
      <c r="A1" s="318">
        <f>+鹿屋!A1+都城!A1+霧島!A1+宇宿!A1+川内!A1+中央!A1+天文館!A1</f>
        <v>6111451.3986013988</v>
      </c>
      <c r="B1" s="283" t="s">
        <v>141</v>
      </c>
      <c r="C1" s="75" t="s">
        <v>142</v>
      </c>
      <c r="D1" s="75" t="s">
        <v>143</v>
      </c>
      <c r="E1" s="75" t="s">
        <v>144</v>
      </c>
      <c r="F1" s="320">
        <f>+F2*100/A1</f>
        <v>0.44125361131353147</v>
      </c>
      <c r="G1" s="395" t="s">
        <v>361</v>
      </c>
      <c r="H1" s="262" t="s">
        <v>145</v>
      </c>
      <c r="I1" s="262" t="s">
        <v>146</v>
      </c>
      <c r="J1" s="263" t="s">
        <v>147</v>
      </c>
      <c r="K1" s="75"/>
      <c r="L1" s="75" t="s">
        <v>373</v>
      </c>
      <c r="M1" s="75"/>
      <c r="N1" s="108" t="s">
        <v>149</v>
      </c>
      <c r="O1" s="108"/>
      <c r="P1" s="108"/>
      <c r="Q1" s="108"/>
      <c r="R1" s="75"/>
      <c r="S1" s="321"/>
      <c r="U1" s="323">
        <v>46182</v>
      </c>
      <c r="V1" s="324">
        <f>U1+1</f>
        <v>46183</v>
      </c>
      <c r="W1" s="324">
        <f t="shared" ref="W1:AC1" si="0">V1+1</f>
        <v>46184</v>
      </c>
      <c r="X1" s="324">
        <f t="shared" si="0"/>
        <v>46185</v>
      </c>
      <c r="Y1" s="324">
        <f t="shared" si="0"/>
        <v>46186</v>
      </c>
      <c r="Z1" s="324">
        <f t="shared" si="0"/>
        <v>46187</v>
      </c>
      <c r="AA1" s="324">
        <f t="shared" si="0"/>
        <v>46188</v>
      </c>
      <c r="AB1" s="324">
        <f t="shared" si="0"/>
        <v>46189</v>
      </c>
      <c r="AC1" s="324">
        <f t="shared" si="0"/>
        <v>46190</v>
      </c>
      <c r="AD1" s="324">
        <f t="shared" ref="AD1:AF1" si="1">AC1+1</f>
        <v>46191</v>
      </c>
      <c r="AE1" s="324">
        <f t="shared" si="1"/>
        <v>46192</v>
      </c>
      <c r="AF1" s="324">
        <f t="shared" si="1"/>
        <v>46193</v>
      </c>
      <c r="AH1" s="70" t="s">
        <v>150</v>
      </c>
      <c r="AI1" s="71">
        <f>L2</f>
        <v>7970800</v>
      </c>
      <c r="AL1" s="70">
        <v>8336928.7997675091</v>
      </c>
      <c r="AM1" s="70" t="s">
        <v>141</v>
      </c>
      <c r="AN1" s="70" t="s">
        <v>148</v>
      </c>
      <c r="AP1" s="70">
        <v>9547196.1754643209</v>
      </c>
      <c r="AQ1" s="70" t="s">
        <v>141</v>
      </c>
      <c r="AR1" s="70" t="s">
        <v>148</v>
      </c>
    </row>
    <row r="2" spans="1:44" ht="14.25" x14ac:dyDescent="0.2">
      <c r="A2" s="283">
        <f>A1*28/30</f>
        <v>5704021.3053613054</v>
      </c>
      <c r="B2" s="283"/>
      <c r="C2" s="75"/>
      <c r="D2" s="75"/>
      <c r="E2" s="75"/>
      <c r="F2" s="75">
        <f>F3+F28+F38+F49+F76+F106+F135</f>
        <v>26967</v>
      </c>
      <c r="G2" s="392">
        <f>SUM(G3:G205)</f>
        <v>596</v>
      </c>
      <c r="H2" s="75">
        <f>SUM(H3:H205)</f>
        <v>1458</v>
      </c>
      <c r="I2" s="75">
        <f>SUM(I3:I205)</f>
        <v>69</v>
      </c>
      <c r="J2" s="264">
        <f>SUM(J3:J205)</f>
        <v>5183</v>
      </c>
      <c r="K2" s="75"/>
      <c r="L2" s="244">
        <f t="shared" ref="L2" si="2">H2*1000+I2*500+J2*100+G2*10000</f>
        <v>7970800</v>
      </c>
      <c r="M2" s="75"/>
      <c r="N2" s="108"/>
      <c r="O2" s="108"/>
      <c r="P2" s="108"/>
      <c r="Q2" s="108"/>
      <c r="R2" s="75"/>
      <c r="S2" s="321"/>
      <c r="U2" s="322" t="s">
        <v>151</v>
      </c>
      <c r="V2" s="326">
        <f>V1</f>
        <v>46183</v>
      </c>
      <c r="W2" s="326">
        <f>W1</f>
        <v>46184</v>
      </c>
      <c r="X2" s="326">
        <f>X1</f>
        <v>46185</v>
      </c>
      <c r="Y2" s="326">
        <f t="shared" ref="Y2:AC2" si="3">Y1</f>
        <v>46186</v>
      </c>
      <c r="Z2" s="326">
        <f t="shared" si="3"/>
        <v>46187</v>
      </c>
      <c r="AA2" s="326">
        <f t="shared" si="3"/>
        <v>46188</v>
      </c>
      <c r="AB2" s="326">
        <f t="shared" si="3"/>
        <v>46189</v>
      </c>
      <c r="AC2" s="326">
        <f t="shared" si="3"/>
        <v>46190</v>
      </c>
      <c r="AD2" s="326">
        <f t="shared" ref="AD2:AF2" si="4">AD1</f>
        <v>46191</v>
      </c>
      <c r="AE2" s="326">
        <f t="shared" si="4"/>
        <v>46192</v>
      </c>
      <c r="AF2" s="326">
        <f t="shared" si="4"/>
        <v>46193</v>
      </c>
      <c r="AH2" s="70" t="s">
        <v>152</v>
      </c>
      <c r="AI2" s="71" t="e">
        <f>+#REF!+#REF!+#REF!+#REF!</f>
        <v>#REF!</v>
      </c>
      <c r="AM2" s="70">
        <v>70600794</v>
      </c>
      <c r="AN2" s="70">
        <v>17200</v>
      </c>
      <c r="AP2" s="70" t="s">
        <v>182</v>
      </c>
      <c r="AQ2" s="70">
        <v>0</v>
      </c>
      <c r="AR2" s="70">
        <v>68900</v>
      </c>
    </row>
    <row r="3" spans="1:44" thickBot="1" x14ac:dyDescent="0.25">
      <c r="A3" s="139" t="s">
        <v>172</v>
      </c>
      <c r="B3" s="294" t="s">
        <v>259</v>
      </c>
      <c r="C3" s="78"/>
      <c r="D3" s="78"/>
      <c r="E3" s="78"/>
      <c r="F3" s="78">
        <f>SUM(F4:F26)</f>
        <v>4034</v>
      </c>
      <c r="G3" s="394"/>
      <c r="H3" s="78"/>
      <c r="I3" s="78"/>
      <c r="J3" s="273"/>
      <c r="K3" s="78"/>
      <c r="L3" s="78">
        <f t="shared" ref="L3:L20" si="5">H3*1000+I3*500+J3*100+G3*10000</f>
        <v>0</v>
      </c>
      <c r="M3" s="78"/>
      <c r="N3" s="78"/>
      <c r="O3" s="78"/>
      <c r="P3" s="78"/>
      <c r="Q3" s="78"/>
      <c r="R3" s="78"/>
      <c r="S3" s="321" t="s">
        <v>155</v>
      </c>
      <c r="T3" s="327" t="s">
        <v>156</v>
      </c>
      <c r="U3" s="328" t="s">
        <v>157</v>
      </c>
      <c r="V3" s="328"/>
      <c r="W3" s="328"/>
      <c r="X3" s="420"/>
      <c r="Y3" s="420"/>
      <c r="Z3" s="420"/>
      <c r="AA3" s="420"/>
      <c r="AB3" s="322">
        <v>15</v>
      </c>
      <c r="AD3" s="328"/>
      <c r="AE3" s="328"/>
      <c r="AF3" s="328"/>
      <c r="AH3" s="77" t="s">
        <v>158</v>
      </c>
      <c r="AJ3" s="319">
        <f>AI3*10000</f>
        <v>0</v>
      </c>
      <c r="AL3" s="70" t="s">
        <v>159</v>
      </c>
      <c r="AM3" s="70">
        <v>70600816</v>
      </c>
      <c r="AN3" s="70">
        <v>20300</v>
      </c>
      <c r="AQ3" s="70">
        <v>70600794</v>
      </c>
      <c r="AR3" s="70">
        <v>9500</v>
      </c>
    </row>
    <row r="4" spans="1:44" ht="14.25" x14ac:dyDescent="0.2">
      <c r="A4" s="140" t="s">
        <v>132</v>
      </c>
      <c r="B4" s="284"/>
      <c r="C4" s="141">
        <f>MIN(ガチャ!144:144)</f>
        <v>5531</v>
      </c>
      <c r="D4" s="141">
        <f>MAX(ガチャ!144:144)</f>
        <v>5565</v>
      </c>
      <c r="E4" s="141">
        <f t="shared" ref="E4:E26" si="6">D4-C4</f>
        <v>34</v>
      </c>
      <c r="F4" s="218">
        <f>E4*10</f>
        <v>340</v>
      </c>
      <c r="G4" s="404"/>
      <c r="H4" s="240">
        <v>63</v>
      </c>
      <c r="I4" s="141"/>
      <c r="J4" s="272"/>
      <c r="K4" s="262"/>
      <c r="L4" s="240">
        <f t="shared" si="5"/>
        <v>63000</v>
      </c>
      <c r="M4" s="141">
        <f>L4-F4*100</f>
        <v>29000</v>
      </c>
      <c r="N4" s="168"/>
      <c r="O4" s="162"/>
      <c r="P4" s="162"/>
      <c r="Q4" s="162"/>
      <c r="R4" s="146"/>
      <c r="S4" s="321" t="s">
        <v>112</v>
      </c>
      <c r="T4" s="329" t="s">
        <v>160</v>
      </c>
      <c r="W4" s="322"/>
      <c r="X4" s="420"/>
      <c r="Y4" s="420"/>
      <c r="Z4" s="420"/>
      <c r="AA4" s="420"/>
      <c r="AB4" s="322">
        <v>13</v>
      </c>
      <c r="AF4" s="322"/>
      <c r="AH4" s="77" t="s">
        <v>161</v>
      </c>
      <c r="AJ4" s="319">
        <f>AI4*5000</f>
        <v>0</v>
      </c>
      <c r="AM4" s="70">
        <v>70600817</v>
      </c>
      <c r="AN4" s="70">
        <v>20100</v>
      </c>
      <c r="AP4" s="70" t="s">
        <v>159</v>
      </c>
      <c r="AQ4" s="70">
        <v>70600816</v>
      </c>
      <c r="AR4" s="70">
        <v>27800</v>
      </c>
    </row>
    <row r="5" spans="1:44" ht="14.25" x14ac:dyDescent="0.2">
      <c r="A5" s="131" t="s">
        <v>168</v>
      </c>
      <c r="B5" s="285" t="s">
        <v>230</v>
      </c>
      <c r="C5" s="110">
        <f>MIN(宇宿!8:8)</f>
        <v>17345</v>
      </c>
      <c r="D5" s="110">
        <f>MAX(宇宿!8:8)</f>
        <v>17446</v>
      </c>
      <c r="E5" s="110">
        <f t="shared" si="6"/>
        <v>101</v>
      </c>
      <c r="F5" s="219">
        <f>SUM(E5:E8)</f>
        <v>453</v>
      </c>
      <c r="G5" s="397">
        <v>16</v>
      </c>
      <c r="H5" s="241">
        <v>5</v>
      </c>
      <c r="I5" s="110"/>
      <c r="J5" s="266">
        <v>8</v>
      </c>
      <c r="K5" s="368"/>
      <c r="L5" s="241">
        <f t="shared" si="5"/>
        <v>165800</v>
      </c>
      <c r="M5" s="110">
        <f>L5-F5*100</f>
        <v>120500</v>
      </c>
      <c r="N5" s="132"/>
      <c r="O5" s="122"/>
      <c r="P5" s="114"/>
      <c r="Q5" s="114"/>
      <c r="R5" s="148"/>
      <c r="S5" s="321" t="s">
        <v>114</v>
      </c>
      <c r="T5" s="327" t="s">
        <v>162</v>
      </c>
      <c r="U5" s="328" t="s">
        <v>163</v>
      </c>
      <c r="V5" s="330"/>
      <c r="W5" s="331"/>
      <c r="X5" s="420"/>
      <c r="Y5" s="420"/>
      <c r="Z5" s="420"/>
      <c r="AA5" s="420"/>
      <c r="AB5" s="322">
        <v>11</v>
      </c>
      <c r="AD5" s="328"/>
      <c r="AE5" s="328"/>
      <c r="AF5" s="328"/>
      <c r="AH5" s="77" t="s">
        <v>164</v>
      </c>
      <c r="AJ5" s="319">
        <f>AI5*1000</f>
        <v>0</v>
      </c>
      <c r="AM5" s="70">
        <v>70600817</v>
      </c>
      <c r="AN5" s="70">
        <v>0</v>
      </c>
      <c r="AQ5" s="70">
        <v>70600817</v>
      </c>
      <c r="AR5" s="70">
        <v>28100</v>
      </c>
    </row>
    <row r="6" spans="1:44" ht="14.25" x14ac:dyDescent="0.2">
      <c r="A6" s="112"/>
      <c r="B6" s="286"/>
      <c r="C6" s="113">
        <f>MIN(宇宿!20:20)</f>
        <v>19113</v>
      </c>
      <c r="D6" s="113">
        <f>MAX(宇宿!20:20)</f>
        <v>19210</v>
      </c>
      <c r="E6" s="113">
        <f t="shared" si="6"/>
        <v>97</v>
      </c>
      <c r="F6" s="220"/>
      <c r="G6" s="398"/>
      <c r="H6" s="121"/>
      <c r="I6" s="113"/>
      <c r="J6" s="148"/>
      <c r="K6" s="369"/>
      <c r="L6" s="242">
        <f t="shared" si="5"/>
        <v>0</v>
      </c>
      <c r="M6" s="113"/>
      <c r="N6" s="133"/>
      <c r="O6" s="122"/>
      <c r="P6" s="114"/>
      <c r="Q6" s="114"/>
      <c r="R6" s="148"/>
      <c r="S6" s="321" t="s">
        <v>113</v>
      </c>
      <c r="T6" s="327" t="s">
        <v>165</v>
      </c>
      <c r="U6" s="328"/>
      <c r="V6" s="330"/>
      <c r="W6" s="331"/>
      <c r="X6" s="420"/>
      <c r="Y6" s="421"/>
      <c r="Z6" s="421"/>
      <c r="AA6" s="420"/>
      <c r="AB6" s="322">
        <v>10</v>
      </c>
      <c r="AF6" s="328"/>
      <c r="AH6" s="77">
        <v>500</v>
      </c>
      <c r="AJ6" s="319">
        <f>AI6*500</f>
        <v>0</v>
      </c>
      <c r="AL6" s="70" t="s">
        <v>159</v>
      </c>
      <c r="AM6" s="70">
        <v>70600826</v>
      </c>
      <c r="AN6" s="70">
        <v>16300</v>
      </c>
      <c r="AQ6" s="70">
        <v>70600817</v>
      </c>
      <c r="AR6" s="70">
        <v>0</v>
      </c>
    </row>
    <row r="7" spans="1:44" thickBot="1" x14ac:dyDescent="0.25">
      <c r="A7" s="112"/>
      <c r="B7" s="286"/>
      <c r="C7" s="113">
        <f>MIN(宇宿!32:32)</f>
        <v>14323</v>
      </c>
      <c r="D7" s="113">
        <f>MAX(宇宿!32:32)</f>
        <v>14432</v>
      </c>
      <c r="E7" s="113">
        <f t="shared" si="6"/>
        <v>109</v>
      </c>
      <c r="F7" s="220"/>
      <c r="G7" s="398"/>
      <c r="H7" s="121"/>
      <c r="I7" s="113"/>
      <c r="J7" s="148"/>
      <c r="K7" s="369"/>
      <c r="L7" s="121">
        <f t="shared" si="5"/>
        <v>0</v>
      </c>
      <c r="M7" s="113"/>
      <c r="N7" s="133"/>
      <c r="O7" s="122"/>
      <c r="P7" s="114"/>
      <c r="Q7" s="114"/>
      <c r="R7" s="148"/>
      <c r="S7" s="332" t="s">
        <v>166</v>
      </c>
      <c r="T7" s="333" t="s">
        <v>167</v>
      </c>
      <c r="U7" s="334" t="s">
        <v>157</v>
      </c>
      <c r="V7" s="335"/>
      <c r="W7" s="335"/>
      <c r="X7" s="422"/>
      <c r="Y7" s="422"/>
      <c r="Z7" s="422"/>
      <c r="AA7" s="422"/>
      <c r="AB7" s="335"/>
      <c r="AC7" s="335">
        <v>14</v>
      </c>
      <c r="AD7" s="335"/>
      <c r="AE7" s="335"/>
      <c r="AF7" s="335"/>
      <c r="AH7" s="77">
        <v>100</v>
      </c>
      <c r="AJ7" s="319">
        <f>AI7*100</f>
        <v>0</v>
      </c>
      <c r="AL7" s="70" t="s">
        <v>159</v>
      </c>
      <c r="AM7" s="70">
        <v>70600827</v>
      </c>
      <c r="AN7" s="70">
        <v>39500</v>
      </c>
      <c r="AP7" s="70" t="s">
        <v>159</v>
      </c>
      <c r="AQ7" s="70">
        <v>70600826</v>
      </c>
      <c r="AR7" s="70">
        <v>13800</v>
      </c>
    </row>
    <row r="8" spans="1:44" thickTop="1" x14ac:dyDescent="0.2">
      <c r="A8" s="117"/>
      <c r="B8" s="287"/>
      <c r="C8" s="118">
        <f>MIN(宇宿!44:44)</f>
        <v>19831</v>
      </c>
      <c r="D8" s="118">
        <f>MAX(宇宿!44:44)</f>
        <v>19977</v>
      </c>
      <c r="E8" s="118">
        <f t="shared" si="6"/>
        <v>146</v>
      </c>
      <c r="F8" s="221"/>
      <c r="G8" s="399"/>
      <c r="H8" s="243"/>
      <c r="I8" s="118"/>
      <c r="J8" s="267"/>
      <c r="K8" s="370"/>
      <c r="L8" s="243">
        <f t="shared" si="5"/>
        <v>0</v>
      </c>
      <c r="M8" s="118"/>
      <c r="N8" s="134"/>
      <c r="O8" s="122"/>
      <c r="P8" s="114"/>
      <c r="Q8" s="114"/>
      <c r="R8" s="148"/>
      <c r="S8" s="321" t="s">
        <v>96</v>
      </c>
      <c r="T8" s="328" t="s">
        <v>170</v>
      </c>
      <c r="U8" s="328"/>
      <c r="V8" s="328"/>
      <c r="W8" s="328"/>
      <c r="X8" s="423"/>
      <c r="Y8" s="420"/>
      <c r="Z8" s="420"/>
      <c r="AA8" s="420"/>
      <c r="AB8" s="328"/>
      <c r="AC8" s="328"/>
      <c r="AD8" s="322">
        <v>15</v>
      </c>
      <c r="AE8" s="328"/>
      <c r="AF8" s="328"/>
      <c r="AJ8" s="319">
        <f>SUM(AJ3:AJ7)</f>
        <v>0</v>
      </c>
      <c r="AM8" s="70">
        <v>70600827</v>
      </c>
      <c r="AN8" s="70">
        <v>0</v>
      </c>
      <c r="AP8" s="70" t="s">
        <v>159</v>
      </c>
      <c r="AQ8" s="70">
        <v>70600827</v>
      </c>
      <c r="AR8" s="70">
        <v>16900</v>
      </c>
    </row>
    <row r="9" spans="1:44" ht="14.25" x14ac:dyDescent="0.2">
      <c r="A9" s="126" t="s">
        <v>231</v>
      </c>
      <c r="B9" s="289" t="s">
        <v>232</v>
      </c>
      <c r="C9" s="127">
        <f>MIN(宇宿!56:56)</f>
        <v>14753</v>
      </c>
      <c r="D9" s="127">
        <f>MAX(宇宿!56:56)</f>
        <v>14850</v>
      </c>
      <c r="E9" s="127">
        <f t="shared" si="6"/>
        <v>97</v>
      </c>
      <c r="F9" s="222">
        <f>SUM(E9:E12)</f>
        <v>622</v>
      </c>
      <c r="G9" s="401">
        <v>11</v>
      </c>
      <c r="H9" s="244">
        <v>1</v>
      </c>
      <c r="I9" s="127"/>
      <c r="J9" s="268">
        <v>5</v>
      </c>
      <c r="K9" s="372"/>
      <c r="L9" s="244">
        <f t="shared" si="5"/>
        <v>111500</v>
      </c>
      <c r="M9" s="127">
        <f>L9-F9*100</f>
        <v>49300</v>
      </c>
      <c r="N9" s="137"/>
      <c r="O9" s="122"/>
      <c r="P9" s="114"/>
      <c r="Q9" s="114"/>
      <c r="R9" s="148"/>
      <c r="S9" s="321" t="s">
        <v>171</v>
      </c>
      <c r="T9" s="328"/>
      <c r="U9" s="328"/>
      <c r="V9" s="328"/>
      <c r="W9" s="328"/>
      <c r="X9" s="423"/>
      <c r="Y9" s="420"/>
      <c r="Z9" s="420"/>
      <c r="AA9" s="420"/>
      <c r="AB9" s="328"/>
      <c r="AC9" s="328"/>
      <c r="AD9" s="322">
        <v>14</v>
      </c>
      <c r="AE9" s="328"/>
      <c r="AF9" s="328"/>
      <c r="AJ9" s="319" t="e">
        <f>+AJ8-AI2</f>
        <v>#REF!</v>
      </c>
      <c r="AM9" s="70">
        <v>70600845</v>
      </c>
      <c r="AN9" s="70">
        <v>16700</v>
      </c>
      <c r="AQ9" s="70">
        <v>70600827</v>
      </c>
      <c r="AR9" s="70">
        <v>0</v>
      </c>
    </row>
    <row r="10" spans="1:44" ht="14.25" x14ac:dyDescent="0.2">
      <c r="A10" s="112"/>
      <c r="B10" s="286"/>
      <c r="C10" s="113">
        <f>MIN(宇宿!68:68)</f>
        <v>17201</v>
      </c>
      <c r="D10" s="113">
        <f>MAX(宇宿!68:68)</f>
        <v>17386</v>
      </c>
      <c r="E10" s="113">
        <f t="shared" si="6"/>
        <v>185</v>
      </c>
      <c r="F10" s="220"/>
      <c r="G10" s="398"/>
      <c r="H10" s="121"/>
      <c r="I10" s="113"/>
      <c r="J10" s="148"/>
      <c r="K10" s="369"/>
      <c r="L10" s="242">
        <f t="shared" si="5"/>
        <v>0</v>
      </c>
      <c r="M10" s="113"/>
      <c r="N10" s="133"/>
      <c r="O10" s="122"/>
      <c r="P10" s="114"/>
      <c r="Q10" s="114"/>
      <c r="R10" s="148"/>
      <c r="S10" s="321" t="s">
        <v>172</v>
      </c>
      <c r="T10" s="322" t="s">
        <v>173</v>
      </c>
      <c r="U10" s="322" t="s">
        <v>174</v>
      </c>
      <c r="W10" s="322"/>
      <c r="X10" s="420"/>
      <c r="Y10" s="420"/>
      <c r="Z10" s="420"/>
      <c r="AA10" s="420"/>
      <c r="AC10" s="322">
        <v>10</v>
      </c>
      <c r="AF10" s="322"/>
      <c r="AM10" s="70">
        <v>70600982</v>
      </c>
      <c r="AN10" s="70">
        <v>11300</v>
      </c>
      <c r="AQ10" s="70">
        <v>70600982</v>
      </c>
      <c r="AR10" s="70">
        <v>30000</v>
      </c>
    </row>
    <row r="11" spans="1:44" thickBot="1" x14ac:dyDescent="0.25">
      <c r="A11" s="112"/>
      <c r="B11" s="286"/>
      <c r="C11" s="113">
        <f>+MIN(宇宿!80:80)</f>
        <v>19699</v>
      </c>
      <c r="D11" s="113">
        <f>+MAX(宇宿!80:80)</f>
        <v>19904</v>
      </c>
      <c r="E11" s="113">
        <f t="shared" si="6"/>
        <v>205</v>
      </c>
      <c r="F11" s="220"/>
      <c r="G11" s="398"/>
      <c r="H11" s="121"/>
      <c r="I11" s="113"/>
      <c r="J11" s="148"/>
      <c r="K11" s="369"/>
      <c r="L11" s="121">
        <f t="shared" si="5"/>
        <v>0</v>
      </c>
      <c r="M11" s="113"/>
      <c r="N11" s="133"/>
      <c r="O11" s="122"/>
      <c r="P11" s="114"/>
      <c r="Q11" s="114"/>
      <c r="R11" s="148"/>
      <c r="S11" s="336" t="s">
        <v>59</v>
      </c>
      <c r="T11" s="334" t="s">
        <v>175</v>
      </c>
      <c r="U11" s="334" t="s">
        <v>157</v>
      </c>
      <c r="V11" s="334"/>
      <c r="W11" s="334"/>
      <c r="X11" s="424"/>
      <c r="Y11" s="424"/>
      <c r="Z11" s="424"/>
      <c r="AA11" s="424"/>
      <c r="AB11" s="334"/>
      <c r="AC11" s="334"/>
      <c r="AD11" s="334">
        <v>10</v>
      </c>
      <c r="AE11" s="334"/>
      <c r="AF11" s="334"/>
      <c r="AG11" s="321"/>
      <c r="AH11" s="70" t="s">
        <v>176</v>
      </c>
      <c r="AI11" s="71" t="e">
        <f>+AI1-AI2</f>
        <v>#REF!</v>
      </c>
      <c r="AL11" s="70" t="s">
        <v>159</v>
      </c>
      <c r="AM11" s="70">
        <v>70600983</v>
      </c>
      <c r="AN11" s="70">
        <v>33600</v>
      </c>
      <c r="AP11" s="70" t="s">
        <v>159</v>
      </c>
      <c r="AQ11" s="70">
        <v>70600983</v>
      </c>
      <c r="AR11" s="70">
        <v>22800</v>
      </c>
    </row>
    <row r="12" spans="1:44" thickBot="1" x14ac:dyDescent="0.25">
      <c r="A12" s="123"/>
      <c r="B12" s="290"/>
      <c r="C12" s="124">
        <f>MIN(宇宿!92:92)</f>
        <v>16102</v>
      </c>
      <c r="D12" s="124">
        <f>MAX(宇宿!92:92)</f>
        <v>16237</v>
      </c>
      <c r="E12" s="124">
        <f t="shared" si="6"/>
        <v>135</v>
      </c>
      <c r="F12" s="223"/>
      <c r="G12" s="402"/>
      <c r="H12" s="250"/>
      <c r="I12" s="124"/>
      <c r="J12" s="269"/>
      <c r="K12" s="373"/>
      <c r="L12" s="250">
        <f t="shared" si="5"/>
        <v>0</v>
      </c>
      <c r="M12" s="124"/>
      <c r="N12" s="138"/>
      <c r="O12" s="122"/>
      <c r="P12" s="114"/>
      <c r="Q12" s="114"/>
      <c r="R12" s="148"/>
      <c r="S12" s="337" t="s">
        <v>1</v>
      </c>
      <c r="T12" s="338" t="s">
        <v>178</v>
      </c>
      <c r="U12" s="339" t="s">
        <v>174</v>
      </c>
      <c r="V12" s="338"/>
      <c r="W12" s="338"/>
      <c r="X12" s="425"/>
      <c r="Y12" s="425"/>
      <c r="Z12" s="425"/>
      <c r="AA12" s="425"/>
      <c r="AB12" s="338"/>
      <c r="AC12" s="338"/>
      <c r="AD12" s="338"/>
      <c r="AE12" s="338">
        <v>10</v>
      </c>
      <c r="AF12" s="338"/>
      <c r="AH12" s="77" t="s">
        <v>158</v>
      </c>
      <c r="AJ12" s="319">
        <f>AI12*10000</f>
        <v>0</v>
      </c>
      <c r="AM12" s="70">
        <v>71201012</v>
      </c>
      <c r="AN12" s="70">
        <v>24900</v>
      </c>
      <c r="AQ12" s="70">
        <v>71201012</v>
      </c>
      <c r="AR12" s="70">
        <v>26500</v>
      </c>
    </row>
    <row r="13" spans="1:44" thickBot="1" x14ac:dyDescent="0.25">
      <c r="A13" s="109" t="s">
        <v>224</v>
      </c>
      <c r="B13" s="295" t="s">
        <v>226</v>
      </c>
      <c r="C13" s="110">
        <f>MIN(宇宿!152:152)</f>
        <v>14856</v>
      </c>
      <c r="D13" s="110">
        <f>MAX(宇宿!152:152)</f>
        <v>14975</v>
      </c>
      <c r="E13" s="110">
        <f t="shared" si="6"/>
        <v>119</v>
      </c>
      <c r="F13" s="219">
        <f>SUM(E13)</f>
        <v>119</v>
      </c>
      <c r="G13" s="397"/>
      <c r="H13" s="241">
        <v>49</v>
      </c>
      <c r="I13" s="110">
        <v>1</v>
      </c>
      <c r="J13" s="266">
        <v>4</v>
      </c>
      <c r="K13" s="368"/>
      <c r="L13" s="241">
        <f t="shared" si="5"/>
        <v>49900</v>
      </c>
      <c r="M13" s="110">
        <f>L13-F13*100</f>
        <v>38000</v>
      </c>
      <c r="N13" s="132"/>
      <c r="O13" s="122"/>
      <c r="P13" s="114"/>
      <c r="Q13" s="114"/>
      <c r="R13" s="148"/>
      <c r="S13" s="340" t="s">
        <v>180</v>
      </c>
      <c r="T13" s="339" t="s">
        <v>181</v>
      </c>
      <c r="U13" s="339" t="s">
        <v>174</v>
      </c>
      <c r="V13" s="339"/>
      <c r="W13" s="339"/>
      <c r="X13" s="426"/>
      <c r="Y13" s="426"/>
      <c r="Z13" s="426"/>
      <c r="AA13" s="426"/>
      <c r="AB13" s="339"/>
      <c r="AC13" s="339"/>
      <c r="AD13" s="339"/>
      <c r="AE13" s="339">
        <v>14</v>
      </c>
      <c r="AF13" s="339"/>
      <c r="AH13" s="77" t="s">
        <v>161</v>
      </c>
      <c r="AJ13" s="319">
        <f>AI13*5000</f>
        <v>0</v>
      </c>
      <c r="AL13" s="70" t="s">
        <v>179</v>
      </c>
      <c r="AM13" s="70">
        <v>71261231</v>
      </c>
      <c r="AN13" s="70">
        <v>29000</v>
      </c>
      <c r="AP13" s="70" t="s">
        <v>179</v>
      </c>
      <c r="AQ13" s="70">
        <v>71261231</v>
      </c>
      <c r="AR13" s="70">
        <v>25300</v>
      </c>
    </row>
    <row r="14" spans="1:44" thickTop="1" x14ac:dyDescent="0.2">
      <c r="A14" s="126" t="s">
        <v>272</v>
      </c>
      <c r="B14" s="289" t="s">
        <v>255</v>
      </c>
      <c r="C14" s="127">
        <f>MIN(宇宿!104:104)</f>
        <v>5268</v>
      </c>
      <c r="D14" s="127">
        <f>MAX(宇宿!104:104)</f>
        <v>5346</v>
      </c>
      <c r="E14" s="127">
        <f t="shared" si="6"/>
        <v>78</v>
      </c>
      <c r="F14" s="222">
        <f>SUM(E14:E17)</f>
        <v>548</v>
      </c>
      <c r="G14" s="401">
        <v>21</v>
      </c>
      <c r="H14" s="244">
        <v>6</v>
      </c>
      <c r="I14" s="127">
        <v>1</v>
      </c>
      <c r="J14" s="268">
        <v>4</v>
      </c>
      <c r="K14" s="372"/>
      <c r="L14" s="244">
        <f t="shared" si="5"/>
        <v>216900</v>
      </c>
      <c r="M14" s="127">
        <f>L14-F14*100</f>
        <v>162100</v>
      </c>
      <c r="N14" s="137"/>
      <c r="O14" s="122"/>
      <c r="P14" s="114"/>
      <c r="Q14" s="114"/>
      <c r="R14" s="148"/>
      <c r="S14" s="321" t="s">
        <v>183</v>
      </c>
      <c r="T14" s="322" t="s">
        <v>184</v>
      </c>
      <c r="W14" s="322"/>
      <c r="X14" s="322"/>
      <c r="Y14" s="322"/>
      <c r="Z14" s="322"/>
      <c r="AA14" s="322"/>
      <c r="AF14" s="322"/>
      <c r="AH14" s="77" t="s">
        <v>164</v>
      </c>
      <c r="AJ14" s="319">
        <f>AI14*1000</f>
        <v>0</v>
      </c>
      <c r="AL14" s="70" t="s">
        <v>182</v>
      </c>
      <c r="AM14" s="70">
        <v>71602154</v>
      </c>
      <c r="AN14" s="70">
        <v>82700</v>
      </c>
      <c r="AQ14" s="70">
        <v>71602154</v>
      </c>
      <c r="AR14" s="70">
        <v>0</v>
      </c>
    </row>
    <row r="15" spans="1:44" ht="14.25" x14ac:dyDescent="0.2">
      <c r="A15" s="112"/>
      <c r="B15" s="286"/>
      <c r="C15" s="113">
        <f>MIN(宇宿!116:116)</f>
        <v>1247</v>
      </c>
      <c r="D15" s="113">
        <f>MAX(宇宿!116:116)</f>
        <v>1408</v>
      </c>
      <c r="E15" s="113">
        <f t="shared" si="6"/>
        <v>161</v>
      </c>
      <c r="F15" s="220"/>
      <c r="G15" s="398"/>
      <c r="H15" s="121"/>
      <c r="I15" s="113"/>
      <c r="J15" s="148"/>
      <c r="K15" s="369"/>
      <c r="L15" s="242">
        <f t="shared" si="5"/>
        <v>0</v>
      </c>
      <c r="M15" s="113"/>
      <c r="N15" s="133"/>
      <c r="O15" s="122"/>
      <c r="P15" s="114"/>
      <c r="Q15" s="114"/>
      <c r="R15" s="148"/>
      <c r="S15" s="341" t="s">
        <v>185</v>
      </c>
      <c r="T15" s="343" t="s">
        <v>186</v>
      </c>
      <c r="U15" s="342"/>
      <c r="V15" s="342"/>
      <c r="W15" s="344"/>
      <c r="X15" s="342"/>
      <c r="Y15" s="342"/>
      <c r="Z15" s="342"/>
      <c r="AA15" s="342"/>
      <c r="AB15" s="342"/>
      <c r="AC15" s="342"/>
      <c r="AD15" s="342"/>
      <c r="AE15" s="342"/>
      <c r="AF15" s="342"/>
      <c r="AH15" s="77">
        <v>500</v>
      </c>
      <c r="AJ15" s="319">
        <f>AI15*500</f>
        <v>0</v>
      </c>
      <c r="AM15" s="70">
        <v>71602154</v>
      </c>
      <c r="AN15" s="70">
        <v>0</v>
      </c>
      <c r="AQ15" s="70">
        <v>71602154</v>
      </c>
      <c r="AR15" s="70">
        <v>75700</v>
      </c>
    </row>
    <row r="16" spans="1:44" ht="14.25" x14ac:dyDescent="0.2">
      <c r="A16" s="112"/>
      <c r="B16" s="286"/>
      <c r="C16" s="113">
        <f>MIN(宇宿!128:128)</f>
        <v>10987</v>
      </c>
      <c r="D16" s="113">
        <f>MAX(宇宿!128:128)</f>
        <v>11037</v>
      </c>
      <c r="E16" s="113">
        <f t="shared" si="6"/>
        <v>50</v>
      </c>
      <c r="F16" s="220"/>
      <c r="G16" s="398"/>
      <c r="H16" s="121"/>
      <c r="I16" s="113"/>
      <c r="J16" s="148"/>
      <c r="K16" s="369"/>
      <c r="L16" s="121">
        <f t="shared" si="5"/>
        <v>0</v>
      </c>
      <c r="M16" s="113"/>
      <c r="N16" s="133"/>
      <c r="O16" s="122"/>
      <c r="P16" s="114"/>
      <c r="Q16" s="114"/>
      <c r="R16" s="148"/>
      <c r="S16" s="321" t="s">
        <v>119</v>
      </c>
      <c r="T16" s="322" t="s">
        <v>189</v>
      </c>
      <c r="W16" s="322"/>
      <c r="X16" s="322"/>
      <c r="Y16" s="322"/>
      <c r="Z16" s="322"/>
      <c r="AA16" s="322"/>
      <c r="AF16" s="322"/>
      <c r="AH16" s="77">
        <v>100</v>
      </c>
      <c r="AJ16" s="319">
        <f>AI16*100</f>
        <v>0</v>
      </c>
      <c r="AM16" s="70">
        <v>71602154</v>
      </c>
      <c r="AN16" s="70">
        <v>35900</v>
      </c>
      <c r="AQ16" s="70">
        <v>71602154</v>
      </c>
      <c r="AR16" s="70">
        <v>0</v>
      </c>
    </row>
    <row r="17" spans="1:45" ht="14.25" x14ac:dyDescent="0.2">
      <c r="A17" s="123"/>
      <c r="B17" s="290"/>
      <c r="C17" s="124">
        <f>MIN(宇宿!140:140)</f>
        <v>8700</v>
      </c>
      <c r="D17" s="124">
        <f>MAX(宇宿!140:140)</f>
        <v>8959</v>
      </c>
      <c r="E17" s="124">
        <f t="shared" si="6"/>
        <v>259</v>
      </c>
      <c r="F17" s="223"/>
      <c r="G17" s="402"/>
      <c r="H17" s="250"/>
      <c r="I17" s="124"/>
      <c r="J17" s="269"/>
      <c r="K17" s="373"/>
      <c r="L17" s="250">
        <f t="shared" si="5"/>
        <v>0</v>
      </c>
      <c r="M17" s="124"/>
      <c r="N17" s="138"/>
      <c r="O17" s="122"/>
      <c r="P17" s="114"/>
      <c r="Q17" s="114"/>
      <c r="R17" s="148"/>
      <c r="S17" s="321" t="s">
        <v>191</v>
      </c>
      <c r="T17" s="322" t="s">
        <v>192</v>
      </c>
      <c r="W17" s="322"/>
      <c r="X17" s="322"/>
      <c r="Y17" s="322"/>
      <c r="Z17" s="322"/>
      <c r="AA17" s="322"/>
      <c r="AF17" s="322"/>
      <c r="AJ17" s="319">
        <f>SUM(AJ12:AJ16)</f>
        <v>0</v>
      </c>
      <c r="AM17" s="70">
        <v>71602154</v>
      </c>
      <c r="AN17" s="70">
        <v>0</v>
      </c>
      <c r="AP17" s="70" t="s">
        <v>193</v>
      </c>
      <c r="AQ17" s="70" t="s">
        <v>194</v>
      </c>
      <c r="AR17" s="70">
        <v>0</v>
      </c>
    </row>
    <row r="18" spans="1:45" ht="14.25" x14ac:dyDescent="0.2">
      <c r="A18" s="131" t="s">
        <v>237</v>
      </c>
      <c r="B18" s="285" t="s">
        <v>257</v>
      </c>
      <c r="C18" s="110">
        <f>MIN(宇宿!164:164)</f>
        <v>23996</v>
      </c>
      <c r="D18" s="110">
        <f>MAX(宇宿!164:164)</f>
        <v>24765</v>
      </c>
      <c r="E18" s="110">
        <f t="shared" si="6"/>
        <v>769</v>
      </c>
      <c r="F18" s="219">
        <f>SUM(E18)</f>
        <v>769</v>
      </c>
      <c r="G18" s="397">
        <v>22</v>
      </c>
      <c r="H18" s="241">
        <v>4</v>
      </c>
      <c r="I18" s="110"/>
      <c r="J18" s="266">
        <v>4</v>
      </c>
      <c r="K18" s="368"/>
      <c r="L18" s="241">
        <f t="shared" si="5"/>
        <v>224400</v>
      </c>
      <c r="M18" s="110">
        <f>L18-F18*100</f>
        <v>147500</v>
      </c>
      <c r="N18" s="132"/>
      <c r="O18" s="122"/>
      <c r="P18" s="114"/>
      <c r="Q18" s="114"/>
      <c r="R18" s="148"/>
      <c r="S18" s="341" t="s">
        <v>121</v>
      </c>
      <c r="T18" s="342" t="s">
        <v>195</v>
      </c>
      <c r="U18" s="342"/>
      <c r="V18" s="342"/>
      <c r="W18" s="342"/>
      <c r="X18" s="342"/>
      <c r="Y18" s="342"/>
      <c r="Z18" s="342"/>
      <c r="AA18" s="342"/>
      <c r="AB18" s="342"/>
      <c r="AC18" s="342"/>
      <c r="AD18" s="342"/>
      <c r="AE18" s="342"/>
      <c r="AF18" s="342"/>
      <c r="AI18" s="71">
        <f>+AI8-AI9</f>
        <v>0</v>
      </c>
      <c r="AJ18" s="319" t="e">
        <f>+AJ17-AI11</f>
        <v>#REF!</v>
      </c>
      <c r="AL18" s="70" t="s">
        <v>193</v>
      </c>
      <c r="AM18" s="70" t="s">
        <v>194</v>
      </c>
      <c r="AN18" s="70">
        <v>12400</v>
      </c>
      <c r="AQ18" s="70" t="s">
        <v>196</v>
      </c>
      <c r="AR18" s="70">
        <v>0</v>
      </c>
    </row>
    <row r="19" spans="1:45" thickBot="1" x14ac:dyDescent="0.25">
      <c r="A19" s="126" t="s">
        <v>279</v>
      </c>
      <c r="B19" s="289" t="s">
        <v>269</v>
      </c>
      <c r="C19" s="127">
        <f>MIN(宇宿!176:176)</f>
        <v>10465</v>
      </c>
      <c r="D19" s="127">
        <f>MAX(宇宿!176:176)</f>
        <v>10571</v>
      </c>
      <c r="E19" s="127">
        <f t="shared" si="6"/>
        <v>106</v>
      </c>
      <c r="F19" s="222">
        <f>SUM(E19:E22)</f>
        <v>618</v>
      </c>
      <c r="G19" s="401">
        <v>16</v>
      </c>
      <c r="H19" s="244">
        <v>7</v>
      </c>
      <c r="I19" s="127"/>
      <c r="J19" s="268">
        <v>2</v>
      </c>
      <c r="K19" s="372"/>
      <c r="L19" s="244">
        <f t="shared" si="5"/>
        <v>167200</v>
      </c>
      <c r="M19" s="127">
        <f>L19-F19*100</f>
        <v>105400</v>
      </c>
      <c r="N19" s="137"/>
      <c r="O19" s="122"/>
      <c r="P19" s="114"/>
      <c r="Q19" s="114"/>
      <c r="R19" s="148"/>
      <c r="S19" s="340" t="s">
        <v>197</v>
      </c>
      <c r="T19" s="345" t="s">
        <v>198</v>
      </c>
      <c r="U19" s="339"/>
      <c r="V19" s="339"/>
      <c r="W19" s="339"/>
      <c r="X19" s="339"/>
      <c r="Y19" s="339"/>
      <c r="Z19" s="339"/>
      <c r="AA19" s="339"/>
      <c r="AB19" s="339"/>
      <c r="AC19" s="339"/>
      <c r="AD19" s="339"/>
      <c r="AE19" s="339"/>
      <c r="AF19" s="339"/>
      <c r="AG19" s="339"/>
      <c r="AH19" s="339"/>
      <c r="AI19" s="339"/>
      <c r="AJ19" s="339"/>
      <c r="AK19" s="339"/>
      <c r="AL19" s="366"/>
      <c r="AM19" s="366" t="s">
        <v>196</v>
      </c>
      <c r="AN19" s="366">
        <v>5800</v>
      </c>
      <c r="AO19" s="339"/>
      <c r="AP19" s="366" t="s">
        <v>193</v>
      </c>
      <c r="AQ19" s="366" t="s">
        <v>334</v>
      </c>
      <c r="AR19" s="366">
        <v>0</v>
      </c>
      <c r="AS19" s="339"/>
    </row>
    <row r="20" spans="1:45" thickTop="1" x14ac:dyDescent="0.2">
      <c r="A20" s="112"/>
      <c r="B20" s="286"/>
      <c r="C20" s="113">
        <f>MIN(宇宿!188:188)</f>
        <v>12230</v>
      </c>
      <c r="D20" s="113">
        <f>MAX(宇宿!188:188)</f>
        <v>12446</v>
      </c>
      <c r="E20" s="113">
        <f t="shared" si="6"/>
        <v>216</v>
      </c>
      <c r="F20" s="220"/>
      <c r="G20" s="398"/>
      <c r="H20" s="121"/>
      <c r="I20" s="113"/>
      <c r="J20" s="148"/>
      <c r="K20" s="369"/>
      <c r="L20" s="242">
        <f t="shared" si="5"/>
        <v>0</v>
      </c>
      <c r="M20" s="113"/>
      <c r="N20" s="133"/>
      <c r="O20" s="122"/>
      <c r="P20" s="114"/>
      <c r="Q20" s="114"/>
      <c r="R20" s="148"/>
      <c r="S20" s="321" t="s">
        <v>199</v>
      </c>
      <c r="T20" s="329" t="s">
        <v>200</v>
      </c>
      <c r="W20" s="322"/>
      <c r="AB20" s="323"/>
      <c r="AF20" s="322"/>
      <c r="AG20" s="322"/>
      <c r="AH20" s="322"/>
      <c r="AI20" s="322"/>
      <c r="AJ20" s="322"/>
      <c r="AK20" s="322"/>
      <c r="AL20" s="70" t="s">
        <v>193</v>
      </c>
      <c r="AM20" s="70" t="s">
        <v>334</v>
      </c>
      <c r="AN20" s="70">
        <v>17600</v>
      </c>
      <c r="AO20" s="322"/>
      <c r="AP20" s="70" t="s">
        <v>193</v>
      </c>
      <c r="AQ20" s="70" t="s">
        <v>335</v>
      </c>
      <c r="AR20" s="70">
        <v>0</v>
      </c>
      <c r="AS20" s="322"/>
    </row>
    <row r="21" spans="1:45" ht="15.75" customHeight="1" x14ac:dyDescent="0.2">
      <c r="A21" s="116"/>
      <c r="B21" s="296"/>
      <c r="C21" s="113">
        <f>MIN(宇宿!200:200)</f>
        <v>12092</v>
      </c>
      <c r="D21" s="113">
        <f>MAX(宇宿!200:200)</f>
        <v>12287</v>
      </c>
      <c r="E21" s="113">
        <f t="shared" si="6"/>
        <v>195</v>
      </c>
      <c r="F21" s="220"/>
      <c r="G21" s="398"/>
      <c r="H21" s="121"/>
      <c r="I21" s="113"/>
      <c r="J21" s="148"/>
      <c r="K21" s="369"/>
      <c r="L21" s="121">
        <f t="shared" ref="L21:L84" si="7">H21*1000+I21*500+J21*100+G21*10000</f>
        <v>0</v>
      </c>
      <c r="M21" s="113"/>
      <c r="N21" s="133"/>
      <c r="O21" s="122"/>
      <c r="P21" s="114"/>
      <c r="Q21" s="114"/>
      <c r="R21" s="148"/>
      <c r="S21" s="321" t="s">
        <v>201</v>
      </c>
      <c r="T21" s="329" t="s">
        <v>202</v>
      </c>
      <c r="W21" s="322"/>
      <c r="Y21" s="322"/>
      <c r="Z21" s="322"/>
      <c r="AA21" s="322"/>
      <c r="AF21" s="322"/>
      <c r="AG21" s="322"/>
      <c r="AH21" s="322"/>
      <c r="AI21" s="322"/>
      <c r="AJ21" s="322"/>
      <c r="AK21" s="322"/>
      <c r="AL21" s="70" t="s">
        <v>193</v>
      </c>
      <c r="AM21" s="70" t="s">
        <v>335</v>
      </c>
      <c r="AN21" s="70">
        <v>11400</v>
      </c>
      <c r="AO21" s="322"/>
      <c r="AQ21" s="70" t="s">
        <v>336</v>
      </c>
      <c r="AR21" s="70">
        <v>0</v>
      </c>
      <c r="AS21" s="322"/>
    </row>
    <row r="22" spans="1:45" ht="15.75" customHeight="1" thickBot="1" x14ac:dyDescent="0.25">
      <c r="A22" s="123"/>
      <c r="B22" s="290"/>
      <c r="C22" s="124">
        <f>MIN(宇宿!212:212)</f>
        <v>10561</v>
      </c>
      <c r="D22" s="124">
        <f>MAX(宇宿!212:212)</f>
        <v>10662</v>
      </c>
      <c r="E22" s="124">
        <f t="shared" si="6"/>
        <v>101</v>
      </c>
      <c r="F22" s="223"/>
      <c r="G22" s="402"/>
      <c r="H22" s="250"/>
      <c r="I22" s="124"/>
      <c r="J22" s="269"/>
      <c r="K22" s="373"/>
      <c r="L22" s="250">
        <f t="shared" si="7"/>
        <v>0</v>
      </c>
      <c r="M22" s="124"/>
      <c r="N22" s="138"/>
      <c r="O22" s="122"/>
      <c r="P22" s="114"/>
      <c r="Q22" s="114"/>
      <c r="R22" s="148"/>
      <c r="S22" s="340" t="s">
        <v>204</v>
      </c>
      <c r="T22" s="345" t="s">
        <v>205</v>
      </c>
      <c r="U22" s="339"/>
      <c r="V22" s="339"/>
      <c r="W22" s="339"/>
      <c r="X22" s="346"/>
      <c r="Y22" s="339"/>
      <c r="Z22" s="339"/>
      <c r="AA22" s="339"/>
      <c r="AB22" s="339"/>
      <c r="AC22" s="339"/>
      <c r="AD22" s="339"/>
      <c r="AE22" s="339"/>
      <c r="AF22" s="339"/>
      <c r="AH22" s="77">
        <v>500</v>
      </c>
      <c r="AJ22" s="319">
        <f>AI22*500</f>
        <v>0</v>
      </c>
      <c r="AM22" s="70" t="s">
        <v>336</v>
      </c>
      <c r="AN22" s="70">
        <v>9700</v>
      </c>
      <c r="AP22" s="70" t="s">
        <v>206</v>
      </c>
      <c r="AQ22" s="70" t="s">
        <v>207</v>
      </c>
      <c r="AR22" s="70">
        <v>0</v>
      </c>
    </row>
    <row r="23" spans="1:45" ht="15.75" customHeight="1" thickTop="1" x14ac:dyDescent="0.2">
      <c r="A23" s="131" t="s">
        <v>282</v>
      </c>
      <c r="B23" s="285" t="s">
        <v>271</v>
      </c>
      <c r="C23" s="110">
        <f>MIN(宇宿!224:224)</f>
        <v>24846</v>
      </c>
      <c r="D23" s="110">
        <f>MAX(宇宿!224:224)</f>
        <v>24933</v>
      </c>
      <c r="E23" s="110">
        <f t="shared" si="6"/>
        <v>87</v>
      </c>
      <c r="F23" s="219">
        <f>SUM(E23:E26)</f>
        <v>565</v>
      </c>
      <c r="G23" s="397">
        <v>18</v>
      </c>
      <c r="H23" s="241">
        <v>5</v>
      </c>
      <c r="I23" s="110"/>
      <c r="J23" s="266">
        <v>9</v>
      </c>
      <c r="K23" s="368"/>
      <c r="L23" s="241">
        <f t="shared" si="7"/>
        <v>185900</v>
      </c>
      <c r="M23" s="110">
        <f>L23-F23*100</f>
        <v>129400</v>
      </c>
      <c r="N23" s="132"/>
      <c r="O23" s="122"/>
      <c r="P23" s="114"/>
      <c r="Q23" s="114"/>
      <c r="R23" s="148"/>
      <c r="S23" s="321" t="s">
        <v>208</v>
      </c>
      <c r="T23" s="329" t="s">
        <v>209</v>
      </c>
      <c r="U23" s="322" t="s">
        <v>174</v>
      </c>
      <c r="W23" s="322"/>
      <c r="X23" s="322"/>
      <c r="Y23" s="322"/>
      <c r="Z23" s="322"/>
      <c r="AA23" s="322"/>
      <c r="AF23" s="322"/>
      <c r="AH23" s="77">
        <v>100</v>
      </c>
      <c r="AJ23" s="319">
        <f>AI23*100</f>
        <v>0</v>
      </c>
      <c r="AL23" s="70" t="s">
        <v>206</v>
      </c>
      <c r="AM23" s="70" t="s">
        <v>207</v>
      </c>
      <c r="AN23" s="70">
        <v>55900</v>
      </c>
      <c r="AP23" s="70" t="s">
        <v>206</v>
      </c>
      <c r="AQ23" s="70" t="s">
        <v>210</v>
      </c>
      <c r="AR23" s="70">
        <v>0</v>
      </c>
    </row>
    <row r="24" spans="1:45" ht="15.75" customHeight="1" x14ac:dyDescent="0.2">
      <c r="A24" s="112"/>
      <c r="B24" s="286"/>
      <c r="C24" s="113">
        <f>MIN(宇宿!236:236)</f>
        <v>28570</v>
      </c>
      <c r="D24" s="113">
        <f>MAX(宇宿!236:236)</f>
        <v>28690</v>
      </c>
      <c r="E24" s="113">
        <f t="shared" si="6"/>
        <v>120</v>
      </c>
      <c r="F24" s="220"/>
      <c r="G24" s="398"/>
      <c r="H24" s="121"/>
      <c r="I24" s="113"/>
      <c r="J24" s="148"/>
      <c r="K24" s="369"/>
      <c r="L24" s="242">
        <f t="shared" si="7"/>
        <v>0</v>
      </c>
      <c r="M24" s="113"/>
      <c r="N24" s="133"/>
      <c r="O24" s="122"/>
      <c r="P24" s="114"/>
      <c r="Q24" s="114"/>
      <c r="R24" s="148"/>
      <c r="S24" s="321" t="s">
        <v>211</v>
      </c>
      <c r="T24" s="329" t="s">
        <v>212</v>
      </c>
      <c r="U24" s="322" t="s">
        <v>213</v>
      </c>
      <c r="W24" s="330"/>
      <c r="X24" s="322"/>
      <c r="Y24" s="322"/>
      <c r="Z24" s="322"/>
      <c r="AA24" s="322"/>
      <c r="AF24" s="322"/>
      <c r="AJ24" s="319">
        <f>SUM(AJ19:AJ23)</f>
        <v>0</v>
      </c>
      <c r="AL24" s="70" t="s">
        <v>206</v>
      </c>
      <c r="AM24" s="70" t="s">
        <v>210</v>
      </c>
      <c r="AN24" s="70">
        <v>37400</v>
      </c>
      <c r="AQ24" s="70" t="s">
        <v>214</v>
      </c>
      <c r="AR24" s="70">
        <v>0</v>
      </c>
    </row>
    <row r="25" spans="1:45" ht="15.75" customHeight="1" x14ac:dyDescent="0.2">
      <c r="A25" s="112"/>
      <c r="B25" s="286"/>
      <c r="C25" s="113">
        <f>MIN(宇宿!248:248)</f>
        <v>26157</v>
      </c>
      <c r="D25" s="113">
        <f>MAX(宇宿!248:248)</f>
        <v>26252</v>
      </c>
      <c r="E25" s="113">
        <f t="shared" si="6"/>
        <v>95</v>
      </c>
      <c r="F25" s="220"/>
      <c r="G25" s="398"/>
      <c r="H25" s="121"/>
      <c r="I25" s="113"/>
      <c r="J25" s="148"/>
      <c r="K25" s="369"/>
      <c r="L25" s="121">
        <f t="shared" si="7"/>
        <v>0</v>
      </c>
      <c r="M25" s="113"/>
      <c r="N25" s="133"/>
      <c r="O25" s="122"/>
      <c r="P25" s="114"/>
      <c r="Q25" s="114"/>
      <c r="R25" s="148"/>
      <c r="S25" s="321"/>
      <c r="W25" s="322"/>
      <c r="X25" s="322"/>
      <c r="Y25" s="322"/>
      <c r="Z25" s="322"/>
      <c r="AA25" s="322"/>
      <c r="AF25" s="322"/>
      <c r="AJ25" s="319" t="e">
        <f>+AJ24-AI11-AI2</f>
        <v>#REF!</v>
      </c>
      <c r="AM25" s="70" t="s">
        <v>214</v>
      </c>
      <c r="AN25" s="70">
        <v>37700</v>
      </c>
      <c r="AP25" s="70" t="s">
        <v>206</v>
      </c>
      <c r="AQ25" s="70" t="s">
        <v>215</v>
      </c>
      <c r="AR25" s="70">
        <v>0</v>
      </c>
    </row>
    <row r="26" spans="1:45" ht="15.75" customHeight="1" x14ac:dyDescent="0.2">
      <c r="A26" s="117"/>
      <c r="B26" s="287"/>
      <c r="C26" s="118">
        <f>MIN(宇宿!260:260)</f>
        <v>34763</v>
      </c>
      <c r="D26" s="118">
        <f>MAX(宇宿!260:260)</f>
        <v>35026</v>
      </c>
      <c r="E26" s="118">
        <f t="shared" si="6"/>
        <v>263</v>
      </c>
      <c r="F26" s="221"/>
      <c r="G26" s="399"/>
      <c r="H26" s="243"/>
      <c r="I26" s="118"/>
      <c r="J26" s="267"/>
      <c r="K26" s="370"/>
      <c r="L26" s="243">
        <f t="shared" si="7"/>
        <v>0</v>
      </c>
      <c r="M26" s="118"/>
      <c r="N26" s="134"/>
      <c r="O26" s="122"/>
      <c r="P26" s="114"/>
      <c r="Q26" s="114"/>
      <c r="R26" s="148"/>
      <c r="AI26" s="71">
        <v>10232150</v>
      </c>
      <c r="AL26" s="70" t="s">
        <v>206</v>
      </c>
      <c r="AM26" s="70" t="s">
        <v>215</v>
      </c>
      <c r="AN26" s="70">
        <v>26900</v>
      </c>
      <c r="AP26" s="70" t="s">
        <v>1</v>
      </c>
      <c r="AQ26" s="70" t="s">
        <v>308</v>
      </c>
    </row>
    <row r="27" spans="1:45" ht="15.75" customHeight="1" thickBot="1" x14ac:dyDescent="0.25">
      <c r="A27" s="163"/>
      <c r="B27" s="293"/>
      <c r="C27" s="155"/>
      <c r="D27" s="155"/>
      <c r="E27" s="155"/>
      <c r="F27" s="225"/>
      <c r="G27" s="403"/>
      <c r="H27" s="249"/>
      <c r="I27" s="155"/>
      <c r="J27" s="271"/>
      <c r="K27" s="75"/>
      <c r="L27" s="74">
        <f t="shared" si="7"/>
        <v>0</v>
      </c>
      <c r="M27" s="249">
        <f>SUM(L4:L26)</f>
        <v>1184600</v>
      </c>
      <c r="N27" s="157"/>
      <c r="O27" s="158"/>
      <c r="P27" s="158"/>
      <c r="Q27" s="158"/>
      <c r="R27" s="159"/>
      <c r="AH27" s="77" t="s">
        <v>158</v>
      </c>
      <c r="AI27" s="70">
        <v>122</v>
      </c>
      <c r="AJ27" s="319">
        <f>AI27*10000</f>
        <v>1220000</v>
      </c>
      <c r="AL27" s="70" t="s">
        <v>1</v>
      </c>
      <c r="AM27" s="70" t="s">
        <v>308</v>
      </c>
      <c r="AP27" s="70" t="s">
        <v>137</v>
      </c>
      <c r="AQ27" s="70" t="s">
        <v>246</v>
      </c>
    </row>
    <row r="28" spans="1:45" ht="15.75" customHeight="1" thickBot="1" x14ac:dyDescent="0.25">
      <c r="A28" s="86" t="s">
        <v>96</v>
      </c>
      <c r="B28" s="283" t="s">
        <v>290</v>
      </c>
      <c r="C28" s="75"/>
      <c r="D28" s="75"/>
      <c r="E28" s="75"/>
      <c r="F28" s="75">
        <f>SUM(F29:F33)</f>
        <v>1017</v>
      </c>
      <c r="G28" s="392"/>
      <c r="H28" s="75"/>
      <c r="I28" s="75"/>
      <c r="J28" s="264"/>
      <c r="K28" s="75"/>
      <c r="L28" s="75">
        <f t="shared" si="7"/>
        <v>0</v>
      </c>
      <c r="M28" s="75"/>
      <c r="N28" s="76"/>
      <c r="O28" s="76"/>
      <c r="P28" s="76"/>
      <c r="Q28" s="76"/>
      <c r="R28" s="75"/>
      <c r="AH28" s="77" t="s">
        <v>161</v>
      </c>
      <c r="AI28" s="70">
        <v>11</v>
      </c>
      <c r="AJ28" s="319">
        <f>AI28*5000</f>
        <v>55000</v>
      </c>
      <c r="AL28" s="70" t="s">
        <v>137</v>
      </c>
      <c r="AM28" s="70" t="s">
        <v>246</v>
      </c>
      <c r="AP28" s="70" t="s">
        <v>303</v>
      </c>
      <c r="AQ28" s="70" t="s">
        <v>304</v>
      </c>
    </row>
    <row r="29" spans="1:45" ht="15.75" customHeight="1" x14ac:dyDescent="0.2">
      <c r="A29" s="170" t="s">
        <v>168</v>
      </c>
      <c r="B29" s="297" t="s">
        <v>273</v>
      </c>
      <c r="C29" s="145">
        <f>MIN(天文館!8:8)</f>
        <v>24643</v>
      </c>
      <c r="D29" s="145">
        <f>MAX(天文館!8:8)</f>
        <v>24884</v>
      </c>
      <c r="E29" s="145">
        <f t="shared" ref="E29:E36" si="8">D29-C29</f>
        <v>241</v>
      </c>
      <c r="F29" s="227">
        <f>SUM(E29:E32)</f>
        <v>583</v>
      </c>
      <c r="G29" s="405">
        <v>16</v>
      </c>
      <c r="H29" s="251">
        <v>6</v>
      </c>
      <c r="I29" s="145"/>
      <c r="J29" s="146">
        <v>8</v>
      </c>
      <c r="K29" s="374"/>
      <c r="L29" s="251">
        <f t="shared" si="7"/>
        <v>166800</v>
      </c>
      <c r="M29" s="145">
        <f>L29-F29*100</f>
        <v>108500</v>
      </c>
      <c r="N29" s="171"/>
      <c r="O29" s="161"/>
      <c r="P29" s="162"/>
      <c r="Q29" s="162"/>
      <c r="R29" s="146"/>
      <c r="AH29" s="77" t="s">
        <v>164</v>
      </c>
      <c r="AI29" s="70">
        <v>6192</v>
      </c>
      <c r="AJ29" s="319">
        <f>AI29*1000</f>
        <v>6192000</v>
      </c>
      <c r="AL29" s="70" t="s">
        <v>303</v>
      </c>
      <c r="AM29" s="70" t="s">
        <v>304</v>
      </c>
      <c r="AP29" s="70" t="s">
        <v>46</v>
      </c>
      <c r="AQ29" s="70" t="s">
        <v>309</v>
      </c>
    </row>
    <row r="30" spans="1:45" ht="15.75" customHeight="1" x14ac:dyDescent="0.2">
      <c r="A30" s="149"/>
      <c r="B30" s="286"/>
      <c r="C30" s="113">
        <f>MIN(天文館!20:20)</f>
        <v>31190</v>
      </c>
      <c r="D30" s="113">
        <f>MAX(天文館!20:20)</f>
        <v>31365</v>
      </c>
      <c r="E30" s="113">
        <f t="shared" si="8"/>
        <v>175</v>
      </c>
      <c r="F30" s="220"/>
      <c r="G30" s="398"/>
      <c r="H30" s="121"/>
      <c r="I30" s="113"/>
      <c r="J30" s="148"/>
      <c r="K30" s="369"/>
      <c r="L30" s="242">
        <f t="shared" si="7"/>
        <v>0</v>
      </c>
      <c r="M30" s="113"/>
      <c r="N30" s="133"/>
      <c r="O30" s="122"/>
      <c r="P30" s="114"/>
      <c r="Q30" s="114"/>
      <c r="R30" s="148"/>
      <c r="AH30" s="77">
        <v>500</v>
      </c>
      <c r="AI30" s="70">
        <f>2337+768</f>
        <v>3105</v>
      </c>
      <c r="AJ30" s="319">
        <f>AI30*500</f>
        <v>1552500</v>
      </c>
      <c r="AL30" s="70" t="s">
        <v>46</v>
      </c>
      <c r="AM30" s="70" t="s">
        <v>309</v>
      </c>
      <c r="AP30" s="70" t="s">
        <v>216</v>
      </c>
      <c r="AQ30" s="70" t="s">
        <v>217</v>
      </c>
      <c r="AR30" s="70">
        <v>69600</v>
      </c>
    </row>
    <row r="31" spans="1:45" ht="15.75" customHeight="1" x14ac:dyDescent="0.2">
      <c r="A31" s="149"/>
      <c r="B31" s="286"/>
      <c r="C31" s="113">
        <f>MIN(天文館!32:32)</f>
        <v>25142</v>
      </c>
      <c r="D31" s="113">
        <f>MAX(天文館!32:32)</f>
        <v>25194</v>
      </c>
      <c r="E31" s="113">
        <f t="shared" si="8"/>
        <v>52</v>
      </c>
      <c r="F31" s="220"/>
      <c r="G31" s="398"/>
      <c r="H31" s="121"/>
      <c r="I31" s="113"/>
      <c r="J31" s="148"/>
      <c r="K31" s="369"/>
      <c r="L31" s="121">
        <f t="shared" si="7"/>
        <v>0</v>
      </c>
      <c r="M31" s="113"/>
      <c r="N31" s="133"/>
      <c r="O31" s="122"/>
      <c r="P31" s="114"/>
      <c r="Q31" s="114"/>
      <c r="R31" s="148"/>
      <c r="AH31" s="77">
        <v>100</v>
      </c>
      <c r="AI31" s="70">
        <f>12143</f>
        <v>12143</v>
      </c>
      <c r="AJ31" s="319">
        <f>AI31*100</f>
        <v>1214300</v>
      </c>
      <c r="AL31" s="70" t="s">
        <v>216</v>
      </c>
      <c r="AM31" s="70" t="s">
        <v>217</v>
      </c>
      <c r="AN31" s="70">
        <v>57800</v>
      </c>
      <c r="AP31" s="70" t="s">
        <v>218</v>
      </c>
      <c r="AQ31" s="70" t="s">
        <v>219</v>
      </c>
      <c r="AR31" s="70">
        <v>21500</v>
      </c>
    </row>
    <row r="32" spans="1:45" ht="15.75" customHeight="1" x14ac:dyDescent="0.2">
      <c r="A32" s="149"/>
      <c r="B32" s="286"/>
      <c r="C32" s="113">
        <f>MIN(天文館!44:44)</f>
        <v>23557</v>
      </c>
      <c r="D32" s="113">
        <f>MAX(天文館!44:44)</f>
        <v>23672</v>
      </c>
      <c r="E32" s="113">
        <f t="shared" si="8"/>
        <v>115</v>
      </c>
      <c r="F32" s="220"/>
      <c r="G32" s="398"/>
      <c r="H32" s="121"/>
      <c r="I32" s="113"/>
      <c r="J32" s="148"/>
      <c r="K32" s="369"/>
      <c r="L32" s="121">
        <f t="shared" si="7"/>
        <v>0</v>
      </c>
      <c r="M32" s="113"/>
      <c r="N32" s="133"/>
      <c r="O32" s="122"/>
      <c r="P32" s="114"/>
      <c r="Q32" s="114"/>
      <c r="R32" s="148"/>
      <c r="AJ32" s="319">
        <f>SUM(AJ27:AJ31)</f>
        <v>10233800</v>
      </c>
      <c r="AL32" s="70" t="s">
        <v>218</v>
      </c>
      <c r="AM32" s="70" t="s">
        <v>219</v>
      </c>
      <c r="AN32" s="70">
        <v>37000</v>
      </c>
      <c r="AP32" s="70" t="s">
        <v>220</v>
      </c>
      <c r="AQ32" s="70" t="s">
        <v>221</v>
      </c>
      <c r="AR32" s="70">
        <v>32600</v>
      </c>
    </row>
    <row r="33" spans="1:44" ht="15.75" customHeight="1" x14ac:dyDescent="0.2">
      <c r="A33" s="149" t="s">
        <v>235</v>
      </c>
      <c r="B33" s="286" t="s">
        <v>274</v>
      </c>
      <c r="C33" s="113">
        <f>MIN(天文館!56:56)</f>
        <v>10454</v>
      </c>
      <c r="D33" s="113">
        <f>MAX(天文館!56:56)</f>
        <v>10571</v>
      </c>
      <c r="E33" s="113">
        <f t="shared" si="8"/>
        <v>117</v>
      </c>
      <c r="F33" s="220">
        <f>SUM(E33:E36)</f>
        <v>434</v>
      </c>
      <c r="G33" s="398">
        <v>14</v>
      </c>
      <c r="H33" s="121">
        <v>8</v>
      </c>
      <c r="I33" s="113"/>
      <c r="J33" s="148">
        <v>5</v>
      </c>
      <c r="K33" s="369"/>
      <c r="L33" s="121">
        <f t="shared" si="7"/>
        <v>148500</v>
      </c>
      <c r="M33" s="113">
        <f>L33-F33*100</f>
        <v>105100</v>
      </c>
      <c r="N33" s="133"/>
      <c r="O33" s="122"/>
      <c r="P33" s="114"/>
      <c r="Q33" s="114"/>
      <c r="R33" s="148"/>
      <c r="AJ33" s="319">
        <f>+AJ32-AI26</f>
        <v>1650</v>
      </c>
      <c r="AL33" s="70" t="s">
        <v>220</v>
      </c>
      <c r="AM33" s="70" t="s">
        <v>221</v>
      </c>
      <c r="AN33" s="70">
        <v>38200</v>
      </c>
      <c r="AP33" s="70" t="s">
        <v>222</v>
      </c>
      <c r="AQ33" s="70" t="s">
        <v>223</v>
      </c>
      <c r="AR33" s="70">
        <v>52300</v>
      </c>
    </row>
    <row r="34" spans="1:44" ht="15.75" customHeight="1" x14ac:dyDescent="0.2">
      <c r="A34" s="149"/>
      <c r="B34" s="286"/>
      <c r="C34" s="113">
        <f>MIN(天文館!68:68)</f>
        <v>9983</v>
      </c>
      <c r="D34" s="113">
        <f>MAX(天文館!68:68)</f>
        <v>10092</v>
      </c>
      <c r="E34" s="113">
        <f t="shared" si="8"/>
        <v>109</v>
      </c>
      <c r="F34" s="220"/>
      <c r="G34" s="398"/>
      <c r="H34" s="121"/>
      <c r="I34" s="113"/>
      <c r="J34" s="148"/>
      <c r="K34" s="369"/>
      <c r="L34" s="242">
        <f t="shared" si="7"/>
        <v>0</v>
      </c>
      <c r="M34" s="113"/>
      <c r="N34" s="133"/>
      <c r="O34" s="122"/>
      <c r="P34" s="114"/>
      <c r="Q34" s="114"/>
      <c r="R34" s="148"/>
      <c r="AL34" s="70" t="s">
        <v>222</v>
      </c>
      <c r="AM34" s="70" t="s">
        <v>223</v>
      </c>
      <c r="AN34" s="70">
        <v>58500</v>
      </c>
      <c r="AP34" s="70" t="s">
        <v>224</v>
      </c>
      <c r="AQ34" s="70" t="s">
        <v>225</v>
      </c>
      <c r="AR34" s="70">
        <v>50100</v>
      </c>
    </row>
    <row r="35" spans="1:44" ht="15.75" customHeight="1" x14ac:dyDescent="0.2">
      <c r="A35" s="149"/>
      <c r="B35" s="286"/>
      <c r="C35" s="113">
        <f>MIN(天文館!80:80)</f>
        <v>12903</v>
      </c>
      <c r="D35" s="113">
        <f>MAX(天文館!80:80)</f>
        <v>13008</v>
      </c>
      <c r="E35" s="113">
        <f t="shared" si="8"/>
        <v>105</v>
      </c>
      <c r="F35" s="220"/>
      <c r="G35" s="398"/>
      <c r="H35" s="121"/>
      <c r="I35" s="113"/>
      <c r="J35" s="148"/>
      <c r="K35" s="369"/>
      <c r="L35" s="121">
        <f t="shared" si="7"/>
        <v>0</v>
      </c>
      <c r="M35" s="113"/>
      <c r="N35" s="133"/>
      <c r="O35" s="122"/>
      <c r="P35" s="114"/>
      <c r="Q35" s="114"/>
      <c r="R35" s="148"/>
      <c r="AH35" s="70" t="s">
        <v>166</v>
      </c>
      <c r="AI35" s="70">
        <v>40</v>
      </c>
      <c r="AL35" s="70" t="s">
        <v>224</v>
      </c>
      <c r="AM35" s="70" t="s">
        <v>225</v>
      </c>
      <c r="AN35" s="70">
        <v>54300</v>
      </c>
      <c r="AP35" s="70" t="s">
        <v>224</v>
      </c>
      <c r="AQ35" s="70" t="s">
        <v>226</v>
      </c>
      <c r="AR35" s="70">
        <v>50900</v>
      </c>
    </row>
    <row r="36" spans="1:44" ht="15.75" customHeight="1" x14ac:dyDescent="0.2">
      <c r="A36" s="150"/>
      <c r="B36" s="287"/>
      <c r="C36" s="118">
        <f>MIN(天文館!92:92)</f>
        <v>13160</v>
      </c>
      <c r="D36" s="118">
        <f>MAX(天文館!92:92)</f>
        <v>13263</v>
      </c>
      <c r="E36" s="118">
        <f t="shared" si="8"/>
        <v>103</v>
      </c>
      <c r="F36" s="221"/>
      <c r="G36" s="399"/>
      <c r="H36" s="243"/>
      <c r="I36" s="118"/>
      <c r="J36" s="267"/>
      <c r="K36" s="370"/>
      <c r="L36" s="243">
        <f t="shared" si="7"/>
        <v>0</v>
      </c>
      <c r="M36" s="118"/>
      <c r="N36" s="134"/>
      <c r="O36" s="122"/>
      <c r="P36" s="114"/>
      <c r="Q36" s="114"/>
      <c r="R36" s="148"/>
      <c r="AH36" s="70" t="s">
        <v>172</v>
      </c>
      <c r="AI36" s="70">
        <v>10</v>
      </c>
      <c r="AL36" s="70" t="s">
        <v>224</v>
      </c>
      <c r="AM36" s="70" t="s">
        <v>226</v>
      </c>
      <c r="AN36" s="70">
        <v>56900</v>
      </c>
      <c r="AP36" s="70" t="s">
        <v>168</v>
      </c>
      <c r="AQ36" s="70" t="s">
        <v>227</v>
      </c>
      <c r="AR36" s="70">
        <v>107000</v>
      </c>
    </row>
    <row r="37" spans="1:44" ht="15.75" customHeight="1" thickBot="1" x14ac:dyDescent="0.25">
      <c r="A37" s="163"/>
      <c r="B37" s="293"/>
      <c r="C37" s="155"/>
      <c r="D37" s="155"/>
      <c r="E37" s="155"/>
      <c r="F37" s="225"/>
      <c r="G37" s="403"/>
      <c r="H37" s="249"/>
      <c r="I37" s="155"/>
      <c r="J37" s="271"/>
      <c r="K37" s="75"/>
      <c r="L37" s="74">
        <f t="shared" si="7"/>
        <v>0</v>
      </c>
      <c r="M37" s="255">
        <f>SUM(L28:L36)</f>
        <v>315300</v>
      </c>
      <c r="N37" s="157"/>
      <c r="O37" s="158"/>
      <c r="P37" s="158"/>
      <c r="Q37" s="158"/>
      <c r="R37" s="159"/>
      <c r="AH37" s="70" t="s">
        <v>171</v>
      </c>
      <c r="AI37" s="70">
        <v>30</v>
      </c>
      <c r="AL37" s="70" t="s">
        <v>168</v>
      </c>
      <c r="AM37" s="70" t="s">
        <v>227</v>
      </c>
      <c r="AN37" s="70">
        <v>82200</v>
      </c>
      <c r="AP37" s="70" t="s">
        <v>168</v>
      </c>
      <c r="AQ37" s="70" t="s">
        <v>228</v>
      </c>
      <c r="AR37" s="70">
        <v>161800</v>
      </c>
    </row>
    <row r="38" spans="1:44" ht="15.75" customHeight="1" thickBot="1" x14ac:dyDescent="0.25">
      <c r="A38" s="86" t="s">
        <v>94</v>
      </c>
      <c r="B38" s="283" t="s">
        <v>296</v>
      </c>
      <c r="C38" s="75"/>
      <c r="D38" s="75"/>
      <c r="E38" s="75"/>
      <c r="F38" s="75">
        <f>SUM(F39:F48)</f>
        <v>1294</v>
      </c>
      <c r="G38" s="392"/>
      <c r="H38" s="75"/>
      <c r="I38" s="75"/>
      <c r="J38" s="264"/>
      <c r="K38" s="75"/>
      <c r="L38" s="75">
        <f t="shared" si="7"/>
        <v>0</v>
      </c>
      <c r="M38" s="75"/>
      <c r="N38" s="76"/>
      <c r="O38" s="76"/>
      <c r="P38" s="76"/>
      <c r="Q38" s="76"/>
      <c r="R38" s="75"/>
      <c r="AH38" s="70" t="s">
        <v>350</v>
      </c>
      <c r="AI38" s="70">
        <v>10</v>
      </c>
      <c r="AL38" s="70" t="s">
        <v>168</v>
      </c>
      <c r="AM38" s="70" t="s">
        <v>228</v>
      </c>
      <c r="AN38" s="70">
        <v>125400</v>
      </c>
      <c r="AP38" s="70" t="s">
        <v>224</v>
      </c>
      <c r="AQ38" s="70" t="s">
        <v>229</v>
      </c>
      <c r="AR38" s="70">
        <v>47600</v>
      </c>
    </row>
    <row r="39" spans="1:44" ht="15.75" customHeight="1" x14ac:dyDescent="0.2">
      <c r="A39" s="170" t="s">
        <v>168</v>
      </c>
      <c r="B39" s="297" t="s">
        <v>277</v>
      </c>
      <c r="C39" s="145">
        <f>MIN(中央!8:8)</f>
        <v>1086</v>
      </c>
      <c r="D39" s="145">
        <f>MAX(中央!8:8)</f>
        <v>1323</v>
      </c>
      <c r="E39" s="145">
        <f t="shared" ref="E39:E47" si="9">D39-C39</f>
        <v>237</v>
      </c>
      <c r="F39" s="227">
        <f>SUM(E39:E42)</f>
        <v>607</v>
      </c>
      <c r="G39" s="405">
        <v>18</v>
      </c>
      <c r="H39" s="251">
        <v>4</v>
      </c>
      <c r="I39" s="145"/>
      <c r="J39" s="146">
        <v>9</v>
      </c>
      <c r="K39" s="374"/>
      <c r="L39" s="251">
        <f t="shared" si="7"/>
        <v>184900</v>
      </c>
      <c r="M39" s="145">
        <f>L39-F39*100</f>
        <v>124200</v>
      </c>
      <c r="N39" s="171"/>
      <c r="O39" s="161"/>
      <c r="P39" s="162"/>
      <c r="Q39" s="162"/>
      <c r="R39" s="146"/>
      <c r="AH39" s="70" t="s">
        <v>303</v>
      </c>
      <c r="AI39" s="70">
        <v>20</v>
      </c>
      <c r="AL39" s="70" t="s">
        <v>224</v>
      </c>
      <c r="AM39" s="70" t="s">
        <v>229</v>
      </c>
      <c r="AN39" s="70">
        <v>45600</v>
      </c>
      <c r="AP39" s="70" t="s">
        <v>168</v>
      </c>
      <c r="AQ39" s="70" t="s">
        <v>230</v>
      </c>
      <c r="AR39" s="70">
        <v>167000</v>
      </c>
    </row>
    <row r="40" spans="1:44" ht="15.75" customHeight="1" x14ac:dyDescent="0.2">
      <c r="A40" s="149"/>
      <c r="B40" s="286"/>
      <c r="C40" s="113">
        <f>MIN(中央!20:20)</f>
        <v>1326</v>
      </c>
      <c r="D40" s="113">
        <f>MAX(中央!20:20)</f>
        <v>1455</v>
      </c>
      <c r="E40" s="113">
        <f t="shared" si="9"/>
        <v>129</v>
      </c>
      <c r="F40" s="220"/>
      <c r="G40" s="398"/>
      <c r="H40" s="121"/>
      <c r="I40" s="113"/>
      <c r="J40" s="148"/>
      <c r="K40" s="369"/>
      <c r="L40" s="242">
        <f t="shared" si="7"/>
        <v>0</v>
      </c>
      <c r="M40" s="113"/>
      <c r="N40" s="133"/>
      <c r="O40" s="122"/>
      <c r="P40" s="114"/>
      <c r="Q40" s="114"/>
      <c r="R40" s="148"/>
      <c r="AH40" s="70" t="s">
        <v>351</v>
      </c>
      <c r="AI40" s="70">
        <v>20</v>
      </c>
      <c r="AL40" s="70" t="s">
        <v>168</v>
      </c>
      <c r="AM40" s="70" t="s">
        <v>230</v>
      </c>
      <c r="AN40" s="70">
        <v>139400</v>
      </c>
      <c r="AP40" s="70" t="s">
        <v>231</v>
      </c>
      <c r="AQ40" s="70" t="s">
        <v>232</v>
      </c>
      <c r="AR40" s="70">
        <v>109400</v>
      </c>
    </row>
    <row r="41" spans="1:44" ht="15.75" customHeight="1" x14ac:dyDescent="0.2">
      <c r="A41" s="149"/>
      <c r="B41" s="286"/>
      <c r="C41" s="113">
        <f>MIN(中央!32:32)</f>
        <v>1486</v>
      </c>
      <c r="D41" s="113">
        <f>MAX(中央!32:32)</f>
        <v>1620</v>
      </c>
      <c r="E41" s="113">
        <f t="shared" si="9"/>
        <v>134</v>
      </c>
      <c r="F41" s="220"/>
      <c r="G41" s="398"/>
      <c r="H41" s="121"/>
      <c r="I41" s="113"/>
      <c r="J41" s="148"/>
      <c r="K41" s="369"/>
      <c r="L41" s="242">
        <f t="shared" si="7"/>
        <v>0</v>
      </c>
      <c r="M41" s="113"/>
      <c r="N41" s="133"/>
      <c r="O41" s="122"/>
      <c r="P41" s="114"/>
      <c r="Q41" s="114"/>
      <c r="R41" s="148"/>
      <c r="AH41" s="70" t="s">
        <v>140</v>
      </c>
      <c r="AI41" s="70">
        <v>20</v>
      </c>
      <c r="AL41" s="70" t="s">
        <v>231</v>
      </c>
      <c r="AM41" s="70" t="s">
        <v>232</v>
      </c>
      <c r="AN41" s="70">
        <v>131400</v>
      </c>
      <c r="AP41" s="70" t="s">
        <v>231</v>
      </c>
      <c r="AQ41" s="70" t="s">
        <v>233</v>
      </c>
      <c r="AR41" s="70">
        <v>383200</v>
      </c>
    </row>
    <row r="42" spans="1:44" ht="15.75" customHeight="1" x14ac:dyDescent="0.2">
      <c r="A42" s="150"/>
      <c r="B42" s="287"/>
      <c r="C42" s="118">
        <f>MIN(中央!44:44)</f>
        <v>873</v>
      </c>
      <c r="D42" s="118">
        <f>MAX(中央!44:44)</f>
        <v>980</v>
      </c>
      <c r="E42" s="118">
        <f t="shared" si="9"/>
        <v>107</v>
      </c>
      <c r="F42" s="221"/>
      <c r="G42" s="399"/>
      <c r="H42" s="243"/>
      <c r="I42" s="118"/>
      <c r="J42" s="267"/>
      <c r="K42" s="370"/>
      <c r="L42" s="243">
        <f t="shared" si="7"/>
        <v>0</v>
      </c>
      <c r="M42" s="118"/>
      <c r="N42" s="134"/>
      <c r="O42" s="122"/>
      <c r="P42" s="114"/>
      <c r="Q42" s="114"/>
      <c r="R42" s="148"/>
      <c r="S42" s="127">
        <v>85914</v>
      </c>
      <c r="AH42" s="70" t="s">
        <v>112</v>
      </c>
      <c r="AI42" s="70">
        <v>30</v>
      </c>
      <c r="AL42" s="70" t="s">
        <v>231</v>
      </c>
      <c r="AM42" s="70" t="s">
        <v>233</v>
      </c>
      <c r="AN42" s="70">
        <v>316600</v>
      </c>
      <c r="AP42" s="70" t="s">
        <v>235</v>
      </c>
      <c r="AQ42" s="70" t="s">
        <v>236</v>
      </c>
      <c r="AR42" s="70">
        <v>202000</v>
      </c>
    </row>
    <row r="43" spans="1:44" ht="15.75" customHeight="1" x14ac:dyDescent="0.2">
      <c r="A43" s="151" t="s">
        <v>235</v>
      </c>
      <c r="B43" s="289" t="s">
        <v>278</v>
      </c>
      <c r="C43" s="127">
        <f>MIN(中央!56:56)</f>
        <v>491</v>
      </c>
      <c r="D43" s="127">
        <f>MAX(中央!56:56)</f>
        <v>547</v>
      </c>
      <c r="E43" s="127">
        <f t="shared" si="9"/>
        <v>56</v>
      </c>
      <c r="F43" s="222">
        <f>SUM(E43:E46)</f>
        <v>321</v>
      </c>
      <c r="G43" s="401">
        <v>10</v>
      </c>
      <c r="H43" s="244">
        <v>7</v>
      </c>
      <c r="I43" s="127"/>
      <c r="J43" s="268"/>
      <c r="K43" s="372"/>
      <c r="L43" s="244">
        <f t="shared" si="7"/>
        <v>107000</v>
      </c>
      <c r="M43" s="127">
        <f>L43-F43*100</f>
        <v>74900</v>
      </c>
      <c r="N43" s="137"/>
      <c r="O43" s="122"/>
      <c r="P43" s="114"/>
      <c r="Q43" s="114"/>
      <c r="R43" s="148"/>
      <c r="AI43" s="70">
        <f>SUM(AI35:AI42)</f>
        <v>180</v>
      </c>
      <c r="AL43" s="70" t="s">
        <v>235</v>
      </c>
      <c r="AM43" s="70" t="s">
        <v>236</v>
      </c>
      <c r="AN43" s="70">
        <v>163500</v>
      </c>
      <c r="AP43" s="70" t="s">
        <v>237</v>
      </c>
      <c r="AQ43" s="70" t="s">
        <v>238</v>
      </c>
      <c r="AR43" s="70">
        <v>84900</v>
      </c>
    </row>
    <row r="44" spans="1:44" ht="15.75" customHeight="1" x14ac:dyDescent="0.2">
      <c r="A44" s="149"/>
      <c r="B44" s="286"/>
      <c r="C44" s="113">
        <f>MIN(中央!68:68)</f>
        <v>1181</v>
      </c>
      <c r="D44" s="113">
        <f>MAX(中央!68:68)</f>
        <v>1274</v>
      </c>
      <c r="E44" s="113">
        <f t="shared" si="9"/>
        <v>93</v>
      </c>
      <c r="F44" s="220"/>
      <c r="G44" s="398"/>
      <c r="H44" s="121"/>
      <c r="I44" s="113"/>
      <c r="J44" s="148"/>
      <c r="K44" s="369"/>
      <c r="L44" s="242">
        <f t="shared" si="7"/>
        <v>0</v>
      </c>
      <c r="M44" s="113"/>
      <c r="N44" s="133"/>
      <c r="O44" s="122"/>
      <c r="P44" s="114"/>
      <c r="Q44" s="114"/>
      <c r="R44" s="148"/>
      <c r="AL44" s="70" t="s">
        <v>237</v>
      </c>
      <c r="AM44" s="70" t="s">
        <v>238</v>
      </c>
      <c r="AN44" s="70">
        <v>49000</v>
      </c>
      <c r="AP44" s="70" t="s">
        <v>237</v>
      </c>
      <c r="AQ44" s="70" t="s">
        <v>239</v>
      </c>
      <c r="AR44" s="70">
        <v>133500</v>
      </c>
    </row>
    <row r="45" spans="1:44" ht="15.75" customHeight="1" x14ac:dyDescent="0.2">
      <c r="A45" s="149"/>
      <c r="B45" s="286"/>
      <c r="C45" s="113">
        <f>MIN(中央!80:80)</f>
        <v>802</v>
      </c>
      <c r="D45" s="113">
        <f>MAX(中央!80:80)</f>
        <v>891</v>
      </c>
      <c r="E45" s="113">
        <f t="shared" si="9"/>
        <v>89</v>
      </c>
      <c r="F45" s="220"/>
      <c r="G45" s="398"/>
      <c r="H45" s="121"/>
      <c r="I45" s="113"/>
      <c r="J45" s="148"/>
      <c r="K45" s="369"/>
      <c r="L45" s="121">
        <f t="shared" si="7"/>
        <v>0</v>
      </c>
      <c r="M45" s="113"/>
      <c r="N45" s="133"/>
      <c r="O45" s="122"/>
      <c r="P45" s="114"/>
      <c r="Q45" s="114"/>
      <c r="R45" s="148"/>
      <c r="S45" s="347"/>
      <c r="T45" s="348"/>
      <c r="U45" s="348"/>
      <c r="V45" s="348"/>
      <c r="AL45" s="70" t="s">
        <v>237</v>
      </c>
      <c r="AM45" s="70" t="s">
        <v>239</v>
      </c>
      <c r="AN45" s="70">
        <v>101100</v>
      </c>
      <c r="AP45" s="70" t="s">
        <v>237</v>
      </c>
      <c r="AQ45" s="70" t="s">
        <v>240</v>
      </c>
      <c r="AR45" s="70">
        <v>76600</v>
      </c>
    </row>
    <row r="46" spans="1:44" ht="15.75" customHeight="1" x14ac:dyDescent="0.2">
      <c r="A46" s="152"/>
      <c r="B46" s="290"/>
      <c r="C46" s="124">
        <f>MIN(中央!92:92)</f>
        <v>1064</v>
      </c>
      <c r="D46" s="124">
        <f>MAX(中央!92:92)</f>
        <v>1147</v>
      </c>
      <c r="E46" s="124">
        <f t="shared" si="9"/>
        <v>83</v>
      </c>
      <c r="F46" s="223"/>
      <c r="G46" s="402"/>
      <c r="H46" s="250"/>
      <c r="I46" s="124"/>
      <c r="J46" s="269"/>
      <c r="K46" s="373"/>
      <c r="L46" s="250">
        <f t="shared" si="7"/>
        <v>0</v>
      </c>
      <c r="M46" s="124"/>
      <c r="N46" s="138"/>
      <c r="O46" s="122"/>
      <c r="P46" s="114"/>
      <c r="Q46" s="114"/>
      <c r="R46" s="148"/>
      <c r="S46" s="347"/>
      <c r="T46" s="348"/>
      <c r="U46" s="348"/>
      <c r="V46" s="348"/>
      <c r="AL46" s="70" t="s">
        <v>237</v>
      </c>
      <c r="AM46" s="70" t="s">
        <v>240</v>
      </c>
      <c r="AN46" s="70">
        <v>97700</v>
      </c>
      <c r="AP46" s="70" t="s">
        <v>237</v>
      </c>
      <c r="AQ46" s="70" t="s">
        <v>242</v>
      </c>
      <c r="AR46" s="70">
        <v>124700</v>
      </c>
    </row>
    <row r="47" spans="1:44" ht="15.75" customHeight="1" x14ac:dyDescent="0.2">
      <c r="A47" s="172" t="s">
        <v>187</v>
      </c>
      <c r="B47" s="295" t="s">
        <v>280</v>
      </c>
      <c r="C47" s="110">
        <f>MIN(中央!104:104)</f>
        <v>7427</v>
      </c>
      <c r="D47" s="110">
        <f>MAX(中央!104:104)</f>
        <v>7793</v>
      </c>
      <c r="E47" s="110">
        <f t="shared" si="9"/>
        <v>366</v>
      </c>
      <c r="F47" s="219">
        <f>SUM(E47:E48)</f>
        <v>366</v>
      </c>
      <c r="G47" s="397">
        <v>12</v>
      </c>
      <c r="H47" s="241">
        <v>9</v>
      </c>
      <c r="I47" s="110"/>
      <c r="J47" s="266">
        <v>3</v>
      </c>
      <c r="K47" s="368"/>
      <c r="L47" s="241">
        <f t="shared" si="7"/>
        <v>129300</v>
      </c>
      <c r="M47" s="110">
        <f>L47-F47*100</f>
        <v>92700</v>
      </c>
      <c r="N47" s="132"/>
      <c r="O47" s="122"/>
      <c r="P47" s="114"/>
      <c r="Q47" s="114"/>
      <c r="R47" s="148"/>
      <c r="S47" s="347"/>
      <c r="T47" s="348"/>
      <c r="U47" s="348"/>
      <c r="V47" s="348"/>
      <c r="AL47" s="70" t="s">
        <v>237</v>
      </c>
      <c r="AM47" s="70" t="s">
        <v>242</v>
      </c>
      <c r="AN47" s="70">
        <v>126800</v>
      </c>
      <c r="AP47" s="70" t="s">
        <v>237</v>
      </c>
      <c r="AQ47" s="70" t="s">
        <v>243</v>
      </c>
      <c r="AR47" s="70">
        <v>80200</v>
      </c>
    </row>
    <row r="48" spans="1:44" ht="15.75" customHeight="1" thickBot="1" x14ac:dyDescent="0.25">
      <c r="A48" s="173"/>
      <c r="B48" s="298"/>
      <c r="C48" s="167"/>
      <c r="D48" s="167"/>
      <c r="E48" s="167"/>
      <c r="F48" s="228"/>
      <c r="G48" s="406"/>
      <c r="H48" s="255"/>
      <c r="I48" s="167"/>
      <c r="J48" s="159"/>
      <c r="K48" s="75"/>
      <c r="L48" s="74">
        <f t="shared" si="7"/>
        <v>0</v>
      </c>
      <c r="M48" s="255">
        <f>SUM(L39:L47)</f>
        <v>421200</v>
      </c>
      <c r="N48" s="175"/>
      <c r="O48" s="176"/>
      <c r="P48" s="158"/>
      <c r="Q48" s="158"/>
      <c r="R48" s="159"/>
      <c r="S48" s="347"/>
      <c r="T48" s="348"/>
      <c r="U48" s="348"/>
      <c r="V48" s="348"/>
      <c r="AL48" s="70" t="s">
        <v>237</v>
      </c>
      <c r="AM48" s="70" t="s">
        <v>243</v>
      </c>
      <c r="AN48" s="70">
        <v>33300</v>
      </c>
      <c r="AP48" s="70" t="s">
        <v>168</v>
      </c>
      <c r="AQ48" s="70" t="s">
        <v>244</v>
      </c>
      <c r="AR48" s="70">
        <v>163900</v>
      </c>
    </row>
    <row r="49" spans="1:44" ht="15.75" customHeight="1" thickBot="1" x14ac:dyDescent="0.25">
      <c r="A49" s="86" t="s">
        <v>166</v>
      </c>
      <c r="B49" s="283" t="s">
        <v>297</v>
      </c>
      <c r="C49" s="75"/>
      <c r="D49" s="75"/>
      <c r="E49" s="75"/>
      <c r="F49" s="75">
        <f>SUM(F50:F74)</f>
        <v>7233</v>
      </c>
      <c r="G49" s="392"/>
      <c r="H49" s="75"/>
      <c r="I49" s="75"/>
      <c r="J49" s="264"/>
      <c r="K49" s="75"/>
      <c r="L49" s="75">
        <f t="shared" si="7"/>
        <v>0</v>
      </c>
      <c r="M49" s="75"/>
      <c r="N49" s="76"/>
      <c r="O49" s="76"/>
      <c r="P49" s="76"/>
      <c r="Q49" s="76"/>
      <c r="R49" s="75"/>
      <c r="S49" s="348"/>
      <c r="T49" s="348"/>
      <c r="U49" s="348"/>
      <c r="V49" s="348"/>
      <c r="AL49" s="70" t="s">
        <v>168</v>
      </c>
      <c r="AM49" s="70" t="s">
        <v>244</v>
      </c>
      <c r="AN49" s="70">
        <v>130400</v>
      </c>
      <c r="AP49" s="70" t="s">
        <v>235</v>
      </c>
      <c r="AQ49" s="70" t="s">
        <v>245</v>
      </c>
      <c r="AR49" s="70">
        <v>222500</v>
      </c>
    </row>
    <row r="50" spans="1:44" ht="15.75" customHeight="1" x14ac:dyDescent="0.2">
      <c r="A50" s="179" t="s">
        <v>124</v>
      </c>
      <c r="B50" s="299"/>
      <c r="C50" s="141">
        <f>MIN(ガチャ!114:114)</f>
        <v>10282</v>
      </c>
      <c r="D50" s="141">
        <f>MAX(ガチャ!114:114)</f>
        <v>10338</v>
      </c>
      <c r="E50" s="141">
        <f t="shared" ref="E50:E59" si="10">D50-C50</f>
        <v>56</v>
      </c>
      <c r="F50" s="218">
        <f>E50*10</f>
        <v>560</v>
      </c>
      <c r="G50" s="404"/>
      <c r="H50" s="240">
        <v>116</v>
      </c>
      <c r="I50" s="141"/>
      <c r="J50" s="272"/>
      <c r="K50" s="262"/>
      <c r="L50" s="240">
        <f t="shared" si="7"/>
        <v>116000</v>
      </c>
      <c r="M50" s="141">
        <f>L50-F50*100</f>
        <v>60000</v>
      </c>
      <c r="N50" s="160"/>
      <c r="O50" s="161"/>
      <c r="P50" s="162"/>
      <c r="Q50" s="162"/>
      <c r="R50" s="146"/>
      <c r="S50" s="348"/>
      <c r="T50" s="348"/>
      <c r="U50" s="348"/>
      <c r="V50" s="348"/>
      <c r="AL50" s="70" t="s">
        <v>235</v>
      </c>
      <c r="AM50" s="70" t="s">
        <v>245</v>
      </c>
      <c r="AN50" s="70">
        <v>200500</v>
      </c>
      <c r="AP50" s="70" t="s">
        <v>247</v>
      </c>
      <c r="AQ50" s="70" t="s">
        <v>248</v>
      </c>
      <c r="AR50" s="70">
        <v>246100</v>
      </c>
    </row>
    <row r="51" spans="1:44" ht="15.75" customHeight="1" x14ac:dyDescent="0.2">
      <c r="A51" s="180" t="s">
        <v>298</v>
      </c>
      <c r="B51" s="300"/>
      <c r="C51" s="135">
        <f>MIN(ガチャ!104:104)</f>
        <v>9056</v>
      </c>
      <c r="D51" s="135">
        <f>MAX(ガチャ!104:104)</f>
        <v>9089</v>
      </c>
      <c r="E51" s="135">
        <f t="shared" si="10"/>
        <v>33</v>
      </c>
      <c r="F51" s="224">
        <f>E51*10</f>
        <v>330</v>
      </c>
      <c r="G51" s="400"/>
      <c r="H51" s="247">
        <v>124</v>
      </c>
      <c r="I51" s="135"/>
      <c r="J51" s="270"/>
      <c r="K51" s="371"/>
      <c r="L51" s="247">
        <f t="shared" si="7"/>
        <v>124000</v>
      </c>
      <c r="M51" s="135">
        <f>L51-F51*100</f>
        <v>91000</v>
      </c>
      <c r="N51" s="136"/>
      <c r="O51" s="122"/>
      <c r="P51" s="114"/>
      <c r="Q51" s="114"/>
      <c r="R51" s="148"/>
      <c r="S51" s="347"/>
      <c r="T51" s="348"/>
      <c r="U51" s="348"/>
      <c r="V51" s="348"/>
      <c r="AL51" s="70" t="s">
        <v>247</v>
      </c>
      <c r="AM51" s="70" t="s">
        <v>248</v>
      </c>
      <c r="AN51" s="70">
        <v>164200</v>
      </c>
      <c r="AP51" s="70" t="s">
        <v>249</v>
      </c>
      <c r="AQ51" s="70" t="s">
        <v>250</v>
      </c>
      <c r="AR51" s="70">
        <v>217500</v>
      </c>
    </row>
    <row r="52" spans="1:44" ht="15.75" customHeight="1" x14ac:dyDescent="0.2">
      <c r="A52" s="151" t="s">
        <v>168</v>
      </c>
      <c r="B52" s="289" t="s">
        <v>300</v>
      </c>
      <c r="C52" s="127">
        <f>MIN(川内!8:8)</f>
        <v>36383</v>
      </c>
      <c r="D52" s="127">
        <f>MAX(川内!8:8)</f>
        <v>36770</v>
      </c>
      <c r="E52" s="127">
        <f t="shared" si="10"/>
        <v>387</v>
      </c>
      <c r="F52" s="222">
        <f>SUM(E52:E55)</f>
        <v>1194</v>
      </c>
      <c r="G52" s="401">
        <v>35</v>
      </c>
      <c r="H52" s="244">
        <v>7</v>
      </c>
      <c r="I52" s="127"/>
      <c r="J52" s="268">
        <v>8</v>
      </c>
      <c r="K52" s="372"/>
      <c r="L52" s="244">
        <f t="shared" si="7"/>
        <v>357800</v>
      </c>
      <c r="M52" s="127">
        <f>L52-F52*100</f>
        <v>238400</v>
      </c>
      <c r="N52" s="137">
        <v>900</v>
      </c>
      <c r="O52" s="122"/>
      <c r="P52" s="114"/>
      <c r="Q52" s="114"/>
      <c r="R52" s="148"/>
      <c r="S52" s="347"/>
      <c r="T52" s="348"/>
      <c r="U52" s="348"/>
      <c r="V52" s="348"/>
      <c r="AL52" s="70" t="s">
        <v>249</v>
      </c>
      <c r="AM52" s="70" t="s">
        <v>250</v>
      </c>
      <c r="AN52" s="70">
        <v>147300</v>
      </c>
      <c r="AP52" s="70" t="s">
        <v>251</v>
      </c>
      <c r="AQ52" s="70" t="s">
        <v>252</v>
      </c>
      <c r="AR52" s="70">
        <v>276900</v>
      </c>
    </row>
    <row r="53" spans="1:44" ht="15.75" customHeight="1" x14ac:dyDescent="0.2">
      <c r="A53" s="149"/>
      <c r="B53" s="286"/>
      <c r="C53" s="113">
        <f>MIN(川内!20:20)</f>
        <v>39810</v>
      </c>
      <c r="D53" s="113">
        <f>MAX(川内!20:20)</f>
        <v>39850</v>
      </c>
      <c r="E53" s="113">
        <f t="shared" si="10"/>
        <v>40</v>
      </c>
      <c r="F53" s="220"/>
      <c r="G53" s="398"/>
      <c r="H53" s="121"/>
      <c r="I53" s="113"/>
      <c r="J53" s="148"/>
      <c r="K53" s="369"/>
      <c r="L53" s="242">
        <f t="shared" si="7"/>
        <v>0</v>
      </c>
      <c r="M53" s="113"/>
      <c r="N53" s="133"/>
      <c r="O53" s="122"/>
      <c r="P53" s="114"/>
      <c r="Q53" s="114"/>
      <c r="R53" s="148"/>
      <c r="S53" s="348"/>
      <c r="T53" s="348"/>
      <c r="U53" s="348"/>
      <c r="V53" s="348"/>
      <c r="AL53" s="70" t="s">
        <v>251</v>
      </c>
      <c r="AM53" s="70" t="s">
        <v>252</v>
      </c>
      <c r="AN53" s="70">
        <v>253600</v>
      </c>
      <c r="AP53" s="70" t="s">
        <v>235</v>
      </c>
      <c r="AQ53" s="70" t="s">
        <v>253</v>
      </c>
      <c r="AR53" s="70">
        <v>132200</v>
      </c>
    </row>
    <row r="54" spans="1:44" ht="15.75" customHeight="1" x14ac:dyDescent="0.2">
      <c r="A54" s="149"/>
      <c r="B54" s="286"/>
      <c r="C54" s="113">
        <f>MIN(川内!32:32)</f>
        <v>36998</v>
      </c>
      <c r="D54" s="113">
        <f>MAX(川内!32:32)</f>
        <v>37102</v>
      </c>
      <c r="E54" s="113">
        <f t="shared" si="10"/>
        <v>104</v>
      </c>
      <c r="F54" s="220"/>
      <c r="G54" s="398"/>
      <c r="H54" s="121"/>
      <c r="I54" s="113"/>
      <c r="J54" s="148"/>
      <c r="K54" s="369"/>
      <c r="L54" s="121">
        <f t="shared" si="7"/>
        <v>0</v>
      </c>
      <c r="M54" s="113"/>
      <c r="N54" s="133"/>
      <c r="O54" s="122"/>
      <c r="P54" s="114"/>
      <c r="Q54" s="114"/>
      <c r="R54" s="148"/>
      <c r="S54" s="348"/>
      <c r="T54" s="348"/>
      <c r="U54" s="348"/>
      <c r="V54" s="348"/>
      <c r="AL54" s="70" t="s">
        <v>235</v>
      </c>
      <c r="AM54" s="70" t="s">
        <v>253</v>
      </c>
      <c r="AN54" s="70">
        <v>135000</v>
      </c>
      <c r="AP54" s="70" t="s">
        <v>237</v>
      </c>
      <c r="AQ54" s="70" t="s">
        <v>254</v>
      </c>
      <c r="AR54" s="70">
        <v>300600</v>
      </c>
    </row>
    <row r="55" spans="1:44" ht="15.75" customHeight="1" x14ac:dyDescent="0.2">
      <c r="A55" s="152"/>
      <c r="B55" s="290"/>
      <c r="C55" s="124">
        <f>MIN(川内!44:44)</f>
        <v>38885</v>
      </c>
      <c r="D55" s="124">
        <f>MAX(川内!44:44)</f>
        <v>39548</v>
      </c>
      <c r="E55" s="124">
        <f t="shared" si="10"/>
        <v>663</v>
      </c>
      <c r="F55" s="223"/>
      <c r="G55" s="402"/>
      <c r="H55" s="250"/>
      <c r="I55" s="124"/>
      <c r="J55" s="269"/>
      <c r="K55" s="373"/>
      <c r="L55" s="250">
        <f t="shared" si="7"/>
        <v>0</v>
      </c>
      <c r="M55" s="124"/>
      <c r="N55" s="138"/>
      <c r="O55" s="122"/>
      <c r="P55" s="114"/>
      <c r="Q55" s="114"/>
      <c r="R55" s="148"/>
      <c r="S55" s="348"/>
      <c r="T55" s="348"/>
      <c r="U55" s="348"/>
      <c r="V55" s="348"/>
      <c r="AL55" s="70" t="s">
        <v>237</v>
      </c>
      <c r="AM55" s="70" t="s">
        <v>254</v>
      </c>
      <c r="AN55" s="70">
        <v>167100</v>
      </c>
      <c r="AP55" s="70" t="s">
        <v>247</v>
      </c>
      <c r="AQ55" s="70" t="s">
        <v>255</v>
      </c>
      <c r="AR55" s="70">
        <v>113300</v>
      </c>
    </row>
    <row r="56" spans="1:44" ht="15.75" customHeight="1" x14ac:dyDescent="0.2">
      <c r="A56" s="147" t="s">
        <v>231</v>
      </c>
      <c r="B56" s="285" t="s">
        <v>233</v>
      </c>
      <c r="C56" s="110">
        <f>MIN(川内!56:56)</f>
        <v>37822</v>
      </c>
      <c r="D56" s="110">
        <f>MAX(川内!56:56)</f>
        <v>38078</v>
      </c>
      <c r="E56" s="110">
        <f t="shared" si="10"/>
        <v>256</v>
      </c>
      <c r="F56" s="219">
        <f>SUM(E56:E59)</f>
        <v>1296</v>
      </c>
      <c r="G56" s="397">
        <v>36</v>
      </c>
      <c r="H56" s="241"/>
      <c r="I56" s="110"/>
      <c r="J56" s="266">
        <v>6</v>
      </c>
      <c r="K56" s="368"/>
      <c r="L56" s="241">
        <f t="shared" si="7"/>
        <v>360600</v>
      </c>
      <c r="M56" s="110">
        <f>L56-F56*100</f>
        <v>231000</v>
      </c>
      <c r="N56" s="132"/>
      <c r="O56" s="122"/>
      <c r="P56" s="114"/>
      <c r="Q56" s="114"/>
      <c r="R56" s="148"/>
      <c r="AL56" s="70" t="s">
        <v>247</v>
      </c>
      <c r="AM56" s="70" t="s">
        <v>255</v>
      </c>
      <c r="AN56" s="70">
        <v>105800</v>
      </c>
      <c r="AP56" s="70" t="s">
        <v>168</v>
      </c>
      <c r="AQ56" s="70" t="s">
        <v>256</v>
      </c>
      <c r="AR56" s="70">
        <v>357800</v>
      </c>
    </row>
    <row r="57" spans="1:44" ht="15.75" customHeight="1" x14ac:dyDescent="0.2">
      <c r="A57" s="149"/>
      <c r="B57" s="286"/>
      <c r="C57" s="113">
        <f>MIN(川内!68:68)</f>
        <v>37314</v>
      </c>
      <c r="D57" s="113">
        <f>MAX(川内!68:68)</f>
        <v>37631</v>
      </c>
      <c r="E57" s="113">
        <f t="shared" si="10"/>
        <v>317</v>
      </c>
      <c r="F57" s="220"/>
      <c r="G57" s="398"/>
      <c r="H57" s="121"/>
      <c r="I57" s="113"/>
      <c r="J57" s="148"/>
      <c r="K57" s="369"/>
      <c r="L57" s="242">
        <f t="shared" si="7"/>
        <v>0</v>
      </c>
      <c r="M57" s="113"/>
      <c r="N57" s="133"/>
      <c r="O57" s="122"/>
      <c r="P57" s="114"/>
      <c r="Q57" s="114"/>
      <c r="R57" s="148"/>
      <c r="AL57" s="70" t="s">
        <v>168</v>
      </c>
      <c r="AM57" s="70" t="s">
        <v>256</v>
      </c>
      <c r="AN57" s="70">
        <v>274200</v>
      </c>
      <c r="AP57" s="70" t="s">
        <v>237</v>
      </c>
      <c r="AQ57" s="70" t="s">
        <v>257</v>
      </c>
      <c r="AR57" s="70">
        <v>412600</v>
      </c>
    </row>
    <row r="58" spans="1:44" ht="15.75" customHeight="1" x14ac:dyDescent="0.2">
      <c r="A58" s="149"/>
      <c r="B58" s="286"/>
      <c r="C58" s="113">
        <f>MIN(川内!80:80)</f>
        <v>30481</v>
      </c>
      <c r="D58" s="113">
        <f>MAX(川内!80:80)</f>
        <v>30770</v>
      </c>
      <c r="E58" s="113">
        <f t="shared" si="10"/>
        <v>289</v>
      </c>
      <c r="F58" s="220"/>
      <c r="G58" s="398"/>
      <c r="H58" s="121"/>
      <c r="I58" s="113"/>
      <c r="J58" s="148"/>
      <c r="K58" s="369"/>
      <c r="L58" s="121">
        <f t="shared" si="7"/>
        <v>0</v>
      </c>
      <c r="M58" s="113"/>
      <c r="N58" s="133"/>
      <c r="O58" s="122"/>
      <c r="P58" s="114"/>
      <c r="Q58" s="114"/>
      <c r="R58" s="148"/>
      <c r="AL58" s="70" t="s">
        <v>237</v>
      </c>
      <c r="AM58" s="70" t="s">
        <v>257</v>
      </c>
      <c r="AN58" s="70">
        <v>296700</v>
      </c>
      <c r="AP58" s="70" t="s">
        <v>237</v>
      </c>
      <c r="AQ58" s="70" t="s">
        <v>258</v>
      </c>
      <c r="AR58" s="70">
        <v>395300</v>
      </c>
    </row>
    <row r="59" spans="1:44" ht="15.75" customHeight="1" x14ac:dyDescent="0.2">
      <c r="A59" s="150"/>
      <c r="B59" s="287"/>
      <c r="C59" s="118">
        <f>MIN(川内!92:92)</f>
        <v>40085</v>
      </c>
      <c r="D59" s="118">
        <f>MAX(川内!92:92)</f>
        <v>40519</v>
      </c>
      <c r="E59" s="118">
        <f t="shared" si="10"/>
        <v>434</v>
      </c>
      <c r="F59" s="221"/>
      <c r="G59" s="399"/>
      <c r="H59" s="243"/>
      <c r="I59" s="118"/>
      <c r="J59" s="267"/>
      <c r="K59" s="370"/>
      <c r="L59" s="243">
        <f t="shared" si="7"/>
        <v>0</v>
      </c>
      <c r="M59" s="118"/>
      <c r="N59" s="134"/>
      <c r="O59" s="122"/>
      <c r="P59" s="114"/>
      <c r="Q59" s="114"/>
      <c r="R59" s="148"/>
      <c r="AL59" s="70" t="s">
        <v>237</v>
      </c>
      <c r="AM59" s="70" t="s">
        <v>258</v>
      </c>
      <c r="AN59" s="70">
        <v>220600</v>
      </c>
      <c r="AP59" s="70" t="s">
        <v>38</v>
      </c>
      <c r="AQ59" s="70" t="s">
        <v>260</v>
      </c>
      <c r="AR59" s="70">
        <v>140000</v>
      </c>
    </row>
    <row r="60" spans="1:44" ht="15.75" customHeight="1" x14ac:dyDescent="0.2">
      <c r="A60" s="151" t="s">
        <v>134</v>
      </c>
      <c r="B60" s="289"/>
      <c r="C60" s="127">
        <f>MIN(ガチャ!124:124)</f>
        <v>21531</v>
      </c>
      <c r="D60" s="127">
        <f>MAX(ガチャ!124:124)</f>
        <v>21620</v>
      </c>
      <c r="E60" s="127">
        <f t="shared" ref="E60:E61" si="11">D60-C60</f>
        <v>89</v>
      </c>
      <c r="F60" s="222">
        <f>SUM(E60:E61)</f>
        <v>204</v>
      </c>
      <c r="G60" s="401"/>
      <c r="H60" s="244"/>
      <c r="I60" s="127">
        <v>31</v>
      </c>
      <c r="J60" s="268">
        <v>300</v>
      </c>
      <c r="K60" s="372"/>
      <c r="L60" s="244">
        <f t="shared" si="7"/>
        <v>45500</v>
      </c>
      <c r="M60" s="127">
        <f>L60-F60*100</f>
        <v>25100</v>
      </c>
      <c r="N60" s="137">
        <v>600</v>
      </c>
      <c r="O60" s="122"/>
      <c r="P60" s="114"/>
      <c r="Q60" s="114"/>
      <c r="R60" s="148"/>
      <c r="AL60" s="70" t="s">
        <v>38</v>
      </c>
      <c r="AM60" s="70" t="s">
        <v>260</v>
      </c>
      <c r="AN60" s="70">
        <v>107600</v>
      </c>
      <c r="AP60" s="70" t="s">
        <v>139</v>
      </c>
      <c r="AQ60" s="70" t="s">
        <v>261</v>
      </c>
      <c r="AR60" s="70">
        <v>183500</v>
      </c>
    </row>
    <row r="61" spans="1:44" ht="15.75" customHeight="1" x14ac:dyDescent="0.2">
      <c r="A61" s="152"/>
      <c r="B61" s="290"/>
      <c r="C61" s="124">
        <f>MIN(ガチャ!134:134)</f>
        <v>16208</v>
      </c>
      <c r="D61" s="124">
        <f>MAX(ガチャ!134:134)</f>
        <v>16323</v>
      </c>
      <c r="E61" s="124">
        <f t="shared" si="11"/>
        <v>115</v>
      </c>
      <c r="F61" s="223"/>
      <c r="G61" s="402"/>
      <c r="H61" s="250"/>
      <c r="I61" s="124"/>
      <c r="J61" s="269"/>
      <c r="K61" s="373"/>
      <c r="L61" s="245">
        <f t="shared" si="7"/>
        <v>0</v>
      </c>
      <c r="M61" s="124"/>
      <c r="N61" s="138"/>
      <c r="O61" s="122"/>
      <c r="P61" s="114"/>
      <c r="Q61" s="114"/>
      <c r="R61" s="148"/>
      <c r="AL61" s="70" t="s">
        <v>139</v>
      </c>
      <c r="AM61" s="70" t="s">
        <v>261</v>
      </c>
      <c r="AN61" s="70">
        <v>145800</v>
      </c>
      <c r="AP61" s="70" t="s">
        <v>262</v>
      </c>
      <c r="AQ61" s="70" t="s">
        <v>263</v>
      </c>
      <c r="AR61" s="70">
        <v>244500</v>
      </c>
    </row>
    <row r="62" spans="1:44" ht="15.75" customHeight="1" x14ac:dyDescent="0.2">
      <c r="A62" s="153" t="s">
        <v>224</v>
      </c>
      <c r="B62" s="288" t="s">
        <v>229</v>
      </c>
      <c r="C62" s="135">
        <f>MIN(川内!104:104)</f>
        <v>30029</v>
      </c>
      <c r="D62" s="135">
        <f>MAX(川内!104:104)</f>
        <v>30270</v>
      </c>
      <c r="E62" s="135">
        <f t="shared" ref="E62:E74" si="12">D62-C62</f>
        <v>241</v>
      </c>
      <c r="F62" s="224">
        <f>SUM(E62)</f>
        <v>241</v>
      </c>
      <c r="G62" s="400"/>
      <c r="H62" s="247">
        <v>63</v>
      </c>
      <c r="I62" s="135"/>
      <c r="J62" s="270">
        <v>9</v>
      </c>
      <c r="K62" s="371"/>
      <c r="L62" s="247">
        <f t="shared" si="7"/>
        <v>63900</v>
      </c>
      <c r="M62" s="135">
        <f>L62-F62*100</f>
        <v>39800</v>
      </c>
      <c r="N62" s="136"/>
      <c r="O62" s="122"/>
      <c r="P62" s="114"/>
      <c r="Q62" s="114"/>
      <c r="R62" s="148"/>
      <c r="AL62" s="70" t="s">
        <v>262</v>
      </c>
      <c r="AM62" s="70" t="s">
        <v>263</v>
      </c>
      <c r="AN62" s="70">
        <v>318300</v>
      </c>
      <c r="AP62" s="70" t="s">
        <v>168</v>
      </c>
      <c r="AQ62" s="70" t="s">
        <v>264</v>
      </c>
      <c r="AR62" s="70">
        <v>259700</v>
      </c>
    </row>
    <row r="63" spans="1:44" ht="15.75" customHeight="1" x14ac:dyDescent="0.2">
      <c r="A63" s="181" t="s">
        <v>187</v>
      </c>
      <c r="B63" s="301" t="s">
        <v>240</v>
      </c>
      <c r="C63" s="169">
        <f>MIN(川内!116:116)</f>
        <v>31178</v>
      </c>
      <c r="D63" s="169">
        <f>MAX(川内!116:116)</f>
        <v>31434</v>
      </c>
      <c r="E63" s="169">
        <f t="shared" si="12"/>
        <v>256</v>
      </c>
      <c r="F63" s="229">
        <f>SUM(E63:E63)</f>
        <v>256</v>
      </c>
      <c r="G63" s="407"/>
      <c r="H63" s="253">
        <v>75</v>
      </c>
      <c r="I63" s="169"/>
      <c r="J63" s="274">
        <v>7</v>
      </c>
      <c r="K63" s="75"/>
      <c r="L63" s="253">
        <f t="shared" si="7"/>
        <v>75700</v>
      </c>
      <c r="M63" s="169">
        <f>L63-F63*100</f>
        <v>50100</v>
      </c>
      <c r="N63" s="178"/>
      <c r="O63" s="122"/>
      <c r="P63" s="114"/>
      <c r="Q63" s="114"/>
      <c r="R63" s="148"/>
      <c r="AL63" s="70" t="s">
        <v>168</v>
      </c>
      <c r="AM63" s="70" t="s">
        <v>264</v>
      </c>
      <c r="AN63" s="70">
        <v>197700</v>
      </c>
      <c r="AP63" s="70" t="s">
        <v>247</v>
      </c>
      <c r="AQ63" s="70" t="s">
        <v>265</v>
      </c>
      <c r="AR63" s="70">
        <v>111200</v>
      </c>
    </row>
    <row r="64" spans="1:44" ht="15.75" customHeight="1" x14ac:dyDescent="0.2">
      <c r="A64" s="153" t="s">
        <v>237</v>
      </c>
      <c r="B64" s="288" t="s">
        <v>242</v>
      </c>
      <c r="C64" s="135">
        <f>MIN(川内!128:128)</f>
        <v>31002</v>
      </c>
      <c r="D64" s="135">
        <f>MAX(川内!128:128)</f>
        <v>31377</v>
      </c>
      <c r="E64" s="135">
        <f t="shared" si="12"/>
        <v>375</v>
      </c>
      <c r="F64" s="224">
        <f>SUM(E64:E64)</f>
        <v>375</v>
      </c>
      <c r="G64" s="400">
        <v>2</v>
      </c>
      <c r="H64" s="247">
        <v>64</v>
      </c>
      <c r="I64" s="135"/>
      <c r="J64" s="270">
        <v>8</v>
      </c>
      <c r="K64" s="371"/>
      <c r="L64" s="247">
        <f t="shared" si="7"/>
        <v>84800</v>
      </c>
      <c r="M64" s="135">
        <f>L64-F64*100</f>
        <v>47300</v>
      </c>
      <c r="N64" s="136"/>
      <c r="O64" s="122"/>
      <c r="P64" s="114"/>
      <c r="Q64" s="114"/>
      <c r="R64" s="148"/>
      <c r="AL64" s="70" t="s">
        <v>247</v>
      </c>
      <c r="AM64" s="70" t="s">
        <v>265</v>
      </c>
      <c r="AN64" s="70">
        <v>107700</v>
      </c>
      <c r="AP64" s="70" t="s">
        <v>249</v>
      </c>
      <c r="AQ64" s="70" t="s">
        <v>266</v>
      </c>
      <c r="AR64" s="70">
        <v>136100</v>
      </c>
    </row>
    <row r="65" spans="1:44" ht="15.75" customHeight="1" x14ac:dyDescent="0.2">
      <c r="A65" s="151" t="s">
        <v>301</v>
      </c>
      <c r="B65" s="289" t="s">
        <v>263</v>
      </c>
      <c r="C65" s="127">
        <f>MIN(川内!140:140)</f>
        <v>6739</v>
      </c>
      <c r="D65" s="127">
        <f>MAX(川内!140:140)</f>
        <v>6928</v>
      </c>
      <c r="E65" s="127">
        <f t="shared" si="12"/>
        <v>189</v>
      </c>
      <c r="F65" s="222">
        <f>SUM(E65:E68)</f>
        <v>743</v>
      </c>
      <c r="G65" s="401">
        <v>25</v>
      </c>
      <c r="H65" s="244">
        <v>6</v>
      </c>
      <c r="I65" s="127"/>
      <c r="J65" s="268">
        <v>4</v>
      </c>
      <c r="K65" s="372"/>
      <c r="L65" s="244">
        <f t="shared" si="7"/>
        <v>256400</v>
      </c>
      <c r="M65" s="127">
        <f>L65-F65*100</f>
        <v>182100</v>
      </c>
      <c r="N65" s="137"/>
      <c r="O65" s="122"/>
      <c r="P65" s="114"/>
      <c r="Q65" s="114"/>
      <c r="R65" s="148"/>
      <c r="AL65" s="70" t="s">
        <v>249</v>
      </c>
      <c r="AM65" s="70" t="s">
        <v>266</v>
      </c>
      <c r="AN65" s="70">
        <v>163600</v>
      </c>
      <c r="AP65" s="70" t="s">
        <v>267</v>
      </c>
      <c r="AQ65" s="70" t="s">
        <v>268</v>
      </c>
      <c r="AR65" s="70">
        <v>200400</v>
      </c>
    </row>
    <row r="66" spans="1:44" ht="15.75" customHeight="1" x14ac:dyDescent="0.2">
      <c r="A66" s="149"/>
      <c r="B66" s="286"/>
      <c r="C66" s="113">
        <f>MIN(川内!152:152)</f>
        <v>5059</v>
      </c>
      <c r="D66" s="113">
        <f>MAX(川内!152:152)</f>
        <v>5187</v>
      </c>
      <c r="E66" s="113">
        <f t="shared" si="12"/>
        <v>128</v>
      </c>
      <c r="F66" s="220"/>
      <c r="G66" s="398"/>
      <c r="H66" s="121"/>
      <c r="I66" s="113"/>
      <c r="J66" s="148"/>
      <c r="K66" s="369"/>
      <c r="L66" s="242">
        <f t="shared" si="7"/>
        <v>0</v>
      </c>
      <c r="M66" s="113"/>
      <c r="N66" s="133"/>
      <c r="O66" s="122"/>
      <c r="P66" s="114"/>
      <c r="Q66" s="114"/>
      <c r="R66" s="148"/>
      <c r="AL66" s="70" t="s">
        <v>267</v>
      </c>
      <c r="AM66" s="70" t="s">
        <v>268</v>
      </c>
      <c r="AN66" s="70">
        <v>208200</v>
      </c>
      <c r="AP66" s="70" t="s">
        <v>168</v>
      </c>
      <c r="AQ66" s="70" t="s">
        <v>169</v>
      </c>
      <c r="AR66" s="70">
        <v>173900</v>
      </c>
    </row>
    <row r="67" spans="1:44" ht="15.75" customHeight="1" x14ac:dyDescent="0.2">
      <c r="A67" s="149"/>
      <c r="B67" s="286"/>
      <c r="C67" s="113">
        <f>MIN(川内!164:164)</f>
        <v>5723</v>
      </c>
      <c r="D67" s="113">
        <f>MAX(川内!164:164)</f>
        <v>5946</v>
      </c>
      <c r="E67" s="113">
        <f t="shared" si="12"/>
        <v>223</v>
      </c>
      <c r="F67" s="220"/>
      <c r="G67" s="398"/>
      <c r="H67" s="121"/>
      <c r="I67" s="113"/>
      <c r="J67" s="148"/>
      <c r="K67" s="369"/>
      <c r="L67" s="121">
        <f t="shared" si="7"/>
        <v>0</v>
      </c>
      <c r="M67" s="113"/>
      <c r="N67" s="133"/>
      <c r="O67" s="122"/>
      <c r="P67" s="114"/>
      <c r="Q67" s="114"/>
      <c r="R67" s="148"/>
      <c r="AL67" s="70" t="s">
        <v>168</v>
      </c>
      <c r="AM67" s="70" t="s">
        <v>169</v>
      </c>
      <c r="AN67" s="70">
        <v>145600</v>
      </c>
      <c r="AP67" s="70" t="s">
        <v>168</v>
      </c>
      <c r="AQ67" s="70" t="s">
        <v>177</v>
      </c>
      <c r="AR67" s="70">
        <v>152500</v>
      </c>
    </row>
    <row r="68" spans="1:44" ht="15.75" customHeight="1" x14ac:dyDescent="0.2">
      <c r="A68" s="152"/>
      <c r="B68" s="290"/>
      <c r="C68" s="124">
        <f>MIN(川内!176:176)</f>
        <v>5255</v>
      </c>
      <c r="D68" s="124">
        <f>MAX(川内!176:176)</f>
        <v>5458</v>
      </c>
      <c r="E68" s="124">
        <f t="shared" si="12"/>
        <v>203</v>
      </c>
      <c r="F68" s="223"/>
      <c r="G68" s="402"/>
      <c r="H68" s="250"/>
      <c r="I68" s="124"/>
      <c r="J68" s="269"/>
      <c r="K68" s="373"/>
      <c r="L68" s="250">
        <f t="shared" si="7"/>
        <v>0</v>
      </c>
      <c r="M68" s="124"/>
      <c r="N68" s="138"/>
      <c r="O68" s="122"/>
      <c r="P68" s="114"/>
      <c r="Q68" s="114"/>
      <c r="R68" s="148"/>
      <c r="AL68" s="70" t="s">
        <v>168</v>
      </c>
      <c r="AM68" s="70" t="s">
        <v>177</v>
      </c>
      <c r="AN68" s="70">
        <v>136700</v>
      </c>
      <c r="AP68" s="70" t="s">
        <v>249</v>
      </c>
      <c r="AQ68" s="70" t="s">
        <v>269</v>
      </c>
      <c r="AR68" s="70">
        <v>128600</v>
      </c>
    </row>
    <row r="69" spans="1:44" ht="15.75" customHeight="1" x14ac:dyDescent="0.2">
      <c r="A69" s="147" t="s">
        <v>302</v>
      </c>
      <c r="B69" s="285" t="s">
        <v>268</v>
      </c>
      <c r="C69" s="110">
        <f>MIN(川内!188:188)</f>
        <v>6272</v>
      </c>
      <c r="D69" s="110">
        <f>MAX(川内!188:188)</f>
        <v>6597</v>
      </c>
      <c r="E69" s="110">
        <f t="shared" si="12"/>
        <v>325</v>
      </c>
      <c r="F69" s="219">
        <f>SUM(E69:E72)</f>
        <v>815</v>
      </c>
      <c r="G69" s="397">
        <v>22</v>
      </c>
      <c r="H69" s="241">
        <v>2</v>
      </c>
      <c r="I69" s="110"/>
      <c r="J69" s="266">
        <v>2</v>
      </c>
      <c r="K69" s="368"/>
      <c r="L69" s="241">
        <f t="shared" si="7"/>
        <v>222200</v>
      </c>
      <c r="M69" s="110">
        <f>L69-F69*100</f>
        <v>140700</v>
      </c>
      <c r="N69" s="132"/>
      <c r="O69" s="122"/>
      <c r="P69" s="114"/>
      <c r="Q69" s="114"/>
      <c r="R69" s="148"/>
      <c r="AL69" s="70" t="s">
        <v>249</v>
      </c>
      <c r="AM69" s="70" t="s">
        <v>269</v>
      </c>
      <c r="AN69" s="70">
        <v>178900</v>
      </c>
      <c r="AP69" s="70" t="s">
        <v>270</v>
      </c>
      <c r="AQ69" s="70" t="s">
        <v>271</v>
      </c>
      <c r="AR69" s="70">
        <v>259800</v>
      </c>
    </row>
    <row r="70" spans="1:44" ht="15.75" customHeight="1" x14ac:dyDescent="0.2">
      <c r="A70" s="149"/>
      <c r="B70" s="286"/>
      <c r="C70" s="113">
        <f>MIN(川内!200:200)</f>
        <v>6589</v>
      </c>
      <c r="D70" s="113">
        <f>MAX(川内!200:200)</f>
        <v>6755</v>
      </c>
      <c r="E70" s="113">
        <f t="shared" si="12"/>
        <v>166</v>
      </c>
      <c r="F70" s="220"/>
      <c r="G70" s="398"/>
      <c r="H70" s="121"/>
      <c r="I70" s="113"/>
      <c r="J70" s="148"/>
      <c r="K70" s="369"/>
      <c r="L70" s="242">
        <f t="shared" si="7"/>
        <v>0</v>
      </c>
      <c r="M70" s="113"/>
      <c r="N70" s="133"/>
      <c r="O70" s="122"/>
      <c r="P70" s="114"/>
      <c r="Q70" s="114"/>
      <c r="R70" s="148"/>
      <c r="AL70" s="70" t="s">
        <v>270</v>
      </c>
      <c r="AM70" s="70" t="s">
        <v>271</v>
      </c>
      <c r="AN70" s="70">
        <v>210900</v>
      </c>
      <c r="AP70" s="70" t="s">
        <v>168</v>
      </c>
      <c r="AQ70" s="70" t="s">
        <v>273</v>
      </c>
      <c r="AR70" s="70">
        <v>96000</v>
      </c>
    </row>
    <row r="71" spans="1:44" ht="15.75" customHeight="1" x14ac:dyDescent="0.2">
      <c r="A71" s="149"/>
      <c r="B71" s="286"/>
      <c r="C71" s="113">
        <f>MIN(川内!212:212)</f>
        <v>6110</v>
      </c>
      <c r="D71" s="113">
        <f>MAX(川内!212:212)</f>
        <v>6291</v>
      </c>
      <c r="E71" s="113">
        <f t="shared" si="12"/>
        <v>181</v>
      </c>
      <c r="F71" s="220"/>
      <c r="G71" s="398"/>
      <c r="H71" s="121"/>
      <c r="I71" s="113"/>
      <c r="J71" s="148"/>
      <c r="K71" s="369"/>
      <c r="L71" s="121">
        <f t="shared" si="7"/>
        <v>0</v>
      </c>
      <c r="M71" s="113"/>
      <c r="N71" s="133"/>
      <c r="O71" s="122"/>
      <c r="P71" s="114"/>
      <c r="Q71" s="114"/>
      <c r="R71" s="148"/>
      <c r="AL71" s="70" t="s">
        <v>168</v>
      </c>
      <c r="AM71" s="70" t="s">
        <v>273</v>
      </c>
      <c r="AN71" s="70">
        <v>128200</v>
      </c>
      <c r="AP71" s="70" t="s">
        <v>235</v>
      </c>
      <c r="AQ71" s="70" t="s">
        <v>274</v>
      </c>
      <c r="AR71" s="70">
        <v>204400</v>
      </c>
    </row>
    <row r="72" spans="1:44" ht="15.75" customHeight="1" x14ac:dyDescent="0.2">
      <c r="A72" s="150"/>
      <c r="B72" s="287"/>
      <c r="C72" s="118">
        <f>MIN(川内!224:224)</f>
        <v>6199</v>
      </c>
      <c r="D72" s="118">
        <f>MAX(川内!224:224)</f>
        <v>6342</v>
      </c>
      <c r="E72" s="118">
        <f t="shared" si="12"/>
        <v>143</v>
      </c>
      <c r="F72" s="221"/>
      <c r="G72" s="399"/>
      <c r="H72" s="243"/>
      <c r="I72" s="118"/>
      <c r="J72" s="267"/>
      <c r="K72" s="370"/>
      <c r="L72" s="243">
        <f t="shared" si="7"/>
        <v>0</v>
      </c>
      <c r="M72" s="118"/>
      <c r="N72" s="134"/>
      <c r="O72" s="122"/>
      <c r="P72" s="114"/>
      <c r="Q72" s="114"/>
      <c r="R72" s="148"/>
      <c r="AL72" s="70" t="s">
        <v>235</v>
      </c>
      <c r="AM72" s="70" t="s">
        <v>274</v>
      </c>
      <c r="AN72" s="70">
        <v>157600</v>
      </c>
      <c r="AP72" s="70" t="s">
        <v>275</v>
      </c>
      <c r="AQ72" s="70" t="s">
        <v>276</v>
      </c>
      <c r="AR72" s="70">
        <v>647700</v>
      </c>
    </row>
    <row r="73" spans="1:44" ht="15.75" customHeight="1" x14ac:dyDescent="0.2">
      <c r="A73" s="151" t="s">
        <v>91</v>
      </c>
      <c r="B73" s="289" t="s">
        <v>276</v>
      </c>
      <c r="C73" s="127">
        <f>MIN(川内!C236:AS236)</f>
        <v>94312</v>
      </c>
      <c r="D73" s="127">
        <f>MAX(川内!D236:AT236)</f>
        <v>94824</v>
      </c>
      <c r="E73" s="127">
        <f t="shared" si="12"/>
        <v>512</v>
      </c>
      <c r="F73" s="222">
        <f>SUM(E73:E74)</f>
        <v>1219</v>
      </c>
      <c r="G73" s="401"/>
      <c r="H73" s="244">
        <v>388</v>
      </c>
      <c r="I73" s="127"/>
      <c r="J73" s="268">
        <v>1</v>
      </c>
      <c r="K73" s="372"/>
      <c r="L73" s="244">
        <f t="shared" si="7"/>
        <v>388100</v>
      </c>
      <c r="M73" s="127">
        <f>L73-F73*100</f>
        <v>266200</v>
      </c>
      <c r="N73" s="137"/>
      <c r="O73" s="122"/>
      <c r="P73" s="114"/>
      <c r="Q73" s="114"/>
      <c r="R73" s="148"/>
      <c r="AL73" s="70" t="s">
        <v>275</v>
      </c>
      <c r="AM73" s="70" t="s">
        <v>276</v>
      </c>
      <c r="AN73" s="70">
        <v>499700</v>
      </c>
      <c r="AP73" s="70" t="s">
        <v>168</v>
      </c>
      <c r="AQ73" s="70" t="s">
        <v>277</v>
      </c>
      <c r="AR73" s="70">
        <v>124100</v>
      </c>
    </row>
    <row r="74" spans="1:44" ht="15.75" customHeight="1" x14ac:dyDescent="0.2">
      <c r="A74" s="150"/>
      <c r="B74" s="287"/>
      <c r="C74" s="118">
        <f>MIN(川内!C237:AS237)</f>
        <v>86841</v>
      </c>
      <c r="D74" s="118">
        <f>MAX(川内!D237:AT237)</f>
        <v>87548</v>
      </c>
      <c r="E74" s="118">
        <f t="shared" si="12"/>
        <v>707</v>
      </c>
      <c r="F74" s="221"/>
      <c r="G74" s="399"/>
      <c r="H74" s="243"/>
      <c r="I74" s="118"/>
      <c r="J74" s="267"/>
      <c r="K74" s="370"/>
      <c r="L74" s="246">
        <f t="shared" si="7"/>
        <v>0</v>
      </c>
      <c r="M74" s="118"/>
      <c r="N74" s="134"/>
      <c r="O74" s="122"/>
      <c r="P74" s="114"/>
      <c r="Q74" s="114"/>
      <c r="R74" s="148"/>
      <c r="AL74" s="70" t="s">
        <v>168</v>
      </c>
      <c r="AM74" s="70" t="s">
        <v>277</v>
      </c>
      <c r="AN74" s="70">
        <v>105900</v>
      </c>
      <c r="AP74" s="70" t="s">
        <v>235</v>
      </c>
      <c r="AQ74" s="70" t="s">
        <v>278</v>
      </c>
      <c r="AR74" s="70">
        <v>78400</v>
      </c>
    </row>
    <row r="75" spans="1:44" ht="15.75" customHeight="1" thickBot="1" x14ac:dyDescent="0.25">
      <c r="A75" s="154"/>
      <c r="B75" s="292"/>
      <c r="C75" s="155"/>
      <c r="D75" s="155"/>
      <c r="E75" s="155"/>
      <c r="F75" s="225"/>
      <c r="G75" s="403"/>
      <c r="H75" s="249"/>
      <c r="I75" s="155"/>
      <c r="J75" s="271"/>
      <c r="K75" s="75"/>
      <c r="L75" s="74">
        <f t="shared" si="7"/>
        <v>0</v>
      </c>
      <c r="M75" s="249">
        <f>SUM(L50:L73)</f>
        <v>2095000</v>
      </c>
      <c r="N75" s="157"/>
      <c r="O75" s="158"/>
      <c r="P75" s="158"/>
      <c r="Q75" s="158"/>
      <c r="R75" s="159"/>
      <c r="AL75" s="70" t="s">
        <v>235</v>
      </c>
      <c r="AM75" s="70" t="s">
        <v>278</v>
      </c>
      <c r="AN75" s="70">
        <v>125800</v>
      </c>
      <c r="AP75" s="70" t="s">
        <v>237</v>
      </c>
      <c r="AQ75" s="70" t="s">
        <v>280</v>
      </c>
      <c r="AR75" s="70">
        <v>256100</v>
      </c>
    </row>
    <row r="76" spans="1:44" ht="15.75" customHeight="1" thickBot="1" x14ac:dyDescent="0.25">
      <c r="A76" s="86" t="s">
        <v>303</v>
      </c>
      <c r="B76" s="283" t="s">
        <v>304</v>
      </c>
      <c r="C76" s="75"/>
      <c r="D76" s="75"/>
      <c r="E76" s="75"/>
      <c r="F76" s="75">
        <f>SUM(F77:F103)</f>
        <v>5084</v>
      </c>
      <c r="G76" s="392"/>
      <c r="H76" s="75"/>
      <c r="I76" s="75"/>
      <c r="J76" s="264"/>
      <c r="K76" s="75"/>
      <c r="L76" s="75">
        <f t="shared" si="7"/>
        <v>0</v>
      </c>
      <c r="M76" s="75"/>
      <c r="N76" s="76"/>
      <c r="O76" s="76"/>
      <c r="P76" s="76"/>
      <c r="Q76" s="76"/>
      <c r="R76" s="75"/>
      <c r="AL76" s="70" t="s">
        <v>237</v>
      </c>
      <c r="AM76" s="70" t="s">
        <v>280</v>
      </c>
      <c r="AN76" s="70">
        <v>254600</v>
      </c>
      <c r="AP76" s="70" t="s">
        <v>237</v>
      </c>
      <c r="AQ76" s="70" t="s">
        <v>188</v>
      </c>
      <c r="AR76" s="70">
        <v>248100</v>
      </c>
    </row>
    <row r="77" spans="1:44" ht="15.75" customHeight="1" thickBot="1" x14ac:dyDescent="0.25">
      <c r="A77" s="179" t="s">
        <v>298</v>
      </c>
      <c r="B77" s="299"/>
      <c r="C77" s="141">
        <f>MIN(ガチャ!64:64)</f>
        <v>4379</v>
      </c>
      <c r="D77" s="141">
        <f>MAX(ガチャ!64:64)</f>
        <v>4394</v>
      </c>
      <c r="E77" s="141">
        <f t="shared" ref="E77:E103" si="13">D77-C77</f>
        <v>15</v>
      </c>
      <c r="F77" s="218">
        <f>E77*10</f>
        <v>150</v>
      </c>
      <c r="G77" s="396"/>
      <c r="H77" s="391">
        <v>41</v>
      </c>
      <c r="I77" s="142"/>
      <c r="J77" s="265"/>
      <c r="K77" s="367"/>
      <c r="L77" s="240">
        <f t="shared" si="7"/>
        <v>41000</v>
      </c>
      <c r="M77" s="142">
        <f>L77-F77*100</f>
        <v>26000</v>
      </c>
      <c r="N77" s="187"/>
      <c r="O77" s="143"/>
      <c r="P77" s="144"/>
      <c r="Q77" s="144"/>
      <c r="R77" s="146"/>
      <c r="AL77" s="70" t="s">
        <v>237</v>
      </c>
      <c r="AM77" s="70" t="s">
        <v>188</v>
      </c>
      <c r="AN77" s="70">
        <v>158500</v>
      </c>
      <c r="AP77" s="70" t="s">
        <v>237</v>
      </c>
      <c r="AQ77" s="70" t="s">
        <v>190</v>
      </c>
      <c r="AR77" s="70">
        <v>58300</v>
      </c>
    </row>
    <row r="78" spans="1:44" ht="15.75" customHeight="1" x14ac:dyDescent="0.2">
      <c r="A78" s="180" t="s">
        <v>124</v>
      </c>
      <c r="B78" s="300"/>
      <c r="C78" s="135">
        <f>MIN(ガチャ!74:74)</f>
        <v>10634</v>
      </c>
      <c r="D78" s="135">
        <f>MAX(ガチャ!74:74)</f>
        <v>10679</v>
      </c>
      <c r="E78" s="135">
        <f t="shared" si="13"/>
        <v>45</v>
      </c>
      <c r="F78" s="218">
        <f>E78*10</f>
        <v>450</v>
      </c>
      <c r="G78" s="408"/>
      <c r="H78" s="261">
        <v>134</v>
      </c>
      <c r="I78" s="184"/>
      <c r="J78" s="275"/>
      <c r="K78" s="375"/>
      <c r="L78" s="247">
        <f t="shared" si="7"/>
        <v>134000</v>
      </c>
      <c r="M78" s="184">
        <f>L78-F78*100</f>
        <v>89000</v>
      </c>
      <c r="N78" s="185"/>
      <c r="O78" s="120"/>
      <c r="P78" s="115"/>
      <c r="Q78" s="115"/>
      <c r="R78" s="148"/>
      <c r="AL78" s="70" t="s">
        <v>237</v>
      </c>
      <c r="AM78" s="70" t="s">
        <v>190</v>
      </c>
      <c r="AN78" s="70">
        <v>41500</v>
      </c>
      <c r="AP78" s="70" t="s">
        <v>168</v>
      </c>
      <c r="AQ78" s="70" t="s">
        <v>281</v>
      </c>
      <c r="AR78" s="70">
        <v>155000</v>
      </c>
    </row>
    <row r="79" spans="1:44" ht="15.75" customHeight="1" x14ac:dyDescent="0.2">
      <c r="A79" s="151" t="s">
        <v>134</v>
      </c>
      <c r="B79" s="289"/>
      <c r="C79" s="127">
        <f>MIN(ガチャ!84:84)</f>
        <v>11934</v>
      </c>
      <c r="D79" s="127">
        <f>MAX(ガチャ!84:84)</f>
        <v>12009</v>
      </c>
      <c r="E79" s="127">
        <f t="shared" si="13"/>
        <v>75</v>
      </c>
      <c r="F79" s="222">
        <f>SUM(E79:E80)</f>
        <v>90</v>
      </c>
      <c r="G79" s="401"/>
      <c r="H79" s="244"/>
      <c r="I79" s="127">
        <v>15</v>
      </c>
      <c r="J79" s="268">
        <v>221</v>
      </c>
      <c r="K79" s="372"/>
      <c r="L79" s="244">
        <f t="shared" si="7"/>
        <v>29600</v>
      </c>
      <c r="M79" s="127">
        <f>L79-F79*100</f>
        <v>20600</v>
      </c>
      <c r="N79" s="137">
        <v>100</v>
      </c>
      <c r="O79" s="122"/>
      <c r="P79" s="114"/>
      <c r="Q79" s="114"/>
      <c r="R79" s="148"/>
      <c r="AL79" s="70" t="s">
        <v>168</v>
      </c>
      <c r="AM79" s="70" t="s">
        <v>281</v>
      </c>
      <c r="AN79" s="70">
        <v>184100</v>
      </c>
      <c r="AP79" s="70" t="s">
        <v>235</v>
      </c>
      <c r="AQ79" s="70" t="s">
        <v>283</v>
      </c>
      <c r="AR79" s="70">
        <v>108000</v>
      </c>
    </row>
    <row r="80" spans="1:44" ht="15.75" customHeight="1" x14ac:dyDescent="0.2">
      <c r="A80" s="152"/>
      <c r="B80" s="290"/>
      <c r="C80" s="124">
        <f>MIN(ガチャ!94:94)</f>
        <v>8198</v>
      </c>
      <c r="D80" s="124">
        <f>MAX(ガチャ!94:94)</f>
        <v>8213</v>
      </c>
      <c r="E80" s="124">
        <f t="shared" si="13"/>
        <v>15</v>
      </c>
      <c r="F80" s="223"/>
      <c r="G80" s="402"/>
      <c r="H80" s="250"/>
      <c r="I80" s="124"/>
      <c r="J80" s="269"/>
      <c r="K80" s="373"/>
      <c r="L80" s="245">
        <f t="shared" si="7"/>
        <v>0</v>
      </c>
      <c r="M80" s="124"/>
      <c r="N80" s="138"/>
      <c r="O80" s="122"/>
      <c r="P80" s="114"/>
      <c r="Q80" s="114"/>
      <c r="R80" s="148"/>
      <c r="AL80" s="70" t="s">
        <v>235</v>
      </c>
      <c r="AM80" s="70" t="s">
        <v>283</v>
      </c>
      <c r="AN80" s="70">
        <v>189800</v>
      </c>
      <c r="AP80" s="70" t="s">
        <v>247</v>
      </c>
      <c r="AQ80" s="70" t="s">
        <v>284</v>
      </c>
      <c r="AR80" s="70">
        <v>164200</v>
      </c>
    </row>
    <row r="81" spans="1:44" ht="15.75" customHeight="1" x14ac:dyDescent="0.2">
      <c r="A81" s="153" t="s">
        <v>187</v>
      </c>
      <c r="B81" s="288" t="s">
        <v>243</v>
      </c>
      <c r="C81" s="135">
        <f>MIN(霧島!8:8)</f>
        <v>23405</v>
      </c>
      <c r="D81" s="135">
        <f>MAX(霧島!8:8)</f>
        <v>23553</v>
      </c>
      <c r="E81" s="135">
        <f t="shared" si="13"/>
        <v>148</v>
      </c>
      <c r="F81" s="229">
        <f>SUM(E81:E81)</f>
        <v>148</v>
      </c>
      <c r="G81" s="400">
        <v>5</v>
      </c>
      <c r="H81" s="247">
        <v>1</v>
      </c>
      <c r="I81" s="135"/>
      <c r="J81" s="270">
        <v>8</v>
      </c>
      <c r="K81" s="371"/>
      <c r="L81" s="247">
        <f t="shared" si="7"/>
        <v>51800</v>
      </c>
      <c r="M81" s="135">
        <f>L81-F81*100</f>
        <v>37000</v>
      </c>
      <c r="N81" s="136"/>
      <c r="O81" s="122"/>
      <c r="P81" s="114"/>
      <c r="Q81" s="114"/>
      <c r="R81" s="148"/>
      <c r="AL81" s="70" t="s">
        <v>247</v>
      </c>
      <c r="AM81" s="70" t="s">
        <v>284</v>
      </c>
      <c r="AN81" s="70">
        <v>169000</v>
      </c>
      <c r="AP81" s="70" t="s">
        <v>249</v>
      </c>
      <c r="AQ81" s="70" t="s">
        <v>285</v>
      </c>
      <c r="AR81" s="70">
        <v>157500</v>
      </c>
    </row>
    <row r="82" spans="1:44" ht="15.75" customHeight="1" x14ac:dyDescent="0.2">
      <c r="A82" s="181" t="s">
        <v>224</v>
      </c>
      <c r="B82" s="301" t="s">
        <v>225</v>
      </c>
      <c r="C82" s="169">
        <f>MIN(霧島!32:32)</f>
        <v>39813</v>
      </c>
      <c r="D82" s="169">
        <f>MAX(霧島!32:32)</f>
        <v>40023</v>
      </c>
      <c r="E82" s="169">
        <f t="shared" si="13"/>
        <v>210</v>
      </c>
      <c r="F82" s="229">
        <f>SUM(E82:E82)</f>
        <v>210</v>
      </c>
      <c r="G82" s="407">
        <v>5</v>
      </c>
      <c r="H82" s="253">
        <v>2</v>
      </c>
      <c r="I82" s="169"/>
      <c r="J82" s="274">
        <v>6</v>
      </c>
      <c r="K82" s="75"/>
      <c r="L82" s="253">
        <f t="shared" si="7"/>
        <v>52600</v>
      </c>
      <c r="M82" s="169">
        <f>L82-F82*100</f>
        <v>31600</v>
      </c>
      <c r="N82" s="178"/>
      <c r="O82" s="122"/>
      <c r="P82" s="114"/>
      <c r="Q82" s="114"/>
      <c r="R82" s="148"/>
      <c r="AL82" s="70" t="s">
        <v>249</v>
      </c>
      <c r="AM82" s="70" t="s">
        <v>285</v>
      </c>
      <c r="AN82" s="70">
        <v>136700</v>
      </c>
      <c r="AP82" s="70" t="s">
        <v>286</v>
      </c>
      <c r="AQ82" s="70" t="s">
        <v>287</v>
      </c>
      <c r="AR82" s="70">
        <v>93000</v>
      </c>
    </row>
    <row r="83" spans="1:44" ht="15.75" customHeight="1" x14ac:dyDescent="0.2">
      <c r="A83" s="147" t="s">
        <v>168</v>
      </c>
      <c r="B83" s="285" t="s">
        <v>244</v>
      </c>
      <c r="C83" s="110">
        <f>MIN(霧島!44:44)</f>
        <v>14853</v>
      </c>
      <c r="D83" s="110">
        <f>MAX(霧島!44:44)</f>
        <v>14981</v>
      </c>
      <c r="E83" s="110">
        <f t="shared" si="13"/>
        <v>128</v>
      </c>
      <c r="F83" s="219">
        <f>SUM(E83:E86)</f>
        <v>740</v>
      </c>
      <c r="G83" s="397">
        <v>17</v>
      </c>
      <c r="H83" s="241">
        <v>6</v>
      </c>
      <c r="I83" s="110"/>
      <c r="J83" s="266">
        <v>3</v>
      </c>
      <c r="K83" s="368"/>
      <c r="L83" s="241">
        <f t="shared" si="7"/>
        <v>176300</v>
      </c>
      <c r="M83" s="110">
        <f>L83-F83*100</f>
        <v>102300</v>
      </c>
      <c r="N83" s="132">
        <v>200</v>
      </c>
      <c r="O83" s="122"/>
      <c r="P83" s="114"/>
      <c r="Q83" s="114"/>
      <c r="R83" s="148"/>
      <c r="AL83" s="70" t="s">
        <v>286</v>
      </c>
      <c r="AM83" s="70" t="s">
        <v>287</v>
      </c>
      <c r="AN83" s="70">
        <v>62600</v>
      </c>
      <c r="AP83" s="70" t="s">
        <v>288</v>
      </c>
      <c r="AQ83" s="70" t="s">
        <v>289</v>
      </c>
      <c r="AR83" s="70">
        <v>82100</v>
      </c>
    </row>
    <row r="84" spans="1:44" ht="15.75" customHeight="1" x14ac:dyDescent="0.2">
      <c r="A84" s="149"/>
      <c r="B84" s="286"/>
      <c r="C84" s="113">
        <f>MIN(霧島!56:56)</f>
        <v>12605</v>
      </c>
      <c r="D84" s="113">
        <f>MAX(霧島!56:56)</f>
        <v>12910</v>
      </c>
      <c r="E84" s="113">
        <f t="shared" si="13"/>
        <v>305</v>
      </c>
      <c r="F84" s="220"/>
      <c r="G84" s="398"/>
      <c r="H84" s="121"/>
      <c r="I84" s="113"/>
      <c r="J84" s="148"/>
      <c r="K84" s="369"/>
      <c r="L84" s="242">
        <f t="shared" si="7"/>
        <v>0</v>
      </c>
      <c r="M84" s="113"/>
      <c r="N84" s="133"/>
      <c r="O84" s="122"/>
      <c r="P84" s="114"/>
      <c r="Q84" s="114"/>
      <c r="R84" s="148"/>
      <c r="AL84" s="70" t="s">
        <v>288</v>
      </c>
      <c r="AM84" s="70" t="s">
        <v>289</v>
      </c>
      <c r="AN84" s="70">
        <v>83800</v>
      </c>
      <c r="AP84" s="70" t="s">
        <v>291</v>
      </c>
      <c r="AQ84" s="70" t="s">
        <v>292</v>
      </c>
      <c r="AR84" s="70">
        <v>112100</v>
      </c>
    </row>
    <row r="85" spans="1:44" ht="15.75" customHeight="1" x14ac:dyDescent="0.2">
      <c r="A85" s="149"/>
      <c r="B85" s="286"/>
      <c r="C85" s="113">
        <f>MIN(霧島!68:68)</f>
        <v>12177</v>
      </c>
      <c r="D85" s="113">
        <f>MAX(霧島!68:68)</f>
        <v>12356</v>
      </c>
      <c r="E85" s="113">
        <f t="shared" si="13"/>
        <v>179</v>
      </c>
      <c r="F85" s="220"/>
      <c r="G85" s="398"/>
      <c r="H85" s="121"/>
      <c r="I85" s="113"/>
      <c r="J85" s="148"/>
      <c r="K85" s="369"/>
      <c r="L85" s="121">
        <f t="shared" ref="L85:L148" si="14">H85*1000+I85*500+J85*100+G85*10000</f>
        <v>0</v>
      </c>
      <c r="M85" s="113"/>
      <c r="N85" s="133"/>
      <c r="O85" s="122"/>
      <c r="P85" s="114"/>
      <c r="Q85" s="114"/>
      <c r="R85" s="148"/>
      <c r="AL85" s="70" t="s">
        <v>291</v>
      </c>
      <c r="AM85" s="70" t="s">
        <v>292</v>
      </c>
      <c r="AN85" s="70">
        <v>84600</v>
      </c>
      <c r="AP85" s="70" t="s">
        <v>293</v>
      </c>
      <c r="AQ85" s="70" t="s">
        <v>294</v>
      </c>
      <c r="AR85" s="70">
        <v>297400</v>
      </c>
    </row>
    <row r="86" spans="1:44" ht="15" customHeight="1" x14ac:dyDescent="0.2">
      <c r="A86" s="150"/>
      <c r="B86" s="287"/>
      <c r="C86" s="118">
        <f>MIN(霧島!80:80)</f>
        <v>11347</v>
      </c>
      <c r="D86" s="118">
        <f>MAX(霧島!80:80)</f>
        <v>11475</v>
      </c>
      <c r="E86" s="118">
        <f t="shared" si="13"/>
        <v>128</v>
      </c>
      <c r="F86" s="221"/>
      <c r="G86" s="399"/>
      <c r="H86" s="243"/>
      <c r="I86" s="118"/>
      <c r="J86" s="267"/>
      <c r="K86" s="370"/>
      <c r="L86" s="243">
        <f t="shared" si="14"/>
        <v>0</v>
      </c>
      <c r="M86" s="118"/>
      <c r="N86" s="134"/>
      <c r="O86" s="122"/>
      <c r="P86" s="114"/>
      <c r="Q86" s="114"/>
      <c r="R86" s="148"/>
      <c r="S86" s="322"/>
      <c r="AL86" s="70" t="s">
        <v>293</v>
      </c>
      <c r="AM86" s="70" t="s">
        <v>294</v>
      </c>
      <c r="AN86" s="70">
        <v>262000</v>
      </c>
      <c r="AP86" s="70" t="s">
        <v>138</v>
      </c>
      <c r="AQ86" s="70" t="s">
        <v>203</v>
      </c>
    </row>
    <row r="87" spans="1:44" ht="15.75" customHeight="1" x14ac:dyDescent="0.2">
      <c r="A87" s="151" t="s">
        <v>234</v>
      </c>
      <c r="B87" s="289" t="s">
        <v>245</v>
      </c>
      <c r="C87" s="127">
        <f>MIN(霧島!92:92)</f>
        <v>12318</v>
      </c>
      <c r="D87" s="127">
        <f>MAX(霧島!92:92)</f>
        <v>12453</v>
      </c>
      <c r="E87" s="127">
        <f t="shared" si="13"/>
        <v>135</v>
      </c>
      <c r="F87" s="222">
        <f>SUM(E87:E90)</f>
        <v>718</v>
      </c>
      <c r="G87" s="401">
        <v>15</v>
      </c>
      <c r="H87" s="244">
        <v>6</v>
      </c>
      <c r="I87" s="127"/>
      <c r="J87" s="268">
        <v>9</v>
      </c>
      <c r="K87" s="372"/>
      <c r="L87" s="244">
        <f t="shared" si="14"/>
        <v>156900</v>
      </c>
      <c r="M87" s="127">
        <f>L87-F87*100</f>
        <v>85100</v>
      </c>
      <c r="N87" s="137"/>
      <c r="O87" s="122"/>
      <c r="P87" s="114"/>
      <c r="Q87" s="114"/>
      <c r="R87" s="148"/>
      <c r="AL87" s="70" t="s">
        <v>138</v>
      </c>
      <c r="AM87" s="70" t="s">
        <v>203</v>
      </c>
      <c r="AP87" s="70" t="s">
        <v>166</v>
      </c>
      <c r="AQ87" s="70" t="s">
        <v>297</v>
      </c>
    </row>
    <row r="88" spans="1:44" ht="15.75" customHeight="1" x14ac:dyDescent="0.2">
      <c r="A88" s="149"/>
      <c r="B88" s="286"/>
      <c r="C88" s="113">
        <f>MIN(霧島!104:104)</f>
        <v>12762</v>
      </c>
      <c r="D88" s="113">
        <f>MAX(霧島!104:104)</f>
        <v>12878</v>
      </c>
      <c r="E88" s="113">
        <f t="shared" si="13"/>
        <v>116</v>
      </c>
      <c r="F88" s="220"/>
      <c r="G88" s="398"/>
      <c r="H88" s="121"/>
      <c r="I88" s="113"/>
      <c r="J88" s="148"/>
      <c r="K88" s="369"/>
      <c r="L88" s="242">
        <f t="shared" si="14"/>
        <v>0</v>
      </c>
      <c r="M88" s="113"/>
      <c r="N88" s="133"/>
      <c r="O88" s="122"/>
      <c r="P88" s="114"/>
      <c r="Q88" s="114"/>
      <c r="R88" s="148"/>
      <c r="AL88" s="70" t="s">
        <v>166</v>
      </c>
      <c r="AM88" s="70" t="s">
        <v>297</v>
      </c>
      <c r="AP88" s="70" t="s">
        <v>153</v>
      </c>
      <c r="AQ88" s="70" t="s">
        <v>154</v>
      </c>
    </row>
    <row r="89" spans="1:44" ht="15.75" customHeight="1" x14ac:dyDescent="0.2">
      <c r="A89" s="149"/>
      <c r="B89" s="286"/>
      <c r="C89" s="113">
        <f>MIN(霧島!116:116)</f>
        <v>10872</v>
      </c>
      <c r="D89" s="113">
        <f>MAX(霧島!116:116)</f>
        <v>11157</v>
      </c>
      <c r="E89" s="113">
        <f t="shared" si="13"/>
        <v>285</v>
      </c>
      <c r="F89" s="220"/>
      <c r="G89" s="398"/>
      <c r="H89" s="121"/>
      <c r="I89" s="113"/>
      <c r="J89" s="148"/>
      <c r="K89" s="369"/>
      <c r="L89" s="121">
        <f t="shared" si="14"/>
        <v>0</v>
      </c>
      <c r="M89" s="113"/>
      <c r="N89" s="133"/>
      <c r="O89" s="122"/>
      <c r="P89" s="114"/>
      <c r="Q89" s="114"/>
      <c r="R89" s="148"/>
      <c r="AL89" s="70" t="s">
        <v>153</v>
      </c>
      <c r="AM89" s="70" t="s">
        <v>154</v>
      </c>
      <c r="AP89" s="70" t="s">
        <v>172</v>
      </c>
      <c r="AQ89" s="70" t="s">
        <v>331</v>
      </c>
    </row>
    <row r="90" spans="1:44" ht="15.75" customHeight="1" x14ac:dyDescent="0.2">
      <c r="A90" s="152"/>
      <c r="B90" s="290"/>
      <c r="C90" s="124">
        <f>MIN(霧島!128:128)</f>
        <v>15577</v>
      </c>
      <c r="D90" s="124">
        <f>MAX(霧島!128:128)</f>
        <v>15759</v>
      </c>
      <c r="E90" s="124">
        <f t="shared" si="13"/>
        <v>182</v>
      </c>
      <c r="F90" s="223"/>
      <c r="G90" s="402"/>
      <c r="H90" s="250"/>
      <c r="I90" s="124"/>
      <c r="J90" s="269"/>
      <c r="K90" s="373"/>
      <c r="L90" s="250">
        <f t="shared" si="14"/>
        <v>0</v>
      </c>
      <c r="M90" s="124"/>
      <c r="N90" s="138"/>
      <c r="O90" s="122"/>
      <c r="P90" s="114"/>
      <c r="Q90" s="114"/>
      <c r="R90" s="148"/>
      <c r="AL90" s="70" t="s">
        <v>172</v>
      </c>
      <c r="AM90" s="70" t="s">
        <v>331</v>
      </c>
      <c r="AP90" s="70" t="s">
        <v>94</v>
      </c>
      <c r="AQ90" s="70" t="s">
        <v>333</v>
      </c>
    </row>
    <row r="91" spans="1:44" ht="15.75" customHeight="1" x14ac:dyDescent="0.2">
      <c r="A91" s="147" t="s">
        <v>272</v>
      </c>
      <c r="B91" s="285" t="s">
        <v>248</v>
      </c>
      <c r="C91" s="110">
        <f>MIN(霧島!140:140)</f>
        <v>10152</v>
      </c>
      <c r="D91" s="110">
        <f>MAX(霧島!140:140)</f>
        <v>10386</v>
      </c>
      <c r="E91" s="110">
        <f t="shared" si="13"/>
        <v>234</v>
      </c>
      <c r="F91" s="219">
        <f>SUM(E91:E94)</f>
        <v>885</v>
      </c>
      <c r="G91" s="397">
        <v>22</v>
      </c>
      <c r="H91" s="241">
        <v>4</v>
      </c>
      <c r="I91" s="110"/>
      <c r="J91" s="266">
        <v>3</v>
      </c>
      <c r="K91" s="368"/>
      <c r="L91" s="241">
        <f t="shared" si="14"/>
        <v>224300</v>
      </c>
      <c r="M91" s="110">
        <f>L91-F91*100</f>
        <v>135800</v>
      </c>
      <c r="N91" s="132"/>
      <c r="O91" s="122"/>
      <c r="P91" s="114"/>
      <c r="Q91" s="114"/>
      <c r="R91" s="148"/>
      <c r="AL91" s="70" t="s">
        <v>94</v>
      </c>
      <c r="AM91" s="70" t="s">
        <v>333</v>
      </c>
      <c r="AP91" s="70" t="s">
        <v>96</v>
      </c>
      <c r="AQ91" s="70" t="s">
        <v>332</v>
      </c>
    </row>
    <row r="92" spans="1:44" ht="15.75" customHeight="1" x14ac:dyDescent="0.2">
      <c r="A92" s="149"/>
      <c r="B92" s="286"/>
      <c r="C92" s="113">
        <f>MIN(霧島!152:152)</f>
        <v>10779</v>
      </c>
      <c r="D92" s="113">
        <f>MAX(霧島!152:152)</f>
        <v>11047</v>
      </c>
      <c r="E92" s="113">
        <f t="shared" si="13"/>
        <v>268</v>
      </c>
      <c r="F92" s="220"/>
      <c r="G92" s="398"/>
      <c r="H92" s="121"/>
      <c r="I92" s="113"/>
      <c r="J92" s="148"/>
      <c r="K92" s="369"/>
      <c r="L92" s="242">
        <f t="shared" si="14"/>
        <v>0</v>
      </c>
      <c r="M92" s="113"/>
      <c r="N92" s="133"/>
      <c r="O92" s="122"/>
      <c r="P92" s="114"/>
      <c r="Q92" s="114"/>
      <c r="R92" s="148"/>
      <c r="AL92" s="70" t="s">
        <v>96</v>
      </c>
      <c r="AM92" s="70" t="s">
        <v>332</v>
      </c>
      <c r="AP92" s="70" t="s">
        <v>140</v>
      </c>
      <c r="AQ92" s="70" t="s">
        <v>329</v>
      </c>
    </row>
    <row r="93" spans="1:44" ht="15.75" customHeight="1" x14ac:dyDescent="0.2">
      <c r="A93" s="149"/>
      <c r="B93" s="286"/>
      <c r="C93" s="113">
        <f>MIN(霧島!164:164)</f>
        <v>13161</v>
      </c>
      <c r="D93" s="113">
        <f>MAX(霧島!164:164)</f>
        <v>13318</v>
      </c>
      <c r="E93" s="113">
        <f t="shared" si="13"/>
        <v>157</v>
      </c>
      <c r="F93" s="220"/>
      <c r="G93" s="398"/>
      <c r="H93" s="121"/>
      <c r="I93" s="113"/>
      <c r="J93" s="148"/>
      <c r="K93" s="369"/>
      <c r="L93" s="121">
        <f t="shared" si="14"/>
        <v>0</v>
      </c>
      <c r="M93" s="113"/>
      <c r="N93" s="133"/>
      <c r="O93" s="122"/>
      <c r="P93" s="114"/>
      <c r="Q93" s="114"/>
      <c r="R93" s="148"/>
      <c r="AL93" s="70" t="s">
        <v>140</v>
      </c>
      <c r="AM93" s="70" t="s">
        <v>329</v>
      </c>
      <c r="AR93" s="70">
        <v>12306100</v>
      </c>
    </row>
    <row r="94" spans="1:44" ht="15.75" customHeight="1" x14ac:dyDescent="0.2">
      <c r="A94" s="150"/>
      <c r="B94" s="287"/>
      <c r="C94" s="118">
        <f>MIN(霧島!176:176)</f>
        <v>21282</v>
      </c>
      <c r="D94" s="118">
        <f>MAX(霧島!176:176)</f>
        <v>21508</v>
      </c>
      <c r="E94" s="118">
        <f t="shared" si="13"/>
        <v>226</v>
      </c>
      <c r="F94" s="221"/>
      <c r="G94" s="399"/>
      <c r="H94" s="243"/>
      <c r="I94" s="118"/>
      <c r="J94" s="267"/>
      <c r="K94" s="370"/>
      <c r="L94" s="243">
        <f t="shared" si="14"/>
        <v>0</v>
      </c>
      <c r="M94" s="118"/>
      <c r="N94" s="134"/>
      <c r="O94" s="122"/>
      <c r="P94" s="114"/>
      <c r="Q94" s="114"/>
      <c r="R94" s="148"/>
      <c r="AL94" s="70">
        <v>7781133.5464496752</v>
      </c>
      <c r="AN94" s="70">
        <v>10995300</v>
      </c>
      <c r="AP94" s="70" t="s">
        <v>328</v>
      </c>
      <c r="AR94" s="70">
        <v>314000</v>
      </c>
    </row>
    <row r="95" spans="1:44" ht="15.75" customHeight="1" x14ac:dyDescent="0.2">
      <c r="A95" s="151" t="s">
        <v>279</v>
      </c>
      <c r="B95" s="289" t="s">
        <v>250</v>
      </c>
      <c r="C95" s="127">
        <f>MIN(霧島!188:188)</f>
        <v>13077</v>
      </c>
      <c r="D95" s="127">
        <f>MAX(霧島!188:188)</f>
        <v>13220</v>
      </c>
      <c r="E95" s="127">
        <f t="shared" si="13"/>
        <v>143</v>
      </c>
      <c r="F95" s="222">
        <f>SUM(E95:E98)</f>
        <v>478</v>
      </c>
      <c r="G95" s="401">
        <v>13</v>
      </c>
      <c r="H95" s="244"/>
      <c r="I95" s="127"/>
      <c r="J95" s="268">
        <v>2</v>
      </c>
      <c r="K95" s="372"/>
      <c r="L95" s="244">
        <f t="shared" si="14"/>
        <v>130200</v>
      </c>
      <c r="M95" s="127">
        <f>L95-F95*100</f>
        <v>82400</v>
      </c>
      <c r="N95" s="137"/>
      <c r="O95" s="122"/>
      <c r="P95" s="114"/>
      <c r="Q95" s="114"/>
      <c r="R95" s="148"/>
      <c r="AL95" s="70" t="s">
        <v>328</v>
      </c>
      <c r="AN95" s="70">
        <v>254000</v>
      </c>
    </row>
    <row r="96" spans="1:44" ht="15.75" customHeight="1" x14ac:dyDescent="0.2">
      <c r="A96" s="149"/>
      <c r="B96" s="286"/>
      <c r="C96" s="113">
        <f>MIN(霧島!200:200)</f>
        <v>7866</v>
      </c>
      <c r="D96" s="113">
        <f>MAX(霧島!200:200)</f>
        <v>7973</v>
      </c>
      <c r="E96" s="113">
        <f t="shared" si="13"/>
        <v>107</v>
      </c>
      <c r="F96" s="220"/>
      <c r="G96" s="398"/>
      <c r="H96" s="121"/>
      <c r="I96" s="113"/>
      <c r="J96" s="148"/>
      <c r="K96" s="369"/>
      <c r="L96" s="242">
        <f t="shared" si="14"/>
        <v>0</v>
      </c>
      <c r="M96" s="113"/>
      <c r="N96" s="133"/>
      <c r="O96" s="122"/>
      <c r="P96" s="114"/>
      <c r="Q96" s="114"/>
      <c r="R96" s="148"/>
      <c r="AP96" s="70" t="s">
        <v>330</v>
      </c>
      <c r="AR96" s="70">
        <v>102000</v>
      </c>
    </row>
    <row r="97" spans="1:44" ht="15.75" customHeight="1" x14ac:dyDescent="0.2">
      <c r="A97" s="149"/>
      <c r="B97" s="286"/>
      <c r="C97" s="113">
        <f>MIN(霧島!212:212)</f>
        <v>11807</v>
      </c>
      <c r="D97" s="113">
        <f>MAX(霧島!212:212)</f>
        <v>11935</v>
      </c>
      <c r="E97" s="113">
        <f t="shared" si="13"/>
        <v>128</v>
      </c>
      <c r="F97" s="220"/>
      <c r="G97" s="398"/>
      <c r="H97" s="121"/>
      <c r="I97" s="113"/>
      <c r="J97" s="148"/>
      <c r="K97" s="369"/>
      <c r="L97" s="121">
        <f t="shared" si="14"/>
        <v>0</v>
      </c>
      <c r="M97" s="113"/>
      <c r="N97" s="133"/>
      <c r="O97" s="122"/>
      <c r="P97" s="114"/>
      <c r="Q97" s="114"/>
      <c r="R97" s="148"/>
      <c r="AL97" s="70" t="s">
        <v>330</v>
      </c>
      <c r="AN97" s="70">
        <v>84000</v>
      </c>
    </row>
    <row r="98" spans="1:44" ht="15.75" customHeight="1" x14ac:dyDescent="0.2">
      <c r="A98" s="152"/>
      <c r="B98" s="290"/>
      <c r="C98" s="124">
        <f>MIN(霧島!224:224)</f>
        <v>9615</v>
      </c>
      <c r="D98" s="124">
        <f>MAX(霧島!224:224)</f>
        <v>9715</v>
      </c>
      <c r="E98" s="124">
        <f t="shared" si="13"/>
        <v>100</v>
      </c>
      <c r="F98" s="223"/>
      <c r="G98" s="402"/>
      <c r="H98" s="250"/>
      <c r="I98" s="124"/>
      <c r="J98" s="269"/>
      <c r="K98" s="373"/>
      <c r="L98" s="250">
        <f t="shared" si="14"/>
        <v>0</v>
      </c>
      <c r="M98" s="124"/>
      <c r="N98" s="138"/>
      <c r="O98" s="122"/>
      <c r="P98" s="114"/>
      <c r="Q98" s="114"/>
      <c r="R98" s="148"/>
    </row>
    <row r="99" spans="1:44" ht="15.75" customHeight="1" x14ac:dyDescent="0.2">
      <c r="A99" s="147" t="s">
        <v>71</v>
      </c>
      <c r="B99" s="285" t="s">
        <v>252</v>
      </c>
      <c r="C99" s="110">
        <f>MIN(霧島!236:236)</f>
        <v>117559</v>
      </c>
      <c r="D99" s="110">
        <f>MAX(霧島!236:236)</f>
        <v>117761</v>
      </c>
      <c r="E99" s="110">
        <f t="shared" si="13"/>
        <v>202</v>
      </c>
      <c r="F99" s="219">
        <f>SUM(E99:E100)</f>
        <v>376</v>
      </c>
      <c r="G99" s="397">
        <v>19</v>
      </c>
      <c r="H99" s="241">
        <v>8</v>
      </c>
      <c r="I99" s="110"/>
      <c r="J99" s="266">
        <v>9</v>
      </c>
      <c r="K99" s="368"/>
      <c r="L99" s="241">
        <f t="shared" si="14"/>
        <v>198900</v>
      </c>
      <c r="M99" s="110">
        <f>L99-F99*100</f>
        <v>161300</v>
      </c>
      <c r="N99" s="132"/>
      <c r="O99" s="122"/>
      <c r="P99" s="114"/>
      <c r="Q99" s="114"/>
      <c r="R99" s="148"/>
    </row>
    <row r="100" spans="1:44" ht="15.75" customHeight="1" x14ac:dyDescent="0.2">
      <c r="A100" s="150"/>
      <c r="B100" s="287"/>
      <c r="C100" s="118">
        <f>MIN(霧島!248:248)</f>
        <v>106809</v>
      </c>
      <c r="D100" s="118">
        <f>MAX(霧島!248:248)</f>
        <v>106983</v>
      </c>
      <c r="E100" s="118">
        <f t="shared" si="13"/>
        <v>174</v>
      </c>
      <c r="F100" s="221"/>
      <c r="G100" s="399"/>
      <c r="H100" s="243"/>
      <c r="I100" s="118"/>
      <c r="J100" s="267"/>
      <c r="K100" s="370"/>
      <c r="L100" s="246">
        <f t="shared" si="14"/>
        <v>0</v>
      </c>
      <c r="M100" s="118"/>
      <c r="N100" s="134"/>
      <c r="O100" s="122"/>
      <c r="P100" s="114"/>
      <c r="Q100" s="114"/>
      <c r="R100" s="148"/>
    </row>
    <row r="101" spans="1:44" ht="15.75" customHeight="1" x14ac:dyDescent="0.2">
      <c r="A101" s="181" t="s">
        <v>237</v>
      </c>
      <c r="B101" s="301" t="s">
        <v>238</v>
      </c>
      <c r="C101" s="169">
        <f>MIN(霧島!20:20)</f>
        <v>18534</v>
      </c>
      <c r="D101" s="169">
        <f>MAX(霧島!20:20)</f>
        <v>18881</v>
      </c>
      <c r="E101" s="169">
        <f t="shared" si="13"/>
        <v>347</v>
      </c>
      <c r="F101" s="229">
        <f>SUM(E101:E101)</f>
        <v>347</v>
      </c>
      <c r="G101" s="407">
        <v>2</v>
      </c>
      <c r="H101" s="253">
        <v>8</v>
      </c>
      <c r="I101" s="169"/>
      <c r="J101" s="274">
        <v>1</v>
      </c>
      <c r="K101" s="75"/>
      <c r="L101" s="253">
        <f t="shared" si="14"/>
        <v>28100</v>
      </c>
      <c r="M101" s="169">
        <f>L101-F101*100</f>
        <v>-6600</v>
      </c>
      <c r="N101" s="178"/>
      <c r="O101" s="122"/>
      <c r="P101" s="114"/>
      <c r="Q101" s="114"/>
      <c r="R101" s="148"/>
    </row>
    <row r="102" spans="1:44" ht="15.75" customHeight="1" x14ac:dyDescent="0.2">
      <c r="A102" s="153" t="s">
        <v>305</v>
      </c>
      <c r="B102" s="288"/>
      <c r="C102" s="135">
        <v>56011</v>
      </c>
      <c r="D102" s="135">
        <v>56348</v>
      </c>
      <c r="E102" s="135">
        <f t="shared" si="13"/>
        <v>337</v>
      </c>
      <c r="F102" s="224">
        <f>SUM(E102)</f>
        <v>337</v>
      </c>
      <c r="G102" s="400"/>
      <c r="H102" s="247"/>
      <c r="I102" s="135"/>
      <c r="J102" s="270">
        <v>337</v>
      </c>
      <c r="K102" s="371"/>
      <c r="L102" s="247">
        <f t="shared" si="14"/>
        <v>33700</v>
      </c>
      <c r="M102" s="135">
        <f>L102-F102*100</f>
        <v>0</v>
      </c>
      <c r="N102" s="136"/>
      <c r="O102" s="122"/>
      <c r="P102" s="114"/>
      <c r="Q102" s="114"/>
      <c r="R102" s="148"/>
    </row>
    <row r="103" spans="1:44" ht="15.75" customHeight="1" x14ac:dyDescent="0.2">
      <c r="A103" s="188" t="s">
        <v>306</v>
      </c>
      <c r="B103" s="302"/>
      <c r="C103" s="130">
        <v>28364</v>
      </c>
      <c r="D103" s="130">
        <v>28519</v>
      </c>
      <c r="E103" s="130">
        <f t="shared" si="13"/>
        <v>155</v>
      </c>
      <c r="F103" s="231">
        <f>SUM(E103)</f>
        <v>155</v>
      </c>
      <c r="G103" s="409"/>
      <c r="H103" s="254"/>
      <c r="I103" s="130"/>
      <c r="J103" s="276">
        <v>155</v>
      </c>
      <c r="K103" s="376"/>
      <c r="L103" s="254">
        <f t="shared" si="14"/>
        <v>15500</v>
      </c>
      <c r="M103" s="130">
        <f>L103-F103*100</f>
        <v>0</v>
      </c>
      <c r="N103" s="186"/>
      <c r="O103" s="122"/>
      <c r="P103" s="114"/>
      <c r="Q103" s="114"/>
      <c r="R103" s="148"/>
    </row>
    <row r="104" spans="1:44" ht="15.75" customHeight="1" x14ac:dyDescent="0.2">
      <c r="A104" s="151" t="s">
        <v>307</v>
      </c>
      <c r="B104" s="289"/>
      <c r="C104" s="127"/>
      <c r="D104" s="127"/>
      <c r="E104" s="127"/>
      <c r="F104" s="222"/>
      <c r="G104" s="401"/>
      <c r="H104" s="244"/>
      <c r="I104" s="127"/>
      <c r="J104" s="268"/>
      <c r="K104" s="75"/>
      <c r="L104" s="74">
        <f t="shared" si="14"/>
        <v>0</v>
      </c>
      <c r="M104" s="244">
        <f>SUM(L77:L103)</f>
        <v>1272900</v>
      </c>
      <c r="N104" s="128"/>
      <c r="O104" s="114"/>
      <c r="P104" s="114"/>
      <c r="Q104" s="114"/>
      <c r="R104" s="148"/>
      <c r="AP104" s="322"/>
      <c r="AQ104" s="322"/>
      <c r="AR104" s="322"/>
    </row>
    <row r="105" spans="1:44" ht="15.75" customHeight="1" thickBot="1" x14ac:dyDescent="0.25">
      <c r="A105" s="173"/>
      <c r="B105" s="298"/>
      <c r="C105" s="167"/>
      <c r="D105" s="167"/>
      <c r="E105" s="167"/>
      <c r="F105" s="228"/>
      <c r="G105" s="406"/>
      <c r="H105" s="255"/>
      <c r="I105" s="167"/>
      <c r="J105" s="159"/>
      <c r="K105" s="377"/>
      <c r="L105" s="252">
        <f t="shared" si="14"/>
        <v>0</v>
      </c>
      <c r="M105" s="167"/>
      <c r="N105" s="158"/>
      <c r="O105" s="158"/>
      <c r="P105" s="158"/>
      <c r="Q105" s="158"/>
      <c r="R105" s="159"/>
      <c r="AL105" s="322"/>
      <c r="AM105" s="322"/>
      <c r="AN105" s="322"/>
      <c r="AP105" s="322"/>
      <c r="AQ105" s="322"/>
      <c r="AR105" s="322"/>
    </row>
    <row r="106" spans="1:44" ht="15.75" customHeight="1" thickBot="1" x14ac:dyDescent="0.25">
      <c r="A106" s="86" t="s">
        <v>1</v>
      </c>
      <c r="B106" s="283" t="s">
        <v>308</v>
      </c>
      <c r="C106" s="75"/>
      <c r="D106" s="75"/>
      <c r="E106" s="75"/>
      <c r="F106" s="75">
        <f>SUM(F107:F132)</f>
        <v>4106</v>
      </c>
      <c r="G106" s="392"/>
      <c r="H106" s="75"/>
      <c r="I106" s="75"/>
      <c r="J106" s="264"/>
      <c r="K106" s="75"/>
      <c r="L106" s="75">
        <f t="shared" si="14"/>
        <v>0</v>
      </c>
      <c r="M106" s="75"/>
      <c r="N106" s="76"/>
      <c r="O106" s="76"/>
      <c r="P106" s="76"/>
      <c r="Q106" s="76"/>
      <c r="R106" s="75"/>
      <c r="AL106" s="322"/>
      <c r="AM106" s="322"/>
      <c r="AN106" s="322"/>
      <c r="AP106" s="322"/>
      <c r="AQ106" s="322"/>
      <c r="AR106" s="322"/>
    </row>
    <row r="107" spans="1:44" ht="15.75" customHeight="1" x14ac:dyDescent="0.2">
      <c r="A107" s="170" t="s">
        <v>168</v>
      </c>
      <c r="B107" s="297" t="s">
        <v>264</v>
      </c>
      <c r="C107" s="145">
        <f>MIN(鹿屋!8:8)</f>
        <v>5280</v>
      </c>
      <c r="D107" s="145">
        <f>MAX(鹿屋!8:8)</f>
        <v>5396</v>
      </c>
      <c r="E107" s="145">
        <f t="shared" ref="E107:E132" si="15">D107-C107</f>
        <v>116</v>
      </c>
      <c r="F107" s="227">
        <f>SUM(E107:E110)</f>
        <v>492</v>
      </c>
      <c r="G107" s="405">
        <v>20</v>
      </c>
      <c r="H107" s="251">
        <v>1</v>
      </c>
      <c r="I107" s="145"/>
      <c r="J107" s="146"/>
      <c r="K107" s="374"/>
      <c r="L107" s="251">
        <f t="shared" si="14"/>
        <v>201000</v>
      </c>
      <c r="M107" s="145">
        <f>L107-F107*100</f>
        <v>151800</v>
      </c>
      <c r="N107" s="171"/>
      <c r="O107" s="161"/>
      <c r="P107" s="162"/>
      <c r="Q107" s="162"/>
      <c r="R107" s="146"/>
      <c r="AL107" s="322"/>
      <c r="AM107" s="322"/>
      <c r="AN107" s="322"/>
      <c r="AP107" s="70" t="s">
        <v>328</v>
      </c>
      <c r="AR107" s="70">
        <v>206000</v>
      </c>
    </row>
    <row r="108" spans="1:44" ht="15.75" customHeight="1" x14ac:dyDescent="0.2">
      <c r="A108" s="149"/>
      <c r="B108" s="286"/>
      <c r="C108" s="113">
        <f>MIN(鹿屋!20:20)</f>
        <v>7899</v>
      </c>
      <c r="D108" s="113">
        <f>MAX(鹿屋!20:20)</f>
        <v>7992</v>
      </c>
      <c r="E108" s="113">
        <f t="shared" si="15"/>
        <v>93</v>
      </c>
      <c r="F108" s="220"/>
      <c r="G108" s="398"/>
      <c r="H108" s="121"/>
      <c r="I108" s="113"/>
      <c r="J108" s="148"/>
      <c r="K108" s="369"/>
      <c r="L108" s="242">
        <f t="shared" si="14"/>
        <v>0</v>
      </c>
      <c r="M108" s="113"/>
      <c r="N108" s="133"/>
      <c r="O108" s="122"/>
      <c r="P108" s="114"/>
      <c r="Q108" s="114"/>
      <c r="R108" s="148"/>
      <c r="AL108" s="70" t="s">
        <v>328</v>
      </c>
      <c r="AN108" s="70">
        <v>301000</v>
      </c>
    </row>
    <row r="109" spans="1:44" ht="15.75" customHeight="1" x14ac:dyDescent="0.2">
      <c r="A109" s="149"/>
      <c r="B109" s="286"/>
      <c r="C109" s="113">
        <f>MIN(鹿屋!32:32)</f>
        <v>6830</v>
      </c>
      <c r="D109" s="113">
        <f>MAX(鹿屋!32:32)</f>
        <v>6997</v>
      </c>
      <c r="E109" s="113">
        <f t="shared" si="15"/>
        <v>167</v>
      </c>
      <c r="F109" s="220"/>
      <c r="G109" s="398"/>
      <c r="H109" s="121"/>
      <c r="I109" s="113"/>
      <c r="J109" s="148"/>
      <c r="K109" s="369"/>
      <c r="L109" s="121">
        <f t="shared" si="14"/>
        <v>0</v>
      </c>
      <c r="M109" s="113"/>
      <c r="N109" s="133"/>
      <c r="O109" s="122"/>
      <c r="P109" s="114"/>
      <c r="Q109" s="114"/>
      <c r="R109" s="148"/>
    </row>
    <row r="110" spans="1:44" ht="15.75" customHeight="1" x14ac:dyDescent="0.2">
      <c r="A110" s="152"/>
      <c r="B110" s="290"/>
      <c r="C110" s="124">
        <f>MIN(鹿屋!44:44)</f>
        <v>10244</v>
      </c>
      <c r="D110" s="124">
        <f>MAX(鹿屋!44:44)</f>
        <v>10360</v>
      </c>
      <c r="E110" s="124">
        <f t="shared" si="15"/>
        <v>116</v>
      </c>
      <c r="F110" s="223"/>
      <c r="G110" s="402"/>
      <c r="H110" s="250"/>
      <c r="I110" s="124"/>
      <c r="J110" s="269"/>
      <c r="K110" s="373"/>
      <c r="L110" s="250">
        <f t="shared" si="14"/>
        <v>0</v>
      </c>
      <c r="M110" s="124"/>
      <c r="N110" s="138"/>
      <c r="O110" s="122"/>
      <c r="P110" s="114"/>
      <c r="Q110" s="114"/>
      <c r="R110" s="148"/>
    </row>
    <row r="111" spans="1:44" ht="15.75" customHeight="1" x14ac:dyDescent="0.2">
      <c r="A111" s="147" t="s">
        <v>234</v>
      </c>
      <c r="B111" s="285" t="s">
        <v>236</v>
      </c>
      <c r="C111" s="110">
        <f>MIN(鹿屋!56:56)</f>
        <v>14202</v>
      </c>
      <c r="D111" s="110">
        <f>MAX(鹿屋!56:56)</f>
        <v>14276</v>
      </c>
      <c r="E111" s="110">
        <f t="shared" si="15"/>
        <v>74</v>
      </c>
      <c r="F111" s="219">
        <f>SUM(E111:E114)</f>
        <v>432</v>
      </c>
      <c r="G111" s="397">
        <v>10</v>
      </c>
      <c r="H111" s="241">
        <v>5</v>
      </c>
      <c r="I111" s="110"/>
      <c r="J111" s="266">
        <v>7</v>
      </c>
      <c r="K111" s="368"/>
      <c r="L111" s="241">
        <f t="shared" si="14"/>
        <v>105700</v>
      </c>
      <c r="M111" s="110">
        <f>L111-F111*100</f>
        <v>62500</v>
      </c>
      <c r="N111" s="132"/>
      <c r="O111" s="122"/>
      <c r="P111" s="114"/>
      <c r="Q111" s="114"/>
      <c r="R111" s="148"/>
      <c r="AP111" s="70" t="s">
        <v>299</v>
      </c>
      <c r="AR111" s="70">
        <v>99100</v>
      </c>
    </row>
    <row r="112" spans="1:44" ht="15.75" customHeight="1" x14ac:dyDescent="0.2">
      <c r="A112" s="149"/>
      <c r="B112" s="286"/>
      <c r="C112" s="113">
        <f>MIN(鹿屋!68:68)</f>
        <v>14514</v>
      </c>
      <c r="D112" s="113">
        <f>MAX(鹿屋!68:68)</f>
        <v>14669</v>
      </c>
      <c r="E112" s="113">
        <f t="shared" si="15"/>
        <v>155</v>
      </c>
      <c r="F112" s="220"/>
      <c r="G112" s="398"/>
      <c r="H112" s="121"/>
      <c r="I112" s="113"/>
      <c r="J112" s="148"/>
      <c r="K112" s="369"/>
      <c r="L112" s="242">
        <f t="shared" si="14"/>
        <v>0</v>
      </c>
      <c r="M112" s="113"/>
      <c r="N112" s="133"/>
      <c r="O112" s="122"/>
      <c r="P112" s="114"/>
      <c r="Q112" s="114"/>
      <c r="R112" s="148"/>
      <c r="AL112" s="70" t="s">
        <v>299</v>
      </c>
      <c r="AN112" s="70">
        <v>71300</v>
      </c>
    </row>
    <row r="113" spans="1:44" ht="15.75" customHeight="1" x14ac:dyDescent="0.2">
      <c r="A113" s="149"/>
      <c r="B113" s="286"/>
      <c r="C113" s="113">
        <f>MIN(鹿屋!80:80)</f>
        <v>12121</v>
      </c>
      <c r="D113" s="113">
        <f>MAX(鹿屋!80:80)</f>
        <v>12224</v>
      </c>
      <c r="E113" s="113">
        <f t="shared" si="15"/>
        <v>103</v>
      </c>
      <c r="F113" s="220"/>
      <c r="G113" s="398"/>
      <c r="H113" s="121"/>
      <c r="I113" s="113"/>
      <c r="J113" s="148"/>
      <c r="K113" s="369"/>
      <c r="L113" s="121">
        <f t="shared" si="14"/>
        <v>0</v>
      </c>
      <c r="M113" s="113"/>
      <c r="N113" s="133"/>
      <c r="O113" s="122"/>
      <c r="P113" s="114"/>
      <c r="Q113" s="114"/>
      <c r="R113" s="148"/>
    </row>
    <row r="114" spans="1:44" ht="15" customHeight="1" x14ac:dyDescent="0.2">
      <c r="A114" s="150"/>
      <c r="B114" s="287"/>
      <c r="C114" s="118">
        <f>MIN(鹿屋!92:92)</f>
        <v>18468</v>
      </c>
      <c r="D114" s="118">
        <f>MAX(鹿屋!92:92)</f>
        <v>18568</v>
      </c>
      <c r="E114" s="118">
        <f>D114-C114</f>
        <v>100</v>
      </c>
      <c r="F114" s="221"/>
      <c r="G114" s="399"/>
      <c r="H114" s="243"/>
      <c r="I114" s="118"/>
      <c r="J114" s="267"/>
      <c r="K114" s="370"/>
      <c r="L114" s="243">
        <f t="shared" si="14"/>
        <v>0</v>
      </c>
      <c r="M114" s="118"/>
      <c r="N114" s="134"/>
      <c r="O114" s="122"/>
      <c r="P114" s="114"/>
      <c r="Q114" s="114"/>
      <c r="R114" s="148"/>
    </row>
    <row r="115" spans="1:44" ht="15" customHeight="1" x14ac:dyDescent="0.2">
      <c r="A115" s="151" t="s">
        <v>272</v>
      </c>
      <c r="B115" s="289" t="s">
        <v>265</v>
      </c>
      <c r="C115" s="127">
        <f>MIN(鹿屋!104:104)</f>
        <v>3269</v>
      </c>
      <c r="D115" s="127">
        <f>MAX(鹿屋!104:104)</f>
        <v>3347</v>
      </c>
      <c r="E115" s="127">
        <f t="shared" si="15"/>
        <v>78</v>
      </c>
      <c r="F115" s="222">
        <f>SUM(E115:E118)</f>
        <v>654</v>
      </c>
      <c r="G115" s="401">
        <v>15</v>
      </c>
      <c r="H115" s="244">
        <v>3</v>
      </c>
      <c r="I115" s="127"/>
      <c r="J115" s="268">
        <v>3</v>
      </c>
      <c r="K115" s="372"/>
      <c r="L115" s="244">
        <f t="shared" si="14"/>
        <v>153300</v>
      </c>
      <c r="M115" s="127">
        <f>L115-F115*100</f>
        <v>87900</v>
      </c>
      <c r="N115" s="137"/>
      <c r="O115" s="122"/>
      <c r="P115" s="114"/>
      <c r="Q115" s="114"/>
      <c r="R115" s="148"/>
    </row>
    <row r="116" spans="1:44" ht="15" customHeight="1" x14ac:dyDescent="0.2">
      <c r="A116" s="149"/>
      <c r="B116" s="286"/>
      <c r="C116" s="113">
        <f>MIN(鹿屋!116:116)</f>
        <v>3568</v>
      </c>
      <c r="D116" s="113">
        <f>MAX(鹿屋!116:116)</f>
        <v>3755</v>
      </c>
      <c r="E116" s="113">
        <f t="shared" si="15"/>
        <v>187</v>
      </c>
      <c r="F116" s="220"/>
      <c r="G116" s="398"/>
      <c r="H116" s="121"/>
      <c r="I116" s="113"/>
      <c r="J116" s="148"/>
      <c r="K116" s="369"/>
      <c r="L116" s="242">
        <f t="shared" si="14"/>
        <v>0</v>
      </c>
      <c r="M116" s="113"/>
      <c r="N116" s="133"/>
      <c r="O116" s="122"/>
      <c r="P116" s="114"/>
      <c r="Q116" s="114"/>
      <c r="R116" s="148"/>
    </row>
    <row r="117" spans="1:44" ht="15" customHeight="1" x14ac:dyDescent="0.2">
      <c r="A117" s="149"/>
      <c r="B117" s="286"/>
      <c r="C117" s="113">
        <f>MIN(鹿屋!128:128)</f>
        <v>4716</v>
      </c>
      <c r="D117" s="113">
        <f>MAX(鹿屋!128:128)</f>
        <v>4949</v>
      </c>
      <c r="E117" s="113">
        <f t="shared" si="15"/>
        <v>233</v>
      </c>
      <c r="F117" s="220"/>
      <c r="G117" s="398"/>
      <c r="H117" s="121"/>
      <c r="I117" s="113"/>
      <c r="J117" s="148"/>
      <c r="K117" s="369"/>
      <c r="L117" s="121">
        <f t="shared" si="14"/>
        <v>0</v>
      </c>
      <c r="M117" s="113"/>
      <c r="N117" s="133"/>
      <c r="O117" s="122"/>
      <c r="P117" s="114"/>
      <c r="Q117" s="114"/>
      <c r="R117" s="148"/>
    </row>
    <row r="118" spans="1:44" ht="15" customHeight="1" x14ac:dyDescent="0.2">
      <c r="A118" s="152"/>
      <c r="B118" s="290"/>
      <c r="C118" s="124">
        <f>MIN(鹿屋!140:140)</f>
        <v>4637</v>
      </c>
      <c r="D118" s="124">
        <f>MAX(鹿屋!140:140)</f>
        <v>4793</v>
      </c>
      <c r="E118" s="124">
        <f t="shared" si="15"/>
        <v>156</v>
      </c>
      <c r="F118" s="223"/>
      <c r="G118" s="402"/>
      <c r="H118" s="250"/>
      <c r="I118" s="124"/>
      <c r="J118" s="269"/>
      <c r="K118" s="373"/>
      <c r="L118" s="250">
        <f t="shared" si="14"/>
        <v>0</v>
      </c>
      <c r="M118" s="124"/>
      <c r="N118" s="138"/>
      <c r="O118" s="122"/>
      <c r="P118" s="114"/>
      <c r="Q118" s="114"/>
      <c r="R118" s="148"/>
    </row>
    <row r="119" spans="1:44" ht="15" customHeight="1" x14ac:dyDescent="0.2">
      <c r="A119" s="147" t="s">
        <v>279</v>
      </c>
      <c r="B119" s="285" t="s">
        <v>266</v>
      </c>
      <c r="C119" s="110">
        <f>MIN(鹿屋!152:152)</f>
        <v>3207</v>
      </c>
      <c r="D119" s="110">
        <f>MAX(鹿屋!152:152)</f>
        <v>3317</v>
      </c>
      <c r="E119" s="110">
        <f t="shared" si="15"/>
        <v>110</v>
      </c>
      <c r="F119" s="219">
        <f>SUM(E119:E122)</f>
        <v>537</v>
      </c>
      <c r="G119" s="397">
        <v>15</v>
      </c>
      <c r="H119" s="241">
        <v>9</v>
      </c>
      <c r="I119" s="110"/>
      <c r="J119" s="266">
        <v>5</v>
      </c>
      <c r="K119" s="368"/>
      <c r="L119" s="241">
        <f t="shared" si="14"/>
        <v>159500</v>
      </c>
      <c r="M119" s="110">
        <f>L119-F119*100</f>
        <v>105800</v>
      </c>
      <c r="N119" s="132"/>
      <c r="O119" s="122"/>
      <c r="P119" s="114"/>
      <c r="Q119" s="114"/>
      <c r="R119" s="148"/>
    </row>
    <row r="120" spans="1:44" ht="15" customHeight="1" x14ac:dyDescent="0.2">
      <c r="A120" s="149"/>
      <c r="B120" s="286"/>
      <c r="C120" s="113">
        <f>MIN(鹿屋!164:164)</f>
        <v>2316</v>
      </c>
      <c r="D120" s="113">
        <f>MAX(鹿屋!164:164)</f>
        <v>2460</v>
      </c>
      <c r="E120" s="113">
        <f t="shared" si="15"/>
        <v>144</v>
      </c>
      <c r="F120" s="220"/>
      <c r="G120" s="398"/>
      <c r="H120" s="121"/>
      <c r="I120" s="113"/>
      <c r="J120" s="148"/>
      <c r="K120" s="369"/>
      <c r="L120" s="242">
        <f t="shared" si="14"/>
        <v>0</v>
      </c>
      <c r="M120" s="113"/>
      <c r="N120" s="133"/>
      <c r="O120" s="122"/>
      <c r="P120" s="114"/>
      <c r="Q120" s="114"/>
      <c r="R120" s="148"/>
      <c r="AP120" s="70" t="s">
        <v>241</v>
      </c>
      <c r="AR120" s="70">
        <v>16400</v>
      </c>
    </row>
    <row r="121" spans="1:44" ht="15" customHeight="1" x14ac:dyDescent="0.2">
      <c r="A121" s="149"/>
      <c r="B121" s="286"/>
      <c r="C121" s="113">
        <f>MIN(鹿屋!176:176)</f>
        <v>7008</v>
      </c>
      <c r="D121" s="113">
        <f>MAX(鹿屋!176:176)</f>
        <v>7153</v>
      </c>
      <c r="E121" s="113">
        <f t="shared" si="15"/>
        <v>145</v>
      </c>
      <c r="F121" s="220"/>
      <c r="G121" s="398"/>
      <c r="H121" s="121"/>
      <c r="I121" s="113"/>
      <c r="J121" s="148"/>
      <c r="K121" s="369"/>
      <c r="L121" s="121">
        <f t="shared" si="14"/>
        <v>0</v>
      </c>
      <c r="M121" s="113"/>
      <c r="N121" s="133"/>
      <c r="O121" s="122"/>
      <c r="P121" s="114"/>
      <c r="Q121" s="114"/>
      <c r="R121" s="148"/>
      <c r="AL121" s="70" t="s">
        <v>241</v>
      </c>
      <c r="AN121" s="70">
        <v>17100</v>
      </c>
    </row>
    <row r="122" spans="1:44" ht="15" customHeight="1" x14ac:dyDescent="0.2">
      <c r="A122" s="150"/>
      <c r="B122" s="287"/>
      <c r="C122" s="118">
        <f>MIN(鹿屋!188:188)</f>
        <v>5071</v>
      </c>
      <c r="D122" s="118">
        <f>MAX(鹿屋!188:188)</f>
        <v>5209</v>
      </c>
      <c r="E122" s="118">
        <f t="shared" si="15"/>
        <v>138</v>
      </c>
      <c r="F122" s="221"/>
      <c r="G122" s="399"/>
      <c r="H122" s="243"/>
      <c r="I122" s="118"/>
      <c r="J122" s="267"/>
      <c r="K122" s="370"/>
      <c r="L122" s="243">
        <f t="shared" si="14"/>
        <v>0</v>
      </c>
      <c r="M122" s="118"/>
      <c r="N122" s="134"/>
      <c r="O122" s="122"/>
      <c r="P122" s="114"/>
      <c r="Q122" s="114"/>
      <c r="R122" s="148"/>
    </row>
    <row r="123" spans="1:44" ht="15" customHeight="1" x14ac:dyDescent="0.2">
      <c r="A123" s="151" t="s">
        <v>36</v>
      </c>
      <c r="B123" s="289" t="s">
        <v>260</v>
      </c>
      <c r="C123" s="127">
        <f>MIN(鹿屋!200:200)</f>
        <v>5326</v>
      </c>
      <c r="D123" s="127">
        <f>MAX(鹿屋!200:200)</f>
        <v>5408</v>
      </c>
      <c r="E123" s="127">
        <f t="shared" si="15"/>
        <v>82</v>
      </c>
      <c r="F123" s="222">
        <f>SUM(E123:E126)</f>
        <v>559</v>
      </c>
      <c r="G123" s="401">
        <v>12</v>
      </c>
      <c r="H123" s="244">
        <v>6</v>
      </c>
      <c r="I123" s="127"/>
      <c r="J123" s="268">
        <v>5</v>
      </c>
      <c r="K123" s="372"/>
      <c r="L123" s="244">
        <f t="shared" si="14"/>
        <v>126500</v>
      </c>
      <c r="M123" s="127">
        <f>L123-F123*100</f>
        <v>70600</v>
      </c>
      <c r="N123" s="137"/>
      <c r="O123" s="122"/>
      <c r="P123" s="114"/>
      <c r="Q123" s="114"/>
      <c r="R123" s="148"/>
      <c r="AP123" s="70" t="s">
        <v>328</v>
      </c>
      <c r="AR123" s="70">
        <v>308000</v>
      </c>
    </row>
    <row r="124" spans="1:44" ht="15" customHeight="1" x14ac:dyDescent="0.2">
      <c r="A124" s="149"/>
      <c r="B124" s="286"/>
      <c r="C124" s="113">
        <f>MIN(鹿屋!212:212)</f>
        <v>4235</v>
      </c>
      <c r="D124" s="113">
        <f>MAX(鹿屋!212:212)</f>
        <v>4312</v>
      </c>
      <c r="E124" s="113">
        <f t="shared" si="15"/>
        <v>77</v>
      </c>
      <c r="F124" s="220"/>
      <c r="G124" s="398"/>
      <c r="H124" s="121"/>
      <c r="I124" s="113"/>
      <c r="J124" s="148"/>
      <c r="K124" s="369"/>
      <c r="L124" s="242">
        <f t="shared" si="14"/>
        <v>0</v>
      </c>
      <c r="M124" s="113"/>
      <c r="N124" s="133"/>
      <c r="O124" s="122"/>
      <c r="P124" s="114"/>
      <c r="Q124" s="114"/>
      <c r="R124" s="148"/>
      <c r="AL124" s="70" t="s">
        <v>328</v>
      </c>
      <c r="AN124" s="70">
        <v>192000</v>
      </c>
    </row>
    <row r="125" spans="1:44" ht="15" customHeight="1" x14ac:dyDescent="0.2">
      <c r="A125" s="149"/>
      <c r="B125" s="286"/>
      <c r="C125" s="113">
        <f>MIN(鹿屋!224:224)</f>
        <v>4000</v>
      </c>
      <c r="D125" s="113">
        <f>MAX(鹿屋!224:224)</f>
        <v>4321</v>
      </c>
      <c r="E125" s="113">
        <f t="shared" si="15"/>
        <v>321</v>
      </c>
      <c r="F125" s="220"/>
      <c r="G125" s="398"/>
      <c r="H125" s="121"/>
      <c r="I125" s="113"/>
      <c r="J125" s="148"/>
      <c r="K125" s="369"/>
      <c r="L125" s="121">
        <f t="shared" si="14"/>
        <v>0</v>
      </c>
      <c r="M125" s="113"/>
      <c r="N125" s="133"/>
      <c r="O125" s="122"/>
      <c r="P125" s="114"/>
      <c r="Q125" s="114"/>
      <c r="R125" s="148"/>
    </row>
    <row r="126" spans="1:44" ht="15" customHeight="1" x14ac:dyDescent="0.2">
      <c r="A126" s="152"/>
      <c r="B126" s="290"/>
      <c r="C126" s="124">
        <f>MIN(鹿屋!236:236)</f>
        <v>4504</v>
      </c>
      <c r="D126" s="124">
        <f>MAX(鹿屋!236:236)</f>
        <v>4583</v>
      </c>
      <c r="E126" s="124">
        <f t="shared" si="15"/>
        <v>79</v>
      </c>
      <c r="F126" s="223"/>
      <c r="G126" s="402"/>
      <c r="H126" s="250"/>
      <c r="I126" s="124"/>
      <c r="J126" s="269"/>
      <c r="K126" s="373"/>
      <c r="L126" s="250">
        <f t="shared" si="14"/>
        <v>0</v>
      </c>
      <c r="M126" s="124"/>
      <c r="N126" s="138"/>
      <c r="O126" s="122"/>
      <c r="P126" s="114"/>
      <c r="Q126" s="114"/>
      <c r="R126" s="148"/>
    </row>
    <row r="127" spans="1:44" ht="15" customHeight="1" x14ac:dyDescent="0.2">
      <c r="A127" s="180" t="s">
        <v>298</v>
      </c>
      <c r="B127" s="300"/>
      <c r="C127" s="135">
        <f>MIN(ガチャ!24:24)</f>
        <v>1059</v>
      </c>
      <c r="D127" s="135">
        <f>MAX(ガチャ!24:24)</f>
        <v>1067</v>
      </c>
      <c r="E127" s="135">
        <f t="shared" si="15"/>
        <v>8</v>
      </c>
      <c r="F127" s="224">
        <f>E127*10</f>
        <v>80</v>
      </c>
      <c r="G127" s="400"/>
      <c r="H127" s="247">
        <v>22</v>
      </c>
      <c r="I127" s="135"/>
      <c r="J127" s="270"/>
      <c r="K127" s="371"/>
      <c r="L127" s="247">
        <f t="shared" si="14"/>
        <v>22000</v>
      </c>
      <c r="M127" s="135">
        <f>L127-F127*100</f>
        <v>14000</v>
      </c>
      <c r="N127" s="136"/>
      <c r="O127" s="122"/>
      <c r="P127" s="114"/>
      <c r="Q127" s="114"/>
      <c r="R127" s="148"/>
    </row>
    <row r="128" spans="1:44" ht="15" customHeight="1" x14ac:dyDescent="0.2">
      <c r="A128" s="192" t="s">
        <v>298</v>
      </c>
      <c r="B128" s="303"/>
      <c r="C128" s="169">
        <f>MIN(ガチャ!34:34)</f>
        <v>1421</v>
      </c>
      <c r="D128" s="169">
        <f>MAX(ガチャ!34:34)</f>
        <v>1453</v>
      </c>
      <c r="E128" s="169">
        <f t="shared" si="15"/>
        <v>32</v>
      </c>
      <c r="F128" s="229">
        <f>E128*10</f>
        <v>320</v>
      </c>
      <c r="G128" s="407"/>
      <c r="H128" s="253">
        <v>98</v>
      </c>
      <c r="I128" s="169"/>
      <c r="J128" s="274"/>
      <c r="K128" s="75"/>
      <c r="L128" s="253">
        <f t="shared" si="14"/>
        <v>98000</v>
      </c>
      <c r="M128" s="169">
        <f>L128-F128*100</f>
        <v>66000</v>
      </c>
      <c r="N128" s="178"/>
      <c r="O128" s="122"/>
      <c r="P128" s="114"/>
      <c r="Q128" s="114"/>
      <c r="R128" s="148"/>
    </row>
    <row r="129" spans="1:44" ht="15" customHeight="1" x14ac:dyDescent="0.2">
      <c r="A129" s="193" t="s">
        <v>299</v>
      </c>
      <c r="B129" s="304"/>
      <c r="C129" s="110">
        <f>MIN(ガチャ!44:44)</f>
        <v>7497</v>
      </c>
      <c r="D129" s="110">
        <f>MAX(ガチャ!44:44)</f>
        <v>7552</v>
      </c>
      <c r="E129" s="110">
        <f t="shared" si="15"/>
        <v>55</v>
      </c>
      <c r="F129" s="219">
        <f>SUM(E129:E130)</f>
        <v>98</v>
      </c>
      <c r="G129" s="397"/>
      <c r="H129" s="241"/>
      <c r="I129" s="110">
        <v>21</v>
      </c>
      <c r="J129" s="266">
        <v>115</v>
      </c>
      <c r="K129" s="368"/>
      <c r="L129" s="241">
        <f t="shared" si="14"/>
        <v>22000</v>
      </c>
      <c r="M129" s="110">
        <f>L129-F129*100</f>
        <v>12200</v>
      </c>
      <c r="N129" s="190"/>
      <c r="O129" s="120"/>
      <c r="P129" s="115"/>
      <c r="Q129" s="115"/>
      <c r="R129" s="148"/>
      <c r="AP129" s="70" t="s">
        <v>298</v>
      </c>
      <c r="AR129" s="70">
        <v>45000</v>
      </c>
    </row>
    <row r="130" spans="1:44" ht="15" customHeight="1" x14ac:dyDescent="0.2">
      <c r="A130" s="194"/>
      <c r="B130" s="305"/>
      <c r="C130" s="118">
        <f>MIN(ガチャ!54:54)</f>
        <v>2267</v>
      </c>
      <c r="D130" s="118">
        <f>MAX(ガチャ!54:54)</f>
        <v>2310</v>
      </c>
      <c r="E130" s="118">
        <f t="shared" si="15"/>
        <v>43</v>
      </c>
      <c r="F130" s="221"/>
      <c r="G130" s="399"/>
      <c r="H130" s="243"/>
      <c r="I130" s="118"/>
      <c r="J130" s="267"/>
      <c r="K130" s="370"/>
      <c r="L130" s="246">
        <f t="shared" si="14"/>
        <v>0</v>
      </c>
      <c r="M130" s="118"/>
      <c r="N130" s="191"/>
      <c r="O130" s="120"/>
      <c r="P130" s="115"/>
      <c r="Q130" s="115"/>
      <c r="R130" s="148"/>
      <c r="AL130" s="70" t="s">
        <v>298</v>
      </c>
      <c r="AN130" s="70">
        <v>44000</v>
      </c>
    </row>
    <row r="131" spans="1:44" ht="15" customHeight="1" x14ac:dyDescent="0.2">
      <c r="A131" s="181" t="s">
        <v>187</v>
      </c>
      <c r="B131" s="301" t="s">
        <v>239</v>
      </c>
      <c r="C131" s="169">
        <f>MIN(鹿屋!248:248)</f>
        <v>9097</v>
      </c>
      <c r="D131" s="169">
        <f>MAX(鹿屋!248:248)</f>
        <v>9421</v>
      </c>
      <c r="E131" s="169">
        <f t="shared" si="15"/>
        <v>324</v>
      </c>
      <c r="F131" s="229">
        <f>SUM(E131:E131)</f>
        <v>324</v>
      </c>
      <c r="G131" s="407">
        <v>8</v>
      </c>
      <c r="H131" s="253">
        <v>3</v>
      </c>
      <c r="I131" s="169"/>
      <c r="J131" s="274">
        <v>8</v>
      </c>
      <c r="K131" s="75"/>
      <c r="L131" s="253">
        <f t="shared" si="14"/>
        <v>83800</v>
      </c>
      <c r="M131" s="169">
        <f>L131-F131*100</f>
        <v>51400</v>
      </c>
      <c r="N131" s="178"/>
      <c r="O131" s="122"/>
      <c r="P131" s="114"/>
      <c r="Q131" s="114"/>
      <c r="R131" s="148"/>
    </row>
    <row r="132" spans="1:44" ht="15" customHeight="1" x14ac:dyDescent="0.2">
      <c r="A132" s="153" t="s">
        <v>187</v>
      </c>
      <c r="B132" s="288" t="s">
        <v>258</v>
      </c>
      <c r="C132" s="135">
        <f>MIN(鹿屋!260:260)</f>
        <v>27483</v>
      </c>
      <c r="D132" s="135">
        <f>MAX(鹿屋!260:260)</f>
        <v>28093</v>
      </c>
      <c r="E132" s="135">
        <f t="shared" si="15"/>
        <v>610</v>
      </c>
      <c r="F132" s="224">
        <f>SUM(E132:E132)</f>
        <v>610</v>
      </c>
      <c r="G132" s="400">
        <v>15</v>
      </c>
      <c r="H132" s="247"/>
      <c r="I132" s="135"/>
      <c r="J132" s="270">
        <v>9</v>
      </c>
      <c r="K132" s="371"/>
      <c r="L132" s="247">
        <f t="shared" si="14"/>
        <v>150900</v>
      </c>
      <c r="M132" s="135">
        <f>L132-F132*100</f>
        <v>89900</v>
      </c>
      <c r="N132" s="136"/>
      <c r="O132" s="122"/>
      <c r="P132" s="114"/>
      <c r="Q132" s="114"/>
      <c r="R132" s="148"/>
    </row>
    <row r="133" spans="1:44" ht="15" customHeight="1" x14ac:dyDescent="0.2">
      <c r="A133" s="151"/>
      <c r="B133" s="289"/>
      <c r="C133" s="127"/>
      <c r="D133" s="127"/>
      <c r="E133" s="127"/>
      <c r="F133" s="222"/>
      <c r="G133" s="401"/>
      <c r="H133" s="244"/>
      <c r="I133" s="127"/>
      <c r="J133" s="268"/>
      <c r="K133" s="372"/>
      <c r="L133" s="244">
        <f t="shared" si="14"/>
        <v>0</v>
      </c>
      <c r="M133" s="127">
        <f>SUM(L107:L132)</f>
        <v>1122700</v>
      </c>
      <c r="N133" s="128"/>
      <c r="O133" s="114"/>
      <c r="P133" s="114"/>
      <c r="Q133" s="114"/>
      <c r="R133" s="148"/>
    </row>
    <row r="134" spans="1:44" ht="15" customHeight="1" thickBot="1" x14ac:dyDescent="0.25">
      <c r="A134" s="195"/>
      <c r="B134" s="306"/>
      <c r="C134" s="174"/>
      <c r="D134" s="174"/>
      <c r="E134" s="174"/>
      <c r="F134" s="232"/>
      <c r="G134" s="410"/>
      <c r="H134" s="252"/>
      <c r="I134" s="174"/>
      <c r="J134" s="197"/>
      <c r="K134" s="378"/>
      <c r="L134" s="252">
        <f t="shared" si="14"/>
        <v>0</v>
      </c>
      <c r="M134" s="174"/>
      <c r="N134" s="196"/>
      <c r="O134" s="196"/>
      <c r="P134" s="196"/>
      <c r="Q134" s="196"/>
      <c r="R134" s="197"/>
    </row>
    <row r="135" spans="1:44" ht="15" customHeight="1" thickBot="1" x14ac:dyDescent="0.25">
      <c r="A135" s="86" t="s">
        <v>46</v>
      </c>
      <c r="B135" s="283" t="s">
        <v>309</v>
      </c>
      <c r="C135" s="75"/>
      <c r="D135" s="75"/>
      <c r="E135" s="75"/>
      <c r="F135" s="75">
        <f>SUM(F136:F158)</f>
        <v>4199</v>
      </c>
      <c r="G135" s="392"/>
      <c r="H135" s="75"/>
      <c r="I135" s="75"/>
      <c r="J135" s="264"/>
      <c r="K135" s="75"/>
      <c r="L135" s="75">
        <f t="shared" si="14"/>
        <v>0</v>
      </c>
      <c r="M135" s="75"/>
      <c r="N135" s="76"/>
      <c r="O135" s="76"/>
      <c r="P135" s="76"/>
      <c r="Q135" s="76"/>
      <c r="R135" s="75"/>
    </row>
    <row r="136" spans="1:44" ht="15" customHeight="1" x14ac:dyDescent="0.2">
      <c r="A136" s="179" t="s">
        <v>295</v>
      </c>
      <c r="B136" s="299"/>
      <c r="C136" s="141">
        <f>MIN(ガチャ!4:4)</f>
        <v>9272</v>
      </c>
      <c r="D136" s="141">
        <f>MAX(ガチャ!4:4)</f>
        <v>9315</v>
      </c>
      <c r="E136" s="141">
        <f t="shared" ref="E136:E157" si="16">D136-C136</f>
        <v>43</v>
      </c>
      <c r="F136" s="226">
        <f>E136*10</f>
        <v>430</v>
      </c>
      <c r="G136" s="404">
        <v>5</v>
      </c>
      <c r="H136" s="240">
        <v>1</v>
      </c>
      <c r="I136" s="141"/>
      <c r="J136" s="272"/>
      <c r="K136" s="262"/>
      <c r="L136" s="240">
        <f t="shared" si="14"/>
        <v>51000</v>
      </c>
      <c r="M136" s="141">
        <f>L136-F136*100</f>
        <v>8000</v>
      </c>
      <c r="N136" s="160"/>
      <c r="O136" s="161"/>
      <c r="P136" s="162"/>
      <c r="Q136" s="162"/>
      <c r="R136" s="146"/>
    </row>
    <row r="137" spans="1:44" ht="15" customHeight="1" x14ac:dyDescent="0.2">
      <c r="A137" s="180" t="s">
        <v>298</v>
      </c>
      <c r="B137" s="300"/>
      <c r="C137" s="135">
        <f>MIN(ガチャ!14:14)</f>
        <v>3246</v>
      </c>
      <c r="D137" s="135">
        <f>MAX(ガチャ!14:14)</f>
        <v>3278</v>
      </c>
      <c r="E137" s="135">
        <f t="shared" si="16"/>
        <v>32</v>
      </c>
      <c r="F137" s="224">
        <f>E137*10</f>
        <v>320</v>
      </c>
      <c r="G137" s="400">
        <v>8</v>
      </c>
      <c r="H137" s="247">
        <v>8</v>
      </c>
      <c r="I137" s="135"/>
      <c r="J137" s="270"/>
      <c r="K137" s="371"/>
      <c r="L137" s="247">
        <f t="shared" si="14"/>
        <v>88000</v>
      </c>
      <c r="M137" s="135">
        <f>L137-F137*100</f>
        <v>56000</v>
      </c>
      <c r="N137" s="136"/>
      <c r="O137" s="122"/>
      <c r="P137" s="114"/>
      <c r="Q137" s="114"/>
      <c r="R137" s="148"/>
    </row>
    <row r="138" spans="1:44" ht="15" customHeight="1" x14ac:dyDescent="0.2">
      <c r="A138" s="151" t="s">
        <v>168</v>
      </c>
      <c r="B138" s="289" t="s">
        <v>281</v>
      </c>
      <c r="C138" s="127">
        <f>MIN(都城!8:8)</f>
        <v>4765</v>
      </c>
      <c r="D138" s="127">
        <f>MAX(都城!8:8)</f>
        <v>4895</v>
      </c>
      <c r="E138" s="127">
        <f t="shared" si="16"/>
        <v>130</v>
      </c>
      <c r="F138" s="222">
        <f>SUM(E138:E141)</f>
        <v>927</v>
      </c>
      <c r="G138" s="401">
        <v>26</v>
      </c>
      <c r="H138" s="244">
        <v>7</v>
      </c>
      <c r="I138" s="127"/>
      <c r="J138" s="268">
        <v>3</v>
      </c>
      <c r="K138" s="372"/>
      <c r="L138" s="244">
        <f t="shared" si="14"/>
        <v>267300</v>
      </c>
      <c r="M138" s="127">
        <f>L138-F138*100</f>
        <v>174600</v>
      </c>
      <c r="N138" s="137"/>
      <c r="O138" s="122"/>
      <c r="P138" s="114"/>
      <c r="Q138" s="114"/>
      <c r="R138" s="148"/>
    </row>
    <row r="139" spans="1:44" ht="15" customHeight="1" x14ac:dyDescent="0.2">
      <c r="A139" s="149"/>
      <c r="B139" s="286"/>
      <c r="C139" s="113">
        <f>MIN(都城!20:20)</f>
        <v>7591</v>
      </c>
      <c r="D139" s="113">
        <f>MAX(都城!20:20)</f>
        <v>7917</v>
      </c>
      <c r="E139" s="113">
        <f t="shared" si="16"/>
        <v>326</v>
      </c>
      <c r="F139" s="220"/>
      <c r="G139" s="398"/>
      <c r="H139" s="121"/>
      <c r="I139" s="113"/>
      <c r="J139" s="148"/>
      <c r="K139" s="369"/>
      <c r="L139" s="242">
        <f t="shared" si="14"/>
        <v>0</v>
      </c>
      <c r="M139" s="113"/>
      <c r="N139" s="133"/>
      <c r="O139" s="122"/>
      <c r="P139" s="114"/>
      <c r="Q139" s="114"/>
      <c r="R139" s="148"/>
    </row>
    <row r="140" spans="1:44" ht="15" customHeight="1" x14ac:dyDescent="0.2">
      <c r="A140" s="149"/>
      <c r="B140" s="286"/>
      <c r="C140" s="113">
        <f>MIN(都城!32:32)</f>
        <v>7677</v>
      </c>
      <c r="D140" s="113">
        <f>MAX(都城!32:32)</f>
        <v>7868</v>
      </c>
      <c r="E140" s="113">
        <f t="shared" si="16"/>
        <v>191</v>
      </c>
      <c r="F140" s="220"/>
      <c r="G140" s="398"/>
      <c r="H140" s="121"/>
      <c r="I140" s="113"/>
      <c r="J140" s="148"/>
      <c r="K140" s="369"/>
      <c r="L140" s="121">
        <f t="shared" si="14"/>
        <v>0</v>
      </c>
      <c r="M140" s="113"/>
      <c r="N140" s="133"/>
      <c r="O140" s="122"/>
      <c r="P140" s="114"/>
      <c r="Q140" s="114"/>
      <c r="R140" s="148"/>
    </row>
    <row r="141" spans="1:44" ht="15" customHeight="1" x14ac:dyDescent="0.2">
      <c r="A141" s="152"/>
      <c r="B141" s="290"/>
      <c r="C141" s="124">
        <f>MIN(都城!44:44)</f>
        <v>4964</v>
      </c>
      <c r="D141" s="124">
        <f>MAX(都城!44:44)</f>
        <v>5244</v>
      </c>
      <c r="E141" s="124">
        <f t="shared" si="16"/>
        <v>280</v>
      </c>
      <c r="F141" s="223"/>
      <c r="G141" s="402"/>
      <c r="H141" s="250"/>
      <c r="I141" s="124"/>
      <c r="J141" s="269"/>
      <c r="K141" s="373"/>
      <c r="L141" s="250">
        <f t="shared" si="14"/>
        <v>0</v>
      </c>
      <c r="M141" s="124"/>
      <c r="N141" s="138"/>
      <c r="O141" s="122"/>
      <c r="P141" s="114"/>
      <c r="Q141" s="114"/>
      <c r="R141" s="148"/>
    </row>
    <row r="142" spans="1:44" ht="15" customHeight="1" x14ac:dyDescent="0.2">
      <c r="A142" s="147" t="s">
        <v>234</v>
      </c>
      <c r="B142" s="285" t="s">
        <v>283</v>
      </c>
      <c r="C142" s="110">
        <f>MIN(都城!56:56)</f>
        <v>4233</v>
      </c>
      <c r="D142" s="110">
        <f>MAX(都城!56:56)</f>
        <v>4354</v>
      </c>
      <c r="E142" s="110">
        <f t="shared" si="16"/>
        <v>121</v>
      </c>
      <c r="F142" s="219">
        <f>SUM(E142:E145)</f>
        <v>488</v>
      </c>
      <c r="G142" s="397">
        <v>14</v>
      </c>
      <c r="H142" s="241">
        <v>9</v>
      </c>
      <c r="I142" s="110"/>
      <c r="J142" s="266">
        <v>4</v>
      </c>
      <c r="K142" s="368"/>
      <c r="L142" s="241">
        <f t="shared" si="14"/>
        <v>149400</v>
      </c>
      <c r="M142" s="110">
        <f>L142-F142*100</f>
        <v>100600</v>
      </c>
      <c r="N142" s="132"/>
      <c r="O142" s="122"/>
      <c r="P142" s="114"/>
      <c r="Q142" s="114"/>
      <c r="R142" s="148"/>
    </row>
    <row r="143" spans="1:44" ht="15" customHeight="1" x14ac:dyDescent="0.2">
      <c r="A143" s="149"/>
      <c r="B143" s="286"/>
      <c r="C143" s="113">
        <f>MIN(都城!68:68)</f>
        <v>3643</v>
      </c>
      <c r="D143" s="113">
        <f>MAX(都城!68:68)</f>
        <v>3750</v>
      </c>
      <c r="E143" s="113">
        <f t="shared" si="16"/>
        <v>107</v>
      </c>
      <c r="F143" s="220"/>
      <c r="G143" s="398"/>
      <c r="H143" s="121"/>
      <c r="I143" s="113"/>
      <c r="J143" s="148"/>
      <c r="K143" s="369"/>
      <c r="L143" s="242">
        <f t="shared" si="14"/>
        <v>0</v>
      </c>
      <c r="M143" s="113"/>
      <c r="N143" s="133"/>
      <c r="O143" s="122"/>
      <c r="P143" s="114"/>
      <c r="Q143" s="114"/>
      <c r="R143" s="148"/>
    </row>
    <row r="144" spans="1:44" ht="15" customHeight="1" x14ac:dyDescent="0.2">
      <c r="A144" s="149"/>
      <c r="B144" s="286"/>
      <c r="C144" s="113">
        <f>MIN(都城!80:80)</f>
        <v>5180</v>
      </c>
      <c r="D144" s="113">
        <f>MAX(都城!80:80)</f>
        <v>5286</v>
      </c>
      <c r="E144" s="113">
        <f t="shared" si="16"/>
        <v>106</v>
      </c>
      <c r="F144" s="220"/>
      <c r="G144" s="398"/>
      <c r="H144" s="121"/>
      <c r="I144" s="113"/>
      <c r="J144" s="148"/>
      <c r="K144" s="369"/>
      <c r="L144" s="121">
        <f t="shared" si="14"/>
        <v>0</v>
      </c>
      <c r="M144" s="113"/>
      <c r="N144" s="133"/>
      <c r="O144" s="122"/>
      <c r="P144" s="114"/>
      <c r="Q144" s="114"/>
      <c r="R144" s="148"/>
    </row>
    <row r="145" spans="1:44" ht="15" customHeight="1" x14ac:dyDescent="0.2">
      <c r="A145" s="150"/>
      <c r="B145" s="287"/>
      <c r="C145" s="118">
        <f>MIN(都城!92:92)</f>
        <v>3729</v>
      </c>
      <c r="D145" s="118">
        <f>MAX(都城!92:92)</f>
        <v>3883</v>
      </c>
      <c r="E145" s="118">
        <f t="shared" si="16"/>
        <v>154</v>
      </c>
      <c r="F145" s="221"/>
      <c r="G145" s="399"/>
      <c r="H145" s="243"/>
      <c r="I145" s="118"/>
      <c r="J145" s="267"/>
      <c r="K145" s="370"/>
      <c r="L145" s="243">
        <f t="shared" si="14"/>
        <v>0</v>
      </c>
      <c r="M145" s="118"/>
      <c r="N145" s="134"/>
      <c r="O145" s="122"/>
      <c r="P145" s="114"/>
      <c r="Q145" s="114"/>
      <c r="R145" s="148"/>
    </row>
    <row r="146" spans="1:44" ht="15" customHeight="1" x14ac:dyDescent="0.2">
      <c r="A146" s="151" t="s">
        <v>272</v>
      </c>
      <c r="B146" s="289" t="s">
        <v>284</v>
      </c>
      <c r="C146" s="127">
        <f>MIN(都城!104:104)</f>
        <v>3508</v>
      </c>
      <c r="D146" s="127">
        <f>MAX(都城!104:104)</f>
        <v>3641</v>
      </c>
      <c r="E146" s="127">
        <f t="shared" si="16"/>
        <v>133</v>
      </c>
      <c r="F146" s="222">
        <f>SUM(E146:E149)</f>
        <v>308</v>
      </c>
      <c r="G146" s="401">
        <v>9</v>
      </c>
      <c r="H146" s="244">
        <v>3</v>
      </c>
      <c r="I146" s="127"/>
      <c r="J146" s="268">
        <v>3</v>
      </c>
      <c r="K146" s="372"/>
      <c r="L146" s="244">
        <f t="shared" si="14"/>
        <v>93300</v>
      </c>
      <c r="M146" s="127">
        <f>L146-F146*100</f>
        <v>62500</v>
      </c>
      <c r="N146" s="137"/>
      <c r="O146" s="122"/>
      <c r="P146" s="114"/>
      <c r="Q146" s="114"/>
      <c r="R146" s="148"/>
    </row>
    <row r="147" spans="1:44" ht="15" customHeight="1" x14ac:dyDescent="0.2">
      <c r="A147" s="149"/>
      <c r="B147" s="286"/>
      <c r="C147" s="113">
        <f>MIN(都城!116:116)</f>
        <v>3075</v>
      </c>
      <c r="D147" s="113">
        <f>MAX(都城!116:116)</f>
        <v>3133</v>
      </c>
      <c r="E147" s="113">
        <f t="shared" si="16"/>
        <v>58</v>
      </c>
      <c r="F147" s="220"/>
      <c r="G147" s="398"/>
      <c r="H147" s="121"/>
      <c r="I147" s="113"/>
      <c r="J147" s="148"/>
      <c r="K147" s="369"/>
      <c r="L147" s="242">
        <f t="shared" si="14"/>
        <v>0</v>
      </c>
      <c r="M147" s="113"/>
      <c r="N147" s="133"/>
      <c r="O147" s="122"/>
      <c r="P147" s="114"/>
      <c r="Q147" s="114"/>
      <c r="R147" s="148"/>
    </row>
    <row r="148" spans="1:44" ht="15" customHeight="1" x14ac:dyDescent="0.2">
      <c r="A148" s="149"/>
      <c r="B148" s="286"/>
      <c r="C148" s="113">
        <f>MIN(都城!128:128)</f>
        <v>5775</v>
      </c>
      <c r="D148" s="113">
        <f>MAX(都城!128:128)</f>
        <v>5828</v>
      </c>
      <c r="E148" s="113">
        <f t="shared" si="16"/>
        <v>53</v>
      </c>
      <c r="F148" s="220"/>
      <c r="G148" s="398"/>
      <c r="H148" s="121"/>
      <c r="I148" s="113"/>
      <c r="J148" s="148"/>
      <c r="K148" s="369"/>
      <c r="L148" s="121">
        <f t="shared" si="14"/>
        <v>0</v>
      </c>
      <c r="M148" s="113"/>
      <c r="N148" s="133"/>
      <c r="O148" s="122"/>
      <c r="P148" s="114"/>
      <c r="Q148" s="114"/>
      <c r="R148" s="148"/>
    </row>
    <row r="149" spans="1:44" ht="15" customHeight="1" x14ac:dyDescent="0.2">
      <c r="A149" s="152"/>
      <c r="B149" s="290"/>
      <c r="C149" s="124">
        <f>MIN(都城!140:140)</f>
        <v>4446</v>
      </c>
      <c r="D149" s="124">
        <f>MAX(都城!140:140)</f>
        <v>4510</v>
      </c>
      <c r="E149" s="124">
        <f t="shared" si="16"/>
        <v>64</v>
      </c>
      <c r="F149" s="223"/>
      <c r="G149" s="402"/>
      <c r="H149" s="250"/>
      <c r="I149" s="124"/>
      <c r="J149" s="269"/>
      <c r="K149" s="373"/>
      <c r="L149" s="250">
        <f t="shared" ref="L149:L202" si="17">H149*1000+I149*500+J149*100+G149*10000</f>
        <v>0</v>
      </c>
      <c r="M149" s="124"/>
      <c r="N149" s="138"/>
      <c r="O149" s="122"/>
      <c r="P149" s="114"/>
      <c r="Q149" s="114"/>
      <c r="R149" s="148"/>
    </row>
    <row r="150" spans="1:44" ht="15" customHeight="1" x14ac:dyDescent="0.2">
      <c r="A150" s="147" t="s">
        <v>279</v>
      </c>
      <c r="B150" s="285" t="s">
        <v>285</v>
      </c>
      <c r="C150" s="110">
        <f>MIN(都城!152:152)</f>
        <v>4559</v>
      </c>
      <c r="D150" s="110">
        <f>MAX(都城!152:152)</f>
        <v>4661</v>
      </c>
      <c r="E150" s="110">
        <f t="shared" si="16"/>
        <v>102</v>
      </c>
      <c r="F150" s="219">
        <f>SUM(E150:E153)</f>
        <v>518</v>
      </c>
      <c r="G150" s="397">
        <v>14</v>
      </c>
      <c r="H150" s="241">
        <v>7</v>
      </c>
      <c r="I150" s="110"/>
      <c r="J150" s="266">
        <v>8</v>
      </c>
      <c r="K150" s="368"/>
      <c r="L150" s="241">
        <f t="shared" si="17"/>
        <v>147800</v>
      </c>
      <c r="M150" s="110">
        <f>L150-F150*100</f>
        <v>96000</v>
      </c>
      <c r="N150" s="132"/>
      <c r="O150" s="122"/>
      <c r="P150" s="114"/>
      <c r="Q150" s="114"/>
      <c r="R150" s="148"/>
    </row>
    <row r="151" spans="1:44" ht="15" customHeight="1" x14ac:dyDescent="0.2">
      <c r="A151" s="149"/>
      <c r="B151" s="286"/>
      <c r="C151" s="113">
        <f>MIN(都城!164:164)</f>
        <v>4198</v>
      </c>
      <c r="D151" s="113">
        <f>MAX(都城!164:164)</f>
        <v>4431</v>
      </c>
      <c r="E151" s="113">
        <f t="shared" si="16"/>
        <v>233</v>
      </c>
      <c r="F151" s="220"/>
      <c r="G151" s="398"/>
      <c r="H151" s="121"/>
      <c r="I151" s="113"/>
      <c r="J151" s="148"/>
      <c r="K151" s="369"/>
      <c r="L151" s="242">
        <f t="shared" si="17"/>
        <v>0</v>
      </c>
      <c r="M151" s="113"/>
      <c r="N151" s="133"/>
      <c r="O151" s="122"/>
      <c r="P151" s="114"/>
      <c r="Q151" s="114"/>
      <c r="R151" s="148"/>
    </row>
    <row r="152" spans="1:44" ht="15" customHeight="1" x14ac:dyDescent="0.2">
      <c r="A152" s="149"/>
      <c r="B152" s="286"/>
      <c r="C152" s="113">
        <f>MIN(都城!176:176)</f>
        <v>6778</v>
      </c>
      <c r="D152" s="113">
        <f>MAX(都城!176:176)</f>
        <v>6865</v>
      </c>
      <c r="E152" s="113">
        <f t="shared" si="16"/>
        <v>87</v>
      </c>
      <c r="F152" s="220"/>
      <c r="G152" s="398"/>
      <c r="H152" s="121"/>
      <c r="I152" s="113"/>
      <c r="J152" s="148"/>
      <c r="K152" s="369"/>
      <c r="L152" s="121">
        <f t="shared" si="17"/>
        <v>0</v>
      </c>
      <c r="M152" s="113"/>
      <c r="N152" s="133"/>
      <c r="O152" s="122"/>
      <c r="P152" s="114"/>
      <c r="Q152" s="114"/>
      <c r="R152" s="148"/>
    </row>
    <row r="153" spans="1:44" ht="15" customHeight="1" x14ac:dyDescent="0.2">
      <c r="A153" s="150"/>
      <c r="B153" s="287"/>
      <c r="C153" s="118">
        <f>MIN(都城!188:188)</f>
        <v>5383</v>
      </c>
      <c r="D153" s="118">
        <f>MAX(都城!188:188)</f>
        <v>5479</v>
      </c>
      <c r="E153" s="118">
        <f t="shared" si="16"/>
        <v>96</v>
      </c>
      <c r="F153" s="221"/>
      <c r="G153" s="399"/>
      <c r="H153" s="243"/>
      <c r="I153" s="118"/>
      <c r="J153" s="267"/>
      <c r="K153" s="370"/>
      <c r="L153" s="243">
        <f t="shared" si="17"/>
        <v>0</v>
      </c>
      <c r="M153" s="118"/>
      <c r="N153" s="134"/>
      <c r="O153" s="122"/>
      <c r="P153" s="114"/>
      <c r="Q153" s="114"/>
      <c r="R153" s="148"/>
    </row>
    <row r="154" spans="1:44" ht="15" customHeight="1" x14ac:dyDescent="0.2">
      <c r="A154" s="181" t="s">
        <v>311</v>
      </c>
      <c r="B154" s="301" t="s">
        <v>287</v>
      </c>
      <c r="C154" s="169">
        <f>MIN(都城!200:200)</f>
        <v>8123</v>
      </c>
      <c r="D154" s="169">
        <f>MAX(都城!200:200)</f>
        <v>8246</v>
      </c>
      <c r="E154" s="169">
        <f t="shared" si="16"/>
        <v>123</v>
      </c>
      <c r="F154" s="229">
        <f>SUM(E154)</f>
        <v>123</v>
      </c>
      <c r="G154" s="407">
        <v>5</v>
      </c>
      <c r="H154" s="253"/>
      <c r="I154" s="169"/>
      <c r="J154" s="274">
        <v>6</v>
      </c>
      <c r="K154" s="75"/>
      <c r="L154" s="253">
        <f t="shared" si="17"/>
        <v>50600</v>
      </c>
      <c r="M154" s="169">
        <f>L154-F154*100</f>
        <v>38300</v>
      </c>
      <c r="N154" s="178"/>
      <c r="O154" s="122"/>
      <c r="P154" s="114"/>
      <c r="Q154" s="114"/>
      <c r="R154" s="148"/>
      <c r="S154" s="135">
        <v>54963</v>
      </c>
    </row>
    <row r="155" spans="1:44" ht="15" customHeight="1" x14ac:dyDescent="0.2">
      <c r="A155" s="153" t="s">
        <v>288</v>
      </c>
      <c r="B155" s="288" t="s">
        <v>289</v>
      </c>
      <c r="C155" s="135">
        <f>MIN(都城!212:212)</f>
        <v>8059</v>
      </c>
      <c r="D155" s="135">
        <f>MAX(都城!212:212)</f>
        <v>8409</v>
      </c>
      <c r="E155" s="135">
        <f t="shared" si="16"/>
        <v>350</v>
      </c>
      <c r="F155" s="224">
        <f>SUM(E155)</f>
        <v>350</v>
      </c>
      <c r="G155" s="400">
        <v>6</v>
      </c>
      <c r="H155" s="247">
        <v>1</v>
      </c>
      <c r="I155" s="135"/>
      <c r="J155" s="270">
        <v>5</v>
      </c>
      <c r="K155" s="371"/>
      <c r="L155" s="247">
        <f t="shared" si="17"/>
        <v>61500</v>
      </c>
      <c r="M155" s="135">
        <f>L155-F155*100</f>
        <v>26500</v>
      </c>
      <c r="N155" s="136"/>
      <c r="O155" s="122"/>
      <c r="P155" s="114"/>
      <c r="Q155" s="114"/>
      <c r="R155" s="148"/>
      <c r="S155" s="130">
        <v>27854</v>
      </c>
    </row>
    <row r="156" spans="1:44" ht="15" customHeight="1" x14ac:dyDescent="0.2">
      <c r="A156" s="181" t="s">
        <v>291</v>
      </c>
      <c r="B156" s="301" t="s">
        <v>292</v>
      </c>
      <c r="C156" s="169">
        <f>MIN(都城!224:224)</f>
        <v>11886</v>
      </c>
      <c r="D156" s="169">
        <f>MAX(都城!224:224)</f>
        <v>12177</v>
      </c>
      <c r="E156" s="169">
        <f t="shared" si="16"/>
        <v>291</v>
      </c>
      <c r="F156" s="229">
        <f>SUM(E156)</f>
        <v>291</v>
      </c>
      <c r="G156" s="407">
        <v>4</v>
      </c>
      <c r="H156" s="253">
        <v>1</v>
      </c>
      <c r="I156" s="169"/>
      <c r="J156" s="274">
        <v>4</v>
      </c>
      <c r="K156" s="75"/>
      <c r="L156" s="253">
        <f t="shared" si="17"/>
        <v>41400</v>
      </c>
      <c r="M156" s="169">
        <f>L156-F156*100</f>
        <v>12300</v>
      </c>
      <c r="N156" s="178"/>
      <c r="O156" s="122"/>
      <c r="P156" s="114"/>
      <c r="Q156" s="114"/>
      <c r="R156" s="148"/>
    </row>
    <row r="157" spans="1:44" ht="15" customHeight="1" x14ac:dyDescent="0.2">
      <c r="A157" s="153" t="s">
        <v>293</v>
      </c>
      <c r="B157" s="288" t="s">
        <v>294</v>
      </c>
      <c r="C157" s="135">
        <f>MIN(都城!236:236)</f>
        <v>16170</v>
      </c>
      <c r="D157" s="135">
        <f>MAX(都城!236:236)</f>
        <v>16614</v>
      </c>
      <c r="E157" s="135">
        <f t="shared" si="16"/>
        <v>444</v>
      </c>
      <c r="F157" s="224">
        <f>SUM(E157)</f>
        <v>444</v>
      </c>
      <c r="G157" s="400">
        <v>18</v>
      </c>
      <c r="H157" s="247">
        <v>5</v>
      </c>
      <c r="I157" s="135"/>
      <c r="J157" s="270">
        <v>3</v>
      </c>
      <c r="K157" s="371"/>
      <c r="L157" s="247">
        <f t="shared" si="17"/>
        <v>185300</v>
      </c>
      <c r="M157" s="135">
        <f>L157-F157*100</f>
        <v>140900</v>
      </c>
      <c r="N157" s="136"/>
      <c r="O157" s="122"/>
      <c r="P157" s="114"/>
      <c r="Q157" s="114"/>
      <c r="R157" s="148"/>
    </row>
    <row r="158" spans="1:44" ht="15" customHeight="1" x14ac:dyDescent="0.2">
      <c r="A158" s="198"/>
      <c r="B158" s="307"/>
      <c r="C158" s="127"/>
      <c r="D158" s="127"/>
      <c r="E158" s="127"/>
      <c r="F158" s="222"/>
      <c r="G158" s="401"/>
      <c r="H158" s="244"/>
      <c r="I158" s="127"/>
      <c r="J158" s="268"/>
      <c r="K158" s="372"/>
      <c r="L158" s="244">
        <f t="shared" si="17"/>
        <v>0</v>
      </c>
      <c r="M158" s="127">
        <f>SUM(L136:L157)</f>
        <v>1135600</v>
      </c>
      <c r="N158" s="128"/>
      <c r="O158" s="114"/>
      <c r="P158" s="114"/>
      <c r="Q158" s="114"/>
      <c r="R158" s="148"/>
    </row>
    <row r="159" spans="1:44" ht="15" customHeight="1" thickBot="1" x14ac:dyDescent="0.25">
      <c r="A159" s="166"/>
      <c r="B159" s="308"/>
      <c r="C159" s="167"/>
      <c r="D159" s="167"/>
      <c r="E159" s="167"/>
      <c r="F159" s="228"/>
      <c r="G159" s="406"/>
      <c r="H159" s="255"/>
      <c r="I159" s="167"/>
      <c r="J159" s="159"/>
      <c r="K159" s="377"/>
      <c r="L159" s="255">
        <f t="shared" si="17"/>
        <v>0</v>
      </c>
      <c r="M159" s="167"/>
      <c r="N159" s="158"/>
      <c r="O159" s="158"/>
      <c r="P159" s="158"/>
      <c r="Q159" s="158"/>
      <c r="R159" s="159"/>
    </row>
    <row r="160" spans="1:44" ht="15" customHeight="1" x14ac:dyDescent="0.2">
      <c r="A160" s="104" t="s">
        <v>312</v>
      </c>
      <c r="B160" s="309"/>
      <c r="J160" s="264"/>
      <c r="K160" s="75"/>
      <c r="L160" s="74">
        <f t="shared" si="17"/>
        <v>0</v>
      </c>
      <c r="AP160" s="70" t="s">
        <v>295</v>
      </c>
      <c r="AR160" s="70">
        <v>116000</v>
      </c>
    </row>
    <row r="161" spans="1:44" ht="15" customHeight="1" thickBot="1" x14ac:dyDescent="0.25">
      <c r="A161" s="283" t="s">
        <v>304</v>
      </c>
      <c r="B161" s="309"/>
      <c r="J161" s="264"/>
      <c r="K161" s="75"/>
      <c r="L161" s="74">
        <f t="shared" si="17"/>
        <v>0</v>
      </c>
      <c r="AL161" s="70" t="s">
        <v>295</v>
      </c>
      <c r="AN161" s="70">
        <v>182000</v>
      </c>
      <c r="AP161" s="70" t="s">
        <v>298</v>
      </c>
      <c r="AR161" s="70">
        <v>137000</v>
      </c>
    </row>
    <row r="162" spans="1:44" ht="15" customHeight="1" x14ac:dyDescent="0.2">
      <c r="A162" s="164" t="s">
        <v>314</v>
      </c>
      <c r="B162" s="310">
        <v>70600827</v>
      </c>
      <c r="C162" s="165">
        <v>16953</v>
      </c>
      <c r="D162" s="165">
        <v>17030</v>
      </c>
      <c r="E162" s="165">
        <f>D162-C162</f>
        <v>77</v>
      </c>
      <c r="F162" s="233"/>
      <c r="G162" s="411"/>
      <c r="H162" s="256"/>
      <c r="I162" s="165"/>
      <c r="J162" s="206">
        <v>81</v>
      </c>
      <c r="K162" s="379"/>
      <c r="L162" s="256">
        <f t="shared" si="17"/>
        <v>8100</v>
      </c>
      <c r="M162" s="165">
        <f t="shared" ref="M162:M175" si="18">L162-E162*100</f>
        <v>400</v>
      </c>
      <c r="N162" s="205"/>
      <c r="O162" s="143"/>
      <c r="P162" s="144"/>
      <c r="Q162" s="144"/>
      <c r="R162" s="206"/>
      <c r="AL162" s="70" t="s">
        <v>298</v>
      </c>
      <c r="AN162" s="70">
        <v>146000</v>
      </c>
    </row>
    <row r="163" spans="1:44" ht="15" customHeight="1" x14ac:dyDescent="0.2">
      <c r="A163" s="210"/>
      <c r="B163" s="311">
        <v>70600827</v>
      </c>
      <c r="C163" s="125">
        <v>19940</v>
      </c>
      <c r="D163" s="125">
        <v>20287</v>
      </c>
      <c r="E163" s="125">
        <f t="shared" ref="E163:E171" si="19">D163-C163</f>
        <v>347</v>
      </c>
      <c r="F163" s="234"/>
      <c r="G163" s="412"/>
      <c r="H163" s="245"/>
      <c r="I163" s="125"/>
      <c r="J163" s="214">
        <v>347</v>
      </c>
      <c r="K163" s="380"/>
      <c r="L163" s="245">
        <f t="shared" si="17"/>
        <v>34700</v>
      </c>
      <c r="M163" s="125">
        <f t="shared" si="18"/>
        <v>0</v>
      </c>
      <c r="N163" s="203"/>
      <c r="O163" s="120"/>
      <c r="P163" s="115"/>
      <c r="Q163" s="115"/>
      <c r="R163" s="207"/>
    </row>
    <row r="164" spans="1:44" ht="15" customHeight="1" x14ac:dyDescent="0.2">
      <c r="A164" s="201"/>
      <c r="B164" s="295">
        <v>70600817</v>
      </c>
      <c r="C164" s="111">
        <v>17608</v>
      </c>
      <c r="D164" s="111">
        <v>17682</v>
      </c>
      <c r="E164" s="111">
        <f t="shared" si="19"/>
        <v>74</v>
      </c>
      <c r="F164" s="235"/>
      <c r="G164" s="413"/>
      <c r="H164" s="257"/>
      <c r="I164" s="111"/>
      <c r="J164" s="277">
        <v>76</v>
      </c>
      <c r="K164" s="381"/>
      <c r="L164" s="257">
        <f t="shared" si="17"/>
        <v>7600</v>
      </c>
      <c r="M164" s="111">
        <f t="shared" si="18"/>
        <v>200</v>
      </c>
      <c r="N164" s="190"/>
      <c r="O164" s="120"/>
      <c r="P164" s="115"/>
      <c r="Q164" s="115"/>
      <c r="R164" s="207"/>
    </row>
    <row r="165" spans="1:44" ht="15" customHeight="1" x14ac:dyDescent="0.2">
      <c r="A165" s="200"/>
      <c r="B165" s="312">
        <v>70600817</v>
      </c>
      <c r="C165" s="119">
        <v>16899</v>
      </c>
      <c r="D165" s="119">
        <v>17021</v>
      </c>
      <c r="E165" s="119">
        <f t="shared" si="19"/>
        <v>122</v>
      </c>
      <c r="F165" s="236"/>
      <c r="G165" s="414"/>
      <c r="H165" s="246"/>
      <c r="I165" s="119"/>
      <c r="J165" s="278">
        <v>122</v>
      </c>
      <c r="K165" s="382"/>
      <c r="L165" s="258">
        <f t="shared" si="17"/>
        <v>12200</v>
      </c>
      <c r="M165" s="119">
        <f t="shared" si="18"/>
        <v>0</v>
      </c>
      <c r="N165" s="191"/>
      <c r="O165" s="120"/>
      <c r="P165" s="115"/>
      <c r="Q165" s="115"/>
      <c r="R165" s="207"/>
    </row>
    <row r="166" spans="1:44" ht="15" customHeight="1" x14ac:dyDescent="0.2">
      <c r="A166" s="209" t="s">
        <v>315</v>
      </c>
      <c r="B166" s="291">
        <v>71261231</v>
      </c>
      <c r="C166" s="129">
        <v>20660</v>
      </c>
      <c r="D166" s="129">
        <v>20772</v>
      </c>
      <c r="E166" s="129">
        <f t="shared" si="19"/>
        <v>112</v>
      </c>
      <c r="F166" s="237"/>
      <c r="G166" s="415"/>
      <c r="H166" s="259"/>
      <c r="I166" s="129"/>
      <c r="J166" s="279">
        <v>112</v>
      </c>
      <c r="K166" s="383"/>
      <c r="L166" s="259">
        <f t="shared" si="17"/>
        <v>11200</v>
      </c>
      <c r="M166" s="129">
        <f t="shared" si="18"/>
        <v>0</v>
      </c>
      <c r="N166" s="202"/>
      <c r="O166" s="120"/>
      <c r="P166" s="115"/>
      <c r="Q166" s="115"/>
      <c r="R166" s="207"/>
    </row>
    <row r="167" spans="1:44" ht="15" customHeight="1" x14ac:dyDescent="0.2">
      <c r="A167" s="210"/>
      <c r="B167" s="311">
        <v>71201012</v>
      </c>
      <c r="C167" s="125">
        <v>16379</v>
      </c>
      <c r="D167" s="125">
        <v>16719</v>
      </c>
      <c r="E167" s="125">
        <f t="shared" si="19"/>
        <v>340</v>
      </c>
      <c r="F167" s="234"/>
      <c r="G167" s="412"/>
      <c r="H167" s="245"/>
      <c r="I167" s="125"/>
      <c r="J167" s="214">
        <v>340</v>
      </c>
      <c r="K167" s="380"/>
      <c r="L167" s="245">
        <f t="shared" si="17"/>
        <v>34000</v>
      </c>
      <c r="M167" s="125">
        <f t="shared" si="18"/>
        <v>0</v>
      </c>
      <c r="N167" s="203"/>
      <c r="O167" s="120"/>
      <c r="P167" s="115"/>
      <c r="Q167" s="115"/>
      <c r="R167" s="207"/>
    </row>
    <row r="168" spans="1:44" ht="15" customHeight="1" x14ac:dyDescent="0.2">
      <c r="A168" s="211" t="s">
        <v>316</v>
      </c>
      <c r="B168" s="311">
        <v>71602154</v>
      </c>
      <c r="C168" s="111">
        <v>1835</v>
      </c>
      <c r="D168" s="111">
        <v>2047</v>
      </c>
      <c r="E168" s="111">
        <f t="shared" si="19"/>
        <v>212</v>
      </c>
      <c r="F168" s="235"/>
      <c r="G168" s="413"/>
      <c r="H168" s="257"/>
      <c r="I168" s="111"/>
      <c r="J168" s="277">
        <v>212</v>
      </c>
      <c r="K168" s="381"/>
      <c r="L168" s="257">
        <f t="shared" si="17"/>
        <v>21200</v>
      </c>
      <c r="M168" s="111">
        <f t="shared" si="18"/>
        <v>0</v>
      </c>
      <c r="N168" s="190"/>
      <c r="O168" s="120"/>
      <c r="P168" s="115"/>
      <c r="Q168" s="115"/>
      <c r="R168" s="207"/>
      <c r="AP168" s="70" t="s">
        <v>299</v>
      </c>
      <c r="AR168" s="70">
        <v>76700</v>
      </c>
    </row>
    <row r="169" spans="1:44" ht="15" customHeight="1" x14ac:dyDescent="0.2">
      <c r="A169" s="210"/>
      <c r="B169" s="311">
        <v>71602154</v>
      </c>
      <c r="C169" s="125">
        <v>4289</v>
      </c>
      <c r="D169" s="125">
        <v>4779</v>
      </c>
      <c r="E169" s="125">
        <f t="shared" si="19"/>
        <v>490</v>
      </c>
      <c r="F169" s="234"/>
      <c r="G169" s="412"/>
      <c r="H169" s="245"/>
      <c r="I169" s="125"/>
      <c r="J169" s="214">
        <v>490</v>
      </c>
      <c r="K169" s="380"/>
      <c r="L169" s="245">
        <f t="shared" si="17"/>
        <v>49000</v>
      </c>
      <c r="M169" s="125">
        <f t="shared" si="18"/>
        <v>0</v>
      </c>
      <c r="N169" s="203"/>
      <c r="O169" s="120"/>
      <c r="P169" s="115"/>
      <c r="Q169" s="115"/>
      <c r="R169" s="207"/>
      <c r="AL169" s="70" t="s">
        <v>299</v>
      </c>
      <c r="AN169" s="70">
        <v>83600</v>
      </c>
    </row>
    <row r="170" spans="1:44" ht="15" customHeight="1" x14ac:dyDescent="0.2">
      <c r="A170" s="201"/>
      <c r="B170" s="295">
        <v>71602154</v>
      </c>
      <c r="C170" s="111">
        <v>2671</v>
      </c>
      <c r="D170" s="111">
        <v>2919</v>
      </c>
      <c r="E170" s="111">
        <f t="shared" si="19"/>
        <v>248</v>
      </c>
      <c r="F170" s="235"/>
      <c r="G170" s="413"/>
      <c r="H170" s="257"/>
      <c r="I170" s="111"/>
      <c r="J170" s="277">
        <v>248</v>
      </c>
      <c r="K170" s="381"/>
      <c r="L170" s="257">
        <f t="shared" si="17"/>
        <v>24800</v>
      </c>
      <c r="M170" s="111">
        <f t="shared" si="18"/>
        <v>0</v>
      </c>
      <c r="N170" s="190"/>
      <c r="O170" s="120"/>
      <c r="P170" s="115"/>
      <c r="Q170" s="115"/>
      <c r="R170" s="207"/>
    </row>
    <row r="171" spans="1:44" ht="15" customHeight="1" x14ac:dyDescent="0.2">
      <c r="A171" s="200"/>
      <c r="B171" s="312">
        <v>71602154</v>
      </c>
      <c r="C171" s="119">
        <v>2349</v>
      </c>
      <c r="D171" s="119">
        <v>2392</v>
      </c>
      <c r="E171" s="119">
        <f t="shared" si="19"/>
        <v>43</v>
      </c>
      <c r="F171" s="236"/>
      <c r="G171" s="414"/>
      <c r="H171" s="246"/>
      <c r="I171" s="119"/>
      <c r="J171" s="278">
        <v>43</v>
      </c>
      <c r="K171" s="382"/>
      <c r="L171" s="246">
        <f t="shared" si="17"/>
        <v>4300</v>
      </c>
      <c r="M171" s="119">
        <f t="shared" si="18"/>
        <v>0</v>
      </c>
      <c r="N171" s="191"/>
      <c r="O171" s="120"/>
      <c r="P171" s="115"/>
      <c r="Q171" s="115"/>
      <c r="R171" s="207"/>
    </row>
    <row r="172" spans="1:44" ht="15" customHeight="1" x14ac:dyDescent="0.2">
      <c r="A172" s="212" t="s">
        <v>193</v>
      </c>
      <c r="B172" s="301" t="s">
        <v>317</v>
      </c>
      <c r="C172" s="177">
        <v>1430</v>
      </c>
      <c r="D172" s="177">
        <v>1430</v>
      </c>
      <c r="E172" s="177">
        <f>D172-C172</f>
        <v>0</v>
      </c>
      <c r="F172" s="238"/>
      <c r="G172" s="416"/>
      <c r="H172" s="260"/>
      <c r="I172" s="177"/>
      <c r="J172" s="280"/>
      <c r="L172" s="260">
        <f t="shared" si="17"/>
        <v>0</v>
      </c>
      <c r="M172" s="177">
        <f t="shared" si="18"/>
        <v>0</v>
      </c>
      <c r="N172" s="204"/>
      <c r="O172" s="120"/>
      <c r="P172" s="115"/>
      <c r="Q172" s="115"/>
      <c r="R172" s="207"/>
    </row>
    <row r="173" spans="1:44" ht="15" customHeight="1" x14ac:dyDescent="0.2">
      <c r="A173" s="213"/>
      <c r="B173" s="313" t="s">
        <v>318</v>
      </c>
      <c r="C173" s="184">
        <v>2452</v>
      </c>
      <c r="D173" s="184">
        <v>2452</v>
      </c>
      <c r="E173" s="184">
        <f>D173-C173</f>
        <v>0</v>
      </c>
      <c r="F173" s="230"/>
      <c r="G173" s="408"/>
      <c r="H173" s="261"/>
      <c r="I173" s="184"/>
      <c r="J173" s="275"/>
      <c r="K173" s="375"/>
      <c r="L173" s="261">
        <f t="shared" si="17"/>
        <v>0</v>
      </c>
      <c r="M173" s="184">
        <f t="shared" si="18"/>
        <v>0</v>
      </c>
      <c r="N173" s="185"/>
      <c r="O173" s="120"/>
      <c r="P173" s="115"/>
      <c r="Q173" s="115"/>
      <c r="R173" s="207"/>
    </row>
    <row r="174" spans="1:44" ht="15" customHeight="1" x14ac:dyDescent="0.2">
      <c r="A174" s="212" t="s">
        <v>319</v>
      </c>
      <c r="B174" s="314" t="s">
        <v>320</v>
      </c>
      <c r="C174" s="177">
        <v>5772</v>
      </c>
      <c r="D174" s="177">
        <v>5772</v>
      </c>
      <c r="E174" s="177">
        <f>D174-C174</f>
        <v>0</v>
      </c>
      <c r="F174" s="238"/>
      <c r="G174" s="416"/>
      <c r="H174" s="260"/>
      <c r="I174" s="177"/>
      <c r="J174" s="280"/>
      <c r="L174" s="260">
        <f t="shared" si="17"/>
        <v>0</v>
      </c>
      <c r="M174" s="177">
        <f t="shared" si="18"/>
        <v>0</v>
      </c>
      <c r="N174" s="204"/>
      <c r="O174" s="120"/>
      <c r="P174" s="115"/>
      <c r="Q174" s="115"/>
      <c r="R174" s="207"/>
    </row>
    <row r="175" spans="1:44" ht="15" customHeight="1" x14ac:dyDescent="0.2">
      <c r="A175" s="213"/>
      <c r="B175" s="313" t="s">
        <v>321</v>
      </c>
      <c r="C175" s="184">
        <v>4192</v>
      </c>
      <c r="D175" s="184">
        <v>4192</v>
      </c>
      <c r="E175" s="184">
        <f>D175-C175</f>
        <v>0</v>
      </c>
      <c r="F175" s="230"/>
      <c r="G175" s="408"/>
      <c r="H175" s="261"/>
      <c r="I175" s="184"/>
      <c r="J175" s="275"/>
      <c r="K175" s="375"/>
      <c r="L175" s="261">
        <f t="shared" si="17"/>
        <v>0</v>
      </c>
      <c r="M175" s="184">
        <f t="shared" si="18"/>
        <v>0</v>
      </c>
      <c r="N175" s="185"/>
      <c r="O175" s="199"/>
      <c r="P175" s="189"/>
      <c r="Q175" s="189"/>
      <c r="R175" s="214"/>
    </row>
    <row r="176" spans="1:44" ht="15" customHeight="1" thickBot="1" x14ac:dyDescent="0.25">
      <c r="A176" s="106"/>
      <c r="B176" s="315"/>
      <c r="C176" s="72"/>
      <c r="D176" s="72"/>
      <c r="E176" s="72"/>
      <c r="F176" s="72"/>
      <c r="G176" s="417"/>
      <c r="H176" s="72"/>
      <c r="I176" s="72"/>
      <c r="J176" s="73"/>
      <c r="L176" s="74">
        <f t="shared" si="17"/>
        <v>0</v>
      </c>
      <c r="M176" s="72">
        <f>SUM(L162:L175)</f>
        <v>207100</v>
      </c>
      <c r="N176" s="107"/>
      <c r="O176" s="107"/>
      <c r="P176" s="107"/>
      <c r="Q176" s="107"/>
      <c r="R176" s="73"/>
    </row>
    <row r="177" spans="1:44" ht="15" customHeight="1" thickBot="1" x14ac:dyDescent="0.25">
      <c r="A177" s="283" t="s">
        <v>309</v>
      </c>
      <c r="B177" s="309"/>
      <c r="L177" s="74">
        <f t="shared" si="17"/>
        <v>0</v>
      </c>
    </row>
    <row r="178" spans="1:44" ht="15" customHeight="1" x14ac:dyDescent="0.2">
      <c r="A178" s="215" t="s">
        <v>159</v>
      </c>
      <c r="B178" s="350">
        <v>70600826</v>
      </c>
      <c r="C178" s="165">
        <v>17712</v>
      </c>
      <c r="D178" s="165">
        <v>17890</v>
      </c>
      <c r="E178" s="165">
        <f t="shared" ref="E178:E183" si="20">D178-C178</f>
        <v>178</v>
      </c>
      <c r="F178" s="233"/>
      <c r="G178" s="411"/>
      <c r="H178" s="256"/>
      <c r="I178" s="165"/>
      <c r="J178" s="206">
        <v>187</v>
      </c>
      <c r="K178" s="379"/>
      <c r="L178" s="256">
        <f t="shared" si="17"/>
        <v>18700</v>
      </c>
      <c r="M178" s="165">
        <f t="shared" ref="M178:M183" si="21">L178-E178*100</f>
        <v>900</v>
      </c>
      <c r="N178" s="205"/>
      <c r="O178" s="143"/>
      <c r="P178" s="144"/>
      <c r="Q178" s="144"/>
      <c r="R178" s="206"/>
      <c r="AP178" s="70" t="s">
        <v>298</v>
      </c>
      <c r="AR178" s="70">
        <v>48000</v>
      </c>
    </row>
    <row r="179" spans="1:44" ht="15" customHeight="1" x14ac:dyDescent="0.2">
      <c r="A179" s="210"/>
      <c r="B179" s="351"/>
      <c r="C179" s="125">
        <v>17353</v>
      </c>
      <c r="D179" s="125">
        <v>17429</v>
      </c>
      <c r="E179" s="125">
        <f t="shared" si="20"/>
        <v>76</v>
      </c>
      <c r="F179" s="234"/>
      <c r="G179" s="412"/>
      <c r="H179" s="245"/>
      <c r="I179" s="125"/>
      <c r="J179" s="214">
        <v>76</v>
      </c>
      <c r="K179" s="380"/>
      <c r="L179" s="245">
        <f t="shared" si="17"/>
        <v>7600</v>
      </c>
      <c r="M179" s="125">
        <f t="shared" si="21"/>
        <v>0</v>
      </c>
      <c r="N179" s="203"/>
      <c r="O179" s="120"/>
      <c r="P179" s="115"/>
      <c r="Q179" s="115"/>
      <c r="R179" s="207"/>
      <c r="AL179" s="70" t="s">
        <v>298</v>
      </c>
      <c r="AN179" s="70">
        <v>46000</v>
      </c>
      <c r="AP179" s="70" t="s">
        <v>295</v>
      </c>
      <c r="AR179" s="70">
        <v>194000</v>
      </c>
    </row>
    <row r="180" spans="1:44" ht="15" customHeight="1" x14ac:dyDescent="0.2">
      <c r="A180" s="211"/>
      <c r="B180" s="352">
        <v>70600794</v>
      </c>
      <c r="C180" s="111">
        <v>21113</v>
      </c>
      <c r="D180" s="111">
        <v>21250</v>
      </c>
      <c r="E180" s="111">
        <f t="shared" si="20"/>
        <v>137</v>
      </c>
      <c r="F180" s="235"/>
      <c r="G180" s="413"/>
      <c r="H180" s="257"/>
      <c r="I180" s="111"/>
      <c r="J180" s="277">
        <v>137</v>
      </c>
      <c r="K180" s="381"/>
      <c r="L180" s="257">
        <f t="shared" si="17"/>
        <v>13700</v>
      </c>
      <c r="M180" s="111">
        <f t="shared" si="21"/>
        <v>0</v>
      </c>
      <c r="N180" s="190"/>
      <c r="O180" s="120"/>
      <c r="P180" s="115"/>
      <c r="Q180" s="115"/>
      <c r="R180" s="207"/>
      <c r="AL180" s="70" t="s">
        <v>295</v>
      </c>
      <c r="AN180" s="70">
        <v>110000</v>
      </c>
      <c r="AP180" s="70" t="s">
        <v>299</v>
      </c>
      <c r="AR180" s="70">
        <v>74800</v>
      </c>
    </row>
    <row r="181" spans="1:44" ht="15" customHeight="1" x14ac:dyDescent="0.2">
      <c r="A181" s="208"/>
      <c r="B181" s="353"/>
      <c r="C181" s="119">
        <v>17940</v>
      </c>
      <c r="D181" s="119">
        <v>18112</v>
      </c>
      <c r="E181" s="119">
        <f t="shared" si="20"/>
        <v>172</v>
      </c>
      <c r="F181" s="236"/>
      <c r="G181" s="414"/>
      <c r="H181" s="246"/>
      <c r="I181" s="119"/>
      <c r="J181" s="278">
        <v>171</v>
      </c>
      <c r="K181" s="382"/>
      <c r="L181" s="246">
        <f t="shared" si="17"/>
        <v>17100</v>
      </c>
      <c r="M181" s="119">
        <f t="shared" si="21"/>
        <v>-100</v>
      </c>
      <c r="N181" s="191"/>
      <c r="O181" s="120"/>
      <c r="P181" s="115"/>
      <c r="Q181" s="115"/>
      <c r="R181" s="207"/>
      <c r="AL181" s="70" t="s">
        <v>299</v>
      </c>
      <c r="AN181" s="70">
        <v>67300</v>
      </c>
    </row>
    <row r="182" spans="1:44" ht="15" customHeight="1" x14ac:dyDescent="0.2">
      <c r="A182" s="212" t="s">
        <v>193</v>
      </c>
      <c r="B182" s="354" t="s">
        <v>322</v>
      </c>
      <c r="C182" s="177">
        <v>2133</v>
      </c>
      <c r="D182" s="177">
        <v>2133</v>
      </c>
      <c r="E182" s="177">
        <f t="shared" si="20"/>
        <v>0</v>
      </c>
      <c r="F182" s="238"/>
      <c r="G182" s="416"/>
      <c r="H182" s="260"/>
      <c r="I182" s="177"/>
      <c r="J182" s="280"/>
      <c r="L182" s="260">
        <f t="shared" si="17"/>
        <v>0</v>
      </c>
      <c r="M182" s="177">
        <f t="shared" si="21"/>
        <v>0</v>
      </c>
      <c r="N182" s="204"/>
      <c r="O182" s="120"/>
      <c r="P182" s="115"/>
      <c r="Q182" s="115"/>
      <c r="R182" s="207"/>
    </row>
    <row r="183" spans="1:44" ht="15" customHeight="1" x14ac:dyDescent="0.2">
      <c r="A183" s="153" t="s">
        <v>319</v>
      </c>
      <c r="B183" s="355" t="s">
        <v>323</v>
      </c>
      <c r="C183" s="184">
        <v>1796</v>
      </c>
      <c r="D183" s="184">
        <v>1796</v>
      </c>
      <c r="E183" s="184">
        <f t="shared" si="20"/>
        <v>0</v>
      </c>
      <c r="F183" s="230"/>
      <c r="G183" s="408"/>
      <c r="H183" s="261"/>
      <c r="I183" s="184"/>
      <c r="J183" s="275"/>
      <c r="K183" s="375"/>
      <c r="L183" s="261">
        <f t="shared" si="17"/>
        <v>0</v>
      </c>
      <c r="M183" s="184">
        <f t="shared" si="21"/>
        <v>0</v>
      </c>
      <c r="N183" s="185"/>
      <c r="O183" s="120"/>
      <c r="P183" s="115"/>
      <c r="Q183" s="115"/>
      <c r="R183" s="207"/>
    </row>
    <row r="184" spans="1:44" ht="15" customHeight="1" x14ac:dyDescent="0.2">
      <c r="A184" s="181"/>
      <c r="B184" s="354"/>
      <c r="C184" s="177"/>
      <c r="D184" s="177"/>
      <c r="E184" s="177"/>
      <c r="F184" s="238"/>
      <c r="G184" s="416"/>
      <c r="H184" s="260"/>
      <c r="I184" s="177"/>
      <c r="J184" s="280"/>
      <c r="L184" s="74">
        <f t="shared" si="17"/>
        <v>0</v>
      </c>
      <c r="M184" s="260">
        <f>SUM(L178:L183)</f>
        <v>57100</v>
      </c>
      <c r="N184" s="183"/>
      <c r="O184" s="189"/>
      <c r="P184" s="189"/>
      <c r="Q184" s="189"/>
      <c r="R184" s="214"/>
    </row>
    <row r="185" spans="1:44" ht="15" customHeight="1" thickBot="1" x14ac:dyDescent="0.25">
      <c r="A185" s="106"/>
      <c r="B185" s="356"/>
      <c r="C185" s="72"/>
      <c r="D185" s="72"/>
      <c r="E185" s="72"/>
      <c r="F185" s="72"/>
      <c r="G185" s="417"/>
      <c r="H185" s="72"/>
      <c r="I185" s="72"/>
      <c r="J185" s="73"/>
      <c r="K185" s="72"/>
      <c r="L185" s="72">
        <f t="shared" si="17"/>
        <v>0</v>
      </c>
      <c r="M185" s="72"/>
      <c r="N185" s="107"/>
      <c r="O185" s="107"/>
      <c r="P185" s="107"/>
      <c r="Q185" s="107"/>
      <c r="R185" s="73"/>
    </row>
    <row r="186" spans="1:44" ht="15" customHeight="1" thickBot="1" x14ac:dyDescent="0.25">
      <c r="A186" s="283" t="s">
        <v>308</v>
      </c>
      <c r="B186" s="357"/>
      <c r="L186" s="74">
        <f t="shared" si="17"/>
        <v>0</v>
      </c>
    </row>
    <row r="187" spans="1:44" ht="15" customHeight="1" x14ac:dyDescent="0.2">
      <c r="A187" s="215" t="s">
        <v>159</v>
      </c>
      <c r="B187" s="350">
        <v>70600983</v>
      </c>
      <c r="C187" s="165">
        <v>22994</v>
      </c>
      <c r="D187" s="165">
        <v>23263</v>
      </c>
      <c r="E187" s="165">
        <f t="shared" ref="E187:E194" si="22">D187-C187</f>
        <v>269</v>
      </c>
      <c r="F187" s="233"/>
      <c r="G187" s="411"/>
      <c r="H187" s="256"/>
      <c r="I187" s="165"/>
      <c r="J187" s="206">
        <v>269</v>
      </c>
      <c r="K187" s="379"/>
      <c r="L187" s="256">
        <f t="shared" si="17"/>
        <v>26900</v>
      </c>
      <c r="M187" s="165">
        <f>L187-E187*100</f>
        <v>0</v>
      </c>
      <c r="N187" s="205"/>
      <c r="O187" s="143"/>
      <c r="P187" s="144"/>
      <c r="Q187" s="144"/>
      <c r="R187" s="206"/>
    </row>
    <row r="188" spans="1:44" ht="15" customHeight="1" x14ac:dyDescent="0.2">
      <c r="A188" s="210"/>
      <c r="B188" s="351"/>
      <c r="C188" s="125">
        <v>19776</v>
      </c>
      <c r="D188" s="125">
        <v>19943</v>
      </c>
      <c r="E188" s="125">
        <f t="shared" si="22"/>
        <v>167</v>
      </c>
      <c r="F188" s="234"/>
      <c r="G188" s="412"/>
      <c r="H188" s="245"/>
      <c r="I188" s="125"/>
      <c r="J188" s="214">
        <v>167</v>
      </c>
      <c r="K188" s="380"/>
      <c r="L188" s="245">
        <f t="shared" si="17"/>
        <v>16700</v>
      </c>
      <c r="M188" s="125">
        <f>L188-E188*100</f>
        <v>0</v>
      </c>
      <c r="N188" s="203"/>
      <c r="O188" s="120"/>
      <c r="P188" s="115"/>
      <c r="Q188" s="115"/>
      <c r="R188" s="207"/>
    </row>
    <row r="189" spans="1:44" ht="15" customHeight="1" x14ac:dyDescent="0.2">
      <c r="A189" s="211"/>
      <c r="B189" s="352">
        <v>70600982</v>
      </c>
      <c r="C189" s="111">
        <v>20491</v>
      </c>
      <c r="D189" s="111">
        <v>20621</v>
      </c>
      <c r="E189" s="111">
        <f t="shared" si="22"/>
        <v>130</v>
      </c>
      <c r="F189" s="235"/>
      <c r="G189" s="413"/>
      <c r="H189" s="257"/>
      <c r="I189" s="111"/>
      <c r="J189" s="277">
        <v>130</v>
      </c>
      <c r="K189" s="381"/>
      <c r="L189" s="257">
        <f t="shared" si="17"/>
        <v>13000</v>
      </c>
      <c r="M189" s="111">
        <f>L189-E189*100</f>
        <v>0</v>
      </c>
      <c r="N189" s="190"/>
      <c r="O189" s="120"/>
      <c r="P189" s="115"/>
      <c r="Q189" s="115"/>
      <c r="R189" s="207"/>
    </row>
    <row r="190" spans="1:44" ht="15" customHeight="1" x14ac:dyDescent="0.2">
      <c r="A190" s="208"/>
      <c r="B190" s="353"/>
      <c r="C190" s="119">
        <v>19560</v>
      </c>
      <c r="D190" s="119">
        <v>19781</v>
      </c>
      <c r="E190" s="119">
        <f t="shared" si="22"/>
        <v>221</v>
      </c>
      <c r="F190" s="236"/>
      <c r="G190" s="414"/>
      <c r="H190" s="246"/>
      <c r="I190" s="119"/>
      <c r="J190" s="278">
        <v>221</v>
      </c>
      <c r="K190" s="382"/>
      <c r="L190" s="246">
        <f t="shared" si="17"/>
        <v>22100</v>
      </c>
      <c r="M190" s="119">
        <f>L190-E190*100</f>
        <v>0</v>
      </c>
      <c r="N190" s="191"/>
      <c r="O190" s="120"/>
      <c r="P190" s="115"/>
      <c r="Q190" s="115"/>
      <c r="R190" s="207"/>
    </row>
    <row r="191" spans="1:44" ht="15" customHeight="1" x14ac:dyDescent="0.2">
      <c r="A191" s="212" t="s">
        <v>324</v>
      </c>
      <c r="B191" s="354"/>
      <c r="C191" s="177">
        <v>5147</v>
      </c>
      <c r="D191" s="177">
        <v>5187</v>
      </c>
      <c r="E191" s="177">
        <f t="shared" si="22"/>
        <v>40</v>
      </c>
      <c r="F191" s="238"/>
      <c r="G191" s="416"/>
      <c r="H191" s="260">
        <v>40</v>
      </c>
      <c r="I191" s="177"/>
      <c r="J191" s="280"/>
      <c r="L191" s="260">
        <f t="shared" si="17"/>
        <v>40000</v>
      </c>
      <c r="M191" s="177">
        <f>L191-E191*1000</f>
        <v>0</v>
      </c>
      <c r="N191" s="204"/>
      <c r="O191" s="120"/>
      <c r="P191" s="115"/>
      <c r="Q191" s="115"/>
      <c r="R191" s="207"/>
    </row>
    <row r="192" spans="1:44" ht="15" customHeight="1" x14ac:dyDescent="0.2">
      <c r="A192" s="213" t="s">
        <v>193</v>
      </c>
      <c r="B192" s="355" t="s">
        <v>325</v>
      </c>
      <c r="C192" s="184">
        <v>3749</v>
      </c>
      <c r="D192" s="184">
        <v>3749</v>
      </c>
      <c r="E192" s="184">
        <f t="shared" si="22"/>
        <v>0</v>
      </c>
      <c r="F192" s="230"/>
      <c r="G192" s="408"/>
      <c r="H192" s="261"/>
      <c r="I192" s="184"/>
      <c r="J192" s="275"/>
      <c r="K192" s="375"/>
      <c r="L192" s="261">
        <f t="shared" si="17"/>
        <v>0</v>
      </c>
      <c r="M192" s="184">
        <f>L192-E192*100</f>
        <v>0</v>
      </c>
      <c r="N192" s="185"/>
      <c r="O192" s="120"/>
      <c r="P192" s="115"/>
      <c r="Q192" s="115"/>
      <c r="R192" s="207"/>
    </row>
    <row r="193" spans="1:44" ht="15" customHeight="1" x14ac:dyDescent="0.2">
      <c r="A193" s="212"/>
      <c r="B193" s="358" t="s">
        <v>326</v>
      </c>
      <c r="C193" s="177">
        <v>3617</v>
      </c>
      <c r="D193" s="177">
        <v>3617</v>
      </c>
      <c r="E193" s="177">
        <f t="shared" si="22"/>
        <v>0</v>
      </c>
      <c r="F193" s="238"/>
      <c r="G193" s="416"/>
      <c r="H193" s="260"/>
      <c r="I193" s="177"/>
      <c r="J193" s="280"/>
      <c r="L193" s="260">
        <f t="shared" si="17"/>
        <v>0</v>
      </c>
      <c r="M193" s="177">
        <f>L193-E193*100</f>
        <v>0</v>
      </c>
      <c r="N193" s="204"/>
      <c r="O193" s="120"/>
      <c r="P193" s="115"/>
      <c r="Q193" s="115"/>
      <c r="R193" s="207"/>
    </row>
    <row r="194" spans="1:44" ht="15" customHeight="1" x14ac:dyDescent="0.2">
      <c r="A194" s="213" t="s">
        <v>206</v>
      </c>
      <c r="B194" s="359" t="s">
        <v>327</v>
      </c>
      <c r="C194" s="184">
        <v>5912</v>
      </c>
      <c r="D194" s="184">
        <v>5912</v>
      </c>
      <c r="E194" s="184">
        <f t="shared" si="22"/>
        <v>0</v>
      </c>
      <c r="F194" s="230"/>
      <c r="G194" s="408"/>
      <c r="H194" s="261"/>
      <c r="I194" s="184"/>
      <c r="J194" s="275"/>
      <c r="K194" s="375"/>
      <c r="L194" s="261">
        <f t="shared" si="17"/>
        <v>0</v>
      </c>
      <c r="M194" s="184">
        <f>L194-E194*100</f>
        <v>0</v>
      </c>
      <c r="N194" s="185"/>
      <c r="O194" s="120"/>
      <c r="P194" s="115"/>
      <c r="Q194" s="115"/>
      <c r="R194" s="207"/>
    </row>
    <row r="195" spans="1:44" ht="15" customHeight="1" x14ac:dyDescent="0.2">
      <c r="A195" s="209"/>
      <c r="B195" s="360"/>
      <c r="C195" s="129"/>
      <c r="D195" s="129"/>
      <c r="E195" s="129"/>
      <c r="F195" s="237"/>
      <c r="G195" s="415"/>
      <c r="H195" s="259"/>
      <c r="I195" s="129"/>
      <c r="J195" s="279"/>
      <c r="L195" s="74">
        <f t="shared" si="17"/>
        <v>0</v>
      </c>
      <c r="M195" s="259">
        <f>SUM(L187:L194)</f>
        <v>118700</v>
      </c>
      <c r="N195" s="182"/>
      <c r="O195" s="115"/>
      <c r="P195" s="115"/>
      <c r="Q195" s="115"/>
      <c r="R195" s="207"/>
      <c r="AP195" s="70" t="s">
        <v>305</v>
      </c>
      <c r="AR195" s="70">
        <v>35200</v>
      </c>
    </row>
    <row r="196" spans="1:44" ht="15" customHeight="1" thickBot="1" x14ac:dyDescent="0.25">
      <c r="A196" s="195"/>
      <c r="B196" s="361"/>
      <c r="C196" s="174"/>
      <c r="D196" s="174"/>
      <c r="E196" s="174"/>
      <c r="F196" s="232"/>
      <c r="G196" s="410"/>
      <c r="H196" s="252"/>
      <c r="I196" s="174"/>
      <c r="J196" s="197"/>
      <c r="K196" s="378"/>
      <c r="L196" s="252">
        <f t="shared" si="17"/>
        <v>0</v>
      </c>
      <c r="M196" s="174"/>
      <c r="N196" s="196"/>
      <c r="O196" s="196"/>
      <c r="P196" s="196"/>
      <c r="Q196" s="196"/>
      <c r="R196" s="197"/>
      <c r="AL196" s="70" t="s">
        <v>305</v>
      </c>
      <c r="AN196" s="70">
        <v>40300</v>
      </c>
      <c r="AP196" s="70" t="s">
        <v>310</v>
      </c>
      <c r="AR196" s="70">
        <v>16500</v>
      </c>
    </row>
    <row r="197" spans="1:44" ht="15" customHeight="1" thickBot="1" x14ac:dyDescent="0.25">
      <c r="A197" s="74" t="s">
        <v>96</v>
      </c>
      <c r="B197" s="283" t="s">
        <v>290</v>
      </c>
      <c r="L197" s="74">
        <f t="shared" si="17"/>
        <v>0</v>
      </c>
      <c r="AL197" s="70" t="s">
        <v>310</v>
      </c>
      <c r="AN197" s="70">
        <v>17000</v>
      </c>
      <c r="AP197" s="70" t="s">
        <v>307</v>
      </c>
    </row>
    <row r="198" spans="1:44" ht="15" customHeight="1" x14ac:dyDescent="0.2">
      <c r="A198" s="215" t="s">
        <v>159</v>
      </c>
      <c r="B198" s="350">
        <v>70600816</v>
      </c>
      <c r="C198" s="165">
        <v>21772</v>
      </c>
      <c r="D198" s="165">
        <v>21929</v>
      </c>
      <c r="E198" s="165">
        <f>D198-C198</f>
        <v>157</v>
      </c>
      <c r="F198" s="233"/>
      <c r="G198" s="411"/>
      <c r="H198" s="256"/>
      <c r="I198" s="165"/>
      <c r="J198" s="206">
        <v>159</v>
      </c>
      <c r="K198" s="379"/>
      <c r="L198" s="256">
        <f t="shared" si="17"/>
        <v>15900</v>
      </c>
      <c r="M198" s="165">
        <f>L198-E198*100</f>
        <v>200</v>
      </c>
      <c r="N198" s="205"/>
      <c r="O198" s="143"/>
      <c r="P198" s="144"/>
      <c r="Q198" s="144"/>
      <c r="R198" s="206"/>
      <c r="AL198" s="70" t="s">
        <v>307</v>
      </c>
    </row>
    <row r="199" spans="1:44" ht="15" customHeight="1" x14ac:dyDescent="0.2">
      <c r="A199" s="210"/>
      <c r="B199" s="351"/>
      <c r="C199" s="125">
        <v>19568</v>
      </c>
      <c r="D199" s="125">
        <v>19624</v>
      </c>
      <c r="E199" s="125">
        <f>D199-C199</f>
        <v>56</v>
      </c>
      <c r="F199" s="234"/>
      <c r="G199" s="412"/>
      <c r="H199" s="245"/>
      <c r="I199" s="125"/>
      <c r="J199" s="214">
        <v>56</v>
      </c>
      <c r="K199" s="380"/>
      <c r="L199" s="245">
        <f t="shared" si="17"/>
        <v>5600</v>
      </c>
      <c r="M199" s="125">
        <f>L199-E199*100</f>
        <v>0</v>
      </c>
      <c r="N199" s="203"/>
      <c r="O199" s="120"/>
      <c r="P199" s="115"/>
      <c r="Q199" s="115"/>
      <c r="R199" s="207"/>
    </row>
    <row r="200" spans="1:44" ht="15" customHeight="1" x14ac:dyDescent="0.2">
      <c r="A200" s="211"/>
      <c r="B200" s="295">
        <v>70600845</v>
      </c>
      <c r="C200" s="111">
        <v>28186</v>
      </c>
      <c r="D200" s="111">
        <v>28292</v>
      </c>
      <c r="E200" s="111">
        <f>D200-C200</f>
        <v>106</v>
      </c>
      <c r="F200" s="235"/>
      <c r="G200" s="413"/>
      <c r="H200" s="257"/>
      <c r="I200" s="111"/>
      <c r="J200" s="419">
        <v>106</v>
      </c>
      <c r="K200" s="384"/>
      <c r="L200" s="257">
        <f t="shared" si="17"/>
        <v>10600</v>
      </c>
      <c r="M200" s="111">
        <f>L200-E200*100</f>
        <v>0</v>
      </c>
      <c r="N200" s="190"/>
      <c r="O200" s="120"/>
      <c r="P200" s="115"/>
      <c r="Q200" s="115"/>
      <c r="R200" s="207"/>
    </row>
    <row r="201" spans="1:44" ht="15" customHeight="1" x14ac:dyDescent="0.2">
      <c r="A201" s="208"/>
      <c r="B201" s="312"/>
      <c r="C201" s="119">
        <v>18454</v>
      </c>
      <c r="D201" s="119">
        <v>18539</v>
      </c>
      <c r="E201" s="119">
        <f>D201-C201</f>
        <v>85</v>
      </c>
      <c r="F201" s="236"/>
      <c r="G201" s="414"/>
      <c r="H201" s="246"/>
      <c r="I201" s="119"/>
      <c r="J201" s="278">
        <v>85</v>
      </c>
      <c r="K201" s="382"/>
      <c r="L201" s="246">
        <f t="shared" si="17"/>
        <v>8500</v>
      </c>
      <c r="M201" s="119">
        <f>L201-E201*100</f>
        <v>0</v>
      </c>
      <c r="N201" s="191"/>
      <c r="O201" s="120"/>
      <c r="P201" s="115"/>
      <c r="Q201" s="115"/>
      <c r="R201" s="207"/>
    </row>
    <row r="202" spans="1:44" ht="15" customHeight="1" thickBot="1" x14ac:dyDescent="0.25">
      <c r="A202" s="216"/>
      <c r="B202" s="316"/>
      <c r="C202" s="156"/>
      <c r="D202" s="156"/>
      <c r="E202" s="156">
        <f>SUM(E198:E201)</f>
        <v>404</v>
      </c>
      <c r="F202" s="239"/>
      <c r="G202" s="418"/>
      <c r="H202" s="248"/>
      <c r="I202" s="156"/>
      <c r="J202" s="282"/>
      <c r="L202" s="74">
        <f t="shared" si="17"/>
        <v>0</v>
      </c>
      <c r="M202" s="248">
        <f>SUM(L198:L201)</f>
        <v>40600</v>
      </c>
      <c r="N202" s="217"/>
      <c r="O202" s="196"/>
      <c r="P202" s="196"/>
      <c r="Q202" s="196"/>
      <c r="R202" s="197"/>
    </row>
    <row r="214" spans="19:44" ht="15" customHeight="1" x14ac:dyDescent="0.2">
      <c r="S214" s="322">
        <v>16450</v>
      </c>
      <c r="T214" s="322">
        <v>16780</v>
      </c>
      <c r="U214" s="322">
        <v>16878</v>
      </c>
      <c r="V214" s="322">
        <v>16953</v>
      </c>
      <c r="AP214" s="70" t="s">
        <v>298</v>
      </c>
      <c r="AR214" s="70">
        <v>72000</v>
      </c>
    </row>
    <row r="215" spans="19:44" ht="15" customHeight="1" x14ac:dyDescent="0.2">
      <c r="S215" s="322">
        <v>19018</v>
      </c>
      <c r="T215" s="322">
        <v>19550</v>
      </c>
      <c r="U215" s="322">
        <v>19620</v>
      </c>
      <c r="V215" s="322">
        <v>19940</v>
      </c>
      <c r="AL215" s="70" t="s">
        <v>298</v>
      </c>
      <c r="AN215" s="70">
        <v>44000</v>
      </c>
      <c r="AP215" s="70" t="s">
        <v>298</v>
      </c>
      <c r="AR215" s="70">
        <v>58000</v>
      </c>
    </row>
    <row r="216" spans="19:44" ht="15" customHeight="1" x14ac:dyDescent="0.2">
      <c r="S216" s="322">
        <v>16786</v>
      </c>
      <c r="T216" s="322">
        <v>17338</v>
      </c>
      <c r="U216" s="322">
        <v>17533</v>
      </c>
      <c r="V216" s="322">
        <v>17608</v>
      </c>
      <c r="AL216" s="70" t="s">
        <v>298</v>
      </c>
      <c r="AN216" s="70">
        <v>66000</v>
      </c>
      <c r="AP216" s="70" t="s">
        <v>299</v>
      </c>
      <c r="AR216" s="70">
        <v>86300</v>
      </c>
    </row>
    <row r="217" spans="19:44" ht="15" customHeight="1" x14ac:dyDescent="0.2">
      <c r="S217" s="322">
        <v>16118</v>
      </c>
      <c r="T217" s="322">
        <v>16694</v>
      </c>
      <c r="U217" s="322">
        <v>16775</v>
      </c>
      <c r="V217" s="322">
        <v>16899</v>
      </c>
      <c r="AL217" s="70" t="s">
        <v>299</v>
      </c>
      <c r="AN217" s="70">
        <v>47800</v>
      </c>
    </row>
    <row r="218" spans="19:44" ht="15" customHeight="1" x14ac:dyDescent="0.2">
      <c r="S218" s="322">
        <v>19370</v>
      </c>
      <c r="T218" s="322">
        <v>20117</v>
      </c>
      <c r="U218" s="322">
        <v>20370</v>
      </c>
      <c r="V218" s="322">
        <v>20660</v>
      </c>
    </row>
    <row r="219" spans="19:44" ht="15" customHeight="1" x14ac:dyDescent="0.2">
      <c r="S219" s="322">
        <v>15150</v>
      </c>
      <c r="T219" s="322">
        <v>15865</v>
      </c>
      <c r="U219" s="322">
        <v>16130</v>
      </c>
      <c r="V219" s="322">
        <v>16379</v>
      </c>
    </row>
    <row r="220" spans="19:44" ht="15" customHeight="1" x14ac:dyDescent="0.2">
      <c r="S220" s="322">
        <v>1101</v>
      </c>
      <c r="T220" s="322">
        <v>1488</v>
      </c>
      <c r="U220" s="322">
        <v>1589</v>
      </c>
      <c r="V220" s="322">
        <v>1835</v>
      </c>
      <c r="AP220" s="70" t="s">
        <v>295</v>
      </c>
      <c r="AR220" s="70">
        <v>123000</v>
      </c>
    </row>
    <row r="221" spans="19:44" ht="15" customHeight="1" x14ac:dyDescent="0.2">
      <c r="S221" s="322">
        <v>1315</v>
      </c>
      <c r="T221" s="322">
        <v>3119</v>
      </c>
      <c r="U221" s="322">
        <v>3707</v>
      </c>
      <c r="V221" s="322">
        <v>4289</v>
      </c>
      <c r="AL221" s="70" t="s">
        <v>295</v>
      </c>
      <c r="AN221" s="70">
        <v>77000</v>
      </c>
      <c r="AP221" s="70" t="s">
        <v>298</v>
      </c>
      <c r="AR221" s="70">
        <v>64000</v>
      </c>
    </row>
    <row r="222" spans="19:44" ht="15" customHeight="1" x14ac:dyDescent="0.2">
      <c r="S222" s="322">
        <v>1273</v>
      </c>
      <c r="T222" s="322">
        <v>2020</v>
      </c>
      <c r="U222" s="322">
        <v>2442</v>
      </c>
      <c r="V222" s="322">
        <v>2671</v>
      </c>
      <c r="AL222" s="70" t="s">
        <v>298</v>
      </c>
      <c r="AN222" s="70">
        <v>62000</v>
      </c>
    </row>
    <row r="223" spans="19:44" ht="15" customHeight="1" x14ac:dyDescent="0.2">
      <c r="S223" s="322">
        <v>932</v>
      </c>
      <c r="T223" s="322">
        <v>1884</v>
      </c>
      <c r="U223" s="322">
        <v>2219</v>
      </c>
      <c r="V223" s="322">
        <v>2349</v>
      </c>
    </row>
    <row r="224" spans="19:44" ht="15" customHeight="1" x14ac:dyDescent="0.2">
      <c r="S224" s="322">
        <v>1230</v>
      </c>
      <c r="T224" s="322">
        <v>1368</v>
      </c>
      <c r="U224" s="322">
        <v>1368</v>
      </c>
      <c r="V224" s="322">
        <v>1430</v>
      </c>
    </row>
    <row r="225" spans="19:44" ht="15" customHeight="1" x14ac:dyDescent="0.2">
      <c r="S225" s="322">
        <v>2369</v>
      </c>
      <c r="T225" s="322">
        <v>2423</v>
      </c>
      <c r="U225" s="322">
        <v>2423</v>
      </c>
      <c r="V225" s="322">
        <v>2452</v>
      </c>
    </row>
    <row r="226" spans="19:44" ht="15" customHeight="1" x14ac:dyDescent="0.2">
      <c r="S226" s="322">
        <v>4731</v>
      </c>
      <c r="T226" s="322">
        <v>5459</v>
      </c>
      <c r="U226" s="322">
        <v>5459</v>
      </c>
      <c r="V226" s="322">
        <v>5772</v>
      </c>
    </row>
    <row r="227" spans="19:44" ht="15" customHeight="1" x14ac:dyDescent="0.2">
      <c r="S227" s="322">
        <v>3103</v>
      </c>
      <c r="T227" s="322">
        <v>3799</v>
      </c>
      <c r="U227" s="322">
        <v>3799</v>
      </c>
      <c r="V227" s="322">
        <v>4192</v>
      </c>
    </row>
    <row r="228" spans="19:44" ht="15" customHeight="1" x14ac:dyDescent="0.2">
      <c r="S228" s="322"/>
    </row>
    <row r="229" spans="19:44" ht="15" customHeight="1" x14ac:dyDescent="0.2">
      <c r="S229" s="322"/>
    </row>
    <row r="230" spans="19:44" ht="15" customHeight="1" x14ac:dyDescent="0.2">
      <c r="S230" s="322">
        <v>17026</v>
      </c>
      <c r="T230" s="322">
        <v>17419</v>
      </c>
      <c r="U230" s="322">
        <v>17549</v>
      </c>
      <c r="V230" s="322">
        <v>17712</v>
      </c>
    </row>
    <row r="231" spans="19:44" ht="15" customHeight="1" x14ac:dyDescent="0.2">
      <c r="S231" s="322">
        <v>16648</v>
      </c>
      <c r="T231" s="322">
        <v>17077</v>
      </c>
      <c r="U231" s="322">
        <v>17195</v>
      </c>
      <c r="V231" s="322">
        <v>17353</v>
      </c>
    </row>
    <row r="232" spans="19:44" ht="15" customHeight="1" x14ac:dyDescent="0.2">
      <c r="S232" s="322">
        <v>20377</v>
      </c>
      <c r="T232" s="322">
        <v>20846</v>
      </c>
      <c r="U232" s="322">
        <v>20941</v>
      </c>
      <c r="V232" s="322">
        <v>21113</v>
      </c>
    </row>
    <row r="233" spans="19:44" ht="15" customHeight="1" x14ac:dyDescent="0.2">
      <c r="S233" s="322">
        <v>17384</v>
      </c>
      <c r="T233" s="322">
        <v>17735</v>
      </c>
      <c r="U233" s="322">
        <v>17797</v>
      </c>
      <c r="V233" s="322">
        <v>17940</v>
      </c>
    </row>
    <row r="234" spans="19:44" ht="15" customHeight="1" x14ac:dyDescent="0.2">
      <c r="S234" s="322">
        <v>1934</v>
      </c>
      <c r="T234" s="322">
        <v>2046</v>
      </c>
      <c r="U234" s="322">
        <v>2046</v>
      </c>
      <c r="V234" s="322">
        <v>2133</v>
      </c>
    </row>
    <row r="235" spans="19:44" ht="15" customHeight="1" x14ac:dyDescent="0.2">
      <c r="S235" s="322">
        <v>1298</v>
      </c>
      <c r="T235" s="322">
        <v>1597</v>
      </c>
      <c r="U235" s="322">
        <v>1597</v>
      </c>
      <c r="V235" s="322">
        <v>1796</v>
      </c>
    </row>
    <row r="236" spans="19:44" ht="15" customHeight="1" x14ac:dyDescent="0.2">
      <c r="S236" s="322"/>
      <c r="AP236" s="70" t="s">
        <v>312</v>
      </c>
    </row>
    <row r="237" spans="19:44" ht="15" customHeight="1" x14ac:dyDescent="0.2">
      <c r="S237" s="322"/>
      <c r="AL237" s="70" t="s">
        <v>312</v>
      </c>
      <c r="AP237" s="70" t="s">
        <v>313</v>
      </c>
    </row>
    <row r="238" spans="19:44" ht="15" customHeight="1" x14ac:dyDescent="0.2">
      <c r="S238" s="322"/>
      <c r="AL238" s="70" t="s">
        <v>304</v>
      </c>
    </row>
    <row r="239" spans="19:44" ht="15" customHeight="1" x14ac:dyDescent="0.2">
      <c r="S239" s="322">
        <v>22047</v>
      </c>
      <c r="T239" s="322">
        <v>22546</v>
      </c>
      <c r="U239" s="322">
        <v>22658</v>
      </c>
      <c r="V239" s="322">
        <v>22994</v>
      </c>
      <c r="AP239" s="70" t="s">
        <v>46</v>
      </c>
    </row>
    <row r="240" spans="19:44" ht="15" customHeight="1" x14ac:dyDescent="0.2">
      <c r="S240" s="322">
        <v>18978</v>
      </c>
      <c r="T240" s="322">
        <v>19508</v>
      </c>
      <c r="U240" s="322">
        <v>19624</v>
      </c>
      <c r="V240" s="322">
        <v>19776</v>
      </c>
      <c r="AL240" s="70" t="s">
        <v>309</v>
      </c>
      <c r="AR240" s="70">
        <v>11800</v>
      </c>
    </row>
    <row r="241" spans="19:44" ht="15" customHeight="1" x14ac:dyDescent="0.2">
      <c r="S241" s="322">
        <v>19841</v>
      </c>
      <c r="T241" s="322">
        <v>20269</v>
      </c>
      <c r="U241" s="322">
        <v>20378</v>
      </c>
      <c r="V241" s="322">
        <v>20491</v>
      </c>
      <c r="AN241" s="70">
        <v>15800</v>
      </c>
      <c r="AR241" s="70">
        <v>6200</v>
      </c>
    </row>
    <row r="242" spans="19:44" ht="15" customHeight="1" x14ac:dyDescent="0.2">
      <c r="S242" s="322">
        <v>18338</v>
      </c>
      <c r="T242" s="322">
        <v>19167</v>
      </c>
      <c r="U242" s="322">
        <v>19358</v>
      </c>
      <c r="V242" s="322">
        <v>19560</v>
      </c>
      <c r="AN242" s="70">
        <v>14900</v>
      </c>
    </row>
    <row r="243" spans="19:44" ht="15" customHeight="1" x14ac:dyDescent="0.2">
      <c r="S243" s="322">
        <v>4856</v>
      </c>
      <c r="T243" s="322">
        <v>5046</v>
      </c>
      <c r="U243" s="322">
        <v>5108</v>
      </c>
      <c r="V243" s="322">
        <v>5147</v>
      </c>
    </row>
    <row r="244" spans="19:44" ht="15" customHeight="1" x14ac:dyDescent="0.2">
      <c r="S244" s="322">
        <v>3404</v>
      </c>
      <c r="T244" s="322">
        <v>3668</v>
      </c>
      <c r="U244" s="322">
        <v>3668</v>
      </c>
      <c r="V244" s="322">
        <v>3749</v>
      </c>
      <c r="AP244" s="70" t="s">
        <v>1</v>
      </c>
    </row>
    <row r="245" spans="19:44" ht="15" customHeight="1" x14ac:dyDescent="0.2">
      <c r="S245" s="322">
        <v>3488</v>
      </c>
      <c r="T245" s="322">
        <v>3569</v>
      </c>
      <c r="U245" s="322">
        <v>3569</v>
      </c>
      <c r="V245" s="322">
        <v>3617</v>
      </c>
      <c r="AL245" s="70" t="s">
        <v>308</v>
      </c>
      <c r="AR245" s="70">
        <v>0</v>
      </c>
    </row>
    <row r="246" spans="19:44" ht="15" customHeight="1" x14ac:dyDescent="0.2">
      <c r="S246" s="322">
        <v>4493</v>
      </c>
      <c r="T246" s="322">
        <v>5352</v>
      </c>
      <c r="U246" s="322">
        <v>5352</v>
      </c>
      <c r="V246" s="322">
        <v>5912</v>
      </c>
      <c r="AN246" s="70">
        <v>15200</v>
      </c>
      <c r="AR246" s="70">
        <v>0</v>
      </c>
    </row>
    <row r="247" spans="19:44" ht="15" customHeight="1" x14ac:dyDescent="0.2">
      <c r="S247" s="322"/>
      <c r="AN247" s="70">
        <v>20200</v>
      </c>
      <c r="AP247" s="70" t="s">
        <v>324</v>
      </c>
      <c r="AR247" s="70">
        <v>62000</v>
      </c>
    </row>
    <row r="248" spans="19:44" ht="15" customHeight="1" x14ac:dyDescent="0.2">
      <c r="S248" s="322"/>
      <c r="AL248" s="70" t="s">
        <v>324</v>
      </c>
      <c r="AN248" s="70">
        <v>39000</v>
      </c>
    </row>
    <row r="249" spans="19:44" ht="15" customHeight="1" x14ac:dyDescent="0.2">
      <c r="S249" s="322"/>
    </row>
    <row r="250" spans="19:44" ht="15" customHeight="1" x14ac:dyDescent="0.2">
      <c r="S250" s="322">
        <v>20806</v>
      </c>
      <c r="T250" s="322">
        <v>21452</v>
      </c>
      <c r="U250" s="322">
        <v>21626</v>
      </c>
      <c r="V250" s="322">
        <v>21772</v>
      </c>
      <c r="AP250" s="70" t="s">
        <v>96</v>
      </c>
    </row>
    <row r="251" spans="19:44" ht="15" customHeight="1" x14ac:dyDescent="0.2">
      <c r="S251" s="322">
        <v>19007</v>
      </c>
      <c r="T251" s="322">
        <v>19418</v>
      </c>
      <c r="U251" s="322">
        <v>19516</v>
      </c>
      <c r="V251" s="322">
        <v>19568</v>
      </c>
      <c r="AL251" s="70" t="s">
        <v>96</v>
      </c>
      <c r="AR251" s="70">
        <v>0</v>
      </c>
    </row>
    <row r="252" spans="19:44" ht="15" customHeight="1" x14ac:dyDescent="0.2">
      <c r="S252" s="322">
        <v>27523</v>
      </c>
      <c r="T252" s="322">
        <v>27979</v>
      </c>
      <c r="U252" s="322">
        <v>28101</v>
      </c>
      <c r="V252" s="322">
        <v>28186</v>
      </c>
      <c r="AN252" s="70">
        <v>0</v>
      </c>
      <c r="AR252" s="70">
        <v>22600</v>
      </c>
    </row>
    <row r="253" spans="19:44" ht="15" customHeight="1" x14ac:dyDescent="0.2">
      <c r="S253" s="322">
        <v>18034</v>
      </c>
      <c r="T253" s="322">
        <v>18268</v>
      </c>
      <c r="U253" s="322">
        <v>18372</v>
      </c>
      <c r="V253" s="322">
        <v>18454</v>
      </c>
      <c r="AN253" s="70">
        <v>0</v>
      </c>
      <c r="AR253" s="70">
        <v>0</v>
      </c>
    </row>
    <row r="255" spans="19:44" ht="15" customHeight="1" x14ac:dyDescent="0.2">
      <c r="T255" s="325"/>
    </row>
  </sheetData>
  <autoFilter ref="AL1:AN255" xr:uid="{00000000-0001-0000-0100-000000000000}">
    <sortState xmlns:xlrd2="http://schemas.microsoft.com/office/spreadsheetml/2017/richdata2" ref="AL2:AN255">
      <sortCondition ref="AM1:AM255"/>
    </sortState>
  </autoFilter>
  <sortState xmlns:xlrd2="http://schemas.microsoft.com/office/spreadsheetml/2017/richdata2" ref="AL1:AN255">
    <sortCondition ref="AM2:AM255"/>
  </sortState>
  <phoneticPr fontId="2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鹿屋</vt:lpstr>
      <vt:lpstr>都城</vt:lpstr>
      <vt:lpstr>霧島</vt:lpstr>
      <vt:lpstr>宇宿</vt:lpstr>
      <vt:lpstr>川内</vt:lpstr>
      <vt:lpstr>中央</vt:lpstr>
      <vt:lpstr>天文館</vt:lpstr>
      <vt:lpstr>ガチャ</vt:lpstr>
      <vt:lpstr>集金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本田 広宣</dc:creator>
  <cp:keywords/>
  <dc:description/>
  <cp:lastModifiedBy>Hironori Honda</cp:lastModifiedBy>
  <cp:revision>1</cp:revision>
  <dcterms:created xsi:type="dcterms:W3CDTF">2026-03-08T01:59:37Z</dcterms:created>
  <dcterms:modified xsi:type="dcterms:W3CDTF">2026-05-03T01:20:46Z</dcterms:modified>
  <cp:category/>
  <cp:contentStatus/>
</cp:coreProperties>
</file>